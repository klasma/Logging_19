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45811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45811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45811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45811</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45811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45811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45811</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45811</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45811</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45811</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45811</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45811</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45811</v>
      </c>
      <c r="D14" t="inlineStr">
        <is>
          <t>VÄSTMANLANDS LÄN</t>
        </is>
      </c>
      <c r="E14" t="inlineStr">
        <is>
          <t>SURAHAMMAR</t>
        </is>
      </c>
      <c r="F14" t="inlineStr">
        <is>
          <t>Kommuner</t>
        </is>
      </c>
      <c r="G14" t="n">
        <v>19.1</v>
      </c>
      <c r="H14" t="n">
        <v>4</v>
      </c>
      <c r="I14" t="n">
        <v>4</v>
      </c>
      <c r="J14" t="n">
        <v>5</v>
      </c>
      <c r="K14" t="n">
        <v>4</v>
      </c>
      <c r="L14" t="n">
        <v>0</v>
      </c>
      <c r="M14" t="n">
        <v>0</v>
      </c>
      <c r="N14" t="n">
        <v>0</v>
      </c>
      <c r="O14" t="n">
        <v>9</v>
      </c>
      <c r="P14" t="n">
        <v>4</v>
      </c>
      <c r="Q14" t="n">
        <v>16</v>
      </c>
      <c r="R14" s="2" t="inlineStr">
        <is>
          <t>Hängticka
Knärot
Rynkskinn
Vågticka
Garnlav
Granticka
Gropticka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45811</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45811</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45811</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45811</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45811</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45811</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45811</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45811</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45811</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45811</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45811</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45811</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45811</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45811</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45811</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45811</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45811</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45811</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45811</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45811</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45811</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45811</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45811</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45811</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45811</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45811</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45811</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45811</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45811</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45811</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45811</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45811</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45811</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45811</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45811</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45811</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45811</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45811</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45811</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45811</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45811</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45811</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45811</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45811</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45811</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45811</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45811</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45811</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45811</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45811</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45811</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45811</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45811</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45811</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45811</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45811</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45811</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45811</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45811</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45811</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45811</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45811</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45811</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45811</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45811</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45811</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45811</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45811</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45811</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45811</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45811</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45811</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45811</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45811</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45811</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45811</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45811</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45811</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45811</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45811</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45811</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45811</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45811</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45811</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45811</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45811</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45811</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45811</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45811</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45811</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45811</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45811</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45811</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45811</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45811</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45811</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45811</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45811</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45811</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45811</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45811</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45811</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45811</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45811</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45811</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45811</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45811</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45811</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45811</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45811</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45811</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45811</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45811</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45811</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45811</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45811</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45811</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45811</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45811</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45811</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45811</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45811</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45811</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45811</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45811</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45811</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45811</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45811</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45811</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45811</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45811</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45811</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45811</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45811</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45811</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45811</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45811</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45811</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45811</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45811</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45811</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45811</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45811</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45811</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45811</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45811</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45811</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45811</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45811</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45811</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45811</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45811</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45811</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45811</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45811</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45811</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45811</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45811</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45811</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45811</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45811</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45811</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45811</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45811</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45811</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45811</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45811</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45811</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45811</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45811</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45811</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45811</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45811</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45811</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45811</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45811</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45811</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45811</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45811</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45811</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45811</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45811</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45811</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45811</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45811</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45811</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45811</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45811</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45811</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45811</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45811</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45811</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45811</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45811</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45811</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45811</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45811</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45811</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45811</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45811</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45811</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45811</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45811</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45811</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45811</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45811</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45811</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45811</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45811</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45811</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45811</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45811</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45811</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45811</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45811</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45811</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45811</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45811</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45811</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45811</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45811</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45811</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45811</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45811</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45811</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45811</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45811</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45811</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45811</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45811</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45811</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45811</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45811</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45811</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45811</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45811</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45811</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45811</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45811</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45811</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45811</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45811</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45811</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45811</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45811</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45811</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45811</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45811</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45811</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45811</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45811</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45811</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45811</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45811</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45811</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45811</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45811</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45811</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45811</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45811</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45811</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45811</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45811</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45811</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45811</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45811</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45811</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45811</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45811</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45811</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45811</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45811</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45811</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45811</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45811</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45811</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45811</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45811</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45811</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45811</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45811</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45811</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45811</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45811</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45811</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45811</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45811</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45811</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45811</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45811</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45811</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45811</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45811</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45811</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45811</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45811</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45811</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45811</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45811</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45811</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45811</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45811</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45811</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45811</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45811</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45811</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45811</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45811</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45811</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28435-2022</t>
        </is>
      </c>
      <c r="B324" s="1" t="n">
        <v>44747</v>
      </c>
      <c r="C324" s="1" t="n">
        <v>45811</v>
      </c>
      <c r="D324" t="inlineStr">
        <is>
          <t>VÄSTMANLANDS LÄN</t>
        </is>
      </c>
      <c r="E324" t="inlineStr">
        <is>
          <t>FAGERSTA</t>
        </is>
      </c>
      <c r="F324" t="inlineStr">
        <is>
          <t>Sveaskog</t>
        </is>
      </c>
      <c r="G324" t="n">
        <v>0.9</v>
      </c>
      <c r="H324" t="n">
        <v>0</v>
      </c>
      <c r="I324" t="n">
        <v>0</v>
      </c>
      <c r="J324" t="n">
        <v>1</v>
      </c>
      <c r="K324" t="n">
        <v>0</v>
      </c>
      <c r="L324" t="n">
        <v>0</v>
      </c>
      <c r="M324" t="n">
        <v>0</v>
      </c>
      <c r="N324" t="n">
        <v>0</v>
      </c>
      <c r="O324" t="n">
        <v>1</v>
      </c>
      <c r="P324" t="n">
        <v>0</v>
      </c>
      <c r="Q324" t="n">
        <v>1</v>
      </c>
      <c r="R324" s="2" t="inlineStr">
        <is>
          <t>Stjärntagging</t>
        </is>
      </c>
      <c r="S324">
        <f>HYPERLINK("https://klasma.github.io/Logging_1982/artfynd/A 28435-2022 artfynd.xlsx", "A 28435-2022")</f>
        <v/>
      </c>
      <c r="T324">
        <f>HYPERLINK("https://klasma.github.io/Logging_1982/kartor/A 28435-2022 karta.png", "A 28435-2022")</f>
        <v/>
      </c>
      <c r="V324">
        <f>HYPERLINK("https://klasma.github.io/Logging_1982/klagomål/A 28435-2022 FSC-klagomål.docx", "A 28435-2022")</f>
        <v/>
      </c>
      <c r="W324">
        <f>HYPERLINK("https://klasma.github.io/Logging_1982/klagomålsmail/A 28435-2022 FSC-klagomål mail.docx", "A 28435-2022")</f>
        <v/>
      </c>
      <c r="X324">
        <f>HYPERLINK("https://klasma.github.io/Logging_1982/tillsyn/A 28435-2022 tillsynsbegäran.docx", "A 28435-2022")</f>
        <v/>
      </c>
      <c r="Y324">
        <f>HYPERLINK("https://klasma.github.io/Logging_1982/tillsynsmail/A 28435-2022 tillsynsbegäran mail.docx", "A 28435-2022")</f>
        <v/>
      </c>
    </row>
    <row r="325" ht="15" customHeight="1">
      <c r="A325" t="inlineStr">
        <is>
          <t>A 29532-2022</t>
        </is>
      </c>
      <c r="B325" s="1" t="n">
        <v>44753</v>
      </c>
      <c r="C325" s="1" t="n">
        <v>45811</v>
      </c>
      <c r="D325" t="inlineStr">
        <is>
          <t>VÄSTMANLANDS LÄN</t>
        </is>
      </c>
      <c r="E325" t="inlineStr">
        <is>
          <t>FAGERSTA</t>
        </is>
      </c>
      <c r="G325" t="n">
        <v>4.7</v>
      </c>
      <c r="H325" t="n">
        <v>0</v>
      </c>
      <c r="I325" t="n">
        <v>1</v>
      </c>
      <c r="J325" t="n">
        <v>0</v>
      </c>
      <c r="K325" t="n">
        <v>0</v>
      </c>
      <c r="L325" t="n">
        <v>0</v>
      </c>
      <c r="M325" t="n">
        <v>0</v>
      </c>
      <c r="N325" t="n">
        <v>0</v>
      </c>
      <c r="O325" t="n">
        <v>0</v>
      </c>
      <c r="P325" t="n">
        <v>0</v>
      </c>
      <c r="Q325" t="n">
        <v>1</v>
      </c>
      <c r="R325" s="2" t="inlineStr">
        <is>
          <t>Hagfingersvamp</t>
        </is>
      </c>
      <c r="S325">
        <f>HYPERLINK("https://klasma.github.io/Logging_1982/artfynd/A 29532-2022 artfynd.xlsx", "A 29532-2022")</f>
        <v/>
      </c>
      <c r="T325">
        <f>HYPERLINK("https://klasma.github.io/Logging_1982/kartor/A 29532-2022 karta.png", "A 29532-2022")</f>
        <v/>
      </c>
      <c r="V325">
        <f>HYPERLINK("https://klasma.github.io/Logging_1982/klagomål/A 29532-2022 FSC-klagomål.docx", "A 29532-2022")</f>
        <v/>
      </c>
      <c r="W325">
        <f>HYPERLINK("https://klasma.github.io/Logging_1982/klagomålsmail/A 29532-2022 FSC-klagomål mail.docx", "A 29532-2022")</f>
        <v/>
      </c>
      <c r="X325">
        <f>HYPERLINK("https://klasma.github.io/Logging_1982/tillsyn/A 29532-2022 tillsynsbegäran.docx", "A 29532-2022")</f>
        <v/>
      </c>
      <c r="Y325">
        <f>HYPERLINK("https://klasma.github.io/Logging_1982/tillsynsmail/A 29532-2022 tillsynsbegäran mail.docx", "A 29532-2022")</f>
        <v/>
      </c>
    </row>
    <row r="326" ht="15" customHeight="1">
      <c r="A326" t="inlineStr">
        <is>
          <t>A 29985-2022</t>
        </is>
      </c>
      <c r="B326" s="1" t="n">
        <v>44756</v>
      </c>
      <c r="C326" s="1" t="n">
        <v>45811</v>
      </c>
      <c r="D326" t="inlineStr">
        <is>
          <t>VÄSTMANLANDS LÄN</t>
        </is>
      </c>
      <c r="E326" t="inlineStr">
        <is>
          <t>SALA</t>
        </is>
      </c>
      <c r="F326" t="inlineStr">
        <is>
          <t>Kommuner</t>
        </is>
      </c>
      <c r="G326" t="n">
        <v>1</v>
      </c>
      <c r="H326" t="n">
        <v>1</v>
      </c>
      <c r="I326" t="n">
        <v>1</v>
      </c>
      <c r="J326" t="n">
        <v>0</v>
      </c>
      <c r="K326" t="n">
        <v>0</v>
      </c>
      <c r="L326" t="n">
        <v>0</v>
      </c>
      <c r="M326" t="n">
        <v>0</v>
      </c>
      <c r="N326" t="n">
        <v>0</v>
      </c>
      <c r="O326" t="n">
        <v>0</v>
      </c>
      <c r="P326" t="n">
        <v>0</v>
      </c>
      <c r="Q326" t="n">
        <v>1</v>
      </c>
      <c r="R326" s="2" t="inlineStr">
        <is>
          <t>Skogsknipprot</t>
        </is>
      </c>
      <c r="S326">
        <f>HYPERLINK("https://klasma.github.io/Logging_1981/artfynd/A 29985-2022 artfynd.xlsx", "A 29985-2022")</f>
        <v/>
      </c>
      <c r="T326">
        <f>HYPERLINK("https://klasma.github.io/Logging_1981/kartor/A 29985-2022 karta.png", "A 29985-2022")</f>
        <v/>
      </c>
      <c r="V326">
        <f>HYPERLINK("https://klasma.github.io/Logging_1981/klagomål/A 29985-2022 FSC-klagomål.docx", "A 29985-2022")</f>
        <v/>
      </c>
      <c r="W326">
        <f>HYPERLINK("https://klasma.github.io/Logging_1981/klagomålsmail/A 29985-2022 FSC-klagomål mail.docx", "A 29985-2022")</f>
        <v/>
      </c>
      <c r="X326">
        <f>HYPERLINK("https://klasma.github.io/Logging_1981/tillsyn/A 29985-2022 tillsynsbegäran.docx", "A 29985-2022")</f>
        <v/>
      </c>
      <c r="Y326">
        <f>HYPERLINK("https://klasma.github.io/Logging_1981/tillsynsmail/A 29985-2022 tillsynsbegäran mail.docx", "A 29985-2022")</f>
        <v/>
      </c>
    </row>
    <row r="327" ht="15" customHeight="1">
      <c r="A327" t="inlineStr">
        <is>
          <t>A 30319-2022</t>
        </is>
      </c>
      <c r="B327" s="1" t="n">
        <v>44760</v>
      </c>
      <c r="C327" s="1" t="n">
        <v>45811</v>
      </c>
      <c r="D327" t="inlineStr">
        <is>
          <t>VÄSTMANLANDS LÄN</t>
        </is>
      </c>
      <c r="E327" t="inlineStr">
        <is>
          <t>VÄSTERÅS</t>
        </is>
      </c>
      <c r="G327" t="n">
        <v>4.3</v>
      </c>
      <c r="H327" t="n">
        <v>1</v>
      </c>
      <c r="I327" t="n">
        <v>0</v>
      </c>
      <c r="J327" t="n">
        <v>0</v>
      </c>
      <c r="K327" t="n">
        <v>1</v>
      </c>
      <c r="L327" t="n">
        <v>0</v>
      </c>
      <c r="M327" t="n">
        <v>0</v>
      </c>
      <c r="N327" t="n">
        <v>0</v>
      </c>
      <c r="O327" t="n">
        <v>1</v>
      </c>
      <c r="P327" t="n">
        <v>1</v>
      </c>
      <c r="Q327" t="n">
        <v>1</v>
      </c>
      <c r="R327" s="2" t="inlineStr">
        <is>
          <t>Backsippa</t>
        </is>
      </c>
      <c r="S327">
        <f>HYPERLINK("https://klasma.github.io/Logging_1980/artfynd/A 30319-2022 artfynd.xlsx", "A 30319-2022")</f>
        <v/>
      </c>
      <c r="T327">
        <f>HYPERLINK("https://klasma.github.io/Logging_1980/kartor/A 30319-2022 karta.png", "A 30319-2022")</f>
        <v/>
      </c>
      <c r="V327">
        <f>HYPERLINK("https://klasma.github.io/Logging_1980/klagomål/A 30319-2022 FSC-klagomål.docx", "A 30319-2022")</f>
        <v/>
      </c>
      <c r="W327">
        <f>HYPERLINK("https://klasma.github.io/Logging_1980/klagomålsmail/A 30319-2022 FSC-klagomål mail.docx", "A 30319-2022")</f>
        <v/>
      </c>
      <c r="X327">
        <f>HYPERLINK("https://klasma.github.io/Logging_1980/tillsyn/A 30319-2022 tillsynsbegäran.docx", "A 30319-2022")</f>
        <v/>
      </c>
      <c r="Y327">
        <f>HYPERLINK("https://klasma.github.io/Logging_1980/tillsynsmail/A 30319-2022 tillsynsbegäran mail.docx", "A 30319-2022")</f>
        <v/>
      </c>
    </row>
    <row r="328" ht="15" customHeight="1">
      <c r="A328" t="inlineStr">
        <is>
          <t>A 30759-2022</t>
        </is>
      </c>
      <c r="B328" s="1" t="n">
        <v>44764</v>
      </c>
      <c r="C328" s="1" t="n">
        <v>45811</v>
      </c>
      <c r="D328" t="inlineStr">
        <is>
          <t>VÄSTMANLANDS LÄN</t>
        </is>
      </c>
      <c r="E328" t="inlineStr">
        <is>
          <t>VÄSTERÅS</t>
        </is>
      </c>
      <c r="F328" t="inlineStr">
        <is>
          <t>Kommuner</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HYPERLINK("https://klasma.github.io/Logging_1980/artfynd/A 30759-2022 artfynd.xlsx", "A 30759-2022")</f>
        <v/>
      </c>
      <c r="T328">
        <f>HYPERLINK("https://klasma.github.io/Logging_1980/kartor/A 30759-2022 karta.png", "A 30759-2022")</f>
        <v/>
      </c>
      <c r="V328">
        <f>HYPERLINK("https://klasma.github.io/Logging_1980/klagomål/A 30759-2022 FSC-klagomål.docx", "A 30759-2022")</f>
        <v/>
      </c>
      <c r="W328">
        <f>HYPERLINK("https://klasma.github.io/Logging_1980/klagomålsmail/A 30759-2022 FSC-klagomål mail.docx", "A 30759-2022")</f>
        <v/>
      </c>
      <c r="X328">
        <f>HYPERLINK("https://klasma.github.io/Logging_1980/tillsyn/A 30759-2022 tillsynsbegäran.docx", "A 30759-2022")</f>
        <v/>
      </c>
      <c r="Y328">
        <f>HYPERLINK("https://klasma.github.io/Logging_1980/tillsynsmail/A 30759-2022 tillsynsbegäran mail.docx", "A 30759-2022")</f>
        <v/>
      </c>
    </row>
    <row r="329" ht="15" customHeight="1">
      <c r="A329" t="inlineStr">
        <is>
          <t>A 31568-2022</t>
        </is>
      </c>
      <c r="B329" s="1" t="n">
        <v>44775</v>
      </c>
      <c r="C329" s="1" t="n">
        <v>45811</v>
      </c>
      <c r="D329" t="inlineStr">
        <is>
          <t>VÄSTMANLANDS LÄN</t>
        </is>
      </c>
      <c r="E329" t="inlineStr">
        <is>
          <t>VÄSTERÅS</t>
        </is>
      </c>
      <c r="F329" t="inlineStr">
        <is>
          <t>Kommuner</t>
        </is>
      </c>
      <c r="G329" t="n">
        <v>6.2</v>
      </c>
      <c r="H329" t="n">
        <v>0</v>
      </c>
      <c r="I329" t="n">
        <v>0</v>
      </c>
      <c r="J329" t="n">
        <v>1</v>
      </c>
      <c r="K329" t="n">
        <v>0</v>
      </c>
      <c r="L329" t="n">
        <v>0</v>
      </c>
      <c r="M329" t="n">
        <v>0</v>
      </c>
      <c r="N329" t="n">
        <v>0</v>
      </c>
      <c r="O329" t="n">
        <v>1</v>
      </c>
      <c r="P329" t="n">
        <v>0</v>
      </c>
      <c r="Q329" t="n">
        <v>1</v>
      </c>
      <c r="R329" s="2" t="inlineStr">
        <is>
          <t>Ekticka</t>
        </is>
      </c>
      <c r="S329">
        <f>HYPERLINK("https://klasma.github.io/Logging_1980/artfynd/A 31568-2022 artfynd.xlsx", "A 31568-2022")</f>
        <v/>
      </c>
      <c r="T329">
        <f>HYPERLINK("https://klasma.github.io/Logging_1980/kartor/A 31568-2022 karta.png", "A 31568-2022")</f>
        <v/>
      </c>
      <c r="V329">
        <f>HYPERLINK("https://klasma.github.io/Logging_1980/klagomål/A 31568-2022 FSC-klagomål.docx", "A 31568-2022")</f>
        <v/>
      </c>
      <c r="W329">
        <f>HYPERLINK("https://klasma.github.io/Logging_1980/klagomålsmail/A 31568-2022 FSC-klagomål mail.docx", "A 31568-2022")</f>
        <v/>
      </c>
      <c r="X329">
        <f>HYPERLINK("https://klasma.github.io/Logging_1980/tillsyn/A 31568-2022 tillsynsbegäran.docx", "A 31568-2022")</f>
        <v/>
      </c>
      <c r="Y329">
        <f>HYPERLINK("https://klasma.github.io/Logging_1980/tillsynsmail/A 31568-2022 tillsynsbegäran mail.docx", "A 31568-2022")</f>
        <v/>
      </c>
    </row>
    <row r="330" ht="15" customHeight="1">
      <c r="A330" t="inlineStr">
        <is>
          <t>A 39099-2022</t>
        </is>
      </c>
      <c r="B330" s="1" t="n">
        <v>44817</v>
      </c>
      <c r="C330" s="1" t="n">
        <v>45811</v>
      </c>
      <c r="D330" t="inlineStr">
        <is>
          <t>VÄSTMANLANDS LÄN</t>
        </is>
      </c>
      <c r="E330" t="inlineStr">
        <is>
          <t>SURAHAMMAR</t>
        </is>
      </c>
      <c r="F330" t="inlineStr">
        <is>
          <t>Bergvik skog väst AB</t>
        </is>
      </c>
      <c r="G330" t="n">
        <v>7.4</v>
      </c>
      <c r="H330" t="n">
        <v>0</v>
      </c>
      <c r="I330" t="n">
        <v>1</v>
      </c>
      <c r="J330" t="n">
        <v>0</v>
      </c>
      <c r="K330" t="n">
        <v>0</v>
      </c>
      <c r="L330" t="n">
        <v>0</v>
      </c>
      <c r="M330" t="n">
        <v>0</v>
      </c>
      <c r="N330" t="n">
        <v>0</v>
      </c>
      <c r="O330" t="n">
        <v>0</v>
      </c>
      <c r="P330" t="n">
        <v>0</v>
      </c>
      <c r="Q330" t="n">
        <v>1</v>
      </c>
      <c r="R330" s="2" t="inlineStr">
        <is>
          <t>Stekelbock</t>
        </is>
      </c>
      <c r="S330">
        <f>HYPERLINK("https://klasma.github.io/Logging_1907/artfynd/A 39099-2022 artfynd.xlsx", "A 39099-2022")</f>
        <v/>
      </c>
      <c r="T330">
        <f>HYPERLINK("https://klasma.github.io/Logging_1907/kartor/A 39099-2022 karta.png", "A 39099-2022")</f>
        <v/>
      </c>
      <c r="V330">
        <f>HYPERLINK("https://klasma.github.io/Logging_1907/klagomål/A 39099-2022 FSC-klagomål.docx", "A 39099-2022")</f>
        <v/>
      </c>
      <c r="W330">
        <f>HYPERLINK("https://klasma.github.io/Logging_1907/klagomålsmail/A 39099-2022 FSC-klagomål mail.docx", "A 39099-2022")</f>
        <v/>
      </c>
      <c r="X330">
        <f>HYPERLINK("https://klasma.github.io/Logging_1907/tillsyn/A 39099-2022 tillsynsbegäran.docx", "A 39099-2022")</f>
        <v/>
      </c>
      <c r="Y330">
        <f>HYPERLINK("https://klasma.github.io/Logging_1907/tillsynsmail/A 39099-2022 tillsynsbegäran mail.docx", "A 39099-2022")</f>
        <v/>
      </c>
    </row>
    <row r="331" ht="15" customHeight="1">
      <c r="A331" t="inlineStr">
        <is>
          <t>A 41745-2022</t>
        </is>
      </c>
      <c r="B331" s="1" t="n">
        <v>44827</v>
      </c>
      <c r="C331" s="1" t="n">
        <v>45811</v>
      </c>
      <c r="D331" t="inlineStr">
        <is>
          <t>VÄSTMANLANDS LÄN</t>
        </is>
      </c>
      <c r="E331" t="inlineStr">
        <is>
          <t>NORBERG</t>
        </is>
      </c>
      <c r="G331" t="n">
        <v>12.7</v>
      </c>
      <c r="H331" t="n">
        <v>1</v>
      </c>
      <c r="I331" t="n">
        <v>0</v>
      </c>
      <c r="J331" t="n">
        <v>1</v>
      </c>
      <c r="K331" t="n">
        <v>0</v>
      </c>
      <c r="L331" t="n">
        <v>0</v>
      </c>
      <c r="M331" t="n">
        <v>0</v>
      </c>
      <c r="N331" t="n">
        <v>0</v>
      </c>
      <c r="O331" t="n">
        <v>1</v>
      </c>
      <c r="P331" t="n">
        <v>0</v>
      </c>
      <c r="Q331" t="n">
        <v>1</v>
      </c>
      <c r="R331" s="2" t="inlineStr">
        <is>
          <t>Järpe</t>
        </is>
      </c>
      <c r="S331">
        <f>HYPERLINK("https://klasma.github.io/Logging_1962/artfynd/A 41745-2022 artfynd.xlsx", "A 41745-2022")</f>
        <v/>
      </c>
      <c r="T331">
        <f>HYPERLINK("https://klasma.github.io/Logging_1962/kartor/A 41745-2022 karta.png", "A 41745-2022")</f>
        <v/>
      </c>
      <c r="V331">
        <f>HYPERLINK("https://klasma.github.io/Logging_1962/klagomål/A 41745-2022 FSC-klagomål.docx", "A 41745-2022")</f>
        <v/>
      </c>
      <c r="W331">
        <f>HYPERLINK("https://klasma.github.io/Logging_1962/klagomålsmail/A 41745-2022 FSC-klagomål mail.docx", "A 41745-2022")</f>
        <v/>
      </c>
      <c r="X331">
        <f>HYPERLINK("https://klasma.github.io/Logging_1962/tillsyn/A 41745-2022 tillsynsbegäran.docx", "A 41745-2022")</f>
        <v/>
      </c>
      <c r="Y331">
        <f>HYPERLINK("https://klasma.github.io/Logging_1962/tillsynsmail/A 41745-2022 tillsynsbegäran mail.docx", "A 41745-2022")</f>
        <v/>
      </c>
      <c r="Z331">
        <f>HYPERLINK("https://klasma.github.io/Logging_1962/fåglar/A 41745-2022 prioriterade fågelarter.docx", "A 41745-2022")</f>
        <v/>
      </c>
    </row>
    <row r="332" ht="15" customHeight="1">
      <c r="A332" t="inlineStr">
        <is>
          <t>A 42765-2022</t>
        </is>
      </c>
      <c r="B332" s="1" t="n">
        <v>44832</v>
      </c>
      <c r="C332" s="1" t="n">
        <v>45811</v>
      </c>
      <c r="D332" t="inlineStr">
        <is>
          <t>VÄSTMANLANDS LÄN</t>
        </is>
      </c>
      <c r="E332" t="inlineStr">
        <is>
          <t>SURAHAMMAR</t>
        </is>
      </c>
      <c r="G332" t="n">
        <v>1.8</v>
      </c>
      <c r="H332" t="n">
        <v>1</v>
      </c>
      <c r="I332" t="n">
        <v>0</v>
      </c>
      <c r="J332" t="n">
        <v>0</v>
      </c>
      <c r="K332" t="n">
        <v>0</v>
      </c>
      <c r="L332" t="n">
        <v>0</v>
      </c>
      <c r="M332" t="n">
        <v>0</v>
      </c>
      <c r="N332" t="n">
        <v>0</v>
      </c>
      <c r="O332" t="n">
        <v>0</v>
      </c>
      <c r="P332" t="n">
        <v>0</v>
      </c>
      <c r="Q332" t="n">
        <v>1</v>
      </c>
      <c r="R332" s="2" t="inlineStr">
        <is>
          <t>Blåsippa</t>
        </is>
      </c>
      <c r="S332">
        <f>HYPERLINK("https://klasma.github.io/Logging_1907/artfynd/A 42765-2022 artfynd.xlsx", "A 42765-2022")</f>
        <v/>
      </c>
      <c r="T332">
        <f>HYPERLINK("https://klasma.github.io/Logging_1907/kartor/A 42765-2022 karta.png", "A 42765-2022")</f>
        <v/>
      </c>
      <c r="V332">
        <f>HYPERLINK("https://klasma.github.io/Logging_1907/klagomål/A 42765-2022 FSC-klagomål.docx", "A 42765-2022")</f>
        <v/>
      </c>
      <c r="W332">
        <f>HYPERLINK("https://klasma.github.io/Logging_1907/klagomålsmail/A 42765-2022 FSC-klagomål mail.docx", "A 42765-2022")</f>
        <v/>
      </c>
      <c r="X332">
        <f>HYPERLINK("https://klasma.github.io/Logging_1907/tillsyn/A 42765-2022 tillsynsbegäran.docx", "A 42765-2022")</f>
        <v/>
      </c>
      <c r="Y332">
        <f>HYPERLINK("https://klasma.github.io/Logging_1907/tillsynsmail/A 42765-2022 tillsynsbegäran mail.docx", "A 42765-2022")</f>
        <v/>
      </c>
    </row>
    <row r="333" ht="15" customHeight="1">
      <c r="A333" t="inlineStr">
        <is>
          <t>A 43705-2022</t>
        </is>
      </c>
      <c r="B333" s="1" t="n">
        <v>44837</v>
      </c>
      <c r="C333" s="1" t="n">
        <v>45811</v>
      </c>
      <c r="D333" t="inlineStr">
        <is>
          <t>VÄSTMANLANDS LÄN</t>
        </is>
      </c>
      <c r="E333" t="inlineStr">
        <is>
          <t>SALA</t>
        </is>
      </c>
      <c r="G333" t="n">
        <v>2.9</v>
      </c>
      <c r="H333" t="n">
        <v>1</v>
      </c>
      <c r="I333" t="n">
        <v>0</v>
      </c>
      <c r="J333" t="n">
        <v>0</v>
      </c>
      <c r="K333" t="n">
        <v>1</v>
      </c>
      <c r="L333" t="n">
        <v>0</v>
      </c>
      <c r="M333" t="n">
        <v>0</v>
      </c>
      <c r="N333" t="n">
        <v>0</v>
      </c>
      <c r="O333" t="n">
        <v>1</v>
      </c>
      <c r="P333" t="n">
        <v>1</v>
      </c>
      <c r="Q333" t="n">
        <v>1</v>
      </c>
      <c r="R333" s="2" t="inlineStr">
        <is>
          <t>Knärot</t>
        </is>
      </c>
      <c r="S333">
        <f>HYPERLINK("https://klasma.github.io/Logging_1981/artfynd/A 43705-2022 artfynd.xlsx", "A 43705-2022")</f>
        <v/>
      </c>
      <c r="T333">
        <f>HYPERLINK("https://klasma.github.io/Logging_1981/kartor/A 43705-2022 karta.png", "A 43705-2022")</f>
        <v/>
      </c>
      <c r="U333">
        <f>HYPERLINK("https://klasma.github.io/Logging_1981/knärot/A 43705-2022 karta knärot.png", "A 43705-2022")</f>
        <v/>
      </c>
      <c r="V333">
        <f>HYPERLINK("https://klasma.github.io/Logging_1981/klagomål/A 43705-2022 FSC-klagomål.docx", "A 43705-2022")</f>
        <v/>
      </c>
      <c r="W333">
        <f>HYPERLINK("https://klasma.github.io/Logging_1981/klagomålsmail/A 43705-2022 FSC-klagomål mail.docx", "A 43705-2022")</f>
        <v/>
      </c>
      <c r="X333">
        <f>HYPERLINK("https://klasma.github.io/Logging_1981/tillsyn/A 43705-2022 tillsynsbegäran.docx", "A 43705-2022")</f>
        <v/>
      </c>
      <c r="Y333">
        <f>HYPERLINK("https://klasma.github.io/Logging_1981/tillsynsmail/A 43705-2022 tillsynsbegäran mail.docx", "A 43705-2022")</f>
        <v/>
      </c>
    </row>
    <row r="334" ht="15" customHeight="1">
      <c r="A334" t="inlineStr">
        <is>
          <t>A 46098-2022</t>
        </is>
      </c>
      <c r="B334" s="1" t="n">
        <v>44847</v>
      </c>
      <c r="C334" s="1" t="n">
        <v>45811</v>
      </c>
      <c r="D334" t="inlineStr">
        <is>
          <t>VÄSTMANLANDS LÄN</t>
        </is>
      </c>
      <c r="E334" t="inlineStr">
        <is>
          <t>VÄSTERÅS</t>
        </is>
      </c>
      <c r="G334" t="n">
        <v>5.5</v>
      </c>
      <c r="H334" t="n">
        <v>0</v>
      </c>
      <c r="I334" t="n">
        <v>0</v>
      </c>
      <c r="J334" t="n">
        <v>1</v>
      </c>
      <c r="K334" t="n">
        <v>0</v>
      </c>
      <c r="L334" t="n">
        <v>0</v>
      </c>
      <c r="M334" t="n">
        <v>0</v>
      </c>
      <c r="N334" t="n">
        <v>0</v>
      </c>
      <c r="O334" t="n">
        <v>1</v>
      </c>
      <c r="P334" t="n">
        <v>0</v>
      </c>
      <c r="Q334" t="n">
        <v>1</v>
      </c>
      <c r="R334" s="2" t="inlineStr">
        <is>
          <t>Flattoppad klubbsvamp</t>
        </is>
      </c>
      <c r="S334">
        <f>HYPERLINK("https://klasma.github.io/Logging_1980/artfynd/A 46098-2022 artfynd.xlsx", "A 46098-2022")</f>
        <v/>
      </c>
      <c r="T334">
        <f>HYPERLINK("https://klasma.github.io/Logging_1980/kartor/A 46098-2022 karta.png", "A 46098-2022")</f>
        <v/>
      </c>
      <c r="V334">
        <f>HYPERLINK("https://klasma.github.io/Logging_1980/klagomål/A 46098-2022 FSC-klagomål.docx", "A 46098-2022")</f>
        <v/>
      </c>
      <c r="W334">
        <f>HYPERLINK("https://klasma.github.io/Logging_1980/klagomålsmail/A 46098-2022 FSC-klagomål mail.docx", "A 46098-2022")</f>
        <v/>
      </c>
      <c r="X334">
        <f>HYPERLINK("https://klasma.github.io/Logging_1980/tillsyn/A 46098-2022 tillsynsbegäran.docx", "A 46098-2022")</f>
        <v/>
      </c>
      <c r="Y334">
        <f>HYPERLINK("https://klasma.github.io/Logging_1980/tillsynsmail/A 46098-2022 tillsynsbegäran mail.docx", "A 46098-2022")</f>
        <v/>
      </c>
    </row>
    <row r="335" ht="15" customHeight="1">
      <c r="A335" t="inlineStr">
        <is>
          <t>A 47207-2022</t>
        </is>
      </c>
      <c r="B335" s="1" t="n">
        <v>44852</v>
      </c>
      <c r="C335" s="1" t="n">
        <v>45811</v>
      </c>
      <c r="D335" t="inlineStr">
        <is>
          <t>VÄSTMANLANDS LÄN</t>
        </is>
      </c>
      <c r="E335" t="inlineStr">
        <is>
          <t>SURAHAMMAR</t>
        </is>
      </c>
      <c r="G335" t="n">
        <v>3.2</v>
      </c>
      <c r="H335" t="n">
        <v>0</v>
      </c>
      <c r="I335" t="n">
        <v>0</v>
      </c>
      <c r="J335" t="n">
        <v>1</v>
      </c>
      <c r="K335" t="n">
        <v>0</v>
      </c>
      <c r="L335" t="n">
        <v>0</v>
      </c>
      <c r="M335" t="n">
        <v>0</v>
      </c>
      <c r="N335" t="n">
        <v>0</v>
      </c>
      <c r="O335" t="n">
        <v>1</v>
      </c>
      <c r="P335" t="n">
        <v>0</v>
      </c>
      <c r="Q335" t="n">
        <v>1</v>
      </c>
      <c r="R335" s="2" t="inlineStr">
        <is>
          <t>Veckticka</t>
        </is>
      </c>
      <c r="S335">
        <f>HYPERLINK("https://klasma.github.io/Logging_1907/artfynd/A 47207-2022 artfynd.xlsx", "A 47207-2022")</f>
        <v/>
      </c>
      <c r="T335">
        <f>HYPERLINK("https://klasma.github.io/Logging_1907/kartor/A 47207-2022 karta.png", "A 47207-2022")</f>
        <v/>
      </c>
      <c r="V335">
        <f>HYPERLINK("https://klasma.github.io/Logging_1907/klagomål/A 47207-2022 FSC-klagomål.docx", "A 47207-2022")</f>
        <v/>
      </c>
      <c r="W335">
        <f>HYPERLINK("https://klasma.github.io/Logging_1907/klagomålsmail/A 47207-2022 FSC-klagomål mail.docx", "A 47207-2022")</f>
        <v/>
      </c>
      <c r="X335">
        <f>HYPERLINK("https://klasma.github.io/Logging_1907/tillsyn/A 47207-2022 tillsynsbegäran.docx", "A 47207-2022")</f>
        <v/>
      </c>
      <c r="Y335">
        <f>HYPERLINK("https://klasma.github.io/Logging_1907/tillsynsmail/A 47207-2022 tillsynsbegäran mail.docx", "A 47207-2022")</f>
        <v/>
      </c>
    </row>
    <row r="336" ht="15" customHeight="1">
      <c r="A336" t="inlineStr">
        <is>
          <t>A 48234-2022</t>
        </is>
      </c>
      <c r="B336" s="1" t="n">
        <v>44858</v>
      </c>
      <c r="C336" s="1" t="n">
        <v>45811</v>
      </c>
      <c r="D336" t="inlineStr">
        <is>
          <t>VÄSTMANLANDS LÄN</t>
        </is>
      </c>
      <c r="E336" t="inlineStr">
        <is>
          <t>ARBOGA</t>
        </is>
      </c>
      <c r="F336" t="inlineStr">
        <is>
          <t>Sveaskog</t>
        </is>
      </c>
      <c r="G336" t="n">
        <v>21.4</v>
      </c>
      <c r="H336" t="n">
        <v>0</v>
      </c>
      <c r="I336" t="n">
        <v>1</v>
      </c>
      <c r="J336" t="n">
        <v>0</v>
      </c>
      <c r="K336" t="n">
        <v>0</v>
      </c>
      <c r="L336" t="n">
        <v>0</v>
      </c>
      <c r="M336" t="n">
        <v>0</v>
      </c>
      <c r="N336" t="n">
        <v>0</v>
      </c>
      <c r="O336" t="n">
        <v>0</v>
      </c>
      <c r="P336" t="n">
        <v>0</v>
      </c>
      <c r="Q336" t="n">
        <v>1</v>
      </c>
      <c r="R336" s="2" t="inlineStr">
        <is>
          <t>Tibast</t>
        </is>
      </c>
      <c r="S336">
        <f>HYPERLINK("https://klasma.github.io/Logging_1984/artfynd/A 48234-2022 artfynd.xlsx", "A 48234-2022")</f>
        <v/>
      </c>
      <c r="T336">
        <f>HYPERLINK("https://klasma.github.io/Logging_1984/kartor/A 48234-2022 karta.png", "A 48234-2022")</f>
        <v/>
      </c>
      <c r="V336">
        <f>HYPERLINK("https://klasma.github.io/Logging_1984/klagomål/A 48234-2022 FSC-klagomål.docx", "A 48234-2022")</f>
        <v/>
      </c>
      <c r="W336">
        <f>HYPERLINK("https://klasma.github.io/Logging_1984/klagomålsmail/A 48234-2022 FSC-klagomål mail.docx", "A 48234-2022")</f>
        <v/>
      </c>
      <c r="X336">
        <f>HYPERLINK("https://klasma.github.io/Logging_1984/tillsyn/A 48234-2022 tillsynsbegäran.docx", "A 48234-2022")</f>
        <v/>
      </c>
      <c r="Y336">
        <f>HYPERLINK("https://klasma.github.io/Logging_1984/tillsynsmail/A 48234-2022 tillsynsbegäran mail.docx", "A 48234-2022")</f>
        <v/>
      </c>
    </row>
    <row r="337" ht="15" customHeight="1">
      <c r="A337" t="inlineStr">
        <is>
          <t>A 48269-2022</t>
        </is>
      </c>
      <c r="B337" s="1" t="n">
        <v>44858</v>
      </c>
      <c r="C337" s="1" t="n">
        <v>45811</v>
      </c>
      <c r="D337" t="inlineStr">
        <is>
          <t>VÄSTMANLANDS LÄN</t>
        </is>
      </c>
      <c r="E337" t="inlineStr">
        <is>
          <t>KÖPING</t>
        </is>
      </c>
      <c r="G337" t="n">
        <v>8.699999999999999</v>
      </c>
      <c r="H337" t="n">
        <v>0</v>
      </c>
      <c r="I337" t="n">
        <v>0</v>
      </c>
      <c r="J337" t="n">
        <v>1</v>
      </c>
      <c r="K337" t="n">
        <v>0</v>
      </c>
      <c r="L337" t="n">
        <v>0</v>
      </c>
      <c r="M337" t="n">
        <v>0</v>
      </c>
      <c r="N337" t="n">
        <v>0</v>
      </c>
      <c r="O337" t="n">
        <v>1</v>
      </c>
      <c r="P337" t="n">
        <v>0</v>
      </c>
      <c r="Q337" t="n">
        <v>1</v>
      </c>
      <c r="R337" s="2" t="inlineStr">
        <is>
          <t>Motaggsvamp</t>
        </is>
      </c>
      <c r="S337">
        <f>HYPERLINK("https://klasma.github.io/Logging_1983/artfynd/A 48269-2022 artfynd.xlsx", "A 48269-2022")</f>
        <v/>
      </c>
      <c r="T337">
        <f>HYPERLINK("https://klasma.github.io/Logging_1983/kartor/A 48269-2022 karta.png", "A 48269-2022")</f>
        <v/>
      </c>
      <c r="V337">
        <f>HYPERLINK("https://klasma.github.io/Logging_1983/klagomål/A 48269-2022 FSC-klagomål.docx", "A 48269-2022")</f>
        <v/>
      </c>
      <c r="W337">
        <f>HYPERLINK("https://klasma.github.io/Logging_1983/klagomålsmail/A 48269-2022 FSC-klagomål mail.docx", "A 48269-2022")</f>
        <v/>
      </c>
      <c r="X337">
        <f>HYPERLINK("https://klasma.github.io/Logging_1983/tillsyn/A 48269-2022 tillsynsbegäran.docx", "A 48269-2022")</f>
        <v/>
      </c>
      <c r="Y337">
        <f>HYPERLINK("https://klasma.github.io/Logging_1983/tillsynsmail/A 48269-2022 tillsynsbegäran mail.docx", "A 48269-2022")</f>
        <v/>
      </c>
    </row>
    <row r="338" ht="15" customHeight="1">
      <c r="A338" t="inlineStr">
        <is>
          <t>A 52304-2022</t>
        </is>
      </c>
      <c r="B338" s="1" t="n">
        <v>44869</v>
      </c>
      <c r="C338" s="1" t="n">
        <v>45811</v>
      </c>
      <c r="D338" t="inlineStr">
        <is>
          <t>VÄSTMANLANDS LÄN</t>
        </is>
      </c>
      <c r="E338" t="inlineStr">
        <is>
          <t>NORBERG</t>
        </is>
      </c>
      <c r="G338" t="n">
        <v>14.5</v>
      </c>
      <c r="H338" t="n">
        <v>0</v>
      </c>
      <c r="I338" t="n">
        <v>1</v>
      </c>
      <c r="J338" t="n">
        <v>0</v>
      </c>
      <c r="K338" t="n">
        <v>0</v>
      </c>
      <c r="L338" t="n">
        <v>0</v>
      </c>
      <c r="M338" t="n">
        <v>0</v>
      </c>
      <c r="N338" t="n">
        <v>0</v>
      </c>
      <c r="O338" t="n">
        <v>0</v>
      </c>
      <c r="P338" t="n">
        <v>0</v>
      </c>
      <c r="Q338" t="n">
        <v>1</v>
      </c>
      <c r="R338" s="2" t="inlineStr">
        <is>
          <t>Skarp dropptaggsvamp</t>
        </is>
      </c>
      <c r="S338">
        <f>HYPERLINK("https://klasma.github.io/Logging_1962/artfynd/A 52304-2022 artfynd.xlsx", "A 52304-2022")</f>
        <v/>
      </c>
      <c r="T338">
        <f>HYPERLINK("https://klasma.github.io/Logging_1962/kartor/A 52304-2022 karta.png", "A 52304-2022")</f>
        <v/>
      </c>
      <c r="V338">
        <f>HYPERLINK("https://klasma.github.io/Logging_1962/klagomål/A 52304-2022 FSC-klagomål.docx", "A 52304-2022")</f>
        <v/>
      </c>
      <c r="W338">
        <f>HYPERLINK("https://klasma.github.io/Logging_1962/klagomålsmail/A 52304-2022 FSC-klagomål mail.docx", "A 52304-2022")</f>
        <v/>
      </c>
      <c r="X338">
        <f>HYPERLINK("https://klasma.github.io/Logging_1962/tillsyn/A 52304-2022 tillsynsbegäran.docx", "A 52304-2022")</f>
        <v/>
      </c>
      <c r="Y338">
        <f>HYPERLINK("https://klasma.github.io/Logging_1962/tillsynsmail/A 52304-2022 tillsynsbegäran mail.docx", "A 52304-2022")</f>
        <v/>
      </c>
    </row>
    <row r="339" ht="15" customHeight="1">
      <c r="A339" t="inlineStr">
        <is>
          <t>A 53870-2022</t>
        </is>
      </c>
      <c r="B339" s="1" t="n">
        <v>44880</v>
      </c>
      <c r="C339" s="1" t="n">
        <v>45811</v>
      </c>
      <c r="D339" t="inlineStr">
        <is>
          <t>VÄSTMANLANDS LÄN</t>
        </is>
      </c>
      <c r="E339" t="inlineStr">
        <is>
          <t>KUNGSÖR</t>
        </is>
      </c>
      <c r="F339" t="inlineStr">
        <is>
          <t>Allmännings- och besparingsskogar</t>
        </is>
      </c>
      <c r="G339" t="n">
        <v>2.3</v>
      </c>
      <c r="H339" t="n">
        <v>1</v>
      </c>
      <c r="I339" t="n">
        <v>0</v>
      </c>
      <c r="J339" t="n">
        <v>0</v>
      </c>
      <c r="K339" t="n">
        <v>0</v>
      </c>
      <c r="L339" t="n">
        <v>0</v>
      </c>
      <c r="M339" t="n">
        <v>0</v>
      </c>
      <c r="N339" t="n">
        <v>0</v>
      </c>
      <c r="O339" t="n">
        <v>0</v>
      </c>
      <c r="P339" t="n">
        <v>0</v>
      </c>
      <c r="Q339" t="n">
        <v>1</v>
      </c>
      <c r="R339" s="2" t="inlineStr">
        <is>
          <t>Blåsippa</t>
        </is>
      </c>
      <c r="S339">
        <f>HYPERLINK("https://klasma.github.io/Logging_1960/artfynd/A 53870-2022 artfynd.xlsx", "A 53870-2022")</f>
        <v/>
      </c>
      <c r="T339">
        <f>HYPERLINK("https://klasma.github.io/Logging_1960/kartor/A 53870-2022 karta.png", "A 53870-2022")</f>
        <v/>
      </c>
      <c r="V339">
        <f>HYPERLINK("https://klasma.github.io/Logging_1960/klagomål/A 53870-2022 FSC-klagomål.docx", "A 53870-2022")</f>
        <v/>
      </c>
      <c r="W339">
        <f>HYPERLINK("https://klasma.github.io/Logging_1960/klagomålsmail/A 53870-2022 FSC-klagomål mail.docx", "A 53870-2022")</f>
        <v/>
      </c>
      <c r="X339">
        <f>HYPERLINK("https://klasma.github.io/Logging_1960/tillsyn/A 53870-2022 tillsynsbegäran.docx", "A 53870-2022")</f>
        <v/>
      </c>
      <c r="Y339">
        <f>HYPERLINK("https://klasma.github.io/Logging_1960/tillsynsmail/A 53870-2022 tillsynsbegäran mail.docx", "A 53870-2022")</f>
        <v/>
      </c>
    </row>
    <row r="340" ht="15" customHeight="1">
      <c r="A340" t="inlineStr">
        <is>
          <t>A 56704-2022</t>
        </is>
      </c>
      <c r="B340" s="1" t="n">
        <v>44893</v>
      </c>
      <c r="C340" s="1" t="n">
        <v>45811</v>
      </c>
      <c r="D340" t="inlineStr">
        <is>
          <t>VÄSTMANLANDS LÄN</t>
        </is>
      </c>
      <c r="E340" t="inlineStr">
        <is>
          <t>SALA</t>
        </is>
      </c>
      <c r="G340" t="n">
        <v>3.2</v>
      </c>
      <c r="H340" t="n">
        <v>1</v>
      </c>
      <c r="I340" t="n">
        <v>0</v>
      </c>
      <c r="J340" t="n">
        <v>0</v>
      </c>
      <c r="K340" t="n">
        <v>1</v>
      </c>
      <c r="L340" t="n">
        <v>0</v>
      </c>
      <c r="M340" t="n">
        <v>0</v>
      </c>
      <c r="N340" t="n">
        <v>0</v>
      </c>
      <c r="O340" t="n">
        <v>1</v>
      </c>
      <c r="P340" t="n">
        <v>1</v>
      </c>
      <c r="Q340" t="n">
        <v>1</v>
      </c>
      <c r="R340" s="2" t="inlineStr">
        <is>
          <t>Knärot</t>
        </is>
      </c>
      <c r="S340">
        <f>HYPERLINK("https://klasma.github.io/Logging_1981/artfynd/A 56704-2022 artfynd.xlsx", "A 56704-2022")</f>
        <v/>
      </c>
      <c r="T340">
        <f>HYPERLINK("https://klasma.github.io/Logging_1981/kartor/A 56704-2022 karta.png", "A 56704-2022")</f>
        <v/>
      </c>
      <c r="U340">
        <f>HYPERLINK("https://klasma.github.io/Logging_1981/knärot/A 56704-2022 karta knärot.png", "A 56704-2022")</f>
        <v/>
      </c>
      <c r="V340">
        <f>HYPERLINK("https://klasma.github.io/Logging_1981/klagomål/A 56704-2022 FSC-klagomål.docx", "A 56704-2022")</f>
        <v/>
      </c>
      <c r="W340">
        <f>HYPERLINK("https://klasma.github.io/Logging_1981/klagomålsmail/A 56704-2022 FSC-klagomål mail.docx", "A 56704-2022")</f>
        <v/>
      </c>
      <c r="X340">
        <f>HYPERLINK("https://klasma.github.io/Logging_1981/tillsyn/A 56704-2022 tillsynsbegäran.docx", "A 56704-2022")</f>
        <v/>
      </c>
      <c r="Y340">
        <f>HYPERLINK("https://klasma.github.io/Logging_1981/tillsynsmail/A 56704-2022 tillsynsbegäran mail.docx", "A 56704-2022")</f>
        <v/>
      </c>
    </row>
    <row r="341" ht="15" customHeight="1">
      <c r="A341" t="inlineStr">
        <is>
          <t>A 56823-2022</t>
        </is>
      </c>
      <c r="B341" s="1" t="n">
        <v>44894</v>
      </c>
      <c r="C341" s="1" t="n">
        <v>45811</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Talltita</t>
        </is>
      </c>
      <c r="S341">
        <f>HYPERLINK("https://klasma.github.io/Logging_1983/artfynd/A 56823-2022 artfynd.xlsx", "A 56823-2022")</f>
        <v/>
      </c>
      <c r="T341">
        <f>HYPERLINK("https://klasma.github.io/Logging_1983/kartor/A 56823-2022 karta.png", "A 56823-2022")</f>
        <v/>
      </c>
      <c r="V341">
        <f>HYPERLINK("https://klasma.github.io/Logging_1983/klagomål/A 56823-2022 FSC-klagomål.docx", "A 56823-2022")</f>
        <v/>
      </c>
      <c r="W341">
        <f>HYPERLINK("https://klasma.github.io/Logging_1983/klagomålsmail/A 56823-2022 FSC-klagomål mail.docx", "A 56823-2022")</f>
        <v/>
      </c>
      <c r="X341">
        <f>HYPERLINK("https://klasma.github.io/Logging_1983/tillsyn/A 56823-2022 tillsynsbegäran.docx", "A 56823-2022")</f>
        <v/>
      </c>
      <c r="Y341">
        <f>HYPERLINK("https://klasma.github.io/Logging_1983/tillsynsmail/A 56823-2022 tillsynsbegäran mail.docx", "A 56823-2022")</f>
        <v/>
      </c>
      <c r="Z341">
        <f>HYPERLINK("https://klasma.github.io/Logging_1983/fåglar/A 56823-2022 prioriterade fågelarter.docx", "A 56823-2022")</f>
        <v/>
      </c>
    </row>
    <row r="342" ht="15" customHeight="1">
      <c r="A342" t="inlineStr">
        <is>
          <t>A 56915-2022</t>
        </is>
      </c>
      <c r="B342" s="1" t="n">
        <v>44894</v>
      </c>
      <c r="C342" s="1" t="n">
        <v>45811</v>
      </c>
      <c r="D342" t="inlineStr">
        <is>
          <t>VÄSTMANLANDS LÄN</t>
        </is>
      </c>
      <c r="E342" t="inlineStr">
        <is>
          <t>SKINNSKATTEBERG</t>
        </is>
      </c>
      <c r="F342" t="inlineStr">
        <is>
          <t>Sveaskog</t>
        </is>
      </c>
      <c r="G342" t="n">
        <v>7.7</v>
      </c>
      <c r="H342" t="n">
        <v>0</v>
      </c>
      <c r="I342" t="n">
        <v>0</v>
      </c>
      <c r="J342" t="n">
        <v>0</v>
      </c>
      <c r="K342" t="n">
        <v>0</v>
      </c>
      <c r="L342" t="n">
        <v>1</v>
      </c>
      <c r="M342" t="n">
        <v>0</v>
      </c>
      <c r="N342" t="n">
        <v>0</v>
      </c>
      <c r="O342" t="n">
        <v>1</v>
      </c>
      <c r="P342" t="n">
        <v>1</v>
      </c>
      <c r="Q342" t="n">
        <v>1</v>
      </c>
      <c r="R342" s="2" t="inlineStr">
        <is>
          <t>Ask</t>
        </is>
      </c>
      <c r="S342">
        <f>HYPERLINK("https://klasma.github.io/Logging_1904/artfynd/A 56915-2022 artfynd.xlsx", "A 56915-2022")</f>
        <v/>
      </c>
      <c r="T342">
        <f>HYPERLINK("https://klasma.github.io/Logging_1904/kartor/A 56915-2022 karta.png", "A 56915-2022")</f>
        <v/>
      </c>
      <c r="V342">
        <f>HYPERLINK("https://klasma.github.io/Logging_1904/klagomål/A 56915-2022 FSC-klagomål.docx", "A 56915-2022")</f>
        <v/>
      </c>
      <c r="W342">
        <f>HYPERLINK("https://klasma.github.io/Logging_1904/klagomålsmail/A 56915-2022 FSC-klagomål mail.docx", "A 56915-2022")</f>
        <v/>
      </c>
      <c r="X342">
        <f>HYPERLINK("https://klasma.github.io/Logging_1904/tillsyn/A 56915-2022 tillsynsbegäran.docx", "A 56915-2022")</f>
        <v/>
      </c>
      <c r="Y342">
        <f>HYPERLINK("https://klasma.github.io/Logging_1904/tillsynsmail/A 56915-2022 tillsynsbegäran mail.docx", "A 56915-2022")</f>
        <v/>
      </c>
    </row>
    <row r="343" ht="15" customHeight="1">
      <c r="A343" t="inlineStr">
        <is>
          <t>A 56809-2022</t>
        </is>
      </c>
      <c r="B343" s="1" t="n">
        <v>44894</v>
      </c>
      <c r="C343" s="1" t="n">
        <v>45811</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Spillkråka</t>
        </is>
      </c>
      <c r="S343">
        <f>HYPERLINK("https://klasma.github.io/Logging_1983/artfynd/A 56809-2022 artfynd.xlsx", "A 56809-2022")</f>
        <v/>
      </c>
      <c r="T343">
        <f>HYPERLINK("https://klasma.github.io/Logging_1983/kartor/A 56809-2022 karta.png", "A 56809-2022")</f>
        <v/>
      </c>
      <c r="V343">
        <f>HYPERLINK("https://klasma.github.io/Logging_1983/klagomål/A 56809-2022 FSC-klagomål.docx", "A 56809-2022")</f>
        <v/>
      </c>
      <c r="W343">
        <f>HYPERLINK("https://klasma.github.io/Logging_1983/klagomålsmail/A 56809-2022 FSC-klagomål mail.docx", "A 56809-2022")</f>
        <v/>
      </c>
      <c r="X343">
        <f>HYPERLINK("https://klasma.github.io/Logging_1983/tillsyn/A 56809-2022 tillsynsbegäran.docx", "A 56809-2022")</f>
        <v/>
      </c>
      <c r="Y343">
        <f>HYPERLINK("https://klasma.github.io/Logging_1983/tillsynsmail/A 56809-2022 tillsynsbegäran mail.docx", "A 56809-2022")</f>
        <v/>
      </c>
      <c r="Z343">
        <f>HYPERLINK("https://klasma.github.io/Logging_1983/fåglar/A 56809-2022 prioriterade fågelarter.docx", "A 56809-2022")</f>
        <v/>
      </c>
    </row>
    <row r="344" ht="15" customHeight="1">
      <c r="A344" t="inlineStr">
        <is>
          <t>A 61212-2022</t>
        </is>
      </c>
      <c r="B344" s="1" t="n">
        <v>44908</v>
      </c>
      <c r="C344" s="1" t="n">
        <v>45811</v>
      </c>
      <c r="D344" t="inlineStr">
        <is>
          <t>VÄSTMANLANDS LÄN</t>
        </is>
      </c>
      <c r="E344" t="inlineStr">
        <is>
          <t>SKINNSKATTEBERG</t>
        </is>
      </c>
      <c r="G344" t="n">
        <v>17.4</v>
      </c>
      <c r="H344" t="n">
        <v>1</v>
      </c>
      <c r="I344" t="n">
        <v>0</v>
      </c>
      <c r="J344" t="n">
        <v>0</v>
      </c>
      <c r="K344" t="n">
        <v>0</v>
      </c>
      <c r="L344" t="n">
        <v>0</v>
      </c>
      <c r="M344" t="n">
        <v>0</v>
      </c>
      <c r="N344" t="n">
        <v>0</v>
      </c>
      <c r="O344" t="n">
        <v>0</v>
      </c>
      <c r="P344" t="n">
        <v>0</v>
      </c>
      <c r="Q344" t="n">
        <v>1</v>
      </c>
      <c r="R344" s="2" t="inlineStr">
        <is>
          <t>Blåsippa</t>
        </is>
      </c>
      <c r="S344">
        <f>HYPERLINK("https://klasma.github.io/Logging_1904/artfynd/A 61212-2022 artfynd.xlsx", "A 61212-2022")</f>
        <v/>
      </c>
      <c r="T344">
        <f>HYPERLINK("https://klasma.github.io/Logging_1904/kartor/A 61212-2022 karta.png", "A 61212-2022")</f>
        <v/>
      </c>
      <c r="V344">
        <f>HYPERLINK("https://klasma.github.io/Logging_1904/klagomål/A 61212-2022 FSC-klagomål.docx", "A 61212-2022")</f>
        <v/>
      </c>
      <c r="W344">
        <f>HYPERLINK("https://klasma.github.io/Logging_1904/klagomålsmail/A 61212-2022 FSC-klagomål mail.docx", "A 61212-2022")</f>
        <v/>
      </c>
      <c r="X344">
        <f>HYPERLINK("https://klasma.github.io/Logging_1904/tillsyn/A 61212-2022 tillsynsbegäran.docx", "A 61212-2022")</f>
        <v/>
      </c>
      <c r="Y344">
        <f>HYPERLINK("https://klasma.github.io/Logging_1904/tillsynsmail/A 61212-2022 tillsynsbegäran mail.docx", "A 61212-2022")</f>
        <v/>
      </c>
    </row>
    <row r="345" ht="15" customHeight="1">
      <c r="A345" t="inlineStr">
        <is>
          <t>A 61435-2022</t>
        </is>
      </c>
      <c r="B345" s="1" t="n">
        <v>44916</v>
      </c>
      <c r="C345" s="1" t="n">
        <v>45811</v>
      </c>
      <c r="D345" t="inlineStr">
        <is>
          <t>VÄSTMANLANDS LÄN</t>
        </is>
      </c>
      <c r="E345" t="inlineStr">
        <is>
          <t>ARBOGA</t>
        </is>
      </c>
      <c r="G345" t="n">
        <v>5.7</v>
      </c>
      <c r="H345" t="n">
        <v>0</v>
      </c>
      <c r="I345" t="n">
        <v>0</v>
      </c>
      <c r="J345" t="n">
        <v>0</v>
      </c>
      <c r="K345" t="n">
        <v>0</v>
      </c>
      <c r="L345" t="n">
        <v>1</v>
      </c>
      <c r="M345" t="n">
        <v>0</v>
      </c>
      <c r="N345" t="n">
        <v>0</v>
      </c>
      <c r="O345" t="n">
        <v>1</v>
      </c>
      <c r="P345" t="n">
        <v>1</v>
      </c>
      <c r="Q345" t="n">
        <v>1</v>
      </c>
      <c r="R345" s="2" t="inlineStr">
        <is>
          <t>Ask</t>
        </is>
      </c>
      <c r="S345">
        <f>HYPERLINK("https://klasma.github.io/Logging_1984/artfynd/A 61435-2022 artfynd.xlsx", "A 61435-2022")</f>
        <v/>
      </c>
      <c r="T345">
        <f>HYPERLINK("https://klasma.github.io/Logging_1984/kartor/A 61435-2022 karta.png", "A 61435-2022")</f>
        <v/>
      </c>
      <c r="V345">
        <f>HYPERLINK("https://klasma.github.io/Logging_1984/klagomål/A 61435-2022 FSC-klagomål.docx", "A 61435-2022")</f>
        <v/>
      </c>
      <c r="W345">
        <f>HYPERLINK("https://klasma.github.io/Logging_1984/klagomålsmail/A 61435-2022 FSC-klagomål mail.docx", "A 61435-2022")</f>
        <v/>
      </c>
      <c r="X345">
        <f>HYPERLINK("https://klasma.github.io/Logging_1984/tillsyn/A 61435-2022 tillsynsbegäran.docx", "A 61435-2022")</f>
        <v/>
      </c>
      <c r="Y345">
        <f>HYPERLINK("https://klasma.github.io/Logging_1984/tillsynsmail/A 61435-2022 tillsynsbegäran mail.docx", "A 61435-2022")</f>
        <v/>
      </c>
    </row>
    <row r="346" ht="15" customHeight="1">
      <c r="A346" t="inlineStr">
        <is>
          <t>A 6182-2023</t>
        </is>
      </c>
      <c r="B346" s="1" t="n">
        <v>44964</v>
      </c>
      <c r="C346" s="1" t="n">
        <v>45811</v>
      </c>
      <c r="D346" t="inlineStr">
        <is>
          <t>VÄSTMANLANDS LÄN</t>
        </is>
      </c>
      <c r="E346" t="inlineStr">
        <is>
          <t>SKINNSKATTEBERG</t>
        </is>
      </c>
      <c r="F346" t="inlineStr">
        <is>
          <t>Sveaskog</t>
        </is>
      </c>
      <c r="G346" t="n">
        <v>6.4</v>
      </c>
      <c r="H346" t="n">
        <v>1</v>
      </c>
      <c r="I346" t="n">
        <v>0</v>
      </c>
      <c r="J346" t="n">
        <v>0</v>
      </c>
      <c r="K346" t="n">
        <v>0</v>
      </c>
      <c r="L346" t="n">
        <v>0</v>
      </c>
      <c r="M346" t="n">
        <v>0</v>
      </c>
      <c r="N346" t="n">
        <v>0</v>
      </c>
      <c r="O346" t="n">
        <v>0</v>
      </c>
      <c r="P346" t="n">
        <v>0</v>
      </c>
      <c r="Q346" t="n">
        <v>1</v>
      </c>
      <c r="R346" s="2" t="inlineStr">
        <is>
          <t>Blåsippa</t>
        </is>
      </c>
      <c r="S346">
        <f>HYPERLINK("https://klasma.github.io/Logging_1904/artfynd/A 6182-2023 artfynd.xlsx", "A 6182-2023")</f>
        <v/>
      </c>
      <c r="T346">
        <f>HYPERLINK("https://klasma.github.io/Logging_1904/kartor/A 6182-2023 karta.png", "A 6182-2023")</f>
        <v/>
      </c>
      <c r="V346">
        <f>HYPERLINK("https://klasma.github.io/Logging_1904/klagomål/A 6182-2023 FSC-klagomål.docx", "A 6182-2023")</f>
        <v/>
      </c>
      <c r="W346">
        <f>HYPERLINK("https://klasma.github.io/Logging_1904/klagomålsmail/A 6182-2023 FSC-klagomål mail.docx", "A 6182-2023")</f>
        <v/>
      </c>
      <c r="X346">
        <f>HYPERLINK("https://klasma.github.io/Logging_1904/tillsyn/A 6182-2023 tillsynsbegäran.docx", "A 6182-2023")</f>
        <v/>
      </c>
      <c r="Y346">
        <f>HYPERLINK("https://klasma.github.io/Logging_1904/tillsynsmail/A 6182-2023 tillsynsbegäran mail.docx", "A 6182-2023")</f>
        <v/>
      </c>
    </row>
    <row r="347" ht="15" customHeight="1">
      <c r="A347" t="inlineStr">
        <is>
          <t>A 7731-2023</t>
        </is>
      </c>
      <c r="B347" s="1" t="n">
        <v>44973</v>
      </c>
      <c r="C347" s="1" t="n">
        <v>45811</v>
      </c>
      <c r="D347" t="inlineStr">
        <is>
          <t>VÄSTMANLANDS LÄN</t>
        </is>
      </c>
      <c r="E347" t="inlineStr">
        <is>
          <t>SALA</t>
        </is>
      </c>
      <c r="F347" t="inlineStr">
        <is>
          <t>Bergvik skog öst AB</t>
        </is>
      </c>
      <c r="G347" t="n">
        <v>1.7</v>
      </c>
      <c r="H347" t="n">
        <v>1</v>
      </c>
      <c r="I347" t="n">
        <v>0</v>
      </c>
      <c r="J347" t="n">
        <v>1</v>
      </c>
      <c r="K347" t="n">
        <v>0</v>
      </c>
      <c r="L347" t="n">
        <v>0</v>
      </c>
      <c r="M347" t="n">
        <v>0</v>
      </c>
      <c r="N347" t="n">
        <v>0</v>
      </c>
      <c r="O347" t="n">
        <v>1</v>
      </c>
      <c r="P347" t="n">
        <v>0</v>
      </c>
      <c r="Q347" t="n">
        <v>1</v>
      </c>
      <c r="R347" s="2" t="inlineStr">
        <is>
          <t>Ävjepilört</t>
        </is>
      </c>
      <c r="S347">
        <f>HYPERLINK("https://klasma.github.io/Logging_1981/artfynd/A 7731-2023 artfynd.xlsx", "A 7731-2023")</f>
        <v/>
      </c>
      <c r="T347">
        <f>HYPERLINK("https://klasma.github.io/Logging_1981/kartor/A 7731-2023 karta.png", "A 7731-2023")</f>
        <v/>
      </c>
      <c r="V347">
        <f>HYPERLINK("https://klasma.github.io/Logging_1981/klagomål/A 7731-2023 FSC-klagomål.docx", "A 7731-2023")</f>
        <v/>
      </c>
      <c r="W347">
        <f>HYPERLINK("https://klasma.github.io/Logging_1981/klagomålsmail/A 7731-2023 FSC-klagomål mail.docx", "A 7731-2023")</f>
        <v/>
      </c>
      <c r="X347">
        <f>HYPERLINK("https://klasma.github.io/Logging_1981/tillsyn/A 7731-2023 tillsynsbegäran.docx", "A 7731-2023")</f>
        <v/>
      </c>
      <c r="Y347">
        <f>HYPERLINK("https://klasma.github.io/Logging_1981/tillsynsmail/A 7731-2023 tillsynsbegäran mail.docx", "A 7731-2023")</f>
        <v/>
      </c>
    </row>
    <row r="348" ht="15" customHeight="1">
      <c r="A348" t="inlineStr">
        <is>
          <t>A 7832-2023</t>
        </is>
      </c>
      <c r="B348" s="1" t="n">
        <v>44973</v>
      </c>
      <c r="C348" s="1" t="n">
        <v>45811</v>
      </c>
      <c r="D348" t="inlineStr">
        <is>
          <t>VÄSTMANLANDS LÄN</t>
        </is>
      </c>
      <c r="E348" t="inlineStr">
        <is>
          <t>VÄSTERÅS</t>
        </is>
      </c>
      <c r="G348" t="n">
        <v>3.1</v>
      </c>
      <c r="H348" t="n">
        <v>1</v>
      </c>
      <c r="I348" t="n">
        <v>0</v>
      </c>
      <c r="J348" t="n">
        <v>1</v>
      </c>
      <c r="K348" t="n">
        <v>0</v>
      </c>
      <c r="L348" t="n">
        <v>0</v>
      </c>
      <c r="M348" t="n">
        <v>0</v>
      </c>
      <c r="N348" t="n">
        <v>0</v>
      </c>
      <c r="O348" t="n">
        <v>1</v>
      </c>
      <c r="P348" t="n">
        <v>0</v>
      </c>
      <c r="Q348" t="n">
        <v>1</v>
      </c>
      <c r="R348" s="2" t="inlineStr">
        <is>
          <t>Talltita</t>
        </is>
      </c>
      <c r="S348">
        <f>HYPERLINK("https://klasma.github.io/Logging_1980/artfynd/A 7832-2023 artfynd.xlsx", "A 7832-2023")</f>
        <v/>
      </c>
      <c r="T348">
        <f>HYPERLINK("https://klasma.github.io/Logging_1980/kartor/A 7832-2023 karta.png", "A 7832-2023")</f>
        <v/>
      </c>
      <c r="V348">
        <f>HYPERLINK("https://klasma.github.io/Logging_1980/klagomål/A 7832-2023 FSC-klagomål.docx", "A 7832-2023")</f>
        <v/>
      </c>
      <c r="W348">
        <f>HYPERLINK("https://klasma.github.io/Logging_1980/klagomålsmail/A 7832-2023 FSC-klagomål mail.docx", "A 7832-2023")</f>
        <v/>
      </c>
      <c r="X348">
        <f>HYPERLINK("https://klasma.github.io/Logging_1980/tillsyn/A 7832-2023 tillsynsbegäran.docx", "A 7832-2023")</f>
        <v/>
      </c>
      <c r="Y348">
        <f>HYPERLINK("https://klasma.github.io/Logging_1980/tillsynsmail/A 7832-2023 tillsynsbegäran mail.docx", "A 7832-2023")</f>
        <v/>
      </c>
      <c r="Z348">
        <f>HYPERLINK("https://klasma.github.io/Logging_1980/fåglar/A 7832-2023 prioriterade fågelarter.docx", "A 7832-2023")</f>
        <v/>
      </c>
    </row>
    <row r="349" ht="15" customHeight="1">
      <c r="A349" t="inlineStr">
        <is>
          <t>A 11259-2023</t>
        </is>
      </c>
      <c r="B349" s="1" t="n">
        <v>44991</v>
      </c>
      <c r="C349" s="1" t="n">
        <v>45811</v>
      </c>
      <c r="D349" t="inlineStr">
        <is>
          <t>VÄSTMANLANDS LÄN</t>
        </is>
      </c>
      <c r="E349" t="inlineStr">
        <is>
          <t>SURAHAMMAR</t>
        </is>
      </c>
      <c r="G349" t="n">
        <v>2.4</v>
      </c>
      <c r="H349" t="n">
        <v>1</v>
      </c>
      <c r="I349" t="n">
        <v>0</v>
      </c>
      <c r="J349" t="n">
        <v>1</v>
      </c>
      <c r="K349" t="n">
        <v>0</v>
      </c>
      <c r="L349" t="n">
        <v>0</v>
      </c>
      <c r="M349" t="n">
        <v>0</v>
      </c>
      <c r="N349" t="n">
        <v>0</v>
      </c>
      <c r="O349" t="n">
        <v>1</v>
      </c>
      <c r="P349" t="n">
        <v>0</v>
      </c>
      <c r="Q349" t="n">
        <v>1</v>
      </c>
      <c r="R349" s="2" t="inlineStr">
        <is>
          <t>Spillkråka</t>
        </is>
      </c>
      <c r="S349">
        <f>HYPERLINK("https://klasma.github.io/Logging_1907/artfynd/A 11259-2023 artfynd.xlsx", "A 11259-2023")</f>
        <v/>
      </c>
      <c r="T349">
        <f>HYPERLINK("https://klasma.github.io/Logging_1907/kartor/A 11259-2023 karta.png", "A 11259-2023")</f>
        <v/>
      </c>
      <c r="V349">
        <f>HYPERLINK("https://klasma.github.io/Logging_1907/klagomål/A 11259-2023 FSC-klagomål.docx", "A 11259-2023")</f>
        <v/>
      </c>
      <c r="W349">
        <f>HYPERLINK("https://klasma.github.io/Logging_1907/klagomålsmail/A 11259-2023 FSC-klagomål mail.docx", "A 11259-2023")</f>
        <v/>
      </c>
      <c r="X349">
        <f>HYPERLINK("https://klasma.github.io/Logging_1907/tillsyn/A 11259-2023 tillsynsbegäran.docx", "A 11259-2023")</f>
        <v/>
      </c>
      <c r="Y349">
        <f>HYPERLINK("https://klasma.github.io/Logging_1907/tillsynsmail/A 11259-2023 tillsynsbegäran mail.docx", "A 11259-2023")</f>
        <v/>
      </c>
      <c r="Z349">
        <f>HYPERLINK("https://klasma.github.io/Logging_1907/fåglar/A 11259-2023 prioriterade fågelarter.docx", "A 11259-2023")</f>
        <v/>
      </c>
    </row>
    <row r="350" ht="15" customHeight="1">
      <c r="A350" t="inlineStr">
        <is>
          <t>A 13971-2023</t>
        </is>
      </c>
      <c r="B350" s="1" t="n">
        <v>45007</v>
      </c>
      <c r="C350" s="1" t="n">
        <v>45811</v>
      </c>
      <c r="D350" t="inlineStr">
        <is>
          <t>VÄSTMANLANDS LÄN</t>
        </is>
      </c>
      <c r="E350" t="inlineStr">
        <is>
          <t>SURAHAMMAR</t>
        </is>
      </c>
      <c r="F350" t="inlineStr">
        <is>
          <t>Bergvik skog väst AB</t>
        </is>
      </c>
      <c r="G350" t="n">
        <v>2.9</v>
      </c>
      <c r="H350" t="n">
        <v>1</v>
      </c>
      <c r="I350" t="n">
        <v>0</v>
      </c>
      <c r="J350" t="n">
        <v>0</v>
      </c>
      <c r="K350" t="n">
        <v>0</v>
      </c>
      <c r="L350" t="n">
        <v>0</v>
      </c>
      <c r="M350" t="n">
        <v>0</v>
      </c>
      <c r="N350" t="n">
        <v>0</v>
      </c>
      <c r="O350" t="n">
        <v>0</v>
      </c>
      <c r="P350" t="n">
        <v>0</v>
      </c>
      <c r="Q350" t="n">
        <v>1</v>
      </c>
      <c r="R350" s="2" t="inlineStr">
        <is>
          <t>Fläcknycklar</t>
        </is>
      </c>
      <c r="S350">
        <f>HYPERLINK("https://klasma.github.io/Logging_1907/artfynd/A 13971-2023 artfynd.xlsx", "A 13971-2023")</f>
        <v/>
      </c>
      <c r="T350">
        <f>HYPERLINK("https://klasma.github.io/Logging_1907/kartor/A 13971-2023 karta.png", "A 13971-2023")</f>
        <v/>
      </c>
      <c r="V350">
        <f>HYPERLINK("https://klasma.github.io/Logging_1907/klagomål/A 13971-2023 FSC-klagomål.docx", "A 13971-2023")</f>
        <v/>
      </c>
      <c r="W350">
        <f>HYPERLINK("https://klasma.github.io/Logging_1907/klagomålsmail/A 13971-2023 FSC-klagomål mail.docx", "A 13971-2023")</f>
        <v/>
      </c>
      <c r="X350">
        <f>HYPERLINK("https://klasma.github.io/Logging_1907/tillsyn/A 13971-2023 tillsynsbegäran.docx", "A 13971-2023")</f>
        <v/>
      </c>
      <c r="Y350">
        <f>HYPERLINK("https://klasma.github.io/Logging_1907/tillsynsmail/A 13971-2023 tillsynsbegäran mail.docx", "A 13971-2023")</f>
        <v/>
      </c>
    </row>
    <row r="351" ht="15" customHeight="1">
      <c r="A351" t="inlineStr">
        <is>
          <t>A 14001-2023</t>
        </is>
      </c>
      <c r="B351" s="1" t="n">
        <v>45007</v>
      </c>
      <c r="C351" s="1" t="n">
        <v>45811</v>
      </c>
      <c r="D351" t="inlineStr">
        <is>
          <t>VÄSTMANLANDS LÄN</t>
        </is>
      </c>
      <c r="E351" t="inlineStr">
        <is>
          <t>SURAHAMMAR</t>
        </is>
      </c>
      <c r="F351" t="inlineStr">
        <is>
          <t>Bergvik skog väst AB</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HYPERLINK("https://klasma.github.io/Logging_1907/artfynd/A 14001-2023 artfynd.xlsx", "A 14001-2023")</f>
        <v/>
      </c>
      <c r="T351">
        <f>HYPERLINK("https://klasma.github.io/Logging_1907/kartor/A 14001-2023 karta.png", "A 14001-2023")</f>
        <v/>
      </c>
      <c r="V351">
        <f>HYPERLINK("https://klasma.github.io/Logging_1907/klagomål/A 14001-2023 FSC-klagomål.docx", "A 14001-2023")</f>
        <v/>
      </c>
      <c r="W351">
        <f>HYPERLINK("https://klasma.github.io/Logging_1907/klagomålsmail/A 14001-2023 FSC-klagomål mail.docx", "A 14001-2023")</f>
        <v/>
      </c>
      <c r="X351">
        <f>HYPERLINK("https://klasma.github.io/Logging_1907/tillsyn/A 14001-2023 tillsynsbegäran.docx", "A 14001-2023")</f>
        <v/>
      </c>
      <c r="Y351">
        <f>HYPERLINK("https://klasma.github.io/Logging_1907/tillsynsmail/A 14001-2023 tillsynsbegäran mail.docx", "A 14001-2023")</f>
        <v/>
      </c>
    </row>
    <row r="352" ht="15" customHeight="1">
      <c r="A352" t="inlineStr">
        <is>
          <t>A 14171-2023</t>
        </is>
      </c>
      <c r="B352" s="1" t="n">
        <v>45009</v>
      </c>
      <c r="C352" s="1" t="n">
        <v>45811</v>
      </c>
      <c r="D352" t="inlineStr">
        <is>
          <t>VÄSTMANLANDS LÄN</t>
        </is>
      </c>
      <c r="E352" t="inlineStr">
        <is>
          <t>SKINNSKATTEBERG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HYPERLINK("https://klasma.github.io/Logging_1904/artfynd/A 14171-2023 artfynd.xlsx", "A 14171-2023")</f>
        <v/>
      </c>
      <c r="T352">
        <f>HYPERLINK("https://klasma.github.io/Logging_1904/kartor/A 14171-2023 karta.png", "A 14171-2023")</f>
        <v/>
      </c>
      <c r="V352">
        <f>HYPERLINK("https://klasma.github.io/Logging_1904/klagomål/A 14171-2023 FSC-klagomål.docx", "A 14171-2023")</f>
        <v/>
      </c>
      <c r="W352">
        <f>HYPERLINK("https://klasma.github.io/Logging_1904/klagomålsmail/A 14171-2023 FSC-klagomål mail.docx", "A 14171-2023")</f>
        <v/>
      </c>
      <c r="X352">
        <f>HYPERLINK("https://klasma.github.io/Logging_1904/tillsyn/A 14171-2023 tillsynsbegäran.docx", "A 14171-2023")</f>
        <v/>
      </c>
      <c r="Y352">
        <f>HYPERLINK("https://klasma.github.io/Logging_1904/tillsynsmail/A 14171-2023 tillsynsbegäran mail.docx", "A 14171-2023")</f>
        <v/>
      </c>
    </row>
    <row r="353" ht="15" customHeight="1">
      <c r="A353" t="inlineStr">
        <is>
          <t>A 14775-2023</t>
        </is>
      </c>
      <c r="B353" s="1" t="n">
        <v>45014</v>
      </c>
      <c r="C353" s="1" t="n">
        <v>45811</v>
      </c>
      <c r="D353" t="inlineStr">
        <is>
          <t>VÄSTMANLANDS LÄN</t>
        </is>
      </c>
      <c r="E353" t="inlineStr">
        <is>
          <t>SALA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HYPERLINK("https://klasma.github.io/Logging_1981/artfynd/A 14775-2023 artfynd.xlsx", "A 14775-2023")</f>
        <v/>
      </c>
      <c r="T353">
        <f>HYPERLINK("https://klasma.github.io/Logging_1981/kartor/A 14775-2023 karta.png", "A 14775-2023")</f>
        <v/>
      </c>
      <c r="U353">
        <f>HYPERLINK("https://klasma.github.io/Logging_1981/knärot/A 14775-2023 karta knärot.png", "A 14775-2023")</f>
        <v/>
      </c>
      <c r="V353">
        <f>HYPERLINK("https://klasma.github.io/Logging_1981/klagomål/A 14775-2023 FSC-klagomål.docx", "A 14775-2023")</f>
        <v/>
      </c>
      <c r="W353">
        <f>HYPERLINK("https://klasma.github.io/Logging_1981/klagomålsmail/A 14775-2023 FSC-klagomål mail.docx", "A 14775-2023")</f>
        <v/>
      </c>
      <c r="X353">
        <f>HYPERLINK("https://klasma.github.io/Logging_1981/tillsyn/A 14775-2023 tillsynsbegäran.docx", "A 14775-2023")</f>
        <v/>
      </c>
      <c r="Y353">
        <f>HYPERLINK("https://klasma.github.io/Logging_1981/tillsynsmail/A 14775-2023 tillsynsbegäran mail.docx", "A 14775-2023")</f>
        <v/>
      </c>
    </row>
    <row r="354" ht="15" customHeight="1">
      <c r="A354" t="inlineStr">
        <is>
          <t>A 15334-2023</t>
        </is>
      </c>
      <c r="B354" s="1" t="n">
        <v>45019</v>
      </c>
      <c r="C354" s="1" t="n">
        <v>45811</v>
      </c>
      <c r="D354" t="inlineStr">
        <is>
          <t>VÄSTMANLANDS LÄN</t>
        </is>
      </c>
      <c r="E354" t="inlineStr">
        <is>
          <t>FAGERSTA</t>
        </is>
      </c>
      <c r="F354" t="inlineStr">
        <is>
          <t>Övriga Aktiebolag</t>
        </is>
      </c>
      <c r="G354" t="n">
        <v>27.3</v>
      </c>
      <c r="H354" t="n">
        <v>0</v>
      </c>
      <c r="I354" t="n">
        <v>1</v>
      </c>
      <c r="J354" t="n">
        <v>0</v>
      </c>
      <c r="K354" t="n">
        <v>0</v>
      </c>
      <c r="L354" t="n">
        <v>0</v>
      </c>
      <c r="M354" t="n">
        <v>0</v>
      </c>
      <c r="N354" t="n">
        <v>0</v>
      </c>
      <c r="O354" t="n">
        <v>0</v>
      </c>
      <c r="P354" t="n">
        <v>0</v>
      </c>
      <c r="Q354" t="n">
        <v>1</v>
      </c>
      <c r="R354" s="2" t="inlineStr">
        <is>
          <t>Grovticka</t>
        </is>
      </c>
      <c r="S354">
        <f>HYPERLINK("https://klasma.github.io/Logging_1982/artfynd/A 15334-2023 artfynd.xlsx", "A 15334-2023")</f>
        <v/>
      </c>
      <c r="T354">
        <f>HYPERLINK("https://klasma.github.io/Logging_1982/kartor/A 15334-2023 karta.png", "A 15334-2023")</f>
        <v/>
      </c>
      <c r="V354">
        <f>HYPERLINK("https://klasma.github.io/Logging_1982/klagomål/A 15334-2023 FSC-klagomål.docx", "A 15334-2023")</f>
        <v/>
      </c>
      <c r="W354">
        <f>HYPERLINK("https://klasma.github.io/Logging_1982/klagomålsmail/A 15334-2023 FSC-klagomål mail.docx", "A 15334-2023")</f>
        <v/>
      </c>
      <c r="X354">
        <f>HYPERLINK("https://klasma.github.io/Logging_1982/tillsyn/A 15334-2023 tillsynsbegäran.docx", "A 15334-2023")</f>
        <v/>
      </c>
      <c r="Y354">
        <f>HYPERLINK("https://klasma.github.io/Logging_1982/tillsynsmail/A 15334-2023 tillsynsbegäran mail.docx", "A 15334-2023")</f>
        <v/>
      </c>
    </row>
    <row r="355" ht="15" customHeight="1">
      <c r="A355" t="inlineStr">
        <is>
          <t>A 15631-2023</t>
        </is>
      </c>
      <c r="B355" s="1" t="n">
        <v>45021</v>
      </c>
      <c r="C355" s="1" t="n">
        <v>45811</v>
      </c>
      <c r="D355" t="inlineStr">
        <is>
          <t>VÄSTMANLANDS LÄN</t>
        </is>
      </c>
      <c r="E355" t="inlineStr">
        <is>
          <t>FAGERSTA</t>
        </is>
      </c>
      <c r="F355" t="inlineStr">
        <is>
          <t>Bergvik skog väst AB</t>
        </is>
      </c>
      <c r="G355" t="n">
        <v>33.1</v>
      </c>
      <c r="H355" t="n">
        <v>1</v>
      </c>
      <c r="I355" t="n">
        <v>0</v>
      </c>
      <c r="J355" t="n">
        <v>1</v>
      </c>
      <c r="K355" t="n">
        <v>0</v>
      </c>
      <c r="L355" t="n">
        <v>0</v>
      </c>
      <c r="M355" t="n">
        <v>0</v>
      </c>
      <c r="N355" t="n">
        <v>0</v>
      </c>
      <c r="O355" t="n">
        <v>1</v>
      </c>
      <c r="P355" t="n">
        <v>0</v>
      </c>
      <c r="Q355" t="n">
        <v>1</v>
      </c>
      <c r="R355" s="2" t="inlineStr">
        <is>
          <t>Kungsörn</t>
        </is>
      </c>
      <c r="S355">
        <f>HYPERLINK("https://klasma.github.io/Logging_1982/artfynd/A 15631-2023 artfynd.xlsx", "A 15631-2023")</f>
        <v/>
      </c>
      <c r="T355">
        <f>HYPERLINK("https://klasma.github.io/Logging_1982/kartor/A 15631-2023 karta.png", "A 15631-2023")</f>
        <v/>
      </c>
      <c r="V355">
        <f>HYPERLINK("https://klasma.github.io/Logging_1982/klagomål/A 15631-2023 FSC-klagomål.docx", "A 15631-2023")</f>
        <v/>
      </c>
      <c r="W355">
        <f>HYPERLINK("https://klasma.github.io/Logging_1982/klagomålsmail/A 15631-2023 FSC-klagomål mail.docx", "A 15631-2023")</f>
        <v/>
      </c>
      <c r="X355">
        <f>HYPERLINK("https://klasma.github.io/Logging_1982/tillsyn/A 15631-2023 tillsynsbegäran.docx", "A 15631-2023")</f>
        <v/>
      </c>
      <c r="Y355">
        <f>HYPERLINK("https://klasma.github.io/Logging_1982/tillsynsmail/A 15631-2023 tillsynsbegäran mail.docx", "A 15631-2023")</f>
        <v/>
      </c>
      <c r="Z355">
        <f>HYPERLINK("https://klasma.github.io/Logging_1982/fåglar/A 15631-2023 prioriterade fågelarter.docx", "A 15631-2023")</f>
        <v/>
      </c>
    </row>
    <row r="356" ht="15" customHeight="1">
      <c r="A356" t="inlineStr">
        <is>
          <t>A 16219-2023</t>
        </is>
      </c>
      <c r="B356" s="1" t="n">
        <v>45022</v>
      </c>
      <c r="C356" s="1" t="n">
        <v>45811</v>
      </c>
      <c r="D356" t="inlineStr">
        <is>
          <t>VÄSTMANLANDS LÄN</t>
        </is>
      </c>
      <c r="E356" t="inlineStr">
        <is>
          <t>SURAHAMMAR</t>
        </is>
      </c>
      <c r="G356" t="n">
        <v>5.9</v>
      </c>
      <c r="H356" t="n">
        <v>1</v>
      </c>
      <c r="I356" t="n">
        <v>0</v>
      </c>
      <c r="J356" t="n">
        <v>1</v>
      </c>
      <c r="K356" t="n">
        <v>0</v>
      </c>
      <c r="L356" t="n">
        <v>0</v>
      </c>
      <c r="M356" t="n">
        <v>0</v>
      </c>
      <c r="N356" t="n">
        <v>0</v>
      </c>
      <c r="O356" t="n">
        <v>1</v>
      </c>
      <c r="P356" t="n">
        <v>0</v>
      </c>
      <c r="Q356" t="n">
        <v>1</v>
      </c>
      <c r="R356" s="2" t="inlineStr">
        <is>
          <t>Talltita</t>
        </is>
      </c>
      <c r="S356">
        <f>HYPERLINK("https://klasma.github.io/Logging_1907/artfynd/A 16219-2023 artfynd.xlsx", "A 16219-2023")</f>
        <v/>
      </c>
      <c r="T356">
        <f>HYPERLINK("https://klasma.github.io/Logging_1907/kartor/A 16219-2023 karta.png", "A 16219-2023")</f>
        <v/>
      </c>
      <c r="V356">
        <f>HYPERLINK("https://klasma.github.io/Logging_1907/klagomål/A 16219-2023 FSC-klagomål.docx", "A 16219-2023")</f>
        <v/>
      </c>
      <c r="W356">
        <f>HYPERLINK("https://klasma.github.io/Logging_1907/klagomålsmail/A 16219-2023 FSC-klagomål mail.docx", "A 16219-2023")</f>
        <v/>
      </c>
      <c r="X356">
        <f>HYPERLINK("https://klasma.github.io/Logging_1907/tillsyn/A 16219-2023 tillsynsbegäran.docx", "A 16219-2023")</f>
        <v/>
      </c>
      <c r="Y356">
        <f>HYPERLINK("https://klasma.github.io/Logging_1907/tillsynsmail/A 16219-2023 tillsynsbegäran mail.docx", "A 16219-2023")</f>
        <v/>
      </c>
      <c r="Z356">
        <f>HYPERLINK("https://klasma.github.io/Logging_1907/fåglar/A 16219-2023 prioriterade fågelarter.docx", "A 16219-2023")</f>
        <v/>
      </c>
    </row>
    <row r="357" ht="15" customHeight="1">
      <c r="A357" t="inlineStr">
        <is>
          <t>A 18648-2023</t>
        </is>
      </c>
      <c r="B357" s="1" t="n">
        <v>45043</v>
      </c>
      <c r="C357" s="1" t="n">
        <v>45811</v>
      </c>
      <c r="D357" t="inlineStr">
        <is>
          <t>VÄSTMANLANDS LÄN</t>
        </is>
      </c>
      <c r="E357" t="inlineStr">
        <is>
          <t>SKINNSKATTEBERG</t>
        </is>
      </c>
      <c r="F357" t="inlineStr">
        <is>
          <t>Sveaskog</t>
        </is>
      </c>
      <c r="G357" t="n">
        <v>7.3</v>
      </c>
      <c r="H357" t="n">
        <v>0</v>
      </c>
      <c r="I357" t="n">
        <v>0</v>
      </c>
      <c r="J357" t="n">
        <v>1</v>
      </c>
      <c r="K357" t="n">
        <v>0</v>
      </c>
      <c r="L357" t="n">
        <v>0</v>
      </c>
      <c r="M357" t="n">
        <v>0</v>
      </c>
      <c r="N357" t="n">
        <v>0</v>
      </c>
      <c r="O357" t="n">
        <v>1</v>
      </c>
      <c r="P357" t="n">
        <v>0</v>
      </c>
      <c r="Q357" t="n">
        <v>1</v>
      </c>
      <c r="R357" s="2" t="inlineStr">
        <is>
          <t>Skogsklocka</t>
        </is>
      </c>
      <c r="S357">
        <f>HYPERLINK("https://klasma.github.io/Logging_1904/artfynd/A 18648-2023 artfynd.xlsx", "A 18648-2023")</f>
        <v/>
      </c>
      <c r="T357">
        <f>HYPERLINK("https://klasma.github.io/Logging_1904/kartor/A 18648-2023 karta.png", "A 18648-2023")</f>
        <v/>
      </c>
      <c r="V357">
        <f>HYPERLINK("https://klasma.github.io/Logging_1904/klagomål/A 18648-2023 FSC-klagomål.docx", "A 18648-2023")</f>
        <v/>
      </c>
      <c r="W357">
        <f>HYPERLINK("https://klasma.github.io/Logging_1904/klagomålsmail/A 18648-2023 FSC-klagomål mail.docx", "A 18648-2023")</f>
        <v/>
      </c>
      <c r="X357">
        <f>HYPERLINK("https://klasma.github.io/Logging_1904/tillsyn/A 18648-2023 tillsynsbegäran.docx", "A 18648-2023")</f>
        <v/>
      </c>
      <c r="Y357">
        <f>HYPERLINK("https://klasma.github.io/Logging_1904/tillsynsmail/A 18648-2023 tillsynsbegäran mail.docx", "A 18648-2023")</f>
        <v/>
      </c>
    </row>
    <row r="358" ht="15" customHeight="1">
      <c r="A358" t="inlineStr">
        <is>
          <t>A 22840-2023</t>
        </is>
      </c>
      <c r="B358" s="1" t="n">
        <v>45072</v>
      </c>
      <c r="C358" s="1" t="n">
        <v>45811</v>
      </c>
      <c r="D358" t="inlineStr">
        <is>
          <t>VÄSTMANLANDS LÄN</t>
        </is>
      </c>
      <c r="E358" t="inlineStr">
        <is>
          <t>SURAHAMMAR</t>
        </is>
      </c>
      <c r="G358" t="n">
        <v>4.3</v>
      </c>
      <c r="H358" t="n">
        <v>1</v>
      </c>
      <c r="I358" t="n">
        <v>0</v>
      </c>
      <c r="J358" t="n">
        <v>0</v>
      </c>
      <c r="K358" t="n">
        <v>0</v>
      </c>
      <c r="L358" t="n">
        <v>0</v>
      </c>
      <c r="M358" t="n">
        <v>0</v>
      </c>
      <c r="N358" t="n">
        <v>0</v>
      </c>
      <c r="O358" t="n">
        <v>0</v>
      </c>
      <c r="P358" t="n">
        <v>0</v>
      </c>
      <c r="Q358" t="n">
        <v>1</v>
      </c>
      <c r="R358" s="2" t="inlineStr">
        <is>
          <t>Fläcknycklar</t>
        </is>
      </c>
      <c r="S358">
        <f>HYPERLINK("https://klasma.github.io/Logging_1907/artfynd/A 22840-2023 artfynd.xlsx", "A 22840-2023")</f>
        <v/>
      </c>
      <c r="T358">
        <f>HYPERLINK("https://klasma.github.io/Logging_1907/kartor/A 22840-2023 karta.png", "A 22840-2023")</f>
        <v/>
      </c>
      <c r="V358">
        <f>HYPERLINK("https://klasma.github.io/Logging_1907/klagomål/A 22840-2023 FSC-klagomål.docx", "A 22840-2023")</f>
        <v/>
      </c>
      <c r="W358">
        <f>HYPERLINK("https://klasma.github.io/Logging_1907/klagomålsmail/A 22840-2023 FSC-klagomål mail.docx", "A 22840-2023")</f>
        <v/>
      </c>
      <c r="X358">
        <f>HYPERLINK("https://klasma.github.io/Logging_1907/tillsyn/A 22840-2023 tillsynsbegäran.docx", "A 22840-2023")</f>
        <v/>
      </c>
      <c r="Y358">
        <f>HYPERLINK("https://klasma.github.io/Logging_1907/tillsynsmail/A 22840-2023 tillsynsbegäran mail.docx", "A 22840-2023")</f>
        <v/>
      </c>
    </row>
    <row r="359" ht="15" customHeight="1">
      <c r="A359" t="inlineStr">
        <is>
          <t>A 23087-2023</t>
        </is>
      </c>
      <c r="B359" s="1" t="n">
        <v>45075</v>
      </c>
      <c r="C359" s="1" t="n">
        <v>45811</v>
      </c>
      <c r="D359" t="inlineStr">
        <is>
          <t>VÄSTMANLANDS LÄN</t>
        </is>
      </c>
      <c r="E359" t="inlineStr">
        <is>
          <t>NORBERG</t>
        </is>
      </c>
      <c r="F359" t="inlineStr">
        <is>
          <t>Bergvik skog väst AB</t>
        </is>
      </c>
      <c r="G359" t="n">
        <v>8.4</v>
      </c>
      <c r="H359" t="n">
        <v>1</v>
      </c>
      <c r="I359" t="n">
        <v>1</v>
      </c>
      <c r="J359" t="n">
        <v>0</v>
      </c>
      <c r="K359" t="n">
        <v>0</v>
      </c>
      <c r="L359" t="n">
        <v>0</v>
      </c>
      <c r="M359" t="n">
        <v>0</v>
      </c>
      <c r="N359" t="n">
        <v>0</v>
      </c>
      <c r="O359" t="n">
        <v>0</v>
      </c>
      <c r="P359" t="n">
        <v>0</v>
      </c>
      <c r="Q359" t="n">
        <v>1</v>
      </c>
      <c r="R359" s="2" t="inlineStr">
        <is>
          <t>Plattlummer</t>
        </is>
      </c>
      <c r="S359">
        <f>HYPERLINK("https://klasma.github.io/Logging_1962/artfynd/A 23087-2023 artfynd.xlsx", "A 23087-2023")</f>
        <v/>
      </c>
      <c r="T359">
        <f>HYPERLINK("https://klasma.github.io/Logging_1962/kartor/A 23087-2023 karta.png", "A 23087-2023")</f>
        <v/>
      </c>
      <c r="V359">
        <f>HYPERLINK("https://klasma.github.io/Logging_1962/klagomål/A 23087-2023 FSC-klagomål.docx", "A 23087-2023")</f>
        <v/>
      </c>
      <c r="W359">
        <f>HYPERLINK("https://klasma.github.io/Logging_1962/klagomålsmail/A 23087-2023 FSC-klagomål mail.docx", "A 23087-2023")</f>
        <v/>
      </c>
      <c r="X359">
        <f>HYPERLINK("https://klasma.github.io/Logging_1962/tillsyn/A 23087-2023 tillsynsbegäran.docx", "A 23087-2023")</f>
        <v/>
      </c>
      <c r="Y359">
        <f>HYPERLINK("https://klasma.github.io/Logging_1962/tillsynsmail/A 23087-2023 tillsynsbegäran mail.docx", "A 23087-2023")</f>
        <v/>
      </c>
    </row>
    <row r="360" ht="15" customHeight="1">
      <c r="A360" t="inlineStr">
        <is>
          <t>A 23690-2023</t>
        </is>
      </c>
      <c r="B360" s="1" t="n">
        <v>45077</v>
      </c>
      <c r="C360" s="1" t="n">
        <v>45811</v>
      </c>
      <c r="D360" t="inlineStr">
        <is>
          <t>VÄSTMANLANDS LÄN</t>
        </is>
      </c>
      <c r="E360" t="inlineStr">
        <is>
          <t>NORBERG</t>
        </is>
      </c>
      <c r="G360" t="n">
        <v>2.4</v>
      </c>
      <c r="H360" t="n">
        <v>0</v>
      </c>
      <c r="I360" t="n">
        <v>1</v>
      </c>
      <c r="J360" t="n">
        <v>0</v>
      </c>
      <c r="K360" t="n">
        <v>0</v>
      </c>
      <c r="L360" t="n">
        <v>0</v>
      </c>
      <c r="M360" t="n">
        <v>0</v>
      </c>
      <c r="N360" t="n">
        <v>0</v>
      </c>
      <c r="O360" t="n">
        <v>0</v>
      </c>
      <c r="P360" t="n">
        <v>0</v>
      </c>
      <c r="Q360" t="n">
        <v>1</v>
      </c>
      <c r="R360" s="2" t="inlineStr">
        <is>
          <t>Rödgul trumpetsvamp</t>
        </is>
      </c>
      <c r="S360">
        <f>HYPERLINK("https://klasma.github.io/Logging_1962/artfynd/A 23690-2023 artfynd.xlsx", "A 23690-2023")</f>
        <v/>
      </c>
      <c r="T360">
        <f>HYPERLINK("https://klasma.github.io/Logging_1962/kartor/A 23690-2023 karta.png", "A 23690-2023")</f>
        <v/>
      </c>
      <c r="U360">
        <f>HYPERLINK("https://klasma.github.io/Logging_1962/knärot/A 23690-2023 karta knärot.png", "A 23690-2023")</f>
        <v/>
      </c>
      <c r="V360">
        <f>HYPERLINK("https://klasma.github.io/Logging_1962/klagomål/A 23690-2023 FSC-klagomål.docx", "A 23690-2023")</f>
        <v/>
      </c>
      <c r="W360">
        <f>HYPERLINK("https://klasma.github.io/Logging_1962/klagomålsmail/A 23690-2023 FSC-klagomål mail.docx", "A 23690-2023")</f>
        <v/>
      </c>
      <c r="X360">
        <f>HYPERLINK("https://klasma.github.io/Logging_1962/tillsyn/A 23690-2023 tillsynsbegäran.docx", "A 23690-2023")</f>
        <v/>
      </c>
      <c r="Y360">
        <f>HYPERLINK("https://klasma.github.io/Logging_1962/tillsynsmail/A 23690-2023 tillsynsbegäran mail.docx", "A 23690-2023")</f>
        <v/>
      </c>
    </row>
    <row r="361" ht="15" customHeight="1">
      <c r="A361" t="inlineStr">
        <is>
          <t>A 23893-2023</t>
        </is>
      </c>
      <c r="B361" s="1" t="n">
        <v>45078</v>
      </c>
      <c r="C361" s="1" t="n">
        <v>45811</v>
      </c>
      <c r="D361" t="inlineStr">
        <is>
          <t>VÄSTMANLANDS LÄN</t>
        </is>
      </c>
      <c r="E361" t="inlineStr">
        <is>
          <t>SKINNSKATTEBERG</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HYPERLINK("https://klasma.github.io/Logging_1904/artfynd/A 23893-2023 artfynd.xlsx", "A 23893-2023")</f>
        <v/>
      </c>
      <c r="T361">
        <f>HYPERLINK("https://klasma.github.io/Logging_1904/kartor/A 23893-2023 karta.png", "A 23893-2023")</f>
        <v/>
      </c>
      <c r="U361">
        <f>HYPERLINK("https://klasma.github.io/Logging_1904/knärot/A 23893-2023 karta knärot.png", "A 23893-2023")</f>
        <v/>
      </c>
      <c r="V361">
        <f>HYPERLINK("https://klasma.github.io/Logging_1904/klagomål/A 23893-2023 FSC-klagomål.docx", "A 23893-2023")</f>
        <v/>
      </c>
      <c r="W361">
        <f>HYPERLINK("https://klasma.github.io/Logging_1904/klagomålsmail/A 23893-2023 FSC-klagomål mail.docx", "A 23893-2023")</f>
        <v/>
      </c>
      <c r="X361">
        <f>HYPERLINK("https://klasma.github.io/Logging_1904/tillsyn/A 23893-2023 tillsynsbegäran.docx", "A 23893-2023")</f>
        <v/>
      </c>
      <c r="Y361">
        <f>HYPERLINK("https://klasma.github.io/Logging_1904/tillsynsmail/A 23893-2023 tillsynsbegäran mail.docx", "A 23893-2023")</f>
        <v/>
      </c>
    </row>
    <row r="362" ht="15" customHeight="1">
      <c r="A362" t="inlineStr">
        <is>
          <t>A 24486-2023</t>
        </is>
      </c>
      <c r="B362" s="1" t="n">
        <v>45082</v>
      </c>
      <c r="C362" s="1" t="n">
        <v>45811</v>
      </c>
      <c r="D362" t="inlineStr">
        <is>
          <t>VÄSTMANLANDS LÄN</t>
        </is>
      </c>
      <c r="E362" t="inlineStr">
        <is>
          <t>VÄSTERÅS</t>
        </is>
      </c>
      <c r="G362" t="n">
        <v>12.8</v>
      </c>
      <c r="H362" t="n">
        <v>0</v>
      </c>
      <c r="I362" t="n">
        <v>1</v>
      </c>
      <c r="J362" t="n">
        <v>0</v>
      </c>
      <c r="K362" t="n">
        <v>0</v>
      </c>
      <c r="L362" t="n">
        <v>0</v>
      </c>
      <c r="M362" t="n">
        <v>0</v>
      </c>
      <c r="N362" t="n">
        <v>0</v>
      </c>
      <c r="O362" t="n">
        <v>0</v>
      </c>
      <c r="P362" t="n">
        <v>0</v>
      </c>
      <c r="Q362" t="n">
        <v>1</v>
      </c>
      <c r="R362" s="2" t="inlineStr">
        <is>
          <t>Vedticka</t>
        </is>
      </c>
      <c r="S362">
        <f>HYPERLINK("https://klasma.github.io/Logging_1980/artfynd/A 24486-2023 artfynd.xlsx", "A 24486-2023")</f>
        <v/>
      </c>
      <c r="T362">
        <f>HYPERLINK("https://klasma.github.io/Logging_1980/kartor/A 24486-2023 karta.png", "A 24486-2023")</f>
        <v/>
      </c>
      <c r="V362">
        <f>HYPERLINK("https://klasma.github.io/Logging_1980/klagomål/A 24486-2023 FSC-klagomål.docx", "A 24486-2023")</f>
        <v/>
      </c>
      <c r="W362">
        <f>HYPERLINK("https://klasma.github.io/Logging_1980/klagomålsmail/A 24486-2023 FSC-klagomål mail.docx", "A 24486-2023")</f>
        <v/>
      </c>
      <c r="X362">
        <f>HYPERLINK("https://klasma.github.io/Logging_1980/tillsyn/A 24486-2023 tillsynsbegäran.docx", "A 24486-2023")</f>
        <v/>
      </c>
      <c r="Y362">
        <f>HYPERLINK("https://klasma.github.io/Logging_1980/tillsynsmail/A 24486-2023 tillsynsbegäran mail.docx", "A 24486-2023")</f>
        <v/>
      </c>
    </row>
    <row r="363" ht="15" customHeight="1">
      <c r="A363" t="inlineStr">
        <is>
          <t>A 24920-2023</t>
        </is>
      </c>
      <c r="B363" s="1" t="n">
        <v>45085</v>
      </c>
      <c r="C363" s="1" t="n">
        <v>45811</v>
      </c>
      <c r="D363" t="inlineStr">
        <is>
          <t>VÄSTMANLANDS LÄN</t>
        </is>
      </c>
      <c r="E363" t="inlineStr">
        <is>
          <t>SURAHAMMAR</t>
        </is>
      </c>
      <c r="F363" t="inlineStr">
        <is>
          <t>Allmännings- och besparingsskogar</t>
        </is>
      </c>
      <c r="G363" t="n">
        <v>16.2</v>
      </c>
      <c r="H363" t="n">
        <v>1</v>
      </c>
      <c r="I363" t="n">
        <v>0</v>
      </c>
      <c r="J363" t="n">
        <v>1</v>
      </c>
      <c r="K363" t="n">
        <v>0</v>
      </c>
      <c r="L363" t="n">
        <v>0</v>
      </c>
      <c r="M363" t="n">
        <v>0</v>
      </c>
      <c r="N363" t="n">
        <v>0</v>
      </c>
      <c r="O363" t="n">
        <v>1</v>
      </c>
      <c r="P363" t="n">
        <v>0</v>
      </c>
      <c r="Q363" t="n">
        <v>1</v>
      </c>
      <c r="R363" s="2" t="inlineStr">
        <is>
          <t>Talltita</t>
        </is>
      </c>
      <c r="S363">
        <f>HYPERLINK("https://klasma.github.io/Logging_1907/artfynd/A 24920-2023 artfynd.xlsx", "A 24920-2023")</f>
        <v/>
      </c>
      <c r="T363">
        <f>HYPERLINK("https://klasma.github.io/Logging_1907/kartor/A 24920-2023 karta.png", "A 24920-2023")</f>
        <v/>
      </c>
      <c r="V363">
        <f>HYPERLINK("https://klasma.github.io/Logging_1907/klagomål/A 24920-2023 FSC-klagomål.docx", "A 24920-2023")</f>
        <v/>
      </c>
      <c r="W363">
        <f>HYPERLINK("https://klasma.github.io/Logging_1907/klagomålsmail/A 24920-2023 FSC-klagomål mail.docx", "A 24920-2023")</f>
        <v/>
      </c>
      <c r="X363">
        <f>HYPERLINK("https://klasma.github.io/Logging_1907/tillsyn/A 24920-2023 tillsynsbegäran.docx", "A 24920-2023")</f>
        <v/>
      </c>
      <c r="Y363">
        <f>HYPERLINK("https://klasma.github.io/Logging_1907/tillsynsmail/A 24920-2023 tillsynsbegäran mail.docx", "A 24920-2023")</f>
        <v/>
      </c>
      <c r="Z363">
        <f>HYPERLINK("https://klasma.github.io/Logging_1907/fåglar/A 24920-2023 prioriterade fågelarter.docx", "A 24920-2023")</f>
        <v/>
      </c>
    </row>
    <row r="364" ht="15" customHeight="1">
      <c r="A364" t="inlineStr">
        <is>
          <t>A 27170-2023</t>
        </is>
      </c>
      <c r="B364" s="1" t="n">
        <v>45096</v>
      </c>
      <c r="C364" s="1" t="n">
        <v>45811</v>
      </c>
      <c r="D364" t="inlineStr">
        <is>
          <t>VÄSTMANLANDS LÄN</t>
        </is>
      </c>
      <c r="E364" t="inlineStr">
        <is>
          <t>SURAHAMMAR</t>
        </is>
      </c>
      <c r="F364" t="inlineStr">
        <is>
          <t>Sveaskog</t>
        </is>
      </c>
      <c r="G364" t="n">
        <v>11.3</v>
      </c>
      <c r="H364" t="n">
        <v>0</v>
      </c>
      <c r="I364" t="n">
        <v>1</v>
      </c>
      <c r="J364" t="n">
        <v>0</v>
      </c>
      <c r="K364" t="n">
        <v>0</v>
      </c>
      <c r="L364" t="n">
        <v>0</v>
      </c>
      <c r="M364" t="n">
        <v>0</v>
      </c>
      <c r="N364" t="n">
        <v>0</v>
      </c>
      <c r="O364" t="n">
        <v>0</v>
      </c>
      <c r="P364" t="n">
        <v>0</v>
      </c>
      <c r="Q364" t="n">
        <v>1</v>
      </c>
      <c r="R364" s="2" t="inlineStr">
        <is>
          <t>Vedticka</t>
        </is>
      </c>
      <c r="S364">
        <f>HYPERLINK("https://klasma.github.io/Logging_1907/artfynd/A 27170-2023 artfynd.xlsx", "A 27170-2023")</f>
        <v/>
      </c>
      <c r="T364">
        <f>HYPERLINK("https://klasma.github.io/Logging_1907/kartor/A 27170-2023 karta.png", "A 27170-2023")</f>
        <v/>
      </c>
      <c r="V364">
        <f>HYPERLINK("https://klasma.github.io/Logging_1907/klagomål/A 27170-2023 FSC-klagomål.docx", "A 27170-2023")</f>
        <v/>
      </c>
      <c r="W364">
        <f>HYPERLINK("https://klasma.github.io/Logging_1907/klagomålsmail/A 27170-2023 FSC-klagomål mail.docx", "A 27170-2023")</f>
        <v/>
      </c>
      <c r="X364">
        <f>HYPERLINK("https://klasma.github.io/Logging_1907/tillsyn/A 27170-2023 tillsynsbegäran.docx", "A 27170-2023")</f>
        <v/>
      </c>
      <c r="Y364">
        <f>HYPERLINK("https://klasma.github.io/Logging_1907/tillsynsmail/A 27170-2023 tillsynsbegäran mail.docx", "A 27170-2023")</f>
        <v/>
      </c>
    </row>
    <row r="365" ht="15" customHeight="1">
      <c r="A365" t="inlineStr">
        <is>
          <t>A 28794-2023</t>
        </is>
      </c>
      <c r="B365" s="1" t="n">
        <v>45104</v>
      </c>
      <c r="C365" s="1" t="n">
        <v>45811</v>
      </c>
      <c r="D365" t="inlineStr">
        <is>
          <t>VÄSTMANLANDS LÄN</t>
        </is>
      </c>
      <c r="E365" t="inlineStr">
        <is>
          <t>FAGERSTA</t>
        </is>
      </c>
      <c r="G365" t="n">
        <v>12.2</v>
      </c>
      <c r="H365" t="n">
        <v>1</v>
      </c>
      <c r="I365" t="n">
        <v>0</v>
      </c>
      <c r="J365" t="n">
        <v>1</v>
      </c>
      <c r="K365" t="n">
        <v>0</v>
      </c>
      <c r="L365" t="n">
        <v>0</v>
      </c>
      <c r="M365" t="n">
        <v>0</v>
      </c>
      <c r="N365" t="n">
        <v>0</v>
      </c>
      <c r="O365" t="n">
        <v>1</v>
      </c>
      <c r="P365" t="n">
        <v>0</v>
      </c>
      <c r="Q365" t="n">
        <v>1</v>
      </c>
      <c r="R365" s="2" t="inlineStr">
        <is>
          <t>Spillkråka</t>
        </is>
      </c>
      <c r="S365">
        <f>HYPERLINK("https://klasma.github.io/Logging_1982/artfynd/A 28794-2023 artfynd.xlsx", "A 28794-2023")</f>
        <v/>
      </c>
      <c r="T365">
        <f>HYPERLINK("https://klasma.github.io/Logging_1982/kartor/A 28794-2023 karta.png", "A 28794-2023")</f>
        <v/>
      </c>
      <c r="V365">
        <f>HYPERLINK("https://klasma.github.io/Logging_1982/klagomål/A 28794-2023 FSC-klagomål.docx", "A 28794-2023")</f>
        <v/>
      </c>
      <c r="W365">
        <f>HYPERLINK("https://klasma.github.io/Logging_1982/klagomålsmail/A 28794-2023 FSC-klagomål mail.docx", "A 28794-2023")</f>
        <v/>
      </c>
      <c r="X365">
        <f>HYPERLINK("https://klasma.github.io/Logging_1982/tillsyn/A 28794-2023 tillsynsbegäran.docx", "A 28794-2023")</f>
        <v/>
      </c>
      <c r="Y365">
        <f>HYPERLINK("https://klasma.github.io/Logging_1982/tillsynsmail/A 28794-2023 tillsynsbegäran mail.docx", "A 28794-2023")</f>
        <v/>
      </c>
      <c r="Z365">
        <f>HYPERLINK("https://klasma.github.io/Logging_1982/fåglar/A 28794-2023 prioriterade fågelarter.docx", "A 28794-2023")</f>
        <v/>
      </c>
    </row>
    <row r="366" ht="15" customHeight="1">
      <c r="A366" t="inlineStr">
        <is>
          <t>A 29727-2023</t>
        </is>
      </c>
      <c r="B366" s="1" t="n">
        <v>45107</v>
      </c>
      <c r="C366" s="1" t="n">
        <v>45811</v>
      </c>
      <c r="D366" t="inlineStr">
        <is>
          <t>VÄSTMANLANDS LÄN</t>
        </is>
      </c>
      <c r="E366" t="inlineStr">
        <is>
          <t>SALA</t>
        </is>
      </c>
      <c r="G366" t="n">
        <v>1.9</v>
      </c>
      <c r="H366" t="n">
        <v>0</v>
      </c>
      <c r="I366" t="n">
        <v>0</v>
      </c>
      <c r="J366" t="n">
        <v>1</v>
      </c>
      <c r="K366" t="n">
        <v>0</v>
      </c>
      <c r="L366" t="n">
        <v>0</v>
      </c>
      <c r="M366" t="n">
        <v>0</v>
      </c>
      <c r="N366" t="n">
        <v>0</v>
      </c>
      <c r="O366" t="n">
        <v>1</v>
      </c>
      <c r="P366" t="n">
        <v>0</v>
      </c>
      <c r="Q366" t="n">
        <v>1</v>
      </c>
      <c r="R366" s="2" t="inlineStr">
        <is>
          <t>Vedtrappmossa</t>
        </is>
      </c>
      <c r="S366">
        <f>HYPERLINK("https://klasma.github.io/Logging_1981/artfynd/A 29727-2023 artfynd.xlsx", "A 29727-2023")</f>
        <v/>
      </c>
      <c r="T366">
        <f>HYPERLINK("https://klasma.github.io/Logging_1981/kartor/A 29727-2023 karta.png", "A 29727-2023")</f>
        <v/>
      </c>
      <c r="V366">
        <f>HYPERLINK("https://klasma.github.io/Logging_1981/klagomål/A 29727-2023 FSC-klagomål.docx", "A 29727-2023")</f>
        <v/>
      </c>
      <c r="W366">
        <f>HYPERLINK("https://klasma.github.io/Logging_1981/klagomålsmail/A 29727-2023 FSC-klagomål mail.docx", "A 29727-2023")</f>
        <v/>
      </c>
      <c r="X366">
        <f>HYPERLINK("https://klasma.github.io/Logging_1981/tillsyn/A 29727-2023 tillsynsbegäran.docx", "A 29727-2023")</f>
        <v/>
      </c>
      <c r="Y366">
        <f>HYPERLINK("https://klasma.github.io/Logging_1981/tillsynsmail/A 29727-2023 tillsynsbegäran mail.docx", "A 29727-2023")</f>
        <v/>
      </c>
    </row>
    <row r="367" ht="15" customHeight="1">
      <c r="A367" t="inlineStr">
        <is>
          <t>A 29787-2023</t>
        </is>
      </c>
      <c r="B367" s="1" t="n">
        <v>45107</v>
      </c>
      <c r="C367" s="1" t="n">
        <v>45811</v>
      </c>
      <c r="D367" t="inlineStr">
        <is>
          <t>VÄSTMANLANDS LÄN</t>
        </is>
      </c>
      <c r="E367" t="inlineStr">
        <is>
          <t>VÄSTERÅS</t>
        </is>
      </c>
      <c r="F367" t="inlineStr">
        <is>
          <t>Sveaskog</t>
        </is>
      </c>
      <c r="G367" t="n">
        <v>5.3</v>
      </c>
      <c r="H367" t="n">
        <v>1</v>
      </c>
      <c r="I367" t="n">
        <v>0</v>
      </c>
      <c r="J367" t="n">
        <v>0</v>
      </c>
      <c r="K367" t="n">
        <v>0</v>
      </c>
      <c r="L367" t="n">
        <v>0</v>
      </c>
      <c r="M367" t="n">
        <v>0</v>
      </c>
      <c r="N367" t="n">
        <v>0</v>
      </c>
      <c r="O367" t="n">
        <v>0</v>
      </c>
      <c r="P367" t="n">
        <v>0</v>
      </c>
      <c r="Q367" t="n">
        <v>1</v>
      </c>
      <c r="R367" s="2" t="inlineStr">
        <is>
          <t>Kopparödla</t>
        </is>
      </c>
      <c r="S367">
        <f>HYPERLINK("https://klasma.github.io/Logging_1980/artfynd/A 29787-2023 artfynd.xlsx", "A 29787-2023")</f>
        <v/>
      </c>
      <c r="T367">
        <f>HYPERLINK("https://klasma.github.io/Logging_1980/kartor/A 29787-2023 karta.png", "A 29787-2023")</f>
        <v/>
      </c>
      <c r="V367">
        <f>HYPERLINK("https://klasma.github.io/Logging_1980/klagomål/A 29787-2023 FSC-klagomål.docx", "A 29787-2023")</f>
        <v/>
      </c>
      <c r="W367">
        <f>HYPERLINK("https://klasma.github.io/Logging_1980/klagomålsmail/A 29787-2023 FSC-klagomål mail.docx", "A 29787-2023")</f>
        <v/>
      </c>
      <c r="X367">
        <f>HYPERLINK("https://klasma.github.io/Logging_1980/tillsyn/A 29787-2023 tillsynsbegäran.docx", "A 29787-2023")</f>
        <v/>
      </c>
      <c r="Y367">
        <f>HYPERLINK("https://klasma.github.io/Logging_1980/tillsynsmail/A 29787-2023 tillsynsbegäran mail.docx", "A 29787-2023")</f>
        <v/>
      </c>
    </row>
    <row r="368" ht="15" customHeight="1">
      <c r="A368" t="inlineStr">
        <is>
          <t>A 30074-2023</t>
        </is>
      </c>
      <c r="B368" s="1" t="n">
        <v>45110</v>
      </c>
      <c r="C368" s="1" t="n">
        <v>45811</v>
      </c>
      <c r="D368" t="inlineStr">
        <is>
          <t>VÄSTMANLANDS LÄN</t>
        </is>
      </c>
      <c r="E368" t="inlineStr">
        <is>
          <t>SURAHAMMAR</t>
        </is>
      </c>
      <c r="F368" t="inlineStr">
        <is>
          <t>Sveaskog</t>
        </is>
      </c>
      <c r="G368" t="n">
        <v>1.1</v>
      </c>
      <c r="H368" t="n">
        <v>1</v>
      </c>
      <c r="I368" t="n">
        <v>0</v>
      </c>
      <c r="J368" t="n">
        <v>0</v>
      </c>
      <c r="K368" t="n">
        <v>0</v>
      </c>
      <c r="L368" t="n">
        <v>0</v>
      </c>
      <c r="M368" t="n">
        <v>0</v>
      </c>
      <c r="N368" t="n">
        <v>0</v>
      </c>
      <c r="O368" t="n">
        <v>0</v>
      </c>
      <c r="P368" t="n">
        <v>0</v>
      </c>
      <c r="Q368" t="n">
        <v>1</v>
      </c>
      <c r="R368" s="2" t="inlineStr">
        <is>
          <t>Revlummer</t>
        </is>
      </c>
      <c r="S368">
        <f>HYPERLINK("https://klasma.github.io/Logging_1907/artfynd/A 30074-2023 artfynd.xlsx", "A 30074-2023")</f>
        <v/>
      </c>
      <c r="T368">
        <f>HYPERLINK("https://klasma.github.io/Logging_1907/kartor/A 30074-2023 karta.png", "A 30074-2023")</f>
        <v/>
      </c>
      <c r="V368">
        <f>HYPERLINK("https://klasma.github.io/Logging_1907/klagomål/A 30074-2023 FSC-klagomål.docx", "A 30074-2023")</f>
        <v/>
      </c>
      <c r="W368">
        <f>HYPERLINK("https://klasma.github.io/Logging_1907/klagomålsmail/A 30074-2023 FSC-klagomål mail.docx", "A 30074-2023")</f>
        <v/>
      </c>
      <c r="X368">
        <f>HYPERLINK("https://klasma.github.io/Logging_1907/tillsyn/A 30074-2023 tillsynsbegäran.docx", "A 30074-2023")</f>
        <v/>
      </c>
      <c r="Y368">
        <f>HYPERLINK("https://klasma.github.io/Logging_1907/tillsynsmail/A 30074-2023 tillsynsbegäran mail.docx", "A 30074-2023")</f>
        <v/>
      </c>
    </row>
    <row r="369" ht="15" customHeight="1">
      <c r="A369" t="inlineStr">
        <is>
          <t>A 30073-2023</t>
        </is>
      </c>
      <c r="B369" s="1" t="n">
        <v>45110</v>
      </c>
      <c r="C369" s="1" t="n">
        <v>45811</v>
      </c>
      <c r="D369" t="inlineStr">
        <is>
          <t>VÄSTMANLANDS LÄN</t>
        </is>
      </c>
      <c r="E369" t="inlineStr">
        <is>
          <t>SURAHAMMAR</t>
        </is>
      </c>
      <c r="F369" t="inlineStr">
        <is>
          <t>Sveaskog</t>
        </is>
      </c>
      <c r="G369" t="n">
        <v>4.7</v>
      </c>
      <c r="H369" t="n">
        <v>0</v>
      </c>
      <c r="I369" t="n">
        <v>1</v>
      </c>
      <c r="J369" t="n">
        <v>0</v>
      </c>
      <c r="K369" t="n">
        <v>0</v>
      </c>
      <c r="L369" t="n">
        <v>0</v>
      </c>
      <c r="M369" t="n">
        <v>0</v>
      </c>
      <c r="N369" t="n">
        <v>0</v>
      </c>
      <c r="O369" t="n">
        <v>0</v>
      </c>
      <c r="P369" t="n">
        <v>0</v>
      </c>
      <c r="Q369" t="n">
        <v>1</v>
      </c>
      <c r="R369" s="2" t="inlineStr">
        <is>
          <t>Grönpyrola</t>
        </is>
      </c>
      <c r="S369">
        <f>HYPERLINK("https://klasma.github.io/Logging_1907/artfynd/A 30073-2023 artfynd.xlsx", "A 30073-2023")</f>
        <v/>
      </c>
      <c r="T369">
        <f>HYPERLINK("https://klasma.github.io/Logging_1907/kartor/A 30073-2023 karta.png", "A 30073-2023")</f>
        <v/>
      </c>
      <c r="V369">
        <f>HYPERLINK("https://klasma.github.io/Logging_1907/klagomål/A 30073-2023 FSC-klagomål.docx", "A 30073-2023")</f>
        <v/>
      </c>
      <c r="W369">
        <f>HYPERLINK("https://klasma.github.io/Logging_1907/klagomålsmail/A 30073-2023 FSC-klagomål mail.docx", "A 30073-2023")</f>
        <v/>
      </c>
      <c r="X369">
        <f>HYPERLINK("https://klasma.github.io/Logging_1907/tillsyn/A 30073-2023 tillsynsbegäran.docx", "A 30073-2023")</f>
        <v/>
      </c>
      <c r="Y369">
        <f>HYPERLINK("https://klasma.github.io/Logging_1907/tillsynsmail/A 30073-2023 tillsynsbegäran mail.docx", "A 30073-2023")</f>
        <v/>
      </c>
    </row>
    <row r="370" ht="15" customHeight="1">
      <c r="A370" t="inlineStr">
        <is>
          <t>A 30084-2023</t>
        </is>
      </c>
      <c r="B370" s="1" t="n">
        <v>45110</v>
      </c>
      <c r="C370" s="1" t="n">
        <v>45811</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Blåsippa</t>
        </is>
      </c>
      <c r="S370">
        <f>HYPERLINK("https://klasma.github.io/Logging_1980/artfynd/A 30084-2023 artfynd.xlsx", "A 30084-2023")</f>
        <v/>
      </c>
      <c r="T370">
        <f>HYPERLINK("https://klasma.github.io/Logging_1980/kartor/A 30084-2023 karta.png", "A 30084-2023")</f>
        <v/>
      </c>
      <c r="V370">
        <f>HYPERLINK("https://klasma.github.io/Logging_1980/klagomål/A 30084-2023 FSC-klagomål.docx", "A 30084-2023")</f>
        <v/>
      </c>
      <c r="W370">
        <f>HYPERLINK("https://klasma.github.io/Logging_1980/klagomålsmail/A 30084-2023 FSC-klagomål mail.docx", "A 30084-2023")</f>
        <v/>
      </c>
      <c r="X370">
        <f>HYPERLINK("https://klasma.github.io/Logging_1980/tillsyn/A 30084-2023 tillsynsbegäran.docx", "A 30084-2023")</f>
        <v/>
      </c>
      <c r="Y370">
        <f>HYPERLINK("https://klasma.github.io/Logging_1980/tillsynsmail/A 30084-2023 tillsynsbegäran mail.docx", "A 30084-2023")</f>
        <v/>
      </c>
    </row>
    <row r="371" ht="15" customHeight="1">
      <c r="A371" t="inlineStr">
        <is>
          <t>A 31354-2023</t>
        </is>
      </c>
      <c r="B371" s="1" t="n">
        <v>45114</v>
      </c>
      <c r="C371" s="1" t="n">
        <v>45811</v>
      </c>
      <c r="D371" t="inlineStr">
        <is>
          <t>VÄSTMANLANDS LÄN</t>
        </is>
      </c>
      <c r="E371" t="inlineStr">
        <is>
          <t>VÄSTERÅS</t>
        </is>
      </c>
      <c r="F371" t="inlineStr">
        <is>
          <t>Sveaskog</t>
        </is>
      </c>
      <c r="G371" t="n">
        <v>5.7</v>
      </c>
      <c r="H371" t="n">
        <v>1</v>
      </c>
      <c r="I371" t="n">
        <v>0</v>
      </c>
      <c r="J371" t="n">
        <v>1</v>
      </c>
      <c r="K371" t="n">
        <v>0</v>
      </c>
      <c r="L371" t="n">
        <v>0</v>
      </c>
      <c r="M371" t="n">
        <v>0</v>
      </c>
      <c r="N371" t="n">
        <v>0</v>
      </c>
      <c r="O371" t="n">
        <v>1</v>
      </c>
      <c r="P371" t="n">
        <v>0</v>
      </c>
      <c r="Q371" t="n">
        <v>1</v>
      </c>
      <c r="R371" s="2" t="inlineStr">
        <is>
          <t>Talltita</t>
        </is>
      </c>
      <c r="S371">
        <f>HYPERLINK("https://klasma.github.io/Logging_1980/artfynd/A 31354-2023 artfynd.xlsx", "A 31354-2023")</f>
        <v/>
      </c>
      <c r="T371">
        <f>HYPERLINK("https://klasma.github.io/Logging_1980/kartor/A 31354-2023 karta.png", "A 31354-2023")</f>
        <v/>
      </c>
      <c r="V371">
        <f>HYPERLINK("https://klasma.github.io/Logging_1980/klagomål/A 31354-2023 FSC-klagomål.docx", "A 31354-2023")</f>
        <v/>
      </c>
      <c r="W371">
        <f>HYPERLINK("https://klasma.github.io/Logging_1980/klagomålsmail/A 31354-2023 FSC-klagomål mail.docx", "A 31354-2023")</f>
        <v/>
      </c>
      <c r="X371">
        <f>HYPERLINK("https://klasma.github.io/Logging_1980/tillsyn/A 31354-2023 tillsynsbegäran.docx", "A 31354-2023")</f>
        <v/>
      </c>
      <c r="Y371">
        <f>HYPERLINK("https://klasma.github.io/Logging_1980/tillsynsmail/A 31354-2023 tillsynsbegäran mail.docx", "A 31354-2023")</f>
        <v/>
      </c>
      <c r="Z371">
        <f>HYPERLINK("https://klasma.github.io/Logging_1980/fåglar/A 31354-2023 prioriterade fågelarter.docx", "A 31354-2023")</f>
        <v/>
      </c>
    </row>
    <row r="372" ht="15" customHeight="1">
      <c r="A372" t="inlineStr">
        <is>
          <t>A 31535-2023</t>
        </is>
      </c>
      <c r="B372" s="1" t="n">
        <v>45116</v>
      </c>
      <c r="C372" s="1" t="n">
        <v>45811</v>
      </c>
      <c r="D372" t="inlineStr">
        <is>
          <t>VÄSTMANLANDS LÄN</t>
        </is>
      </c>
      <c r="E372" t="inlineStr">
        <is>
          <t>SALA</t>
        </is>
      </c>
      <c r="G372" t="n">
        <v>0.9</v>
      </c>
      <c r="H372" t="n">
        <v>0</v>
      </c>
      <c r="I372" t="n">
        <v>0</v>
      </c>
      <c r="J372" t="n">
        <v>1</v>
      </c>
      <c r="K372" t="n">
        <v>0</v>
      </c>
      <c r="L372" t="n">
        <v>0</v>
      </c>
      <c r="M372" t="n">
        <v>0</v>
      </c>
      <c r="N372" t="n">
        <v>0</v>
      </c>
      <c r="O372" t="n">
        <v>1</v>
      </c>
      <c r="P372" t="n">
        <v>0</v>
      </c>
      <c r="Q372" t="n">
        <v>1</v>
      </c>
      <c r="R372" s="2" t="inlineStr">
        <is>
          <t>Orange taggsvamp</t>
        </is>
      </c>
      <c r="S372">
        <f>HYPERLINK("https://klasma.github.io/Logging_1981/artfynd/A 31535-2023 artfynd.xlsx", "A 31535-2023")</f>
        <v/>
      </c>
      <c r="T372">
        <f>HYPERLINK("https://klasma.github.io/Logging_1981/kartor/A 31535-2023 karta.png", "A 31535-2023")</f>
        <v/>
      </c>
      <c r="V372">
        <f>HYPERLINK("https://klasma.github.io/Logging_1981/klagomål/A 31535-2023 FSC-klagomål.docx", "A 31535-2023")</f>
        <v/>
      </c>
      <c r="W372">
        <f>HYPERLINK("https://klasma.github.io/Logging_1981/klagomålsmail/A 31535-2023 FSC-klagomål mail.docx", "A 31535-2023")</f>
        <v/>
      </c>
      <c r="X372">
        <f>HYPERLINK("https://klasma.github.io/Logging_1981/tillsyn/A 31535-2023 tillsynsbegäran.docx", "A 31535-2023")</f>
        <v/>
      </c>
      <c r="Y372">
        <f>HYPERLINK("https://klasma.github.io/Logging_1981/tillsynsmail/A 31535-2023 tillsynsbegäran mail.docx", "A 31535-2023")</f>
        <v/>
      </c>
    </row>
    <row r="373" ht="15" customHeight="1">
      <c r="A373" t="inlineStr">
        <is>
          <t>A 37277-2023</t>
        </is>
      </c>
      <c r="B373" s="1" t="n">
        <v>45156</v>
      </c>
      <c r="C373" s="1" t="n">
        <v>45811</v>
      </c>
      <c r="D373" t="inlineStr">
        <is>
          <t>VÄSTMANLANDS LÄN</t>
        </is>
      </c>
      <c r="E373" t="inlineStr">
        <is>
          <t>SURAHAMMAR</t>
        </is>
      </c>
      <c r="G373" t="n">
        <v>4.3</v>
      </c>
      <c r="H373" t="n">
        <v>1</v>
      </c>
      <c r="I373" t="n">
        <v>0</v>
      </c>
      <c r="J373" t="n">
        <v>0</v>
      </c>
      <c r="K373" t="n">
        <v>1</v>
      </c>
      <c r="L373" t="n">
        <v>0</v>
      </c>
      <c r="M373" t="n">
        <v>0</v>
      </c>
      <c r="N373" t="n">
        <v>0</v>
      </c>
      <c r="O373" t="n">
        <v>1</v>
      </c>
      <c r="P373" t="n">
        <v>1</v>
      </c>
      <c r="Q373" t="n">
        <v>1</v>
      </c>
      <c r="R373" s="2" t="inlineStr">
        <is>
          <t>Bombmurkla</t>
        </is>
      </c>
      <c r="S373">
        <f>HYPERLINK("https://klasma.github.io/Logging_1907/artfynd/A 37277-2023 artfynd.xlsx", "A 37277-2023")</f>
        <v/>
      </c>
      <c r="T373">
        <f>HYPERLINK("https://klasma.github.io/Logging_1907/kartor/A 37277-2023 karta.png", "A 37277-2023")</f>
        <v/>
      </c>
      <c r="V373">
        <f>HYPERLINK("https://klasma.github.io/Logging_1907/klagomål/A 37277-2023 FSC-klagomål.docx", "A 37277-2023")</f>
        <v/>
      </c>
      <c r="W373">
        <f>HYPERLINK("https://klasma.github.io/Logging_1907/klagomålsmail/A 37277-2023 FSC-klagomål mail.docx", "A 37277-2023")</f>
        <v/>
      </c>
      <c r="X373">
        <f>HYPERLINK("https://klasma.github.io/Logging_1907/tillsyn/A 37277-2023 tillsynsbegäran.docx", "A 37277-2023")</f>
        <v/>
      </c>
      <c r="Y373">
        <f>HYPERLINK("https://klasma.github.io/Logging_1907/tillsynsmail/A 37277-2023 tillsynsbegäran mail.docx", "A 37277-2023")</f>
        <v/>
      </c>
    </row>
    <row r="374" ht="15" customHeight="1">
      <c r="A374" t="inlineStr">
        <is>
          <t>A 38849-2023</t>
        </is>
      </c>
      <c r="B374" s="1" t="n">
        <v>45163</v>
      </c>
      <c r="C374" s="1" t="n">
        <v>45811</v>
      </c>
      <c r="D374" t="inlineStr">
        <is>
          <t>VÄSTMANLANDS LÄN</t>
        </is>
      </c>
      <c r="E374" t="inlineStr">
        <is>
          <t>VÄSTERÅS</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HYPERLINK("https://klasma.github.io/Logging_1980/artfynd/A 38849-2023 artfynd.xlsx", "A 38849-2023")</f>
        <v/>
      </c>
      <c r="T374">
        <f>HYPERLINK("https://klasma.github.io/Logging_1980/kartor/A 38849-2023 karta.png", "A 38849-2023")</f>
        <v/>
      </c>
      <c r="V374">
        <f>HYPERLINK("https://klasma.github.io/Logging_1980/klagomål/A 38849-2023 FSC-klagomål.docx", "A 38849-2023")</f>
        <v/>
      </c>
      <c r="W374">
        <f>HYPERLINK("https://klasma.github.io/Logging_1980/klagomålsmail/A 38849-2023 FSC-klagomål mail.docx", "A 38849-2023")</f>
        <v/>
      </c>
      <c r="X374">
        <f>HYPERLINK("https://klasma.github.io/Logging_1980/tillsyn/A 38849-2023 tillsynsbegäran.docx", "A 38849-2023")</f>
        <v/>
      </c>
      <c r="Y374">
        <f>HYPERLINK("https://klasma.github.io/Logging_1980/tillsynsmail/A 38849-2023 tillsynsbegäran mail.docx", "A 38849-2023")</f>
        <v/>
      </c>
      <c r="Z374">
        <f>HYPERLINK("https://klasma.github.io/Logging_1980/fåglar/A 38849-2023 prioriterade fågelarter.docx", "A 38849-2023")</f>
        <v/>
      </c>
    </row>
    <row r="375" ht="15" customHeight="1">
      <c r="A375" t="inlineStr">
        <is>
          <t>A 38712-2023</t>
        </is>
      </c>
      <c r="B375" s="1" t="n">
        <v>45163</v>
      </c>
      <c r="C375" s="1" t="n">
        <v>45811</v>
      </c>
      <c r="D375" t="inlineStr">
        <is>
          <t>VÄSTMANLANDS LÄN</t>
        </is>
      </c>
      <c r="E375" t="inlineStr">
        <is>
          <t>SKINNSKATTEBERG</t>
        </is>
      </c>
      <c r="F375" t="inlineStr">
        <is>
          <t>Sveaskog</t>
        </is>
      </c>
      <c r="G375" t="n">
        <v>8</v>
      </c>
      <c r="H375" t="n">
        <v>1</v>
      </c>
      <c r="I375" t="n">
        <v>0</v>
      </c>
      <c r="J375" t="n">
        <v>0</v>
      </c>
      <c r="K375" t="n">
        <v>0</v>
      </c>
      <c r="L375" t="n">
        <v>0</v>
      </c>
      <c r="M375" t="n">
        <v>0</v>
      </c>
      <c r="N375" t="n">
        <v>0</v>
      </c>
      <c r="O375" t="n">
        <v>0</v>
      </c>
      <c r="P375" t="n">
        <v>0</v>
      </c>
      <c r="Q375" t="n">
        <v>1</v>
      </c>
      <c r="R375" s="2" t="inlineStr">
        <is>
          <t>Grönvit nattviol</t>
        </is>
      </c>
      <c r="S375">
        <f>HYPERLINK("https://klasma.github.io/Logging_1904/artfynd/A 38712-2023 artfynd.xlsx", "A 38712-2023")</f>
        <v/>
      </c>
      <c r="T375">
        <f>HYPERLINK("https://klasma.github.io/Logging_1904/kartor/A 38712-2023 karta.png", "A 38712-2023")</f>
        <v/>
      </c>
      <c r="V375">
        <f>HYPERLINK("https://klasma.github.io/Logging_1904/klagomål/A 38712-2023 FSC-klagomål.docx", "A 38712-2023")</f>
        <v/>
      </c>
      <c r="W375">
        <f>HYPERLINK("https://klasma.github.io/Logging_1904/klagomålsmail/A 38712-2023 FSC-klagomål mail.docx", "A 38712-2023")</f>
        <v/>
      </c>
      <c r="X375">
        <f>HYPERLINK("https://klasma.github.io/Logging_1904/tillsyn/A 38712-2023 tillsynsbegäran.docx", "A 38712-2023")</f>
        <v/>
      </c>
      <c r="Y375">
        <f>HYPERLINK("https://klasma.github.io/Logging_1904/tillsynsmail/A 38712-2023 tillsynsbegäran mail.docx", "A 38712-2023")</f>
        <v/>
      </c>
    </row>
    <row r="376" ht="15" customHeight="1">
      <c r="A376" t="inlineStr">
        <is>
          <t>A 40302-2023</t>
        </is>
      </c>
      <c r="B376" s="1" t="n">
        <v>45169</v>
      </c>
      <c r="C376" s="1" t="n">
        <v>45811</v>
      </c>
      <c r="D376" t="inlineStr">
        <is>
          <t>VÄSTMANLANDS LÄN</t>
        </is>
      </c>
      <c r="E376" t="inlineStr">
        <is>
          <t>VÄSTERÅS</t>
        </is>
      </c>
      <c r="F376" t="inlineStr">
        <is>
          <t>Sveaskog</t>
        </is>
      </c>
      <c r="G376" t="n">
        <v>4.9</v>
      </c>
      <c r="H376" t="n">
        <v>0</v>
      </c>
      <c r="I376" t="n">
        <v>0</v>
      </c>
      <c r="J376" t="n">
        <v>1</v>
      </c>
      <c r="K376" t="n">
        <v>0</v>
      </c>
      <c r="L376" t="n">
        <v>0</v>
      </c>
      <c r="M376" t="n">
        <v>0</v>
      </c>
      <c r="N376" t="n">
        <v>0</v>
      </c>
      <c r="O376" t="n">
        <v>1</v>
      </c>
      <c r="P376" t="n">
        <v>0</v>
      </c>
      <c r="Q376" t="n">
        <v>1</v>
      </c>
      <c r="R376" s="2" t="inlineStr">
        <is>
          <t>Vedskivlav</t>
        </is>
      </c>
      <c r="S376">
        <f>HYPERLINK("https://klasma.github.io/Logging_1980/artfynd/A 40302-2023 artfynd.xlsx", "A 40302-2023")</f>
        <v/>
      </c>
      <c r="T376">
        <f>HYPERLINK("https://klasma.github.io/Logging_1980/kartor/A 40302-2023 karta.png", "A 40302-2023")</f>
        <v/>
      </c>
      <c r="V376">
        <f>HYPERLINK("https://klasma.github.io/Logging_1980/klagomål/A 40302-2023 FSC-klagomål.docx", "A 40302-2023")</f>
        <v/>
      </c>
      <c r="W376">
        <f>HYPERLINK("https://klasma.github.io/Logging_1980/klagomålsmail/A 40302-2023 FSC-klagomål mail.docx", "A 40302-2023")</f>
        <v/>
      </c>
      <c r="X376">
        <f>HYPERLINK("https://klasma.github.io/Logging_1980/tillsyn/A 40302-2023 tillsynsbegäran.docx", "A 40302-2023")</f>
        <v/>
      </c>
      <c r="Y376">
        <f>HYPERLINK("https://klasma.github.io/Logging_1980/tillsynsmail/A 40302-2023 tillsynsbegäran mail.docx", "A 40302-2023")</f>
        <v/>
      </c>
    </row>
    <row r="377" ht="15" customHeight="1">
      <c r="A377" t="inlineStr">
        <is>
          <t>A 41622-2023</t>
        </is>
      </c>
      <c r="B377" s="1" t="n">
        <v>45175</v>
      </c>
      <c r="C377" s="1" t="n">
        <v>45811</v>
      </c>
      <c r="D377" t="inlineStr">
        <is>
          <t>VÄSTMANLANDS LÄN</t>
        </is>
      </c>
      <c r="E377" t="inlineStr">
        <is>
          <t>SURAHAMMAR</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HYPERLINK("https://klasma.github.io/Logging_1907/artfynd/A 41622-2023 artfynd.xlsx", "A 41622-2023")</f>
        <v/>
      </c>
      <c r="T377">
        <f>HYPERLINK("https://klasma.github.io/Logging_1907/kartor/A 41622-2023 karta.png", "A 41622-2023")</f>
        <v/>
      </c>
      <c r="U377">
        <f>HYPERLINK("https://klasma.github.io/Logging_1907/knärot/A 41622-2023 karta knärot.png", "A 41622-2023")</f>
        <v/>
      </c>
      <c r="V377">
        <f>HYPERLINK("https://klasma.github.io/Logging_1907/klagomål/A 41622-2023 FSC-klagomål.docx", "A 41622-2023")</f>
        <v/>
      </c>
      <c r="W377">
        <f>HYPERLINK("https://klasma.github.io/Logging_1907/klagomålsmail/A 41622-2023 FSC-klagomål mail.docx", "A 41622-2023")</f>
        <v/>
      </c>
      <c r="X377">
        <f>HYPERLINK("https://klasma.github.io/Logging_1907/tillsyn/A 41622-2023 tillsynsbegäran.docx", "A 41622-2023")</f>
        <v/>
      </c>
      <c r="Y377">
        <f>HYPERLINK("https://klasma.github.io/Logging_1907/tillsynsmail/A 41622-2023 tillsynsbegäran mail.docx", "A 41622-2023")</f>
        <v/>
      </c>
    </row>
    <row r="378" ht="15" customHeight="1">
      <c r="A378" t="inlineStr">
        <is>
          <t>A 42194-2023</t>
        </is>
      </c>
      <c r="B378" s="1" t="n">
        <v>45179</v>
      </c>
      <c r="C378" s="1" t="n">
        <v>45811</v>
      </c>
      <c r="D378" t="inlineStr">
        <is>
          <t>VÄSTMANLANDS LÄN</t>
        </is>
      </c>
      <c r="E378" t="inlineStr">
        <is>
          <t>NORBERG</t>
        </is>
      </c>
      <c r="F378" t="inlineStr">
        <is>
          <t>Sveaskog</t>
        </is>
      </c>
      <c r="G378" t="n">
        <v>2.8</v>
      </c>
      <c r="H378" t="n">
        <v>1</v>
      </c>
      <c r="I378" t="n">
        <v>0</v>
      </c>
      <c r="J378" t="n">
        <v>0</v>
      </c>
      <c r="K378" t="n">
        <v>0</v>
      </c>
      <c r="L378" t="n">
        <v>0</v>
      </c>
      <c r="M378" t="n">
        <v>0</v>
      </c>
      <c r="N378" t="n">
        <v>0</v>
      </c>
      <c r="O378" t="n">
        <v>0</v>
      </c>
      <c r="P378" t="n">
        <v>0</v>
      </c>
      <c r="Q378" t="n">
        <v>1</v>
      </c>
      <c r="R378" s="2" t="inlineStr">
        <is>
          <t>Revlummer</t>
        </is>
      </c>
      <c r="S378">
        <f>HYPERLINK("https://klasma.github.io/Logging_1962/artfynd/A 42194-2023 artfynd.xlsx", "A 42194-2023")</f>
        <v/>
      </c>
      <c r="T378">
        <f>HYPERLINK("https://klasma.github.io/Logging_1962/kartor/A 42194-2023 karta.png", "A 42194-2023")</f>
        <v/>
      </c>
      <c r="V378">
        <f>HYPERLINK("https://klasma.github.io/Logging_1962/klagomål/A 42194-2023 FSC-klagomål.docx", "A 42194-2023")</f>
        <v/>
      </c>
      <c r="W378">
        <f>HYPERLINK("https://klasma.github.io/Logging_1962/klagomålsmail/A 42194-2023 FSC-klagomål mail.docx", "A 42194-2023")</f>
        <v/>
      </c>
      <c r="X378">
        <f>HYPERLINK("https://klasma.github.io/Logging_1962/tillsyn/A 42194-2023 tillsynsbegäran.docx", "A 42194-2023")</f>
        <v/>
      </c>
      <c r="Y378">
        <f>HYPERLINK("https://klasma.github.io/Logging_1962/tillsynsmail/A 42194-2023 tillsynsbegäran mail.docx", "A 42194-2023")</f>
        <v/>
      </c>
    </row>
    <row r="379" ht="15" customHeight="1">
      <c r="A379" t="inlineStr">
        <is>
          <t>A 42251-2023</t>
        </is>
      </c>
      <c r="B379" s="1" t="n">
        <v>45180</v>
      </c>
      <c r="C379" s="1" t="n">
        <v>45811</v>
      </c>
      <c r="D379" t="inlineStr">
        <is>
          <t>VÄSTMANLANDS LÄN</t>
        </is>
      </c>
      <c r="E379" t="inlineStr">
        <is>
          <t>VÄSTERÅS</t>
        </is>
      </c>
      <c r="G379" t="n">
        <v>2</v>
      </c>
      <c r="H379" t="n">
        <v>1</v>
      </c>
      <c r="I379" t="n">
        <v>0</v>
      </c>
      <c r="J379" t="n">
        <v>0</v>
      </c>
      <c r="K379" t="n">
        <v>0</v>
      </c>
      <c r="L379" t="n">
        <v>0</v>
      </c>
      <c r="M379" t="n">
        <v>0</v>
      </c>
      <c r="N379" t="n">
        <v>0</v>
      </c>
      <c r="O379" t="n">
        <v>0</v>
      </c>
      <c r="P379" t="n">
        <v>0</v>
      </c>
      <c r="Q379" t="n">
        <v>1</v>
      </c>
      <c r="R379" s="2" t="inlineStr">
        <is>
          <t>Mindre vattensalamander</t>
        </is>
      </c>
      <c r="S379">
        <f>HYPERLINK("https://klasma.github.io/Logging_1980/artfynd/A 42251-2023 artfynd.xlsx", "A 42251-2023")</f>
        <v/>
      </c>
      <c r="T379">
        <f>HYPERLINK("https://klasma.github.io/Logging_1980/kartor/A 42251-2023 karta.png", "A 42251-2023")</f>
        <v/>
      </c>
      <c r="V379">
        <f>HYPERLINK("https://klasma.github.io/Logging_1980/klagomål/A 42251-2023 FSC-klagomål.docx", "A 42251-2023")</f>
        <v/>
      </c>
      <c r="W379">
        <f>HYPERLINK("https://klasma.github.io/Logging_1980/klagomålsmail/A 42251-2023 FSC-klagomål mail.docx", "A 42251-2023")</f>
        <v/>
      </c>
      <c r="X379">
        <f>HYPERLINK("https://klasma.github.io/Logging_1980/tillsyn/A 42251-2023 tillsynsbegäran.docx", "A 42251-2023")</f>
        <v/>
      </c>
      <c r="Y379">
        <f>HYPERLINK("https://klasma.github.io/Logging_1980/tillsynsmail/A 42251-2023 tillsynsbegäran mail.docx", "A 42251-2023")</f>
        <v/>
      </c>
    </row>
    <row r="380" ht="15" customHeight="1">
      <c r="A380" t="inlineStr">
        <is>
          <t>A 43175-2023</t>
        </is>
      </c>
      <c r="B380" s="1" t="n">
        <v>45183</v>
      </c>
      <c r="C380" s="1" t="n">
        <v>45811</v>
      </c>
      <c r="D380" t="inlineStr">
        <is>
          <t>VÄSTMANLANDS LÄN</t>
        </is>
      </c>
      <c r="E380" t="inlineStr">
        <is>
          <t>SALA</t>
        </is>
      </c>
      <c r="G380" t="n">
        <v>5.6</v>
      </c>
      <c r="H380" t="n">
        <v>0</v>
      </c>
      <c r="I380" t="n">
        <v>1</v>
      </c>
      <c r="J380" t="n">
        <v>0</v>
      </c>
      <c r="K380" t="n">
        <v>0</v>
      </c>
      <c r="L380" t="n">
        <v>0</v>
      </c>
      <c r="M380" t="n">
        <v>0</v>
      </c>
      <c r="N380" t="n">
        <v>0</v>
      </c>
      <c r="O380" t="n">
        <v>0</v>
      </c>
      <c r="P380" t="n">
        <v>0</v>
      </c>
      <c r="Q380" t="n">
        <v>1</v>
      </c>
      <c r="R380" s="2" t="inlineStr">
        <is>
          <t>Grönpyrola</t>
        </is>
      </c>
      <c r="S380">
        <f>HYPERLINK("https://klasma.github.io/Logging_1981/artfynd/A 43175-2023 artfynd.xlsx", "A 43175-2023")</f>
        <v/>
      </c>
      <c r="T380">
        <f>HYPERLINK("https://klasma.github.io/Logging_1981/kartor/A 43175-2023 karta.png", "A 43175-2023")</f>
        <v/>
      </c>
      <c r="V380">
        <f>HYPERLINK("https://klasma.github.io/Logging_1981/klagomål/A 43175-2023 FSC-klagomål.docx", "A 43175-2023")</f>
        <v/>
      </c>
      <c r="W380">
        <f>HYPERLINK("https://klasma.github.io/Logging_1981/klagomålsmail/A 43175-2023 FSC-klagomål mail.docx", "A 43175-2023")</f>
        <v/>
      </c>
      <c r="X380">
        <f>HYPERLINK("https://klasma.github.io/Logging_1981/tillsyn/A 43175-2023 tillsynsbegäran.docx", "A 43175-2023")</f>
        <v/>
      </c>
      <c r="Y380">
        <f>HYPERLINK("https://klasma.github.io/Logging_1981/tillsynsmail/A 43175-2023 tillsynsbegäran mail.docx", "A 43175-2023")</f>
        <v/>
      </c>
    </row>
    <row r="381" ht="15" customHeight="1">
      <c r="A381" t="inlineStr">
        <is>
          <t>A 43802-2023</t>
        </is>
      </c>
      <c r="B381" s="1" t="n">
        <v>45187</v>
      </c>
      <c r="C381" s="1" t="n">
        <v>45811</v>
      </c>
      <c r="D381" t="inlineStr">
        <is>
          <t>VÄSTMANLANDS LÄN</t>
        </is>
      </c>
      <c r="E381" t="inlineStr">
        <is>
          <t>ARBOGA</t>
        </is>
      </c>
      <c r="F381" t="inlineStr">
        <is>
          <t>Sveaskog</t>
        </is>
      </c>
      <c r="G381" t="n">
        <v>1</v>
      </c>
      <c r="H381" t="n">
        <v>0</v>
      </c>
      <c r="I381" t="n">
        <v>0</v>
      </c>
      <c r="J381" t="n">
        <v>1</v>
      </c>
      <c r="K381" t="n">
        <v>0</v>
      </c>
      <c r="L381" t="n">
        <v>0</v>
      </c>
      <c r="M381" t="n">
        <v>0</v>
      </c>
      <c r="N381" t="n">
        <v>0</v>
      </c>
      <c r="O381" t="n">
        <v>1</v>
      </c>
      <c r="P381" t="n">
        <v>0</v>
      </c>
      <c r="Q381" t="n">
        <v>1</v>
      </c>
      <c r="R381" s="2" t="inlineStr">
        <is>
          <t>Ullticka</t>
        </is>
      </c>
      <c r="S381">
        <f>HYPERLINK("https://klasma.github.io/Logging_1984/artfynd/A 43802-2023 artfynd.xlsx", "A 43802-2023")</f>
        <v/>
      </c>
      <c r="T381">
        <f>HYPERLINK("https://klasma.github.io/Logging_1984/kartor/A 43802-2023 karta.png", "A 43802-2023")</f>
        <v/>
      </c>
      <c r="V381">
        <f>HYPERLINK("https://klasma.github.io/Logging_1984/klagomål/A 43802-2023 FSC-klagomål.docx", "A 43802-2023")</f>
        <v/>
      </c>
      <c r="W381">
        <f>HYPERLINK("https://klasma.github.io/Logging_1984/klagomålsmail/A 43802-2023 FSC-klagomål mail.docx", "A 43802-2023")</f>
        <v/>
      </c>
      <c r="X381">
        <f>HYPERLINK("https://klasma.github.io/Logging_1984/tillsyn/A 43802-2023 tillsynsbegäran.docx", "A 43802-2023")</f>
        <v/>
      </c>
      <c r="Y381">
        <f>HYPERLINK("https://klasma.github.io/Logging_1984/tillsynsmail/A 43802-2023 tillsynsbegäran mail.docx", "A 43802-2023")</f>
        <v/>
      </c>
    </row>
    <row r="382" ht="15" customHeight="1">
      <c r="A382" t="inlineStr">
        <is>
          <t>A 45374-2023</t>
        </is>
      </c>
      <c r="B382" s="1" t="n">
        <v>45193</v>
      </c>
      <c r="C382" s="1" t="n">
        <v>45811</v>
      </c>
      <c r="D382" t="inlineStr">
        <is>
          <t>VÄSTMANLANDS LÄN</t>
        </is>
      </c>
      <c r="E382" t="inlineStr">
        <is>
          <t>SKINNSKATTEBERG</t>
        </is>
      </c>
      <c r="F382" t="inlineStr">
        <is>
          <t>Sveaskog</t>
        </is>
      </c>
      <c r="G382" t="n">
        <v>3.5</v>
      </c>
      <c r="H382" t="n">
        <v>0</v>
      </c>
      <c r="I382" t="n">
        <v>1</v>
      </c>
      <c r="J382" t="n">
        <v>0</v>
      </c>
      <c r="K382" t="n">
        <v>0</v>
      </c>
      <c r="L382" t="n">
        <v>0</v>
      </c>
      <c r="M382" t="n">
        <v>0</v>
      </c>
      <c r="N382" t="n">
        <v>0</v>
      </c>
      <c r="O382" t="n">
        <v>0</v>
      </c>
      <c r="P382" t="n">
        <v>0</v>
      </c>
      <c r="Q382" t="n">
        <v>1</v>
      </c>
      <c r="R382" s="2" t="inlineStr">
        <is>
          <t>Purpurmylia</t>
        </is>
      </c>
      <c r="S382">
        <f>HYPERLINK("https://klasma.github.io/Logging_1904/artfynd/A 45374-2023 artfynd.xlsx", "A 45374-2023")</f>
        <v/>
      </c>
      <c r="T382">
        <f>HYPERLINK("https://klasma.github.io/Logging_1904/kartor/A 45374-2023 karta.png", "A 45374-2023")</f>
        <v/>
      </c>
      <c r="V382">
        <f>HYPERLINK("https://klasma.github.io/Logging_1904/klagomål/A 45374-2023 FSC-klagomål.docx", "A 45374-2023")</f>
        <v/>
      </c>
      <c r="W382">
        <f>HYPERLINK("https://klasma.github.io/Logging_1904/klagomålsmail/A 45374-2023 FSC-klagomål mail.docx", "A 45374-2023")</f>
        <v/>
      </c>
      <c r="X382">
        <f>HYPERLINK("https://klasma.github.io/Logging_1904/tillsyn/A 45374-2023 tillsynsbegäran.docx", "A 45374-2023")</f>
        <v/>
      </c>
      <c r="Y382">
        <f>HYPERLINK("https://klasma.github.io/Logging_1904/tillsynsmail/A 45374-2023 tillsynsbegäran mail.docx", "A 45374-2023")</f>
        <v/>
      </c>
    </row>
    <row r="383" ht="15" customHeight="1">
      <c r="A383" t="inlineStr">
        <is>
          <t>A 47695-2023</t>
        </is>
      </c>
      <c r="B383" s="1" t="n">
        <v>45203</v>
      </c>
      <c r="C383" s="1" t="n">
        <v>45811</v>
      </c>
      <c r="D383" t="inlineStr">
        <is>
          <t>VÄSTMANLANDS LÄN</t>
        </is>
      </c>
      <c r="E383" t="inlineStr">
        <is>
          <t>VÄSTERÅS</t>
        </is>
      </c>
      <c r="G383" t="n">
        <v>6</v>
      </c>
      <c r="H383" t="n">
        <v>0</v>
      </c>
      <c r="I383" t="n">
        <v>1</v>
      </c>
      <c r="J383" t="n">
        <v>0</v>
      </c>
      <c r="K383" t="n">
        <v>0</v>
      </c>
      <c r="L383" t="n">
        <v>0</v>
      </c>
      <c r="M383" t="n">
        <v>0</v>
      </c>
      <c r="N383" t="n">
        <v>0</v>
      </c>
      <c r="O383" t="n">
        <v>0</v>
      </c>
      <c r="P383" t="n">
        <v>0</v>
      </c>
      <c r="Q383" t="n">
        <v>1</v>
      </c>
      <c r="R383" s="2" t="inlineStr">
        <is>
          <t>Hasselticka</t>
        </is>
      </c>
      <c r="S383">
        <f>HYPERLINK("https://klasma.github.io/Logging_1980/artfynd/A 47695-2023 artfynd.xlsx", "A 47695-2023")</f>
        <v/>
      </c>
      <c r="T383">
        <f>HYPERLINK("https://klasma.github.io/Logging_1980/kartor/A 47695-2023 karta.png", "A 47695-2023")</f>
        <v/>
      </c>
      <c r="V383">
        <f>HYPERLINK("https://klasma.github.io/Logging_1980/klagomål/A 47695-2023 FSC-klagomål.docx", "A 47695-2023")</f>
        <v/>
      </c>
      <c r="W383">
        <f>HYPERLINK("https://klasma.github.io/Logging_1980/klagomålsmail/A 47695-2023 FSC-klagomål mail.docx", "A 47695-2023")</f>
        <v/>
      </c>
      <c r="X383">
        <f>HYPERLINK("https://klasma.github.io/Logging_1980/tillsyn/A 47695-2023 tillsynsbegäran.docx", "A 47695-2023")</f>
        <v/>
      </c>
      <c r="Y383">
        <f>HYPERLINK("https://klasma.github.io/Logging_1980/tillsynsmail/A 47695-2023 tillsynsbegäran mail.docx", "A 47695-2023")</f>
        <v/>
      </c>
    </row>
    <row r="384" ht="15" customHeight="1">
      <c r="A384" t="inlineStr">
        <is>
          <t>A 52476-2023</t>
        </is>
      </c>
      <c r="B384" s="1" t="n">
        <v>45225</v>
      </c>
      <c r="C384" s="1" t="n">
        <v>45811</v>
      </c>
      <c r="D384" t="inlineStr">
        <is>
          <t>VÄSTMANLANDS LÄN</t>
        </is>
      </c>
      <c r="E384" t="inlineStr">
        <is>
          <t>KÖPING</t>
        </is>
      </c>
      <c r="F384" t="inlineStr">
        <is>
          <t>Sveaskog</t>
        </is>
      </c>
      <c r="G384" t="n">
        <v>1.9</v>
      </c>
      <c r="H384" t="n">
        <v>0</v>
      </c>
      <c r="I384" t="n">
        <v>1</v>
      </c>
      <c r="J384" t="n">
        <v>0</v>
      </c>
      <c r="K384" t="n">
        <v>0</v>
      </c>
      <c r="L384" t="n">
        <v>0</v>
      </c>
      <c r="M384" t="n">
        <v>0</v>
      </c>
      <c r="N384" t="n">
        <v>0</v>
      </c>
      <c r="O384" t="n">
        <v>0</v>
      </c>
      <c r="P384" t="n">
        <v>0</v>
      </c>
      <c r="Q384" t="n">
        <v>1</v>
      </c>
      <c r="R384" s="2" t="inlineStr">
        <is>
          <t>Bårdlav</t>
        </is>
      </c>
      <c r="S384">
        <f>HYPERLINK("https://klasma.github.io/Logging_1983/artfynd/A 52476-2023 artfynd.xlsx", "A 52476-2023")</f>
        <v/>
      </c>
      <c r="T384">
        <f>HYPERLINK("https://klasma.github.io/Logging_1983/kartor/A 52476-2023 karta.png", "A 52476-2023")</f>
        <v/>
      </c>
      <c r="V384">
        <f>HYPERLINK("https://klasma.github.io/Logging_1983/klagomål/A 52476-2023 FSC-klagomål.docx", "A 52476-2023")</f>
        <v/>
      </c>
      <c r="W384">
        <f>HYPERLINK("https://klasma.github.io/Logging_1983/klagomålsmail/A 52476-2023 FSC-klagomål mail.docx", "A 52476-2023")</f>
        <v/>
      </c>
      <c r="X384">
        <f>HYPERLINK("https://klasma.github.io/Logging_1983/tillsyn/A 52476-2023 tillsynsbegäran.docx", "A 52476-2023")</f>
        <v/>
      </c>
      <c r="Y384">
        <f>HYPERLINK("https://klasma.github.io/Logging_1983/tillsynsmail/A 52476-2023 tillsynsbegäran mail.docx", "A 52476-2023")</f>
        <v/>
      </c>
    </row>
    <row r="385" ht="15" customHeight="1">
      <c r="A385" t="inlineStr">
        <is>
          <t>A 55550-2023</t>
        </is>
      </c>
      <c r="B385" s="1" t="n">
        <v>45232</v>
      </c>
      <c r="C385" s="1" t="n">
        <v>45811</v>
      </c>
      <c r="D385" t="inlineStr">
        <is>
          <t>VÄSTMANLANDS LÄN</t>
        </is>
      </c>
      <c r="E385" t="inlineStr">
        <is>
          <t>SALA</t>
        </is>
      </c>
      <c r="G385" t="n">
        <v>9.9</v>
      </c>
      <c r="H385" t="n">
        <v>1</v>
      </c>
      <c r="I385" t="n">
        <v>0</v>
      </c>
      <c r="J385" t="n">
        <v>0</v>
      </c>
      <c r="K385" t="n">
        <v>1</v>
      </c>
      <c r="L385" t="n">
        <v>0</v>
      </c>
      <c r="M385" t="n">
        <v>0</v>
      </c>
      <c r="N385" t="n">
        <v>0</v>
      </c>
      <c r="O385" t="n">
        <v>1</v>
      </c>
      <c r="P385" t="n">
        <v>1</v>
      </c>
      <c r="Q385" t="n">
        <v>1</v>
      </c>
      <c r="R385" s="2" t="inlineStr">
        <is>
          <t>Knärot</t>
        </is>
      </c>
      <c r="S385">
        <f>HYPERLINK("https://klasma.github.io/Logging_1981/artfynd/A 55550-2023 artfynd.xlsx", "A 55550-2023")</f>
        <v/>
      </c>
      <c r="T385">
        <f>HYPERLINK("https://klasma.github.io/Logging_1981/kartor/A 55550-2023 karta.png", "A 55550-2023")</f>
        <v/>
      </c>
      <c r="U385">
        <f>HYPERLINK("https://klasma.github.io/Logging_1981/knärot/A 55550-2023 karta knärot.png", "A 55550-2023")</f>
        <v/>
      </c>
      <c r="V385">
        <f>HYPERLINK("https://klasma.github.io/Logging_1981/klagomål/A 55550-2023 FSC-klagomål.docx", "A 55550-2023")</f>
        <v/>
      </c>
      <c r="W385">
        <f>HYPERLINK("https://klasma.github.io/Logging_1981/klagomålsmail/A 55550-2023 FSC-klagomål mail.docx", "A 55550-2023")</f>
        <v/>
      </c>
      <c r="X385">
        <f>HYPERLINK("https://klasma.github.io/Logging_1981/tillsyn/A 55550-2023 tillsynsbegäran.docx", "A 55550-2023")</f>
        <v/>
      </c>
      <c r="Y385">
        <f>HYPERLINK("https://klasma.github.io/Logging_1981/tillsynsmail/A 55550-2023 tillsynsbegäran mail.docx", "A 55550-2023")</f>
        <v/>
      </c>
    </row>
    <row r="386" ht="15" customHeight="1">
      <c r="A386" t="inlineStr">
        <is>
          <t>A 55684-2023</t>
        </is>
      </c>
      <c r="B386" s="1" t="n">
        <v>45232</v>
      </c>
      <c r="C386" s="1" t="n">
        <v>45811</v>
      </c>
      <c r="D386" t="inlineStr">
        <is>
          <t>VÄSTMANLANDS LÄN</t>
        </is>
      </c>
      <c r="E386" t="inlineStr">
        <is>
          <t>VÄSTERÅS</t>
        </is>
      </c>
      <c r="F386" t="inlineStr">
        <is>
          <t>Övriga Aktiebolag</t>
        </is>
      </c>
      <c r="G386" t="n">
        <v>29.4</v>
      </c>
      <c r="H386" t="n">
        <v>0</v>
      </c>
      <c r="I386" t="n">
        <v>0</v>
      </c>
      <c r="J386" t="n">
        <v>1</v>
      </c>
      <c r="K386" t="n">
        <v>0</v>
      </c>
      <c r="L386" t="n">
        <v>0</v>
      </c>
      <c r="M386" t="n">
        <v>0</v>
      </c>
      <c r="N386" t="n">
        <v>0</v>
      </c>
      <c r="O386" t="n">
        <v>1</v>
      </c>
      <c r="P386" t="n">
        <v>0</v>
      </c>
      <c r="Q386" t="n">
        <v>1</v>
      </c>
      <c r="R386" s="2" t="inlineStr">
        <is>
          <t>Mindre timmerman</t>
        </is>
      </c>
      <c r="S386">
        <f>HYPERLINK("https://klasma.github.io/Logging_1980/artfynd/A 55684-2023 artfynd.xlsx", "A 55684-2023")</f>
        <v/>
      </c>
      <c r="T386">
        <f>HYPERLINK("https://klasma.github.io/Logging_1980/kartor/A 55684-2023 karta.png", "A 55684-2023")</f>
        <v/>
      </c>
      <c r="V386">
        <f>HYPERLINK("https://klasma.github.io/Logging_1980/klagomål/A 55684-2023 FSC-klagomål.docx", "A 55684-2023")</f>
        <v/>
      </c>
      <c r="W386">
        <f>HYPERLINK("https://klasma.github.io/Logging_1980/klagomålsmail/A 55684-2023 FSC-klagomål mail.docx", "A 55684-2023")</f>
        <v/>
      </c>
      <c r="X386">
        <f>HYPERLINK("https://klasma.github.io/Logging_1980/tillsyn/A 55684-2023 tillsynsbegäran.docx", "A 55684-2023")</f>
        <v/>
      </c>
      <c r="Y386">
        <f>HYPERLINK("https://klasma.github.io/Logging_1980/tillsynsmail/A 55684-2023 tillsynsbegäran mail.docx", "A 55684-2023")</f>
        <v/>
      </c>
    </row>
    <row r="387" ht="15" customHeight="1">
      <c r="A387" t="inlineStr">
        <is>
          <t>A 56362-2023</t>
        </is>
      </c>
      <c r="B387" s="1" t="n">
        <v>45236</v>
      </c>
      <c r="C387" s="1" t="n">
        <v>45811</v>
      </c>
      <c r="D387" t="inlineStr">
        <is>
          <t>VÄSTMANLANDS LÄN</t>
        </is>
      </c>
      <c r="E387" t="inlineStr">
        <is>
          <t>SURAHAMMAR</t>
        </is>
      </c>
      <c r="F387" t="inlineStr">
        <is>
          <t>Bergvik skog väst AB</t>
        </is>
      </c>
      <c r="G387" t="n">
        <v>15.2</v>
      </c>
      <c r="H387" t="n">
        <v>0</v>
      </c>
      <c r="I387" t="n">
        <v>1</v>
      </c>
      <c r="J387" t="n">
        <v>0</v>
      </c>
      <c r="K387" t="n">
        <v>0</v>
      </c>
      <c r="L387" t="n">
        <v>0</v>
      </c>
      <c r="M387" t="n">
        <v>0</v>
      </c>
      <c r="N387" t="n">
        <v>0</v>
      </c>
      <c r="O387" t="n">
        <v>0</v>
      </c>
      <c r="P387" t="n">
        <v>0</v>
      </c>
      <c r="Q387" t="n">
        <v>1</v>
      </c>
      <c r="R387" s="2" t="inlineStr">
        <is>
          <t>Grönpyrola</t>
        </is>
      </c>
      <c r="S387">
        <f>HYPERLINK("https://klasma.github.io/Logging_1907/artfynd/A 56362-2023 artfynd.xlsx", "A 56362-2023")</f>
        <v/>
      </c>
      <c r="T387">
        <f>HYPERLINK("https://klasma.github.io/Logging_1907/kartor/A 56362-2023 karta.png", "A 56362-2023")</f>
        <v/>
      </c>
      <c r="V387">
        <f>HYPERLINK("https://klasma.github.io/Logging_1907/klagomål/A 56362-2023 FSC-klagomål.docx", "A 56362-2023")</f>
        <v/>
      </c>
      <c r="W387">
        <f>HYPERLINK("https://klasma.github.io/Logging_1907/klagomålsmail/A 56362-2023 FSC-klagomål mail.docx", "A 56362-2023")</f>
        <v/>
      </c>
      <c r="X387">
        <f>HYPERLINK("https://klasma.github.io/Logging_1907/tillsyn/A 56362-2023 tillsynsbegäran.docx", "A 56362-2023")</f>
        <v/>
      </c>
      <c r="Y387">
        <f>HYPERLINK("https://klasma.github.io/Logging_1907/tillsynsmail/A 56362-2023 tillsynsbegäran mail.docx", "A 56362-2023")</f>
        <v/>
      </c>
    </row>
    <row r="388" ht="15" customHeight="1">
      <c r="A388" t="inlineStr">
        <is>
          <t>A 55157-2023</t>
        </is>
      </c>
      <c r="B388" s="1" t="n">
        <v>45237</v>
      </c>
      <c r="C388" s="1" t="n">
        <v>45811</v>
      </c>
      <c r="D388" t="inlineStr">
        <is>
          <t>VÄSTMANLANDS LÄN</t>
        </is>
      </c>
      <c r="E388" t="inlineStr">
        <is>
          <t>KÖPING</t>
        </is>
      </c>
      <c r="G388" t="n">
        <v>6.7</v>
      </c>
      <c r="H388" t="n">
        <v>1</v>
      </c>
      <c r="I388" t="n">
        <v>0</v>
      </c>
      <c r="J388" t="n">
        <v>0</v>
      </c>
      <c r="K388" t="n">
        <v>0</v>
      </c>
      <c r="L388" t="n">
        <v>0</v>
      </c>
      <c r="M388" t="n">
        <v>0</v>
      </c>
      <c r="N388" t="n">
        <v>0</v>
      </c>
      <c r="O388" t="n">
        <v>0</v>
      </c>
      <c r="P388" t="n">
        <v>0</v>
      </c>
      <c r="Q388" t="n">
        <v>1</v>
      </c>
      <c r="R388" s="2" t="inlineStr">
        <is>
          <t>Nattviol</t>
        </is>
      </c>
      <c r="S388">
        <f>HYPERLINK("https://klasma.github.io/Logging_1983/artfynd/A 55157-2023 artfynd.xlsx", "A 55157-2023")</f>
        <v/>
      </c>
      <c r="T388">
        <f>HYPERLINK("https://klasma.github.io/Logging_1983/kartor/A 55157-2023 karta.png", "A 55157-2023")</f>
        <v/>
      </c>
      <c r="V388">
        <f>HYPERLINK("https://klasma.github.io/Logging_1983/klagomål/A 55157-2023 FSC-klagomål.docx", "A 55157-2023")</f>
        <v/>
      </c>
      <c r="W388">
        <f>HYPERLINK("https://klasma.github.io/Logging_1983/klagomålsmail/A 55157-2023 FSC-klagomål mail.docx", "A 55157-2023")</f>
        <v/>
      </c>
      <c r="X388">
        <f>HYPERLINK("https://klasma.github.io/Logging_1983/tillsyn/A 55157-2023 tillsynsbegäran.docx", "A 55157-2023")</f>
        <v/>
      </c>
      <c r="Y388">
        <f>HYPERLINK("https://klasma.github.io/Logging_1983/tillsynsmail/A 55157-2023 tillsynsbegäran mail.docx", "A 55157-2023")</f>
        <v/>
      </c>
    </row>
    <row r="389" ht="15" customHeight="1">
      <c r="A389" t="inlineStr">
        <is>
          <t>A 61254-2023</t>
        </is>
      </c>
      <c r="B389" s="1" t="n">
        <v>45264</v>
      </c>
      <c r="C389" s="1" t="n">
        <v>45811</v>
      </c>
      <c r="D389" t="inlineStr">
        <is>
          <t>VÄSTMANLANDS LÄN</t>
        </is>
      </c>
      <c r="E389" t="inlineStr">
        <is>
          <t>VÄSTERÅS</t>
        </is>
      </c>
      <c r="G389" t="n">
        <v>0.8</v>
      </c>
      <c r="H389" t="n">
        <v>1</v>
      </c>
      <c r="I389" t="n">
        <v>0</v>
      </c>
      <c r="J389" t="n">
        <v>0</v>
      </c>
      <c r="K389" t="n">
        <v>0</v>
      </c>
      <c r="L389" t="n">
        <v>0</v>
      </c>
      <c r="M389" t="n">
        <v>0</v>
      </c>
      <c r="N389" t="n">
        <v>0</v>
      </c>
      <c r="O389" t="n">
        <v>0</v>
      </c>
      <c r="P389" t="n">
        <v>0</v>
      </c>
      <c r="Q389" t="n">
        <v>1</v>
      </c>
      <c r="R389" s="2" t="inlineStr">
        <is>
          <t>Mistel</t>
        </is>
      </c>
      <c r="S389">
        <f>HYPERLINK("https://klasma.github.io/Logging_1980/artfynd/A 61254-2023 artfynd.xlsx", "A 61254-2023")</f>
        <v/>
      </c>
      <c r="T389">
        <f>HYPERLINK("https://klasma.github.io/Logging_1980/kartor/A 61254-2023 karta.png", "A 61254-2023")</f>
        <v/>
      </c>
      <c r="V389">
        <f>HYPERLINK("https://klasma.github.io/Logging_1980/klagomål/A 61254-2023 FSC-klagomål.docx", "A 61254-2023")</f>
        <v/>
      </c>
      <c r="W389">
        <f>HYPERLINK("https://klasma.github.io/Logging_1980/klagomålsmail/A 61254-2023 FSC-klagomål mail.docx", "A 61254-2023")</f>
        <v/>
      </c>
      <c r="X389">
        <f>HYPERLINK("https://klasma.github.io/Logging_1980/tillsyn/A 61254-2023 tillsynsbegäran.docx", "A 61254-2023")</f>
        <v/>
      </c>
      <c r="Y389">
        <f>HYPERLINK("https://klasma.github.io/Logging_1980/tillsynsmail/A 61254-2023 tillsynsbegäran mail.docx", "A 61254-2023")</f>
        <v/>
      </c>
    </row>
    <row r="390" ht="15" customHeight="1">
      <c r="A390" t="inlineStr">
        <is>
          <t>A 3534-2024</t>
        </is>
      </c>
      <c r="B390" s="1" t="n">
        <v>45320</v>
      </c>
      <c r="C390" s="1" t="n">
        <v>45811</v>
      </c>
      <c r="D390" t="inlineStr">
        <is>
          <t>VÄSTMANLANDS LÄN</t>
        </is>
      </c>
      <c r="E390" t="inlineStr">
        <is>
          <t>SALA</t>
        </is>
      </c>
      <c r="G390" t="n">
        <v>1.9</v>
      </c>
      <c r="H390" t="n">
        <v>1</v>
      </c>
      <c r="I390" t="n">
        <v>0</v>
      </c>
      <c r="J390" t="n">
        <v>0</v>
      </c>
      <c r="K390" t="n">
        <v>0</v>
      </c>
      <c r="L390" t="n">
        <v>1</v>
      </c>
      <c r="M390" t="n">
        <v>0</v>
      </c>
      <c r="N390" t="n">
        <v>0</v>
      </c>
      <c r="O390" t="n">
        <v>1</v>
      </c>
      <c r="P390" t="n">
        <v>1</v>
      </c>
      <c r="Q390" t="n">
        <v>1</v>
      </c>
      <c r="R390" s="2" t="inlineStr">
        <is>
          <t>Mosippa</t>
        </is>
      </c>
      <c r="S390">
        <f>HYPERLINK("https://klasma.github.io/Logging_1981/artfynd/A 3534-2024 artfynd.xlsx", "A 3534-2024")</f>
        <v/>
      </c>
      <c r="T390">
        <f>HYPERLINK("https://klasma.github.io/Logging_1981/kartor/A 3534-2024 karta.png", "A 3534-2024")</f>
        <v/>
      </c>
      <c r="V390">
        <f>HYPERLINK("https://klasma.github.io/Logging_1981/klagomål/A 3534-2024 FSC-klagomål.docx", "A 3534-2024")</f>
        <v/>
      </c>
      <c r="W390">
        <f>HYPERLINK("https://klasma.github.io/Logging_1981/klagomålsmail/A 3534-2024 FSC-klagomål mail.docx", "A 3534-2024")</f>
        <v/>
      </c>
      <c r="X390">
        <f>HYPERLINK("https://klasma.github.io/Logging_1981/tillsyn/A 3534-2024 tillsynsbegäran.docx", "A 3534-2024")</f>
        <v/>
      </c>
      <c r="Y390">
        <f>HYPERLINK("https://klasma.github.io/Logging_1981/tillsynsmail/A 3534-2024 tillsynsbegäran mail.docx", "A 3534-2024")</f>
        <v/>
      </c>
    </row>
    <row r="391" ht="15" customHeight="1">
      <c r="A391" t="inlineStr">
        <is>
          <t>A 3649-2024</t>
        </is>
      </c>
      <c r="B391" s="1" t="n">
        <v>45321</v>
      </c>
      <c r="C391" s="1" t="n">
        <v>45811</v>
      </c>
      <c r="D391" t="inlineStr">
        <is>
          <t>VÄSTMANLANDS LÄN</t>
        </is>
      </c>
      <c r="E391" t="inlineStr">
        <is>
          <t>SURAHAMMAR</t>
        </is>
      </c>
      <c r="F391" t="inlineStr">
        <is>
          <t>Övriga Aktiebolag</t>
        </is>
      </c>
      <c r="G391" t="n">
        <v>9.300000000000001</v>
      </c>
      <c r="H391" t="n">
        <v>1</v>
      </c>
      <c r="I391" t="n">
        <v>0</v>
      </c>
      <c r="J391" t="n">
        <v>0</v>
      </c>
      <c r="K391" t="n">
        <v>1</v>
      </c>
      <c r="L391" t="n">
        <v>0</v>
      </c>
      <c r="M391" t="n">
        <v>0</v>
      </c>
      <c r="N391" t="n">
        <v>0</v>
      </c>
      <c r="O391" t="n">
        <v>1</v>
      </c>
      <c r="P391" t="n">
        <v>1</v>
      </c>
      <c r="Q391" t="n">
        <v>1</v>
      </c>
      <c r="R391" s="2" t="inlineStr">
        <is>
          <t>Väddnätfjäril</t>
        </is>
      </c>
      <c r="S391">
        <f>HYPERLINK("https://klasma.github.io/Logging_1907/artfynd/A 3649-2024 artfynd.xlsx", "A 3649-2024")</f>
        <v/>
      </c>
      <c r="T391">
        <f>HYPERLINK("https://klasma.github.io/Logging_1907/kartor/A 3649-2024 karta.png", "A 3649-2024")</f>
        <v/>
      </c>
      <c r="V391">
        <f>HYPERLINK("https://klasma.github.io/Logging_1907/klagomål/A 3649-2024 FSC-klagomål.docx", "A 3649-2024")</f>
        <v/>
      </c>
      <c r="W391">
        <f>HYPERLINK("https://klasma.github.io/Logging_1907/klagomålsmail/A 3649-2024 FSC-klagomål mail.docx", "A 3649-2024")</f>
        <v/>
      </c>
      <c r="X391">
        <f>HYPERLINK("https://klasma.github.io/Logging_1907/tillsyn/A 3649-2024 tillsynsbegäran.docx", "A 3649-2024")</f>
        <v/>
      </c>
      <c r="Y391">
        <f>HYPERLINK("https://klasma.github.io/Logging_1907/tillsynsmail/A 3649-2024 tillsynsbegäran mail.docx", "A 3649-2024")</f>
        <v/>
      </c>
    </row>
    <row r="392" ht="15" customHeight="1">
      <c r="A392" t="inlineStr">
        <is>
          <t>A 3927-2024</t>
        </is>
      </c>
      <c r="B392" s="1" t="n">
        <v>45322</v>
      </c>
      <c r="C392" s="1" t="n">
        <v>45811</v>
      </c>
      <c r="D392" t="inlineStr">
        <is>
          <t>VÄSTMANLANDS LÄN</t>
        </is>
      </c>
      <c r="E392" t="inlineStr">
        <is>
          <t>KÖPING</t>
        </is>
      </c>
      <c r="G392" t="n">
        <v>4.8</v>
      </c>
      <c r="H392" t="n">
        <v>0</v>
      </c>
      <c r="I392" t="n">
        <v>0</v>
      </c>
      <c r="J392" t="n">
        <v>1</v>
      </c>
      <c r="K392" t="n">
        <v>0</v>
      </c>
      <c r="L392" t="n">
        <v>0</v>
      </c>
      <c r="M392" t="n">
        <v>0</v>
      </c>
      <c r="N392" t="n">
        <v>0</v>
      </c>
      <c r="O392" t="n">
        <v>1</v>
      </c>
      <c r="P392" t="n">
        <v>0</v>
      </c>
      <c r="Q392" t="n">
        <v>1</v>
      </c>
      <c r="R392" s="2" t="inlineStr">
        <is>
          <t>Druvfingersvamp</t>
        </is>
      </c>
      <c r="S392">
        <f>HYPERLINK("https://klasma.github.io/Logging_1983/artfynd/A 3927-2024 artfynd.xlsx", "A 3927-2024")</f>
        <v/>
      </c>
      <c r="T392">
        <f>HYPERLINK("https://klasma.github.io/Logging_1983/kartor/A 3927-2024 karta.png", "A 3927-2024")</f>
        <v/>
      </c>
      <c r="V392">
        <f>HYPERLINK("https://klasma.github.io/Logging_1983/klagomål/A 3927-2024 FSC-klagomål.docx", "A 3927-2024")</f>
        <v/>
      </c>
      <c r="W392">
        <f>HYPERLINK("https://klasma.github.io/Logging_1983/klagomålsmail/A 3927-2024 FSC-klagomål mail.docx", "A 3927-2024")</f>
        <v/>
      </c>
      <c r="X392">
        <f>HYPERLINK("https://klasma.github.io/Logging_1983/tillsyn/A 3927-2024 tillsynsbegäran.docx", "A 3927-2024")</f>
        <v/>
      </c>
      <c r="Y392">
        <f>HYPERLINK("https://klasma.github.io/Logging_1983/tillsynsmail/A 3927-2024 tillsynsbegäran mail.docx", "A 3927-2024")</f>
        <v/>
      </c>
    </row>
    <row r="393" ht="15" customHeight="1">
      <c r="A393" t="inlineStr">
        <is>
          <t>A 5168-2024</t>
        </is>
      </c>
      <c r="B393" s="1" t="n">
        <v>45330</v>
      </c>
      <c r="C393" s="1" t="n">
        <v>45811</v>
      </c>
      <c r="D393" t="inlineStr">
        <is>
          <t>VÄSTMANLANDS LÄN</t>
        </is>
      </c>
      <c r="E393" t="inlineStr">
        <is>
          <t>SURAHAMMAR</t>
        </is>
      </c>
      <c r="F393" t="inlineStr">
        <is>
          <t>Övriga Aktiebolag</t>
        </is>
      </c>
      <c r="G393" t="n">
        <v>3.4</v>
      </c>
      <c r="H393" t="n">
        <v>1</v>
      </c>
      <c r="I393" t="n">
        <v>0</v>
      </c>
      <c r="J393" t="n">
        <v>0</v>
      </c>
      <c r="K393" t="n">
        <v>0</v>
      </c>
      <c r="L393" t="n">
        <v>0</v>
      </c>
      <c r="M393" t="n">
        <v>0</v>
      </c>
      <c r="N393" t="n">
        <v>0</v>
      </c>
      <c r="O393" t="n">
        <v>0</v>
      </c>
      <c r="P393" t="n">
        <v>0</v>
      </c>
      <c r="Q393" t="n">
        <v>1</v>
      </c>
      <c r="R393" s="2" t="inlineStr">
        <is>
          <t>Göktyta</t>
        </is>
      </c>
      <c r="S393">
        <f>HYPERLINK("https://klasma.github.io/Logging_1907/artfynd/A 5168-2024 artfynd.xlsx", "A 5168-2024")</f>
        <v/>
      </c>
      <c r="T393">
        <f>HYPERLINK("https://klasma.github.io/Logging_1907/kartor/A 5168-2024 karta.png", "A 5168-2024")</f>
        <v/>
      </c>
      <c r="V393">
        <f>HYPERLINK("https://klasma.github.io/Logging_1907/klagomål/A 5168-2024 FSC-klagomål.docx", "A 5168-2024")</f>
        <v/>
      </c>
      <c r="W393">
        <f>HYPERLINK("https://klasma.github.io/Logging_1907/klagomålsmail/A 5168-2024 FSC-klagomål mail.docx", "A 5168-2024")</f>
        <v/>
      </c>
      <c r="X393">
        <f>HYPERLINK("https://klasma.github.io/Logging_1907/tillsyn/A 5168-2024 tillsynsbegäran.docx", "A 5168-2024")</f>
        <v/>
      </c>
      <c r="Y393">
        <f>HYPERLINK("https://klasma.github.io/Logging_1907/tillsynsmail/A 5168-2024 tillsynsbegäran mail.docx", "A 5168-2024")</f>
        <v/>
      </c>
      <c r="Z393">
        <f>HYPERLINK("https://klasma.github.io/Logging_1907/fåglar/A 5168-2024 prioriterade fågelarter.docx", "A 5168-2024")</f>
        <v/>
      </c>
    </row>
    <row r="394" ht="15" customHeight="1">
      <c r="A394" t="inlineStr">
        <is>
          <t>A 6249-2024</t>
        </is>
      </c>
      <c r="B394" s="1" t="n">
        <v>45337</v>
      </c>
      <c r="C394" s="1" t="n">
        <v>45811</v>
      </c>
      <c r="D394" t="inlineStr">
        <is>
          <t>VÄSTMANLANDS LÄN</t>
        </is>
      </c>
      <c r="E394" t="inlineStr">
        <is>
          <t>VÄSTERÅS</t>
        </is>
      </c>
      <c r="G394" t="n">
        <v>6.5</v>
      </c>
      <c r="H394" t="n">
        <v>1</v>
      </c>
      <c r="I394" t="n">
        <v>0</v>
      </c>
      <c r="J394" t="n">
        <v>0</v>
      </c>
      <c r="K394" t="n">
        <v>0</v>
      </c>
      <c r="L394" t="n">
        <v>1</v>
      </c>
      <c r="M394" t="n">
        <v>0</v>
      </c>
      <c r="N394" t="n">
        <v>0</v>
      </c>
      <c r="O394" t="n">
        <v>1</v>
      </c>
      <c r="P394" t="n">
        <v>1</v>
      </c>
      <c r="Q394" t="n">
        <v>1</v>
      </c>
      <c r="R394" s="2" t="inlineStr">
        <is>
          <t>Grönfink</t>
        </is>
      </c>
      <c r="S394">
        <f>HYPERLINK("https://klasma.github.io/Logging_1980/artfynd/A 6249-2024 artfynd.xlsx", "A 6249-2024")</f>
        <v/>
      </c>
      <c r="T394">
        <f>HYPERLINK("https://klasma.github.io/Logging_1980/kartor/A 6249-2024 karta.png", "A 6249-2024")</f>
        <v/>
      </c>
      <c r="V394">
        <f>HYPERLINK("https://klasma.github.io/Logging_1980/klagomål/A 6249-2024 FSC-klagomål.docx", "A 6249-2024")</f>
        <v/>
      </c>
      <c r="W394">
        <f>HYPERLINK("https://klasma.github.io/Logging_1980/klagomålsmail/A 6249-2024 FSC-klagomål mail.docx", "A 6249-2024")</f>
        <v/>
      </c>
      <c r="X394">
        <f>HYPERLINK("https://klasma.github.io/Logging_1980/tillsyn/A 6249-2024 tillsynsbegäran.docx", "A 6249-2024")</f>
        <v/>
      </c>
      <c r="Y394">
        <f>HYPERLINK("https://klasma.github.io/Logging_1980/tillsynsmail/A 6249-2024 tillsynsbegäran mail.docx", "A 6249-2024")</f>
        <v/>
      </c>
      <c r="Z394">
        <f>HYPERLINK("https://klasma.github.io/Logging_1980/fåglar/A 6249-2024 prioriterade fågelarter.docx", "A 6249-2024")</f>
        <v/>
      </c>
    </row>
    <row r="395" ht="15" customHeight="1">
      <c r="A395" t="inlineStr">
        <is>
          <t>A 9510-2024</t>
        </is>
      </c>
      <c r="B395" s="1" t="n">
        <v>45359</v>
      </c>
      <c r="C395" s="1" t="n">
        <v>45811</v>
      </c>
      <c r="D395" t="inlineStr">
        <is>
          <t>VÄSTMANLANDS LÄN</t>
        </is>
      </c>
      <c r="E395" t="inlineStr">
        <is>
          <t>KÖPING</t>
        </is>
      </c>
      <c r="F395" t="inlineStr">
        <is>
          <t>Sveaskog</t>
        </is>
      </c>
      <c r="G395" t="n">
        <v>3</v>
      </c>
      <c r="H395" t="n">
        <v>0</v>
      </c>
      <c r="I395" t="n">
        <v>0</v>
      </c>
      <c r="J395" t="n">
        <v>1</v>
      </c>
      <c r="K395" t="n">
        <v>0</v>
      </c>
      <c r="L395" t="n">
        <v>0</v>
      </c>
      <c r="M395" t="n">
        <v>0</v>
      </c>
      <c r="N395" t="n">
        <v>0</v>
      </c>
      <c r="O395" t="n">
        <v>1</v>
      </c>
      <c r="P395" t="n">
        <v>0</v>
      </c>
      <c r="Q395" t="n">
        <v>1</v>
      </c>
      <c r="R395" s="2" t="inlineStr">
        <is>
          <t>Storgröe</t>
        </is>
      </c>
      <c r="S395">
        <f>HYPERLINK("https://klasma.github.io/Logging_1983/artfynd/A 9510-2024 artfynd.xlsx", "A 9510-2024")</f>
        <v/>
      </c>
      <c r="T395">
        <f>HYPERLINK("https://klasma.github.io/Logging_1983/kartor/A 9510-2024 karta.png", "A 9510-2024")</f>
        <v/>
      </c>
      <c r="V395">
        <f>HYPERLINK("https://klasma.github.io/Logging_1983/klagomål/A 9510-2024 FSC-klagomål.docx", "A 9510-2024")</f>
        <v/>
      </c>
      <c r="W395">
        <f>HYPERLINK("https://klasma.github.io/Logging_1983/klagomålsmail/A 9510-2024 FSC-klagomål mail.docx", "A 9510-2024")</f>
        <v/>
      </c>
      <c r="X395">
        <f>HYPERLINK("https://klasma.github.io/Logging_1983/tillsyn/A 9510-2024 tillsynsbegäran.docx", "A 9510-2024")</f>
        <v/>
      </c>
      <c r="Y395">
        <f>HYPERLINK("https://klasma.github.io/Logging_1983/tillsynsmail/A 9510-2024 tillsynsbegäran mail.docx", "A 9510-2024")</f>
        <v/>
      </c>
    </row>
    <row r="396" ht="15" customHeight="1">
      <c r="A396" t="inlineStr">
        <is>
          <t>A 10819-2024</t>
        </is>
      </c>
      <c r="B396" s="1" t="n">
        <v>45369</v>
      </c>
      <c r="C396" s="1" t="n">
        <v>45811</v>
      </c>
      <c r="D396" t="inlineStr">
        <is>
          <t>VÄSTMANLANDS LÄN</t>
        </is>
      </c>
      <c r="E396" t="inlineStr">
        <is>
          <t>SURAHAMMAR</t>
        </is>
      </c>
      <c r="G396" t="n">
        <v>2</v>
      </c>
      <c r="H396" t="n">
        <v>0</v>
      </c>
      <c r="I396" t="n">
        <v>1</v>
      </c>
      <c r="J396" t="n">
        <v>0</v>
      </c>
      <c r="K396" t="n">
        <v>0</v>
      </c>
      <c r="L396" t="n">
        <v>0</v>
      </c>
      <c r="M396" t="n">
        <v>0</v>
      </c>
      <c r="N396" t="n">
        <v>0</v>
      </c>
      <c r="O396" t="n">
        <v>0</v>
      </c>
      <c r="P396" t="n">
        <v>0</v>
      </c>
      <c r="Q396" t="n">
        <v>1</v>
      </c>
      <c r="R396" s="2" t="inlineStr">
        <is>
          <t>Tibast</t>
        </is>
      </c>
      <c r="S396">
        <f>HYPERLINK("https://klasma.github.io/Logging_1907/artfynd/A 10819-2024 artfynd.xlsx", "A 10819-2024")</f>
        <v/>
      </c>
      <c r="T396">
        <f>HYPERLINK("https://klasma.github.io/Logging_1907/kartor/A 10819-2024 karta.png", "A 10819-2024")</f>
        <v/>
      </c>
      <c r="V396">
        <f>HYPERLINK("https://klasma.github.io/Logging_1907/klagomål/A 10819-2024 FSC-klagomål.docx", "A 10819-2024")</f>
        <v/>
      </c>
      <c r="W396">
        <f>HYPERLINK("https://klasma.github.io/Logging_1907/klagomålsmail/A 10819-2024 FSC-klagomål mail.docx", "A 10819-2024")</f>
        <v/>
      </c>
      <c r="X396">
        <f>HYPERLINK("https://klasma.github.io/Logging_1907/tillsyn/A 10819-2024 tillsynsbegäran.docx", "A 10819-2024")</f>
        <v/>
      </c>
      <c r="Y396">
        <f>HYPERLINK("https://klasma.github.io/Logging_1907/tillsynsmail/A 10819-2024 tillsynsbegäran mail.docx", "A 10819-2024")</f>
        <v/>
      </c>
    </row>
    <row r="397" ht="15" customHeight="1">
      <c r="A397" t="inlineStr">
        <is>
          <t>A 12179-2024</t>
        </is>
      </c>
      <c r="B397" s="1" t="n">
        <v>45377</v>
      </c>
      <c r="C397" s="1" t="n">
        <v>45811</v>
      </c>
      <c r="D397" t="inlineStr">
        <is>
          <t>VÄSTMANLANDS LÄN</t>
        </is>
      </c>
      <c r="E397" t="inlineStr">
        <is>
          <t>KÖPING</t>
        </is>
      </c>
      <c r="F397" t="inlineStr">
        <is>
          <t>Allmännings- och besparingsskogar</t>
        </is>
      </c>
      <c r="G397" t="n">
        <v>11.4</v>
      </c>
      <c r="H397" t="n">
        <v>1</v>
      </c>
      <c r="I397" t="n">
        <v>0</v>
      </c>
      <c r="J397" t="n">
        <v>0</v>
      </c>
      <c r="K397" t="n">
        <v>0</v>
      </c>
      <c r="L397" t="n">
        <v>0</v>
      </c>
      <c r="M397" t="n">
        <v>0</v>
      </c>
      <c r="N397" t="n">
        <v>0</v>
      </c>
      <c r="O397" t="n">
        <v>0</v>
      </c>
      <c r="P397" t="n">
        <v>0</v>
      </c>
      <c r="Q397" t="n">
        <v>1</v>
      </c>
      <c r="R397" s="2" t="inlineStr">
        <is>
          <t>Orre</t>
        </is>
      </c>
      <c r="S397">
        <f>HYPERLINK("https://klasma.github.io/Logging_1983/artfynd/A 12179-2024 artfynd.xlsx", "A 12179-2024")</f>
        <v/>
      </c>
      <c r="T397">
        <f>HYPERLINK("https://klasma.github.io/Logging_1983/kartor/A 12179-2024 karta.png", "A 12179-2024")</f>
        <v/>
      </c>
      <c r="V397">
        <f>HYPERLINK("https://klasma.github.io/Logging_1983/klagomål/A 12179-2024 FSC-klagomål.docx", "A 12179-2024")</f>
        <v/>
      </c>
      <c r="W397">
        <f>HYPERLINK("https://klasma.github.io/Logging_1983/klagomålsmail/A 12179-2024 FSC-klagomål mail.docx", "A 12179-2024")</f>
        <v/>
      </c>
      <c r="X397">
        <f>HYPERLINK("https://klasma.github.io/Logging_1983/tillsyn/A 12179-2024 tillsynsbegäran.docx", "A 12179-2024")</f>
        <v/>
      </c>
      <c r="Y397">
        <f>HYPERLINK("https://klasma.github.io/Logging_1983/tillsynsmail/A 12179-2024 tillsynsbegäran mail.docx", "A 12179-2024")</f>
        <v/>
      </c>
      <c r="Z397">
        <f>HYPERLINK("https://klasma.github.io/Logging_1983/fåglar/A 12179-2024 prioriterade fågelarter.docx", "A 12179-2024")</f>
        <v/>
      </c>
    </row>
    <row r="398" ht="15" customHeight="1">
      <c r="A398" t="inlineStr">
        <is>
          <t>A 12434-2024</t>
        </is>
      </c>
      <c r="B398" s="1" t="n">
        <v>45379</v>
      </c>
      <c r="C398" s="1" t="n">
        <v>45811</v>
      </c>
      <c r="D398" t="inlineStr">
        <is>
          <t>VÄSTMANLANDS LÄN</t>
        </is>
      </c>
      <c r="E398" t="inlineStr">
        <is>
          <t>SALA</t>
        </is>
      </c>
      <c r="G398" t="n">
        <v>7.8</v>
      </c>
      <c r="H398" t="n">
        <v>1</v>
      </c>
      <c r="I398" t="n">
        <v>0</v>
      </c>
      <c r="J398" t="n">
        <v>0</v>
      </c>
      <c r="K398" t="n">
        <v>1</v>
      </c>
      <c r="L398" t="n">
        <v>0</v>
      </c>
      <c r="M398" t="n">
        <v>0</v>
      </c>
      <c r="N398" t="n">
        <v>0</v>
      </c>
      <c r="O398" t="n">
        <v>1</v>
      </c>
      <c r="P398" t="n">
        <v>1</v>
      </c>
      <c r="Q398" t="n">
        <v>1</v>
      </c>
      <c r="R398" s="2" t="inlineStr">
        <is>
          <t>Knärot</t>
        </is>
      </c>
      <c r="S398">
        <f>HYPERLINK("https://klasma.github.io/Logging_1981/artfynd/A 12434-2024 artfynd.xlsx", "A 12434-2024")</f>
        <v/>
      </c>
      <c r="T398">
        <f>HYPERLINK("https://klasma.github.io/Logging_1981/kartor/A 12434-2024 karta.png", "A 12434-2024")</f>
        <v/>
      </c>
      <c r="U398">
        <f>HYPERLINK("https://klasma.github.io/Logging_1981/knärot/A 12434-2024 karta knärot.png", "A 12434-2024")</f>
        <v/>
      </c>
      <c r="V398">
        <f>HYPERLINK("https://klasma.github.io/Logging_1981/klagomål/A 12434-2024 FSC-klagomål.docx", "A 12434-2024")</f>
        <v/>
      </c>
      <c r="W398">
        <f>HYPERLINK("https://klasma.github.io/Logging_1981/klagomålsmail/A 12434-2024 FSC-klagomål mail.docx", "A 12434-2024")</f>
        <v/>
      </c>
      <c r="X398">
        <f>HYPERLINK("https://klasma.github.io/Logging_1981/tillsyn/A 12434-2024 tillsynsbegäran.docx", "A 12434-2024")</f>
        <v/>
      </c>
      <c r="Y398">
        <f>HYPERLINK("https://klasma.github.io/Logging_1981/tillsynsmail/A 12434-2024 tillsynsbegäran mail.docx", "A 12434-2024")</f>
        <v/>
      </c>
    </row>
    <row r="399" ht="15" customHeight="1">
      <c r="A399" t="inlineStr">
        <is>
          <t>A 12887-2024</t>
        </is>
      </c>
      <c r="B399" s="1" t="n">
        <v>45385</v>
      </c>
      <c r="C399" s="1" t="n">
        <v>45811</v>
      </c>
      <c r="D399" t="inlineStr">
        <is>
          <t>VÄSTMANLANDS LÄN</t>
        </is>
      </c>
      <c r="E399" t="inlineStr">
        <is>
          <t>SKINNSKATTEBERG</t>
        </is>
      </c>
      <c r="F399" t="inlineStr">
        <is>
          <t>Sveaskog</t>
        </is>
      </c>
      <c r="G399" t="n">
        <v>6.5</v>
      </c>
      <c r="H399" t="n">
        <v>1</v>
      </c>
      <c r="I399" t="n">
        <v>0</v>
      </c>
      <c r="J399" t="n">
        <v>0</v>
      </c>
      <c r="K399" t="n">
        <v>0</v>
      </c>
      <c r="L399" t="n">
        <v>0</v>
      </c>
      <c r="M399" t="n">
        <v>0</v>
      </c>
      <c r="N399" t="n">
        <v>0</v>
      </c>
      <c r="O399" t="n">
        <v>0</v>
      </c>
      <c r="P399" t="n">
        <v>0</v>
      </c>
      <c r="Q399" t="n">
        <v>1</v>
      </c>
      <c r="R399" s="2" t="inlineStr">
        <is>
          <t>Sparvuggla</t>
        </is>
      </c>
      <c r="S399">
        <f>HYPERLINK("https://klasma.github.io/Logging_1904/artfynd/A 12887-2024 artfynd.xlsx", "A 12887-2024")</f>
        <v/>
      </c>
      <c r="T399">
        <f>HYPERLINK("https://klasma.github.io/Logging_1904/kartor/A 12887-2024 karta.png", "A 12887-2024")</f>
        <v/>
      </c>
      <c r="V399">
        <f>HYPERLINK("https://klasma.github.io/Logging_1904/klagomål/A 12887-2024 FSC-klagomål.docx", "A 12887-2024")</f>
        <v/>
      </c>
      <c r="W399">
        <f>HYPERLINK("https://klasma.github.io/Logging_1904/klagomålsmail/A 12887-2024 FSC-klagomål mail.docx", "A 12887-2024")</f>
        <v/>
      </c>
      <c r="X399">
        <f>HYPERLINK("https://klasma.github.io/Logging_1904/tillsyn/A 12887-2024 tillsynsbegäran.docx", "A 12887-2024")</f>
        <v/>
      </c>
      <c r="Y399">
        <f>HYPERLINK("https://klasma.github.io/Logging_1904/tillsynsmail/A 12887-2024 tillsynsbegäran mail.docx", "A 12887-2024")</f>
        <v/>
      </c>
      <c r="Z399">
        <f>HYPERLINK("https://klasma.github.io/Logging_1904/fåglar/A 12887-2024 prioriterade fågelarter.docx", "A 12887-2024")</f>
        <v/>
      </c>
    </row>
    <row r="400" ht="15" customHeight="1">
      <c r="A400" t="inlineStr">
        <is>
          <t>A 16015-2024</t>
        </is>
      </c>
      <c r="B400" s="1" t="n">
        <v>45405</v>
      </c>
      <c r="C400" s="1" t="n">
        <v>45811</v>
      </c>
      <c r="D400" t="inlineStr">
        <is>
          <t>VÄSTMANLANDS LÄN</t>
        </is>
      </c>
      <c r="E400" t="inlineStr">
        <is>
          <t>VÄSTERÅS</t>
        </is>
      </c>
      <c r="G400" t="n">
        <v>6.8</v>
      </c>
      <c r="H400" t="n">
        <v>0</v>
      </c>
      <c r="I400" t="n">
        <v>0</v>
      </c>
      <c r="J400" t="n">
        <v>1</v>
      </c>
      <c r="K400" t="n">
        <v>0</v>
      </c>
      <c r="L400" t="n">
        <v>0</v>
      </c>
      <c r="M400" t="n">
        <v>0</v>
      </c>
      <c r="N400" t="n">
        <v>0</v>
      </c>
      <c r="O400" t="n">
        <v>1</v>
      </c>
      <c r="P400" t="n">
        <v>0</v>
      </c>
      <c r="Q400" t="n">
        <v>1</v>
      </c>
      <c r="R400" s="2" t="inlineStr">
        <is>
          <t>Orange taggsvamp</t>
        </is>
      </c>
      <c r="S400">
        <f>HYPERLINK("https://klasma.github.io/Logging_1980/artfynd/A 16015-2024 artfynd.xlsx", "A 16015-2024")</f>
        <v/>
      </c>
      <c r="T400">
        <f>HYPERLINK("https://klasma.github.io/Logging_1980/kartor/A 16015-2024 karta.png", "A 16015-2024")</f>
        <v/>
      </c>
      <c r="V400">
        <f>HYPERLINK("https://klasma.github.io/Logging_1980/klagomål/A 16015-2024 FSC-klagomål.docx", "A 16015-2024")</f>
        <v/>
      </c>
      <c r="W400">
        <f>HYPERLINK("https://klasma.github.io/Logging_1980/klagomålsmail/A 16015-2024 FSC-klagomål mail.docx", "A 16015-2024")</f>
        <v/>
      </c>
      <c r="X400">
        <f>HYPERLINK("https://klasma.github.io/Logging_1980/tillsyn/A 16015-2024 tillsynsbegäran.docx", "A 16015-2024")</f>
        <v/>
      </c>
      <c r="Y400">
        <f>HYPERLINK("https://klasma.github.io/Logging_1980/tillsynsmail/A 16015-2024 tillsynsbegäran mail.docx", "A 16015-2024")</f>
        <v/>
      </c>
    </row>
    <row r="401" ht="15" customHeight="1">
      <c r="A401" t="inlineStr">
        <is>
          <t>A 16524-2024</t>
        </is>
      </c>
      <c r="B401" s="1" t="n">
        <v>45408</v>
      </c>
      <c r="C401" s="1" t="n">
        <v>45811</v>
      </c>
      <c r="D401" t="inlineStr">
        <is>
          <t>VÄSTMANLANDS LÄN</t>
        </is>
      </c>
      <c r="E401" t="inlineStr">
        <is>
          <t>SKINNSKATTEBERG</t>
        </is>
      </c>
      <c r="F401" t="inlineStr">
        <is>
          <t>Sveaskog</t>
        </is>
      </c>
      <c r="G401" t="n">
        <v>3.1</v>
      </c>
      <c r="H401" t="n">
        <v>0</v>
      </c>
      <c r="I401" t="n">
        <v>1</v>
      </c>
      <c r="J401" t="n">
        <v>0</v>
      </c>
      <c r="K401" t="n">
        <v>0</v>
      </c>
      <c r="L401" t="n">
        <v>0</v>
      </c>
      <c r="M401" t="n">
        <v>0</v>
      </c>
      <c r="N401" t="n">
        <v>0</v>
      </c>
      <c r="O401" t="n">
        <v>0</v>
      </c>
      <c r="P401" t="n">
        <v>0</v>
      </c>
      <c r="Q401" t="n">
        <v>1</v>
      </c>
      <c r="R401" s="2" t="inlineStr">
        <is>
          <t>Grönpyrola</t>
        </is>
      </c>
      <c r="S401">
        <f>HYPERLINK("https://klasma.github.io/Logging_1904/artfynd/A 16524-2024 artfynd.xlsx", "A 16524-2024")</f>
        <v/>
      </c>
      <c r="T401">
        <f>HYPERLINK("https://klasma.github.io/Logging_1904/kartor/A 16524-2024 karta.png", "A 16524-2024")</f>
        <v/>
      </c>
      <c r="V401">
        <f>HYPERLINK("https://klasma.github.io/Logging_1904/klagomål/A 16524-2024 FSC-klagomål.docx", "A 16524-2024")</f>
        <v/>
      </c>
      <c r="W401">
        <f>HYPERLINK("https://klasma.github.io/Logging_1904/klagomålsmail/A 16524-2024 FSC-klagomål mail.docx", "A 16524-2024")</f>
        <v/>
      </c>
      <c r="X401">
        <f>HYPERLINK("https://klasma.github.io/Logging_1904/tillsyn/A 16524-2024 tillsynsbegäran.docx", "A 16524-2024")</f>
        <v/>
      </c>
      <c r="Y401">
        <f>HYPERLINK("https://klasma.github.io/Logging_1904/tillsynsmail/A 16524-2024 tillsynsbegäran mail.docx", "A 16524-2024")</f>
        <v/>
      </c>
    </row>
    <row r="402" ht="15" customHeight="1">
      <c r="A402" t="inlineStr">
        <is>
          <t>A 17381-2024</t>
        </is>
      </c>
      <c r="B402" s="1" t="n">
        <v>45414</v>
      </c>
      <c r="C402" s="1" t="n">
        <v>45811</v>
      </c>
      <c r="D402" t="inlineStr">
        <is>
          <t>VÄSTMANLANDS LÄN</t>
        </is>
      </c>
      <c r="E402" t="inlineStr">
        <is>
          <t>SKINNSKATTEBERG</t>
        </is>
      </c>
      <c r="G402" t="n">
        <v>4.4</v>
      </c>
      <c r="H402" t="n">
        <v>0</v>
      </c>
      <c r="I402" t="n">
        <v>0</v>
      </c>
      <c r="J402" t="n">
        <v>1</v>
      </c>
      <c r="K402" t="n">
        <v>0</v>
      </c>
      <c r="L402" t="n">
        <v>0</v>
      </c>
      <c r="M402" t="n">
        <v>0</v>
      </c>
      <c r="N402" t="n">
        <v>0</v>
      </c>
      <c r="O402" t="n">
        <v>1</v>
      </c>
      <c r="P402" t="n">
        <v>0</v>
      </c>
      <c r="Q402" t="n">
        <v>1</v>
      </c>
      <c r="R402" s="2" t="inlineStr">
        <is>
          <t>Skogsklocka</t>
        </is>
      </c>
      <c r="S402">
        <f>HYPERLINK("https://klasma.github.io/Logging_1904/artfynd/A 17381-2024 artfynd.xlsx", "A 17381-2024")</f>
        <v/>
      </c>
      <c r="T402">
        <f>HYPERLINK("https://klasma.github.io/Logging_1904/kartor/A 17381-2024 karta.png", "A 17381-2024")</f>
        <v/>
      </c>
      <c r="V402">
        <f>HYPERLINK("https://klasma.github.io/Logging_1904/klagomål/A 17381-2024 FSC-klagomål.docx", "A 17381-2024")</f>
        <v/>
      </c>
      <c r="W402">
        <f>HYPERLINK("https://klasma.github.io/Logging_1904/klagomålsmail/A 17381-2024 FSC-klagomål mail.docx", "A 17381-2024")</f>
        <v/>
      </c>
      <c r="X402">
        <f>HYPERLINK("https://klasma.github.io/Logging_1904/tillsyn/A 17381-2024 tillsynsbegäran.docx", "A 17381-2024")</f>
        <v/>
      </c>
      <c r="Y402">
        <f>HYPERLINK("https://klasma.github.io/Logging_1904/tillsynsmail/A 17381-2024 tillsynsbegäran mail.docx", "A 17381-2024")</f>
        <v/>
      </c>
    </row>
    <row r="403" ht="15" customHeight="1">
      <c r="A403" t="inlineStr">
        <is>
          <t>A 18148-2024</t>
        </is>
      </c>
      <c r="B403" s="1" t="n">
        <v>45420</v>
      </c>
      <c r="C403" s="1" t="n">
        <v>45811</v>
      </c>
      <c r="D403" t="inlineStr">
        <is>
          <t>VÄSTMANLANDS LÄN</t>
        </is>
      </c>
      <c r="E403" t="inlineStr">
        <is>
          <t>VÄSTERÅS</t>
        </is>
      </c>
      <c r="G403" t="n">
        <v>11.2</v>
      </c>
      <c r="H403" t="n">
        <v>1</v>
      </c>
      <c r="I403" t="n">
        <v>0</v>
      </c>
      <c r="J403" t="n">
        <v>0</v>
      </c>
      <c r="K403" t="n">
        <v>0</v>
      </c>
      <c r="L403" t="n">
        <v>0</v>
      </c>
      <c r="M403" t="n">
        <v>0</v>
      </c>
      <c r="N403" t="n">
        <v>0</v>
      </c>
      <c r="O403" t="n">
        <v>0</v>
      </c>
      <c r="P403" t="n">
        <v>0</v>
      </c>
      <c r="Q403" t="n">
        <v>1</v>
      </c>
      <c r="R403" s="2" t="inlineStr">
        <is>
          <t>Vanlig padda</t>
        </is>
      </c>
      <c r="S403">
        <f>HYPERLINK("https://klasma.github.io/Logging_1980/artfynd/A 18148-2024 artfynd.xlsx", "A 18148-2024")</f>
        <v/>
      </c>
      <c r="T403">
        <f>HYPERLINK("https://klasma.github.io/Logging_1980/kartor/A 18148-2024 karta.png", "A 18148-2024")</f>
        <v/>
      </c>
      <c r="V403">
        <f>HYPERLINK("https://klasma.github.io/Logging_1980/klagomål/A 18148-2024 FSC-klagomål.docx", "A 18148-2024")</f>
        <v/>
      </c>
      <c r="W403">
        <f>HYPERLINK("https://klasma.github.io/Logging_1980/klagomålsmail/A 18148-2024 FSC-klagomål mail.docx", "A 18148-2024")</f>
        <v/>
      </c>
      <c r="X403">
        <f>HYPERLINK("https://klasma.github.io/Logging_1980/tillsyn/A 18148-2024 tillsynsbegäran.docx", "A 18148-2024")</f>
        <v/>
      </c>
      <c r="Y403">
        <f>HYPERLINK("https://klasma.github.io/Logging_1980/tillsynsmail/A 18148-2024 tillsynsbegäran mail.docx", "A 18148-2024")</f>
        <v/>
      </c>
    </row>
    <row r="404" ht="15" customHeight="1">
      <c r="A404" t="inlineStr">
        <is>
          <t>A 18495-2024</t>
        </is>
      </c>
      <c r="B404" s="1" t="n">
        <v>45425</v>
      </c>
      <c r="C404" s="1" t="n">
        <v>45811</v>
      </c>
      <c r="D404" t="inlineStr">
        <is>
          <t>VÄSTMANLANDS LÄN</t>
        </is>
      </c>
      <c r="E404" t="inlineStr">
        <is>
          <t>ARBOGA</t>
        </is>
      </c>
      <c r="F404" t="inlineStr">
        <is>
          <t>Sveaskog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HYPERLINK("https://klasma.github.io/Logging_1984/artfynd/A 18495-2024 artfynd.xlsx", "A 18495-2024")</f>
        <v/>
      </c>
      <c r="T404">
        <f>HYPERLINK("https://klasma.github.io/Logging_1984/kartor/A 18495-2024 karta.png", "A 18495-2024")</f>
        <v/>
      </c>
      <c r="V404">
        <f>HYPERLINK("https://klasma.github.io/Logging_1984/klagomål/A 18495-2024 FSC-klagomål.docx", "A 18495-2024")</f>
        <v/>
      </c>
      <c r="W404">
        <f>HYPERLINK("https://klasma.github.io/Logging_1984/klagomålsmail/A 18495-2024 FSC-klagomål mail.docx", "A 18495-2024")</f>
        <v/>
      </c>
      <c r="X404">
        <f>HYPERLINK("https://klasma.github.io/Logging_1984/tillsyn/A 18495-2024 tillsynsbegäran.docx", "A 18495-2024")</f>
        <v/>
      </c>
      <c r="Y404">
        <f>HYPERLINK("https://klasma.github.io/Logging_1984/tillsynsmail/A 18495-2024 tillsynsbegäran mail.docx", "A 18495-2024")</f>
        <v/>
      </c>
    </row>
    <row r="405" ht="15" customHeight="1">
      <c r="A405" t="inlineStr">
        <is>
          <t>A 19201-2024</t>
        </is>
      </c>
      <c r="B405" s="1" t="n">
        <v>45428</v>
      </c>
      <c r="C405" s="1" t="n">
        <v>45811</v>
      </c>
      <c r="D405" t="inlineStr">
        <is>
          <t>VÄSTMANLANDS LÄN</t>
        </is>
      </c>
      <c r="E405" t="inlineStr">
        <is>
          <t>SKINNSKATTEBERG</t>
        </is>
      </c>
      <c r="F405" t="inlineStr">
        <is>
          <t>Sveaskog</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HYPERLINK("https://klasma.github.io/Logging_1904/artfynd/A 19201-2024 artfynd.xlsx", "A 19201-2024")</f>
        <v/>
      </c>
      <c r="T405">
        <f>HYPERLINK("https://klasma.github.io/Logging_1904/kartor/A 19201-2024 karta.png", "A 19201-2024")</f>
        <v/>
      </c>
      <c r="V405">
        <f>HYPERLINK("https://klasma.github.io/Logging_1904/klagomål/A 19201-2024 FSC-klagomål.docx", "A 19201-2024")</f>
        <v/>
      </c>
      <c r="W405">
        <f>HYPERLINK("https://klasma.github.io/Logging_1904/klagomålsmail/A 19201-2024 FSC-klagomål mail.docx", "A 19201-2024")</f>
        <v/>
      </c>
      <c r="X405">
        <f>HYPERLINK("https://klasma.github.io/Logging_1904/tillsyn/A 19201-2024 tillsynsbegäran.docx", "A 19201-2024")</f>
        <v/>
      </c>
      <c r="Y405">
        <f>HYPERLINK("https://klasma.github.io/Logging_1904/tillsynsmail/A 19201-2024 tillsynsbegäran mail.docx", "A 19201-2024")</f>
        <v/>
      </c>
      <c r="Z405">
        <f>HYPERLINK("https://klasma.github.io/Logging_1904/fåglar/A 19201-2024 prioriterade fågelarter.docx", "A 19201-2024")</f>
        <v/>
      </c>
    </row>
    <row r="406" ht="15" customHeight="1">
      <c r="A406" t="inlineStr">
        <is>
          <t>A 19716-2024</t>
        </is>
      </c>
      <c r="B406" s="1" t="n">
        <v>45432</v>
      </c>
      <c r="C406" s="1" t="n">
        <v>45811</v>
      </c>
      <c r="D406" t="inlineStr">
        <is>
          <t>VÄSTMANLANDS LÄN</t>
        </is>
      </c>
      <c r="E406" t="inlineStr">
        <is>
          <t>SALA</t>
        </is>
      </c>
      <c r="G406" t="n">
        <v>5.5</v>
      </c>
      <c r="H406" t="n">
        <v>1</v>
      </c>
      <c r="I406" t="n">
        <v>0</v>
      </c>
      <c r="J406" t="n">
        <v>0</v>
      </c>
      <c r="K406" t="n">
        <v>0</v>
      </c>
      <c r="L406" t="n">
        <v>0</v>
      </c>
      <c r="M406" t="n">
        <v>0</v>
      </c>
      <c r="N406" t="n">
        <v>0</v>
      </c>
      <c r="O406" t="n">
        <v>0</v>
      </c>
      <c r="P406" t="n">
        <v>0</v>
      </c>
      <c r="Q406" t="n">
        <v>1</v>
      </c>
      <c r="R406" s="2" t="inlineStr">
        <is>
          <t>Fläcknycklar</t>
        </is>
      </c>
      <c r="S406">
        <f>HYPERLINK("https://klasma.github.io/Logging_1981/artfynd/A 19716-2024 artfynd.xlsx", "A 19716-2024")</f>
        <v/>
      </c>
      <c r="T406">
        <f>HYPERLINK("https://klasma.github.io/Logging_1981/kartor/A 19716-2024 karta.png", "A 19716-2024")</f>
        <v/>
      </c>
      <c r="V406">
        <f>HYPERLINK("https://klasma.github.io/Logging_1981/klagomål/A 19716-2024 FSC-klagomål.docx", "A 19716-2024")</f>
        <v/>
      </c>
      <c r="W406">
        <f>HYPERLINK("https://klasma.github.io/Logging_1981/klagomålsmail/A 19716-2024 FSC-klagomål mail.docx", "A 19716-2024")</f>
        <v/>
      </c>
      <c r="X406">
        <f>HYPERLINK("https://klasma.github.io/Logging_1981/tillsyn/A 19716-2024 tillsynsbegäran.docx", "A 19716-2024")</f>
        <v/>
      </c>
      <c r="Y406">
        <f>HYPERLINK("https://klasma.github.io/Logging_1981/tillsynsmail/A 19716-2024 tillsynsbegäran mail.docx", "A 19716-2024")</f>
        <v/>
      </c>
    </row>
    <row r="407" ht="15" customHeight="1">
      <c r="A407" t="inlineStr">
        <is>
          <t>A 20064-2024</t>
        </is>
      </c>
      <c r="B407" s="1" t="n">
        <v>45434</v>
      </c>
      <c r="C407" s="1" t="n">
        <v>45811</v>
      </c>
      <c r="D407" t="inlineStr">
        <is>
          <t>VÄSTMANLANDS LÄN</t>
        </is>
      </c>
      <c r="E407" t="inlineStr">
        <is>
          <t>ARBOGA</t>
        </is>
      </c>
      <c r="G407" t="n">
        <v>7.1</v>
      </c>
      <c r="H407" t="n">
        <v>0</v>
      </c>
      <c r="I407" t="n">
        <v>0</v>
      </c>
      <c r="J407" t="n">
        <v>0</v>
      </c>
      <c r="K407" t="n">
        <v>0</v>
      </c>
      <c r="L407" t="n">
        <v>1</v>
      </c>
      <c r="M407" t="n">
        <v>0</v>
      </c>
      <c r="N407" t="n">
        <v>0</v>
      </c>
      <c r="O407" t="n">
        <v>1</v>
      </c>
      <c r="P407" t="n">
        <v>1</v>
      </c>
      <c r="Q407" t="n">
        <v>1</v>
      </c>
      <c r="R407" s="2" t="inlineStr">
        <is>
          <t>Ask</t>
        </is>
      </c>
      <c r="S407">
        <f>HYPERLINK("https://klasma.github.io/Logging_1984/artfynd/A 20064-2024 artfynd.xlsx", "A 20064-2024")</f>
        <v/>
      </c>
      <c r="T407">
        <f>HYPERLINK("https://klasma.github.io/Logging_1984/kartor/A 20064-2024 karta.png", "A 20064-2024")</f>
        <v/>
      </c>
      <c r="V407">
        <f>HYPERLINK("https://klasma.github.io/Logging_1984/klagomål/A 20064-2024 FSC-klagomål.docx", "A 20064-2024")</f>
        <v/>
      </c>
      <c r="W407">
        <f>HYPERLINK("https://klasma.github.io/Logging_1984/klagomålsmail/A 20064-2024 FSC-klagomål mail.docx", "A 20064-2024")</f>
        <v/>
      </c>
      <c r="X407">
        <f>HYPERLINK("https://klasma.github.io/Logging_1984/tillsyn/A 20064-2024 tillsynsbegäran.docx", "A 20064-2024")</f>
        <v/>
      </c>
      <c r="Y407">
        <f>HYPERLINK("https://klasma.github.io/Logging_1984/tillsynsmail/A 20064-2024 tillsynsbegäran mail.docx", "A 20064-2024")</f>
        <v/>
      </c>
    </row>
    <row r="408" ht="15" customHeight="1">
      <c r="A408" t="inlineStr">
        <is>
          <t>A 21576-2024</t>
        </is>
      </c>
      <c r="B408" s="1" t="n">
        <v>45441</v>
      </c>
      <c r="C408" s="1" t="n">
        <v>45811</v>
      </c>
      <c r="D408" t="inlineStr">
        <is>
          <t>VÄSTMANLANDS LÄN</t>
        </is>
      </c>
      <c r="E408" t="inlineStr">
        <is>
          <t>KÖPING</t>
        </is>
      </c>
      <c r="F408" t="inlineStr">
        <is>
          <t>Sveaskog</t>
        </is>
      </c>
      <c r="G408" t="n">
        <v>6.1</v>
      </c>
      <c r="H408" t="n">
        <v>0</v>
      </c>
      <c r="I408" t="n">
        <v>0</v>
      </c>
      <c r="J408" t="n">
        <v>1</v>
      </c>
      <c r="K408" t="n">
        <v>0</v>
      </c>
      <c r="L408" t="n">
        <v>0</v>
      </c>
      <c r="M408" t="n">
        <v>0</v>
      </c>
      <c r="N408" t="n">
        <v>0</v>
      </c>
      <c r="O408" t="n">
        <v>1</v>
      </c>
      <c r="P408" t="n">
        <v>0</v>
      </c>
      <c r="Q408" t="n">
        <v>1</v>
      </c>
      <c r="R408" s="2" t="inlineStr">
        <is>
          <t>Motaggsvamp</t>
        </is>
      </c>
      <c r="S408">
        <f>HYPERLINK("https://klasma.github.io/Logging_1983/artfynd/A 21576-2024 artfynd.xlsx", "A 21576-2024")</f>
        <v/>
      </c>
      <c r="T408">
        <f>HYPERLINK("https://klasma.github.io/Logging_1983/kartor/A 21576-2024 karta.png", "A 21576-2024")</f>
        <v/>
      </c>
      <c r="V408">
        <f>HYPERLINK("https://klasma.github.io/Logging_1983/klagomål/A 21576-2024 FSC-klagomål.docx", "A 21576-2024")</f>
        <v/>
      </c>
      <c r="W408">
        <f>HYPERLINK("https://klasma.github.io/Logging_1983/klagomålsmail/A 21576-2024 FSC-klagomål mail.docx", "A 21576-2024")</f>
        <v/>
      </c>
      <c r="X408">
        <f>HYPERLINK("https://klasma.github.io/Logging_1983/tillsyn/A 21576-2024 tillsynsbegäran.docx", "A 21576-2024")</f>
        <v/>
      </c>
      <c r="Y408">
        <f>HYPERLINK("https://klasma.github.io/Logging_1983/tillsynsmail/A 21576-2024 tillsynsbegäran mail.docx", "A 21576-2024")</f>
        <v/>
      </c>
    </row>
    <row r="409" ht="15" customHeight="1">
      <c r="A409" t="inlineStr">
        <is>
          <t>A 21574-2024</t>
        </is>
      </c>
      <c r="B409" s="1" t="n">
        <v>45441</v>
      </c>
      <c r="C409" s="1" t="n">
        <v>45811</v>
      </c>
      <c r="D409" t="inlineStr">
        <is>
          <t>VÄSTMANLANDS LÄN</t>
        </is>
      </c>
      <c r="E409" t="inlineStr">
        <is>
          <t>SKINNSKATTEBERG</t>
        </is>
      </c>
      <c r="F409" t="inlineStr">
        <is>
          <t>Sveaskog</t>
        </is>
      </c>
      <c r="G409" t="n">
        <v>2.2</v>
      </c>
      <c r="H409" t="n">
        <v>0</v>
      </c>
      <c r="I409" t="n">
        <v>0</v>
      </c>
      <c r="J409" t="n">
        <v>1</v>
      </c>
      <c r="K409" t="n">
        <v>0</v>
      </c>
      <c r="L409" t="n">
        <v>0</v>
      </c>
      <c r="M409" t="n">
        <v>0</v>
      </c>
      <c r="N409" t="n">
        <v>0</v>
      </c>
      <c r="O409" t="n">
        <v>1</v>
      </c>
      <c r="P409" t="n">
        <v>0</v>
      </c>
      <c r="Q409" t="n">
        <v>1</v>
      </c>
      <c r="R409" s="2" t="inlineStr">
        <is>
          <t>Vedskivlav</t>
        </is>
      </c>
      <c r="S409">
        <f>HYPERLINK("https://klasma.github.io/Logging_1904/artfynd/A 21574-2024 artfynd.xlsx", "A 21574-2024")</f>
        <v/>
      </c>
      <c r="T409">
        <f>HYPERLINK("https://klasma.github.io/Logging_1904/kartor/A 21574-2024 karta.png", "A 21574-2024")</f>
        <v/>
      </c>
      <c r="V409">
        <f>HYPERLINK("https://klasma.github.io/Logging_1904/klagomål/A 21574-2024 FSC-klagomål.docx", "A 21574-2024")</f>
        <v/>
      </c>
      <c r="W409">
        <f>HYPERLINK("https://klasma.github.io/Logging_1904/klagomålsmail/A 21574-2024 FSC-klagomål mail.docx", "A 21574-2024")</f>
        <v/>
      </c>
      <c r="X409">
        <f>HYPERLINK("https://klasma.github.io/Logging_1904/tillsyn/A 21574-2024 tillsynsbegäran.docx", "A 21574-2024")</f>
        <v/>
      </c>
      <c r="Y409">
        <f>HYPERLINK("https://klasma.github.io/Logging_1904/tillsynsmail/A 21574-2024 tillsynsbegäran mail.docx", "A 21574-2024")</f>
        <v/>
      </c>
    </row>
    <row r="410" ht="15" customHeight="1">
      <c r="A410" t="inlineStr">
        <is>
          <t>A 22350-2024</t>
        </is>
      </c>
      <c r="B410" s="1" t="n">
        <v>45446</v>
      </c>
      <c r="C410" s="1" t="n">
        <v>45811</v>
      </c>
      <c r="D410" t="inlineStr">
        <is>
          <t>VÄSTMANLANDS LÄN</t>
        </is>
      </c>
      <c r="E410" t="inlineStr">
        <is>
          <t>SALA</t>
        </is>
      </c>
      <c r="G410" t="n">
        <v>1.2</v>
      </c>
      <c r="H410" t="n">
        <v>1</v>
      </c>
      <c r="I410" t="n">
        <v>0</v>
      </c>
      <c r="J410" t="n">
        <v>0</v>
      </c>
      <c r="K410" t="n">
        <v>0</v>
      </c>
      <c r="L410" t="n">
        <v>0</v>
      </c>
      <c r="M410" t="n">
        <v>0</v>
      </c>
      <c r="N410" t="n">
        <v>0</v>
      </c>
      <c r="O410" t="n">
        <v>0</v>
      </c>
      <c r="P410" t="n">
        <v>0</v>
      </c>
      <c r="Q410" t="n">
        <v>1</v>
      </c>
      <c r="R410" s="2" t="inlineStr">
        <is>
          <t>Blåsippa</t>
        </is>
      </c>
      <c r="S410">
        <f>HYPERLINK("https://klasma.github.io/Logging_1981/artfynd/A 22350-2024 artfynd.xlsx", "A 22350-2024")</f>
        <v/>
      </c>
      <c r="T410">
        <f>HYPERLINK("https://klasma.github.io/Logging_1981/kartor/A 22350-2024 karta.png", "A 22350-2024")</f>
        <v/>
      </c>
      <c r="V410">
        <f>HYPERLINK("https://klasma.github.io/Logging_1981/klagomål/A 22350-2024 FSC-klagomål.docx", "A 22350-2024")</f>
        <v/>
      </c>
      <c r="W410">
        <f>HYPERLINK("https://klasma.github.io/Logging_1981/klagomålsmail/A 22350-2024 FSC-klagomål mail.docx", "A 22350-2024")</f>
        <v/>
      </c>
      <c r="X410">
        <f>HYPERLINK("https://klasma.github.io/Logging_1981/tillsyn/A 22350-2024 tillsynsbegäran.docx", "A 22350-2024")</f>
        <v/>
      </c>
      <c r="Y410">
        <f>HYPERLINK("https://klasma.github.io/Logging_1981/tillsynsmail/A 22350-2024 tillsynsbegäran mail.docx", "A 22350-2024")</f>
        <v/>
      </c>
    </row>
    <row r="411" ht="15" customHeight="1">
      <c r="A411" t="inlineStr">
        <is>
          <t>A 23444-2024</t>
        </is>
      </c>
      <c r="B411" s="1" t="n">
        <v>45453</v>
      </c>
      <c r="C411" s="1" t="n">
        <v>45811</v>
      </c>
      <c r="D411" t="inlineStr">
        <is>
          <t>VÄSTMANLANDS LÄN</t>
        </is>
      </c>
      <c r="E411" t="inlineStr">
        <is>
          <t>VÄSTERÅS</t>
        </is>
      </c>
      <c r="G411" t="n">
        <v>4.5</v>
      </c>
      <c r="H411" t="n">
        <v>0</v>
      </c>
      <c r="I411" t="n">
        <v>0</v>
      </c>
      <c r="J411" t="n">
        <v>1</v>
      </c>
      <c r="K411" t="n">
        <v>0</v>
      </c>
      <c r="L411" t="n">
        <v>0</v>
      </c>
      <c r="M411" t="n">
        <v>0</v>
      </c>
      <c r="N411" t="n">
        <v>0</v>
      </c>
      <c r="O411" t="n">
        <v>1</v>
      </c>
      <c r="P411" t="n">
        <v>0</v>
      </c>
      <c r="Q411" t="n">
        <v>1</v>
      </c>
      <c r="R411" s="2" t="inlineStr">
        <is>
          <t>Svart taggsvamp</t>
        </is>
      </c>
      <c r="S411">
        <f>HYPERLINK("https://klasma.github.io/Logging_1980/artfynd/A 23444-2024 artfynd.xlsx", "A 23444-2024")</f>
        <v/>
      </c>
      <c r="T411">
        <f>HYPERLINK("https://klasma.github.io/Logging_1980/kartor/A 23444-2024 karta.png", "A 23444-2024")</f>
        <v/>
      </c>
      <c r="V411">
        <f>HYPERLINK("https://klasma.github.io/Logging_1980/klagomål/A 23444-2024 FSC-klagomål.docx", "A 23444-2024")</f>
        <v/>
      </c>
      <c r="W411">
        <f>HYPERLINK("https://klasma.github.io/Logging_1980/klagomålsmail/A 23444-2024 FSC-klagomål mail.docx", "A 23444-2024")</f>
        <v/>
      </c>
      <c r="X411">
        <f>HYPERLINK("https://klasma.github.io/Logging_1980/tillsyn/A 23444-2024 tillsynsbegäran.docx", "A 23444-2024")</f>
        <v/>
      </c>
      <c r="Y411">
        <f>HYPERLINK("https://klasma.github.io/Logging_1980/tillsynsmail/A 23444-2024 tillsynsbegäran mail.docx", "A 23444-2024")</f>
        <v/>
      </c>
    </row>
    <row r="412" ht="15" customHeight="1">
      <c r="A412" t="inlineStr">
        <is>
          <t>A 24133-2024</t>
        </is>
      </c>
      <c r="B412" s="1" t="n">
        <v>45456</v>
      </c>
      <c r="C412" s="1" t="n">
        <v>45811</v>
      </c>
      <c r="D412" t="inlineStr">
        <is>
          <t>VÄSTMANLANDS LÄN</t>
        </is>
      </c>
      <c r="E412" t="inlineStr">
        <is>
          <t>SKINNSKATTEBERG</t>
        </is>
      </c>
      <c r="F412" t="inlineStr">
        <is>
          <t>Sveaskog</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HYPERLINK("https://klasma.github.io/Logging_1904/artfynd/A 24133-2024 artfynd.xlsx", "A 24133-2024")</f>
        <v/>
      </c>
      <c r="T412">
        <f>HYPERLINK("https://klasma.github.io/Logging_1904/kartor/A 24133-2024 karta.png", "A 24133-2024")</f>
        <v/>
      </c>
      <c r="V412">
        <f>HYPERLINK("https://klasma.github.io/Logging_1904/klagomål/A 24133-2024 FSC-klagomål.docx", "A 24133-2024")</f>
        <v/>
      </c>
      <c r="W412">
        <f>HYPERLINK("https://klasma.github.io/Logging_1904/klagomålsmail/A 24133-2024 FSC-klagomål mail.docx", "A 24133-2024")</f>
        <v/>
      </c>
      <c r="X412">
        <f>HYPERLINK("https://klasma.github.io/Logging_1904/tillsyn/A 24133-2024 tillsynsbegäran.docx", "A 24133-2024")</f>
        <v/>
      </c>
      <c r="Y412">
        <f>HYPERLINK("https://klasma.github.io/Logging_1904/tillsynsmail/A 24133-2024 tillsynsbegäran mail.docx", "A 24133-2024")</f>
        <v/>
      </c>
      <c r="Z412">
        <f>HYPERLINK("https://klasma.github.io/Logging_1904/fåglar/A 24133-2024 prioriterade fågelarter.docx", "A 24133-2024")</f>
        <v/>
      </c>
    </row>
    <row r="413" ht="15" customHeight="1">
      <c r="A413" t="inlineStr">
        <is>
          <t>A 25583-2024</t>
        </is>
      </c>
      <c r="B413" s="1" t="n">
        <v>45463</v>
      </c>
      <c r="C413" s="1" t="n">
        <v>45811</v>
      </c>
      <c r="D413" t="inlineStr">
        <is>
          <t>VÄSTMANLANDS LÄN</t>
        </is>
      </c>
      <c r="E413" t="inlineStr">
        <is>
          <t>SURAHAMMAR</t>
        </is>
      </c>
      <c r="F413" t="inlineStr">
        <is>
          <t>Bergvik skog väst AB</t>
        </is>
      </c>
      <c r="G413" t="n">
        <v>7.8</v>
      </c>
      <c r="H413" t="n">
        <v>1</v>
      </c>
      <c r="I413" t="n">
        <v>0</v>
      </c>
      <c r="J413" t="n">
        <v>0</v>
      </c>
      <c r="K413" t="n">
        <v>0</v>
      </c>
      <c r="L413" t="n">
        <v>0</v>
      </c>
      <c r="M413" t="n">
        <v>0</v>
      </c>
      <c r="N413" t="n">
        <v>0</v>
      </c>
      <c r="O413" t="n">
        <v>0</v>
      </c>
      <c r="P413" t="n">
        <v>0</v>
      </c>
      <c r="Q413" t="n">
        <v>1</v>
      </c>
      <c r="R413" s="2" t="inlineStr">
        <is>
          <t>Blåsippa</t>
        </is>
      </c>
      <c r="S413">
        <f>HYPERLINK("https://klasma.github.io/Logging_1907/artfynd/A 25583-2024 artfynd.xlsx", "A 25583-2024")</f>
        <v/>
      </c>
      <c r="T413">
        <f>HYPERLINK("https://klasma.github.io/Logging_1907/kartor/A 25583-2024 karta.png", "A 25583-2024")</f>
        <v/>
      </c>
      <c r="V413">
        <f>HYPERLINK("https://klasma.github.io/Logging_1907/klagomål/A 25583-2024 FSC-klagomål.docx", "A 25583-2024")</f>
        <v/>
      </c>
      <c r="W413">
        <f>HYPERLINK("https://klasma.github.io/Logging_1907/klagomålsmail/A 25583-2024 FSC-klagomål mail.docx", "A 25583-2024")</f>
        <v/>
      </c>
      <c r="X413">
        <f>HYPERLINK("https://klasma.github.io/Logging_1907/tillsyn/A 25583-2024 tillsynsbegäran.docx", "A 25583-2024")</f>
        <v/>
      </c>
      <c r="Y413">
        <f>HYPERLINK("https://klasma.github.io/Logging_1907/tillsynsmail/A 25583-2024 tillsynsbegäran mail.docx", "A 25583-2024")</f>
        <v/>
      </c>
    </row>
    <row r="414" ht="15" customHeight="1">
      <c r="A414" t="inlineStr">
        <is>
          <t>A 27591-2024</t>
        </is>
      </c>
      <c r="B414" s="1" t="n">
        <v>45474</v>
      </c>
      <c r="C414" s="1" t="n">
        <v>45811</v>
      </c>
      <c r="D414" t="inlineStr">
        <is>
          <t>VÄSTMANLANDS LÄN</t>
        </is>
      </c>
      <c r="E414" t="inlineStr">
        <is>
          <t>SALA</t>
        </is>
      </c>
      <c r="G414" t="n">
        <v>5.1</v>
      </c>
      <c r="H414" t="n">
        <v>1</v>
      </c>
      <c r="I414" t="n">
        <v>0</v>
      </c>
      <c r="J414" t="n">
        <v>1</v>
      </c>
      <c r="K414" t="n">
        <v>0</v>
      </c>
      <c r="L414" t="n">
        <v>0</v>
      </c>
      <c r="M414" t="n">
        <v>0</v>
      </c>
      <c r="N414" t="n">
        <v>0</v>
      </c>
      <c r="O414" t="n">
        <v>1</v>
      </c>
      <c r="P414" t="n">
        <v>0</v>
      </c>
      <c r="Q414" t="n">
        <v>1</v>
      </c>
      <c r="R414" s="2" t="inlineStr">
        <is>
          <t>Spillkråka</t>
        </is>
      </c>
      <c r="S414">
        <f>HYPERLINK("https://klasma.github.io/Logging_1981/artfynd/A 27591-2024 artfynd.xlsx", "A 27591-2024")</f>
        <v/>
      </c>
      <c r="T414">
        <f>HYPERLINK("https://klasma.github.io/Logging_1981/kartor/A 27591-2024 karta.png", "A 27591-2024")</f>
        <v/>
      </c>
      <c r="V414">
        <f>HYPERLINK("https://klasma.github.io/Logging_1981/klagomål/A 27591-2024 FSC-klagomål.docx", "A 27591-2024")</f>
        <v/>
      </c>
      <c r="W414">
        <f>HYPERLINK("https://klasma.github.io/Logging_1981/klagomålsmail/A 27591-2024 FSC-klagomål mail.docx", "A 27591-2024")</f>
        <v/>
      </c>
      <c r="X414">
        <f>HYPERLINK("https://klasma.github.io/Logging_1981/tillsyn/A 27591-2024 tillsynsbegäran.docx", "A 27591-2024")</f>
        <v/>
      </c>
      <c r="Y414">
        <f>HYPERLINK("https://klasma.github.io/Logging_1981/tillsynsmail/A 27591-2024 tillsynsbegäran mail.docx", "A 27591-2024")</f>
        <v/>
      </c>
      <c r="Z414">
        <f>HYPERLINK("https://klasma.github.io/Logging_1981/fåglar/A 27591-2024 prioriterade fågelarter.docx", "A 27591-2024")</f>
        <v/>
      </c>
    </row>
    <row r="415" ht="15" customHeight="1">
      <c r="A415" t="inlineStr">
        <is>
          <t>A 27957-2024</t>
        </is>
      </c>
      <c r="B415" s="1" t="n">
        <v>45476</v>
      </c>
      <c r="C415" s="1" t="n">
        <v>45811</v>
      </c>
      <c r="D415" t="inlineStr">
        <is>
          <t>VÄSTMANLANDS LÄN</t>
        </is>
      </c>
      <c r="E415" t="inlineStr">
        <is>
          <t>SURAHAMMAR</t>
        </is>
      </c>
      <c r="F415" t="inlineStr">
        <is>
          <t>Sveaskog</t>
        </is>
      </c>
      <c r="G415" t="n">
        <v>14.4</v>
      </c>
      <c r="H415" t="n">
        <v>1</v>
      </c>
      <c r="I415" t="n">
        <v>0</v>
      </c>
      <c r="J415" t="n">
        <v>0</v>
      </c>
      <c r="K415" t="n">
        <v>0</v>
      </c>
      <c r="L415" t="n">
        <v>0</v>
      </c>
      <c r="M415" t="n">
        <v>0</v>
      </c>
      <c r="N415" t="n">
        <v>0</v>
      </c>
      <c r="O415" t="n">
        <v>0</v>
      </c>
      <c r="P415" t="n">
        <v>0</v>
      </c>
      <c r="Q415" t="n">
        <v>1</v>
      </c>
      <c r="R415" s="2" t="inlineStr">
        <is>
          <t>Fläcknycklar</t>
        </is>
      </c>
      <c r="S415">
        <f>HYPERLINK("https://klasma.github.io/Logging_1907/artfynd/A 27957-2024 artfynd.xlsx", "A 27957-2024")</f>
        <v/>
      </c>
      <c r="T415">
        <f>HYPERLINK("https://klasma.github.io/Logging_1907/kartor/A 27957-2024 karta.png", "A 27957-2024")</f>
        <v/>
      </c>
      <c r="V415">
        <f>HYPERLINK("https://klasma.github.io/Logging_1907/klagomål/A 27957-2024 FSC-klagomål.docx", "A 27957-2024")</f>
        <v/>
      </c>
      <c r="W415">
        <f>HYPERLINK("https://klasma.github.io/Logging_1907/klagomålsmail/A 27957-2024 FSC-klagomål mail.docx", "A 27957-2024")</f>
        <v/>
      </c>
      <c r="X415">
        <f>HYPERLINK("https://klasma.github.io/Logging_1907/tillsyn/A 27957-2024 tillsynsbegäran.docx", "A 27957-2024")</f>
        <v/>
      </c>
      <c r="Y415">
        <f>HYPERLINK("https://klasma.github.io/Logging_1907/tillsynsmail/A 27957-2024 tillsynsbegäran mail.docx", "A 27957-2024")</f>
        <v/>
      </c>
    </row>
    <row r="416" ht="15" customHeight="1">
      <c r="A416" t="inlineStr">
        <is>
          <t>A 29156-2024</t>
        </is>
      </c>
      <c r="B416" s="1" t="n">
        <v>45482</v>
      </c>
      <c r="C416" s="1" t="n">
        <v>45811</v>
      </c>
      <c r="D416" t="inlineStr">
        <is>
          <t>VÄSTMANLANDS LÄN</t>
        </is>
      </c>
      <c r="E416" t="inlineStr">
        <is>
          <t>SURAHAMMAR</t>
        </is>
      </c>
      <c r="F416" t="inlineStr">
        <is>
          <t>Sveaskog</t>
        </is>
      </c>
      <c r="G416" t="n">
        <v>2.6</v>
      </c>
      <c r="H416" t="n">
        <v>0</v>
      </c>
      <c r="I416" t="n">
        <v>1</v>
      </c>
      <c r="J416" t="n">
        <v>0</v>
      </c>
      <c r="K416" t="n">
        <v>0</v>
      </c>
      <c r="L416" t="n">
        <v>0</v>
      </c>
      <c r="M416" t="n">
        <v>0</v>
      </c>
      <c r="N416" t="n">
        <v>0</v>
      </c>
      <c r="O416" t="n">
        <v>0</v>
      </c>
      <c r="P416" t="n">
        <v>0</v>
      </c>
      <c r="Q416" t="n">
        <v>1</v>
      </c>
      <c r="R416" s="2" t="inlineStr">
        <is>
          <t>Fjällig taggsvamp s.str.</t>
        </is>
      </c>
      <c r="S416">
        <f>HYPERLINK("https://klasma.github.io/Logging_1907/artfynd/A 29156-2024 artfynd.xlsx", "A 29156-2024")</f>
        <v/>
      </c>
      <c r="T416">
        <f>HYPERLINK("https://klasma.github.io/Logging_1907/kartor/A 29156-2024 karta.png", "A 29156-2024")</f>
        <v/>
      </c>
      <c r="V416">
        <f>HYPERLINK("https://klasma.github.io/Logging_1907/klagomål/A 29156-2024 FSC-klagomål.docx", "A 29156-2024")</f>
        <v/>
      </c>
      <c r="W416">
        <f>HYPERLINK("https://klasma.github.io/Logging_1907/klagomålsmail/A 29156-2024 FSC-klagomål mail.docx", "A 29156-2024")</f>
        <v/>
      </c>
      <c r="X416">
        <f>HYPERLINK("https://klasma.github.io/Logging_1907/tillsyn/A 29156-2024 tillsynsbegäran.docx", "A 29156-2024")</f>
        <v/>
      </c>
      <c r="Y416">
        <f>HYPERLINK("https://klasma.github.io/Logging_1907/tillsynsmail/A 29156-2024 tillsynsbegäran mail.docx", "A 29156-2024")</f>
        <v/>
      </c>
    </row>
    <row r="417" ht="15" customHeight="1">
      <c r="A417" t="inlineStr">
        <is>
          <t>A 31176-2024</t>
        </is>
      </c>
      <c r="B417" s="1" t="n">
        <v>45503</v>
      </c>
      <c r="C417" s="1" t="n">
        <v>45811</v>
      </c>
      <c r="D417" t="inlineStr">
        <is>
          <t>VÄSTMANLANDS LÄN</t>
        </is>
      </c>
      <c r="E417" t="inlineStr">
        <is>
          <t>SURAHAMMAR</t>
        </is>
      </c>
      <c r="F417" t="inlineStr">
        <is>
          <t>Allmännings- och besparingsskogar</t>
        </is>
      </c>
      <c r="G417" t="n">
        <v>10.7</v>
      </c>
      <c r="H417" t="n">
        <v>0</v>
      </c>
      <c r="I417" t="n">
        <v>0</v>
      </c>
      <c r="J417" t="n">
        <v>1</v>
      </c>
      <c r="K417" t="n">
        <v>0</v>
      </c>
      <c r="L417" t="n">
        <v>0</v>
      </c>
      <c r="M417" t="n">
        <v>0</v>
      </c>
      <c r="N417" t="n">
        <v>0</v>
      </c>
      <c r="O417" t="n">
        <v>1</v>
      </c>
      <c r="P417" t="n">
        <v>0</v>
      </c>
      <c r="Q417" t="n">
        <v>1</v>
      </c>
      <c r="R417" s="2" t="inlineStr">
        <is>
          <t>Doftskinn</t>
        </is>
      </c>
      <c r="S417">
        <f>HYPERLINK("https://klasma.github.io/Logging_1907/artfynd/A 31176-2024 artfynd.xlsx", "A 31176-2024")</f>
        <v/>
      </c>
      <c r="T417">
        <f>HYPERLINK("https://klasma.github.io/Logging_1907/kartor/A 31176-2024 karta.png", "A 31176-2024")</f>
        <v/>
      </c>
      <c r="V417">
        <f>HYPERLINK("https://klasma.github.io/Logging_1907/klagomål/A 31176-2024 FSC-klagomål.docx", "A 31176-2024")</f>
        <v/>
      </c>
      <c r="W417">
        <f>HYPERLINK("https://klasma.github.io/Logging_1907/klagomålsmail/A 31176-2024 FSC-klagomål mail.docx", "A 31176-2024")</f>
        <v/>
      </c>
      <c r="X417">
        <f>HYPERLINK("https://klasma.github.io/Logging_1907/tillsyn/A 31176-2024 tillsynsbegäran.docx", "A 31176-2024")</f>
        <v/>
      </c>
      <c r="Y417">
        <f>HYPERLINK("https://klasma.github.io/Logging_1907/tillsynsmail/A 31176-2024 tillsynsbegäran mail.docx", "A 31176-2024")</f>
        <v/>
      </c>
    </row>
    <row r="418" ht="15" customHeight="1">
      <c r="A418" t="inlineStr">
        <is>
          <t>A 31263-2024</t>
        </is>
      </c>
      <c r="B418" s="1" t="n">
        <v>45503</v>
      </c>
      <c r="C418" s="1" t="n">
        <v>45811</v>
      </c>
      <c r="D418" t="inlineStr">
        <is>
          <t>VÄSTMANLANDS LÄN</t>
        </is>
      </c>
      <c r="E418" t="inlineStr">
        <is>
          <t>KÖPING</t>
        </is>
      </c>
      <c r="G418" t="n">
        <v>12.4</v>
      </c>
      <c r="H418" t="n">
        <v>0</v>
      </c>
      <c r="I418" t="n">
        <v>0</v>
      </c>
      <c r="J418" t="n">
        <v>1</v>
      </c>
      <c r="K418" t="n">
        <v>0</v>
      </c>
      <c r="L418" t="n">
        <v>0</v>
      </c>
      <c r="M418" t="n">
        <v>0</v>
      </c>
      <c r="N418" t="n">
        <v>0</v>
      </c>
      <c r="O418" t="n">
        <v>1</v>
      </c>
      <c r="P418" t="n">
        <v>0</v>
      </c>
      <c r="Q418" t="n">
        <v>1</v>
      </c>
      <c r="R418" s="2" t="inlineStr">
        <is>
          <t>Mindre bastardsvärmare</t>
        </is>
      </c>
      <c r="S418">
        <f>HYPERLINK("https://klasma.github.io/Logging_1983/artfynd/A 31263-2024 artfynd.xlsx", "A 31263-2024")</f>
        <v/>
      </c>
      <c r="T418">
        <f>HYPERLINK("https://klasma.github.io/Logging_1983/kartor/A 31263-2024 karta.png", "A 31263-2024")</f>
        <v/>
      </c>
      <c r="V418">
        <f>HYPERLINK("https://klasma.github.io/Logging_1983/klagomål/A 31263-2024 FSC-klagomål.docx", "A 31263-2024")</f>
        <v/>
      </c>
      <c r="W418">
        <f>HYPERLINK("https://klasma.github.io/Logging_1983/klagomålsmail/A 31263-2024 FSC-klagomål mail.docx", "A 31263-2024")</f>
        <v/>
      </c>
      <c r="X418">
        <f>HYPERLINK("https://klasma.github.io/Logging_1983/tillsyn/A 31263-2024 tillsynsbegäran.docx", "A 31263-2024")</f>
        <v/>
      </c>
      <c r="Y418">
        <f>HYPERLINK("https://klasma.github.io/Logging_1983/tillsynsmail/A 31263-2024 tillsynsbegäran mail.docx", "A 31263-2024")</f>
        <v/>
      </c>
    </row>
    <row r="419" ht="15" customHeight="1">
      <c r="A419" t="inlineStr">
        <is>
          <t>A 33231-2024</t>
        </is>
      </c>
      <c r="B419" s="1" t="n">
        <v>45518</v>
      </c>
      <c r="C419" s="1" t="n">
        <v>45811</v>
      </c>
      <c r="D419" t="inlineStr">
        <is>
          <t>VÄSTMANLANDS LÄN</t>
        </is>
      </c>
      <c r="E419" t="inlineStr">
        <is>
          <t>SURAHAMMAR</t>
        </is>
      </c>
      <c r="F419" t="inlineStr">
        <is>
          <t>Bergvik skog väst AB</t>
        </is>
      </c>
      <c r="G419" t="n">
        <v>1.5</v>
      </c>
      <c r="H419" t="n">
        <v>1</v>
      </c>
      <c r="I419" t="n">
        <v>0</v>
      </c>
      <c r="J419" t="n">
        <v>0</v>
      </c>
      <c r="K419" t="n">
        <v>0</v>
      </c>
      <c r="L419" t="n">
        <v>0</v>
      </c>
      <c r="M419" t="n">
        <v>0</v>
      </c>
      <c r="N419" t="n">
        <v>0</v>
      </c>
      <c r="O419" t="n">
        <v>0</v>
      </c>
      <c r="P419" t="n">
        <v>0</v>
      </c>
      <c r="Q419" t="n">
        <v>1</v>
      </c>
      <c r="R419" s="2" t="inlineStr">
        <is>
          <t>Mindre vattensalamander</t>
        </is>
      </c>
      <c r="S419">
        <f>HYPERLINK("https://klasma.github.io/Logging_1907/artfynd/A 33231-2024 artfynd.xlsx", "A 33231-2024")</f>
        <v/>
      </c>
      <c r="T419">
        <f>HYPERLINK("https://klasma.github.io/Logging_1907/kartor/A 33231-2024 karta.png", "A 33231-2024")</f>
        <v/>
      </c>
      <c r="V419">
        <f>HYPERLINK("https://klasma.github.io/Logging_1907/klagomål/A 33231-2024 FSC-klagomål.docx", "A 33231-2024")</f>
        <v/>
      </c>
      <c r="W419">
        <f>HYPERLINK("https://klasma.github.io/Logging_1907/klagomålsmail/A 33231-2024 FSC-klagomål mail.docx", "A 33231-2024")</f>
        <v/>
      </c>
      <c r="X419">
        <f>HYPERLINK("https://klasma.github.io/Logging_1907/tillsyn/A 33231-2024 tillsynsbegäran.docx", "A 33231-2024")</f>
        <v/>
      </c>
      <c r="Y419">
        <f>HYPERLINK("https://klasma.github.io/Logging_1907/tillsynsmail/A 33231-2024 tillsynsbegäran mail.docx", "A 33231-2024")</f>
        <v/>
      </c>
    </row>
    <row r="420" ht="15" customHeight="1">
      <c r="A420" t="inlineStr">
        <is>
          <t>A 36596-2024</t>
        </is>
      </c>
      <c r="B420" s="1" t="n">
        <v>45537</v>
      </c>
      <c r="C420" s="1" t="n">
        <v>45811</v>
      </c>
      <c r="D420" t="inlineStr">
        <is>
          <t>VÄSTMANLANDS LÄN</t>
        </is>
      </c>
      <c r="E420" t="inlineStr">
        <is>
          <t>SKINNSKATTEBERG</t>
        </is>
      </c>
      <c r="F420" t="inlineStr">
        <is>
          <t>Sveaskog</t>
        </is>
      </c>
      <c r="G420" t="n">
        <v>0.8</v>
      </c>
      <c r="H420" t="n">
        <v>0</v>
      </c>
      <c r="I420" t="n">
        <v>0</v>
      </c>
      <c r="J420" t="n">
        <v>0</v>
      </c>
      <c r="K420" t="n">
        <v>1</v>
      </c>
      <c r="L420" t="n">
        <v>0</v>
      </c>
      <c r="M420" t="n">
        <v>0</v>
      </c>
      <c r="N420" t="n">
        <v>0</v>
      </c>
      <c r="O420" t="n">
        <v>1</v>
      </c>
      <c r="P420" t="n">
        <v>1</v>
      </c>
      <c r="Q420" t="n">
        <v>1</v>
      </c>
      <c r="R420" s="2" t="inlineStr">
        <is>
          <t>Lakritsmusseron</t>
        </is>
      </c>
      <c r="S420">
        <f>HYPERLINK("https://klasma.github.io/Logging_1904/artfynd/A 36596-2024 artfynd.xlsx", "A 36596-2024")</f>
        <v/>
      </c>
      <c r="T420">
        <f>HYPERLINK("https://klasma.github.io/Logging_1904/kartor/A 36596-2024 karta.png", "A 36596-2024")</f>
        <v/>
      </c>
      <c r="V420">
        <f>HYPERLINK("https://klasma.github.io/Logging_1904/klagomål/A 36596-2024 FSC-klagomål.docx", "A 36596-2024")</f>
        <v/>
      </c>
      <c r="W420">
        <f>HYPERLINK("https://klasma.github.io/Logging_1904/klagomålsmail/A 36596-2024 FSC-klagomål mail.docx", "A 36596-2024")</f>
        <v/>
      </c>
      <c r="X420">
        <f>HYPERLINK("https://klasma.github.io/Logging_1904/tillsyn/A 36596-2024 tillsynsbegäran.docx", "A 36596-2024")</f>
        <v/>
      </c>
      <c r="Y420">
        <f>HYPERLINK("https://klasma.github.io/Logging_1904/tillsynsmail/A 36596-2024 tillsynsbegäran mail.docx", "A 36596-2024")</f>
        <v/>
      </c>
    </row>
    <row r="421" ht="15" customHeight="1">
      <c r="A421" t="inlineStr">
        <is>
          <t>A 36595-2024</t>
        </is>
      </c>
      <c r="B421" s="1" t="n">
        <v>45537</v>
      </c>
      <c r="C421" s="1" t="n">
        <v>45811</v>
      </c>
      <c r="D421" t="inlineStr">
        <is>
          <t>VÄSTMANLANDS LÄN</t>
        </is>
      </c>
      <c r="E421" t="inlineStr">
        <is>
          <t>SKINNSKATTEBERG</t>
        </is>
      </c>
      <c r="F421" t="inlineStr">
        <is>
          <t>Sveaskog</t>
        </is>
      </c>
      <c r="G421" t="n">
        <v>1</v>
      </c>
      <c r="H421" t="n">
        <v>0</v>
      </c>
      <c r="I421" t="n">
        <v>0</v>
      </c>
      <c r="J421" t="n">
        <v>0</v>
      </c>
      <c r="K421" t="n">
        <v>1</v>
      </c>
      <c r="L421" t="n">
        <v>0</v>
      </c>
      <c r="M421" t="n">
        <v>0</v>
      </c>
      <c r="N421" t="n">
        <v>0</v>
      </c>
      <c r="O421" t="n">
        <v>1</v>
      </c>
      <c r="P421" t="n">
        <v>1</v>
      </c>
      <c r="Q421" t="n">
        <v>1</v>
      </c>
      <c r="R421" s="2" t="inlineStr">
        <is>
          <t>Lammticka</t>
        </is>
      </c>
      <c r="S421">
        <f>HYPERLINK("https://klasma.github.io/Logging_1904/artfynd/A 36595-2024 artfynd.xlsx", "A 36595-2024")</f>
        <v/>
      </c>
      <c r="T421">
        <f>HYPERLINK("https://klasma.github.io/Logging_1904/kartor/A 36595-2024 karta.png", "A 36595-2024")</f>
        <v/>
      </c>
      <c r="U421">
        <f>HYPERLINK("https://klasma.github.io/Logging_1904/knärot/A 36595-2024 karta knärot.png", "A 36595-2024")</f>
        <v/>
      </c>
      <c r="V421">
        <f>HYPERLINK("https://klasma.github.io/Logging_1904/klagomål/A 36595-2024 FSC-klagomål.docx", "A 36595-2024")</f>
        <v/>
      </c>
      <c r="W421">
        <f>HYPERLINK("https://klasma.github.io/Logging_1904/klagomålsmail/A 36595-2024 FSC-klagomål mail.docx", "A 36595-2024")</f>
        <v/>
      </c>
      <c r="X421">
        <f>HYPERLINK("https://klasma.github.io/Logging_1904/tillsyn/A 36595-2024 tillsynsbegäran.docx", "A 36595-2024")</f>
        <v/>
      </c>
      <c r="Y421">
        <f>HYPERLINK("https://klasma.github.io/Logging_1904/tillsynsmail/A 36595-2024 tillsynsbegäran mail.docx", "A 36595-2024")</f>
        <v/>
      </c>
    </row>
    <row r="422" ht="15" customHeight="1">
      <c r="A422" t="inlineStr">
        <is>
          <t>A 37166-2024</t>
        </is>
      </c>
      <c r="B422" s="1" t="n">
        <v>45539</v>
      </c>
      <c r="C422" s="1" t="n">
        <v>45811</v>
      </c>
      <c r="D422" t="inlineStr">
        <is>
          <t>VÄSTMANLANDS LÄN</t>
        </is>
      </c>
      <c r="E422" t="inlineStr">
        <is>
          <t>SALA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HYPERLINK("https://klasma.github.io/Logging_1981/artfynd/A 37166-2024 artfynd.xlsx", "A 37166-2024")</f>
        <v/>
      </c>
      <c r="T422">
        <f>HYPERLINK("https://klasma.github.io/Logging_1981/kartor/A 37166-2024 karta.png", "A 37166-2024")</f>
        <v/>
      </c>
      <c r="U422">
        <f>HYPERLINK("https://klasma.github.io/Logging_1981/knärot/A 37166-2024 karta knärot.png", "A 37166-2024")</f>
        <v/>
      </c>
      <c r="V422">
        <f>HYPERLINK("https://klasma.github.io/Logging_1981/klagomål/A 37166-2024 FSC-klagomål.docx", "A 37166-2024")</f>
        <v/>
      </c>
      <c r="W422">
        <f>HYPERLINK("https://klasma.github.io/Logging_1981/klagomålsmail/A 37166-2024 FSC-klagomål mail.docx", "A 37166-2024")</f>
        <v/>
      </c>
      <c r="X422">
        <f>HYPERLINK("https://klasma.github.io/Logging_1981/tillsyn/A 37166-2024 tillsynsbegäran.docx", "A 37166-2024")</f>
        <v/>
      </c>
      <c r="Y422">
        <f>HYPERLINK("https://klasma.github.io/Logging_1981/tillsynsmail/A 37166-2024 tillsynsbegäran mail.docx", "A 37166-2024")</f>
        <v/>
      </c>
    </row>
    <row r="423" ht="15" customHeight="1">
      <c r="A423" t="inlineStr">
        <is>
          <t>A 39292-2024</t>
        </is>
      </c>
      <c r="B423" s="1" t="n">
        <v>45551</v>
      </c>
      <c r="C423" s="1" t="n">
        <v>45811</v>
      </c>
      <c r="D423" t="inlineStr">
        <is>
          <t>VÄSTMANLANDS LÄN</t>
        </is>
      </c>
      <c r="E423" t="inlineStr">
        <is>
          <t>KÖPING</t>
        </is>
      </c>
      <c r="G423" t="n">
        <v>4</v>
      </c>
      <c r="H423" t="n">
        <v>1</v>
      </c>
      <c r="I423" t="n">
        <v>0</v>
      </c>
      <c r="J423" t="n">
        <v>0</v>
      </c>
      <c r="K423" t="n">
        <v>1</v>
      </c>
      <c r="L423" t="n">
        <v>0</v>
      </c>
      <c r="M423" t="n">
        <v>0</v>
      </c>
      <c r="N423" t="n">
        <v>0</v>
      </c>
      <c r="O423" t="n">
        <v>1</v>
      </c>
      <c r="P423" t="n">
        <v>1</v>
      </c>
      <c r="Q423" t="n">
        <v>1</v>
      </c>
      <c r="R423" s="2" t="inlineStr">
        <is>
          <t>Knärot</t>
        </is>
      </c>
      <c r="S423">
        <f>HYPERLINK("https://klasma.github.io/Logging_1983/artfynd/A 39292-2024 artfynd.xlsx", "A 39292-2024")</f>
        <v/>
      </c>
      <c r="T423">
        <f>HYPERLINK("https://klasma.github.io/Logging_1983/kartor/A 39292-2024 karta.png", "A 39292-2024")</f>
        <v/>
      </c>
      <c r="U423">
        <f>HYPERLINK("https://klasma.github.io/Logging_1983/knärot/A 39292-2024 karta knärot.png", "A 39292-2024")</f>
        <v/>
      </c>
      <c r="V423">
        <f>HYPERLINK("https://klasma.github.io/Logging_1983/klagomål/A 39292-2024 FSC-klagomål.docx", "A 39292-2024")</f>
        <v/>
      </c>
      <c r="W423">
        <f>HYPERLINK("https://klasma.github.io/Logging_1983/klagomålsmail/A 39292-2024 FSC-klagomål mail.docx", "A 39292-2024")</f>
        <v/>
      </c>
      <c r="X423">
        <f>HYPERLINK("https://klasma.github.io/Logging_1983/tillsyn/A 39292-2024 tillsynsbegäran.docx", "A 39292-2024")</f>
        <v/>
      </c>
      <c r="Y423">
        <f>HYPERLINK("https://klasma.github.io/Logging_1983/tillsynsmail/A 39292-2024 tillsynsbegäran mail.docx", "A 39292-2024")</f>
        <v/>
      </c>
    </row>
    <row r="424" ht="15" customHeight="1">
      <c r="A424" t="inlineStr">
        <is>
          <t>A 41270-2024</t>
        </is>
      </c>
      <c r="B424" s="1" t="n">
        <v>45559</v>
      </c>
      <c r="C424" s="1" t="n">
        <v>45811</v>
      </c>
      <c r="D424" t="inlineStr">
        <is>
          <t>VÄSTMANLANDS LÄN</t>
        </is>
      </c>
      <c r="E424" t="inlineStr">
        <is>
          <t>SALA</t>
        </is>
      </c>
      <c r="G424" t="n">
        <v>15.2</v>
      </c>
      <c r="H424" t="n">
        <v>1</v>
      </c>
      <c r="I424" t="n">
        <v>0</v>
      </c>
      <c r="J424" t="n">
        <v>1</v>
      </c>
      <c r="K424" t="n">
        <v>0</v>
      </c>
      <c r="L424" t="n">
        <v>0</v>
      </c>
      <c r="M424" t="n">
        <v>0</v>
      </c>
      <c r="N424" t="n">
        <v>0</v>
      </c>
      <c r="O424" t="n">
        <v>1</v>
      </c>
      <c r="P424" t="n">
        <v>0</v>
      </c>
      <c r="Q424" t="n">
        <v>1</v>
      </c>
      <c r="R424" s="2" t="inlineStr">
        <is>
          <t>Havsörn</t>
        </is>
      </c>
      <c r="S424">
        <f>HYPERLINK("https://klasma.github.io/Logging_1981/artfynd/A 41270-2024 artfynd.xlsx", "A 41270-2024")</f>
        <v/>
      </c>
      <c r="T424">
        <f>HYPERLINK("https://klasma.github.io/Logging_1981/kartor/A 41270-2024 karta.png", "A 41270-2024")</f>
        <v/>
      </c>
      <c r="V424">
        <f>HYPERLINK("https://klasma.github.io/Logging_1981/klagomål/A 41270-2024 FSC-klagomål.docx", "A 41270-2024")</f>
        <v/>
      </c>
      <c r="W424">
        <f>HYPERLINK("https://klasma.github.io/Logging_1981/klagomålsmail/A 41270-2024 FSC-klagomål mail.docx", "A 41270-2024")</f>
        <v/>
      </c>
      <c r="X424">
        <f>HYPERLINK("https://klasma.github.io/Logging_1981/tillsyn/A 41270-2024 tillsynsbegäran.docx", "A 41270-2024")</f>
        <v/>
      </c>
      <c r="Y424">
        <f>HYPERLINK("https://klasma.github.io/Logging_1981/tillsynsmail/A 41270-2024 tillsynsbegäran mail.docx", "A 41270-2024")</f>
        <v/>
      </c>
      <c r="Z424">
        <f>HYPERLINK("https://klasma.github.io/Logging_1981/fåglar/A 41270-2024 prioriterade fågelarter.docx", "A 41270-2024")</f>
        <v/>
      </c>
    </row>
    <row r="425" ht="15" customHeight="1">
      <c r="A425" t="inlineStr">
        <is>
          <t>A 41468-2024</t>
        </is>
      </c>
      <c r="B425" s="1" t="n">
        <v>45560</v>
      </c>
      <c r="C425" s="1" t="n">
        <v>45811</v>
      </c>
      <c r="D425" t="inlineStr">
        <is>
          <t>VÄSTMANLANDS LÄN</t>
        </is>
      </c>
      <c r="E425" t="inlineStr">
        <is>
          <t>NORBERG</t>
        </is>
      </c>
      <c r="F425" t="inlineStr">
        <is>
          <t>Bergvik skog väst AB</t>
        </is>
      </c>
      <c r="G425" t="n">
        <v>14.2</v>
      </c>
      <c r="H425" t="n">
        <v>1</v>
      </c>
      <c r="I425" t="n">
        <v>0</v>
      </c>
      <c r="J425" t="n">
        <v>0</v>
      </c>
      <c r="K425" t="n">
        <v>1</v>
      </c>
      <c r="L425" t="n">
        <v>0</v>
      </c>
      <c r="M425" t="n">
        <v>0</v>
      </c>
      <c r="N425" t="n">
        <v>0</v>
      </c>
      <c r="O425" t="n">
        <v>1</v>
      </c>
      <c r="P425" t="n">
        <v>1</v>
      </c>
      <c r="Q425" t="n">
        <v>1</v>
      </c>
      <c r="R425" s="2" t="inlineStr">
        <is>
          <t>Knärot</t>
        </is>
      </c>
      <c r="S425">
        <f>HYPERLINK("https://klasma.github.io/Logging_1962/artfynd/A 41468-2024 artfynd.xlsx", "A 41468-2024")</f>
        <v/>
      </c>
      <c r="T425">
        <f>HYPERLINK("https://klasma.github.io/Logging_1962/kartor/A 41468-2024 karta.png", "A 41468-2024")</f>
        <v/>
      </c>
      <c r="U425">
        <f>HYPERLINK("https://klasma.github.io/Logging_1962/knärot/A 41468-2024 karta knärot.png", "A 41468-2024")</f>
        <v/>
      </c>
      <c r="V425">
        <f>HYPERLINK("https://klasma.github.io/Logging_1962/klagomål/A 41468-2024 FSC-klagomål.docx", "A 41468-2024")</f>
        <v/>
      </c>
      <c r="W425">
        <f>HYPERLINK("https://klasma.github.io/Logging_1962/klagomålsmail/A 41468-2024 FSC-klagomål mail.docx", "A 41468-2024")</f>
        <v/>
      </c>
      <c r="X425">
        <f>HYPERLINK("https://klasma.github.io/Logging_1962/tillsyn/A 41468-2024 tillsynsbegäran.docx", "A 41468-2024")</f>
        <v/>
      </c>
      <c r="Y425">
        <f>HYPERLINK("https://klasma.github.io/Logging_1962/tillsynsmail/A 41468-2024 tillsynsbegäran mail.docx", "A 41468-2024")</f>
        <v/>
      </c>
    </row>
    <row r="426" ht="15" customHeight="1">
      <c r="A426" t="inlineStr">
        <is>
          <t>A 43068-2024</t>
        </is>
      </c>
      <c r="B426" s="1" t="n">
        <v>45567</v>
      </c>
      <c r="C426" s="1" t="n">
        <v>45811</v>
      </c>
      <c r="D426" t="inlineStr">
        <is>
          <t>VÄSTMANLANDS LÄN</t>
        </is>
      </c>
      <c r="E426" t="inlineStr">
        <is>
          <t>SALA</t>
        </is>
      </c>
      <c r="G426" t="n">
        <v>1.1</v>
      </c>
      <c r="H426" t="n">
        <v>0</v>
      </c>
      <c r="I426" t="n">
        <v>1</v>
      </c>
      <c r="J426" t="n">
        <v>0</v>
      </c>
      <c r="K426" t="n">
        <v>0</v>
      </c>
      <c r="L426" t="n">
        <v>0</v>
      </c>
      <c r="M426" t="n">
        <v>0</v>
      </c>
      <c r="N426" t="n">
        <v>0</v>
      </c>
      <c r="O426" t="n">
        <v>0</v>
      </c>
      <c r="P426" t="n">
        <v>0</v>
      </c>
      <c r="Q426" t="n">
        <v>1</v>
      </c>
      <c r="R426" s="2" t="inlineStr">
        <is>
          <t>Vedticka</t>
        </is>
      </c>
      <c r="S426">
        <f>HYPERLINK("https://klasma.github.io/Logging_1981/artfynd/A 43068-2024 artfynd.xlsx", "A 43068-2024")</f>
        <v/>
      </c>
      <c r="T426">
        <f>HYPERLINK("https://klasma.github.io/Logging_1981/kartor/A 43068-2024 karta.png", "A 43068-2024")</f>
        <v/>
      </c>
      <c r="V426">
        <f>HYPERLINK("https://klasma.github.io/Logging_1981/klagomål/A 43068-2024 FSC-klagomål.docx", "A 43068-2024")</f>
        <v/>
      </c>
      <c r="W426">
        <f>HYPERLINK("https://klasma.github.io/Logging_1981/klagomålsmail/A 43068-2024 FSC-klagomål mail.docx", "A 43068-2024")</f>
        <v/>
      </c>
      <c r="X426">
        <f>HYPERLINK("https://klasma.github.io/Logging_1981/tillsyn/A 43068-2024 tillsynsbegäran.docx", "A 43068-2024")</f>
        <v/>
      </c>
      <c r="Y426">
        <f>HYPERLINK("https://klasma.github.io/Logging_1981/tillsynsmail/A 43068-2024 tillsynsbegäran mail.docx", "A 43068-2024")</f>
        <v/>
      </c>
    </row>
    <row r="427" ht="15" customHeight="1">
      <c r="A427" t="inlineStr">
        <is>
          <t>A 43451-2024</t>
        </is>
      </c>
      <c r="B427" s="1" t="n">
        <v>45568</v>
      </c>
      <c r="C427" s="1" t="n">
        <v>45811</v>
      </c>
      <c r="D427" t="inlineStr">
        <is>
          <t>VÄSTMANLANDS LÄN</t>
        </is>
      </c>
      <c r="E427" t="inlineStr">
        <is>
          <t>SURAHAMMAR</t>
        </is>
      </c>
      <c r="F427" t="inlineStr">
        <is>
          <t>Bergvik skog väst AB</t>
        </is>
      </c>
      <c r="G427" t="n">
        <v>2.9</v>
      </c>
      <c r="H427" t="n">
        <v>0</v>
      </c>
      <c r="I427" t="n">
        <v>0</v>
      </c>
      <c r="J427" t="n">
        <v>1</v>
      </c>
      <c r="K427" t="n">
        <v>0</v>
      </c>
      <c r="L427" t="n">
        <v>0</v>
      </c>
      <c r="M427" t="n">
        <v>0</v>
      </c>
      <c r="N427" t="n">
        <v>0</v>
      </c>
      <c r="O427" t="n">
        <v>1</v>
      </c>
      <c r="P427" t="n">
        <v>0</v>
      </c>
      <c r="Q427" t="n">
        <v>1</v>
      </c>
      <c r="R427" s="2" t="inlineStr">
        <is>
          <t>Ullticka</t>
        </is>
      </c>
      <c r="S427">
        <f>HYPERLINK("https://klasma.github.io/Logging_1907/artfynd/A 43451-2024 artfynd.xlsx", "A 43451-2024")</f>
        <v/>
      </c>
      <c r="T427">
        <f>HYPERLINK("https://klasma.github.io/Logging_1907/kartor/A 43451-2024 karta.png", "A 43451-2024")</f>
        <v/>
      </c>
      <c r="V427">
        <f>HYPERLINK("https://klasma.github.io/Logging_1907/klagomål/A 43451-2024 FSC-klagomål.docx", "A 43451-2024")</f>
        <v/>
      </c>
      <c r="W427">
        <f>HYPERLINK("https://klasma.github.io/Logging_1907/klagomålsmail/A 43451-2024 FSC-klagomål mail.docx", "A 43451-2024")</f>
        <v/>
      </c>
      <c r="X427">
        <f>HYPERLINK("https://klasma.github.io/Logging_1907/tillsyn/A 43451-2024 tillsynsbegäran.docx", "A 43451-2024")</f>
        <v/>
      </c>
      <c r="Y427">
        <f>HYPERLINK("https://klasma.github.io/Logging_1907/tillsynsmail/A 43451-2024 tillsynsbegäran mail.docx", "A 43451-2024")</f>
        <v/>
      </c>
    </row>
    <row r="428" ht="15" customHeight="1">
      <c r="A428" t="inlineStr">
        <is>
          <t>A 43413-2024</t>
        </is>
      </c>
      <c r="B428" s="1" t="n">
        <v>45568</v>
      </c>
      <c r="C428" s="1" t="n">
        <v>45811</v>
      </c>
      <c r="D428" t="inlineStr">
        <is>
          <t>VÄSTMANLANDS LÄN</t>
        </is>
      </c>
      <c r="E428" t="inlineStr">
        <is>
          <t>SKINNSKATTEBERG</t>
        </is>
      </c>
      <c r="F428" t="inlineStr">
        <is>
          <t>Sveaskog</t>
        </is>
      </c>
      <c r="G428" t="n">
        <v>1.9</v>
      </c>
      <c r="H428" t="n">
        <v>0</v>
      </c>
      <c r="I428" t="n">
        <v>0</v>
      </c>
      <c r="J428" t="n">
        <v>1</v>
      </c>
      <c r="K428" t="n">
        <v>0</v>
      </c>
      <c r="L428" t="n">
        <v>0</v>
      </c>
      <c r="M428" t="n">
        <v>0</v>
      </c>
      <c r="N428" t="n">
        <v>0</v>
      </c>
      <c r="O428" t="n">
        <v>1</v>
      </c>
      <c r="P428" t="n">
        <v>0</v>
      </c>
      <c r="Q428" t="n">
        <v>1</v>
      </c>
      <c r="R428" s="2" t="inlineStr">
        <is>
          <t>Orange taggsvamp</t>
        </is>
      </c>
      <c r="S428">
        <f>HYPERLINK("https://klasma.github.io/Logging_1904/artfynd/A 43413-2024 artfynd.xlsx", "A 43413-2024")</f>
        <v/>
      </c>
      <c r="T428">
        <f>HYPERLINK("https://klasma.github.io/Logging_1904/kartor/A 43413-2024 karta.png", "A 43413-2024")</f>
        <v/>
      </c>
      <c r="V428">
        <f>HYPERLINK("https://klasma.github.io/Logging_1904/klagomål/A 43413-2024 FSC-klagomål.docx", "A 43413-2024")</f>
        <v/>
      </c>
      <c r="W428">
        <f>HYPERLINK("https://klasma.github.io/Logging_1904/klagomålsmail/A 43413-2024 FSC-klagomål mail.docx", "A 43413-2024")</f>
        <v/>
      </c>
      <c r="X428">
        <f>HYPERLINK("https://klasma.github.io/Logging_1904/tillsyn/A 43413-2024 tillsynsbegäran.docx", "A 43413-2024")</f>
        <v/>
      </c>
      <c r="Y428">
        <f>HYPERLINK("https://klasma.github.io/Logging_1904/tillsynsmail/A 43413-2024 tillsynsbegäran mail.docx", "A 43413-2024")</f>
        <v/>
      </c>
    </row>
    <row r="429" ht="15" customHeight="1">
      <c r="A429" t="inlineStr">
        <is>
          <t>A 44356-2024</t>
        </is>
      </c>
      <c r="B429" s="1" t="n">
        <v>45573</v>
      </c>
      <c r="C429" s="1" t="n">
        <v>45811</v>
      </c>
      <c r="D429" t="inlineStr">
        <is>
          <t>VÄSTMANLANDS LÄN</t>
        </is>
      </c>
      <c r="E429" t="inlineStr">
        <is>
          <t>SURAHAMMAR</t>
        </is>
      </c>
      <c r="F429" t="inlineStr">
        <is>
          <t>Sveaskog</t>
        </is>
      </c>
      <c r="G429" t="n">
        <v>0.7</v>
      </c>
      <c r="H429" t="n">
        <v>1</v>
      </c>
      <c r="I429" t="n">
        <v>0</v>
      </c>
      <c r="J429" t="n">
        <v>0</v>
      </c>
      <c r="K429" t="n">
        <v>0</v>
      </c>
      <c r="L429" t="n">
        <v>0</v>
      </c>
      <c r="M429" t="n">
        <v>0</v>
      </c>
      <c r="N429" t="n">
        <v>0</v>
      </c>
      <c r="O429" t="n">
        <v>0</v>
      </c>
      <c r="P429" t="n">
        <v>0</v>
      </c>
      <c r="Q429" t="n">
        <v>1</v>
      </c>
      <c r="R429" s="2" t="inlineStr">
        <is>
          <t>Revlummer</t>
        </is>
      </c>
      <c r="S429">
        <f>HYPERLINK("https://klasma.github.io/Logging_1907/artfynd/A 44356-2024 artfynd.xlsx", "A 44356-2024")</f>
        <v/>
      </c>
      <c r="T429">
        <f>HYPERLINK("https://klasma.github.io/Logging_1907/kartor/A 44356-2024 karta.png", "A 44356-2024")</f>
        <v/>
      </c>
      <c r="V429">
        <f>HYPERLINK("https://klasma.github.io/Logging_1907/klagomål/A 44356-2024 FSC-klagomål.docx", "A 44356-2024")</f>
        <v/>
      </c>
      <c r="W429">
        <f>HYPERLINK("https://klasma.github.io/Logging_1907/klagomålsmail/A 44356-2024 FSC-klagomål mail.docx", "A 44356-2024")</f>
        <v/>
      </c>
      <c r="X429">
        <f>HYPERLINK("https://klasma.github.io/Logging_1907/tillsyn/A 44356-2024 tillsynsbegäran.docx", "A 44356-2024")</f>
        <v/>
      </c>
      <c r="Y429">
        <f>HYPERLINK("https://klasma.github.io/Logging_1907/tillsynsmail/A 44356-2024 tillsynsbegäran mail.docx", "A 44356-2024")</f>
        <v/>
      </c>
    </row>
    <row r="430" ht="15" customHeight="1">
      <c r="A430" t="inlineStr">
        <is>
          <t>A 44355-2024</t>
        </is>
      </c>
      <c r="B430" s="1" t="n">
        <v>45573</v>
      </c>
      <c r="C430" s="1" t="n">
        <v>45811</v>
      </c>
      <c r="D430" t="inlineStr">
        <is>
          <t>VÄSTMANLANDS LÄN</t>
        </is>
      </c>
      <c r="E430" t="inlineStr">
        <is>
          <t>SURAHAMMAR</t>
        </is>
      </c>
      <c r="F430" t="inlineStr">
        <is>
          <t>Sveaskog</t>
        </is>
      </c>
      <c r="G430" t="n">
        <v>3.5</v>
      </c>
      <c r="H430" t="n">
        <v>1</v>
      </c>
      <c r="I430" t="n">
        <v>0</v>
      </c>
      <c r="J430" t="n">
        <v>0</v>
      </c>
      <c r="K430" t="n">
        <v>0</v>
      </c>
      <c r="L430" t="n">
        <v>0</v>
      </c>
      <c r="M430" t="n">
        <v>0</v>
      </c>
      <c r="N430" t="n">
        <v>0</v>
      </c>
      <c r="O430" t="n">
        <v>0</v>
      </c>
      <c r="P430" t="n">
        <v>0</v>
      </c>
      <c r="Q430" t="n">
        <v>1</v>
      </c>
      <c r="R430" s="2" t="inlineStr">
        <is>
          <t>Revlummer</t>
        </is>
      </c>
      <c r="S430">
        <f>HYPERLINK("https://klasma.github.io/Logging_1907/artfynd/A 44355-2024 artfynd.xlsx", "A 44355-2024")</f>
        <v/>
      </c>
      <c r="T430">
        <f>HYPERLINK("https://klasma.github.io/Logging_1907/kartor/A 44355-2024 karta.png", "A 44355-2024")</f>
        <v/>
      </c>
      <c r="V430">
        <f>HYPERLINK("https://klasma.github.io/Logging_1907/klagomål/A 44355-2024 FSC-klagomål.docx", "A 44355-2024")</f>
        <v/>
      </c>
      <c r="W430">
        <f>HYPERLINK("https://klasma.github.io/Logging_1907/klagomålsmail/A 44355-2024 FSC-klagomål mail.docx", "A 44355-2024")</f>
        <v/>
      </c>
      <c r="X430">
        <f>HYPERLINK("https://klasma.github.io/Logging_1907/tillsyn/A 44355-2024 tillsynsbegäran.docx", "A 44355-2024")</f>
        <v/>
      </c>
      <c r="Y430">
        <f>HYPERLINK("https://klasma.github.io/Logging_1907/tillsynsmail/A 44355-2024 tillsynsbegäran mail.docx", "A 44355-2024")</f>
        <v/>
      </c>
    </row>
    <row r="431" ht="15" customHeight="1">
      <c r="A431" t="inlineStr">
        <is>
          <t>A 45735-2024</t>
        </is>
      </c>
      <c r="B431" s="1" t="n">
        <v>45579</v>
      </c>
      <c r="C431" s="1" t="n">
        <v>45811</v>
      </c>
      <c r="D431" t="inlineStr">
        <is>
          <t>VÄSTMANLANDS LÄN</t>
        </is>
      </c>
      <c r="E431" t="inlineStr">
        <is>
          <t>SURAHAMMAR</t>
        </is>
      </c>
      <c r="F431" t="inlineStr">
        <is>
          <t>Sveaskog</t>
        </is>
      </c>
      <c r="G431" t="n">
        <v>13.5</v>
      </c>
      <c r="H431" t="n">
        <v>1</v>
      </c>
      <c r="I431" t="n">
        <v>0</v>
      </c>
      <c r="J431" t="n">
        <v>0</v>
      </c>
      <c r="K431" t="n">
        <v>0</v>
      </c>
      <c r="L431" t="n">
        <v>0</v>
      </c>
      <c r="M431" t="n">
        <v>0</v>
      </c>
      <c r="N431" t="n">
        <v>0</v>
      </c>
      <c r="O431" t="n">
        <v>0</v>
      </c>
      <c r="P431" t="n">
        <v>0</v>
      </c>
      <c r="Q431" t="n">
        <v>1</v>
      </c>
      <c r="R431" s="2" t="inlineStr">
        <is>
          <t>Revlummer</t>
        </is>
      </c>
      <c r="S431">
        <f>HYPERLINK("https://klasma.github.io/Logging_1907/artfynd/A 45735-2024 artfynd.xlsx", "A 45735-2024")</f>
        <v/>
      </c>
      <c r="T431">
        <f>HYPERLINK("https://klasma.github.io/Logging_1907/kartor/A 45735-2024 karta.png", "A 45735-2024")</f>
        <v/>
      </c>
      <c r="V431">
        <f>HYPERLINK("https://klasma.github.io/Logging_1907/klagomål/A 45735-2024 FSC-klagomål.docx", "A 45735-2024")</f>
        <v/>
      </c>
      <c r="W431">
        <f>HYPERLINK("https://klasma.github.io/Logging_1907/klagomålsmail/A 45735-2024 FSC-klagomål mail.docx", "A 45735-2024")</f>
        <v/>
      </c>
      <c r="X431">
        <f>HYPERLINK("https://klasma.github.io/Logging_1907/tillsyn/A 45735-2024 tillsynsbegäran.docx", "A 45735-2024")</f>
        <v/>
      </c>
      <c r="Y431">
        <f>HYPERLINK("https://klasma.github.io/Logging_1907/tillsynsmail/A 45735-2024 tillsynsbegäran mail.docx", "A 45735-2024")</f>
        <v/>
      </c>
    </row>
    <row r="432" ht="15" customHeight="1">
      <c r="A432" t="inlineStr">
        <is>
          <t>A 47139-2024</t>
        </is>
      </c>
      <c r="B432" s="1" t="n">
        <v>45586</v>
      </c>
      <c r="C432" s="1" t="n">
        <v>45811</v>
      </c>
      <c r="D432" t="inlineStr">
        <is>
          <t>VÄSTMANLANDS LÄN</t>
        </is>
      </c>
      <c r="E432" t="inlineStr">
        <is>
          <t>NORBERG</t>
        </is>
      </c>
      <c r="F432" t="inlineStr">
        <is>
          <t>Sveaskog</t>
        </is>
      </c>
      <c r="G432" t="n">
        <v>5</v>
      </c>
      <c r="H432" t="n">
        <v>1</v>
      </c>
      <c r="I432" t="n">
        <v>1</v>
      </c>
      <c r="J432" t="n">
        <v>0</v>
      </c>
      <c r="K432" t="n">
        <v>0</v>
      </c>
      <c r="L432" t="n">
        <v>0</v>
      </c>
      <c r="M432" t="n">
        <v>0</v>
      </c>
      <c r="N432" t="n">
        <v>0</v>
      </c>
      <c r="O432" t="n">
        <v>0</v>
      </c>
      <c r="P432" t="n">
        <v>0</v>
      </c>
      <c r="Q432" t="n">
        <v>1</v>
      </c>
      <c r="R432" s="2" t="inlineStr">
        <is>
          <t>Skogsknipprot</t>
        </is>
      </c>
      <c r="S432">
        <f>HYPERLINK("https://klasma.github.io/Logging_1962/artfynd/A 47139-2024 artfynd.xlsx", "A 47139-2024")</f>
        <v/>
      </c>
      <c r="T432">
        <f>HYPERLINK("https://klasma.github.io/Logging_1962/kartor/A 47139-2024 karta.png", "A 47139-2024")</f>
        <v/>
      </c>
      <c r="V432">
        <f>HYPERLINK("https://klasma.github.io/Logging_1962/klagomål/A 47139-2024 FSC-klagomål.docx", "A 47139-2024")</f>
        <v/>
      </c>
      <c r="W432">
        <f>HYPERLINK("https://klasma.github.io/Logging_1962/klagomålsmail/A 47139-2024 FSC-klagomål mail.docx", "A 47139-2024")</f>
        <v/>
      </c>
      <c r="X432">
        <f>HYPERLINK("https://klasma.github.io/Logging_1962/tillsyn/A 47139-2024 tillsynsbegäran.docx", "A 47139-2024")</f>
        <v/>
      </c>
      <c r="Y432">
        <f>HYPERLINK("https://klasma.github.io/Logging_1962/tillsynsmail/A 47139-2024 tillsynsbegäran mail.docx", "A 47139-2024")</f>
        <v/>
      </c>
    </row>
    <row r="433" ht="15" customHeight="1">
      <c r="A433" t="inlineStr">
        <is>
          <t>A 47549-2024</t>
        </is>
      </c>
      <c r="B433" s="1" t="n">
        <v>45587</v>
      </c>
      <c r="C433" s="1" t="n">
        <v>45811</v>
      </c>
      <c r="D433" t="inlineStr">
        <is>
          <t>VÄSTMANLANDS LÄN</t>
        </is>
      </c>
      <c r="E433" t="inlineStr">
        <is>
          <t>KUNGSÖR</t>
        </is>
      </c>
      <c r="G433" t="n">
        <v>1.9</v>
      </c>
      <c r="H433" t="n">
        <v>0</v>
      </c>
      <c r="I433" t="n">
        <v>0</v>
      </c>
      <c r="J433" t="n">
        <v>1</v>
      </c>
      <c r="K433" t="n">
        <v>0</v>
      </c>
      <c r="L433" t="n">
        <v>0</v>
      </c>
      <c r="M433" t="n">
        <v>0</v>
      </c>
      <c r="N433" t="n">
        <v>0</v>
      </c>
      <c r="O433" t="n">
        <v>1</v>
      </c>
      <c r="P433" t="n">
        <v>0</v>
      </c>
      <c r="Q433" t="n">
        <v>1</v>
      </c>
      <c r="R433" s="2" t="inlineStr">
        <is>
          <t>Ullticka</t>
        </is>
      </c>
      <c r="S433">
        <f>HYPERLINK("https://klasma.github.io/Logging_1960/artfynd/A 47549-2024 artfynd.xlsx", "A 47549-2024")</f>
        <v/>
      </c>
      <c r="T433">
        <f>HYPERLINK("https://klasma.github.io/Logging_1960/kartor/A 47549-2024 karta.png", "A 47549-2024")</f>
        <v/>
      </c>
      <c r="V433">
        <f>HYPERLINK("https://klasma.github.io/Logging_1960/klagomål/A 47549-2024 FSC-klagomål.docx", "A 47549-2024")</f>
        <v/>
      </c>
      <c r="W433">
        <f>HYPERLINK("https://klasma.github.io/Logging_1960/klagomålsmail/A 47549-2024 FSC-klagomål mail.docx", "A 47549-2024")</f>
        <v/>
      </c>
      <c r="X433">
        <f>HYPERLINK("https://klasma.github.io/Logging_1960/tillsyn/A 47549-2024 tillsynsbegäran.docx", "A 47549-2024")</f>
        <v/>
      </c>
      <c r="Y433">
        <f>HYPERLINK("https://klasma.github.io/Logging_1960/tillsynsmail/A 47549-2024 tillsynsbegäran mail.docx", "A 47549-2024")</f>
        <v/>
      </c>
    </row>
    <row r="434" ht="15" customHeight="1">
      <c r="A434" t="inlineStr">
        <is>
          <t>A 47453-2024</t>
        </is>
      </c>
      <c r="B434" s="1" t="n">
        <v>45587</v>
      </c>
      <c r="C434" s="1" t="n">
        <v>45811</v>
      </c>
      <c r="D434" t="inlineStr">
        <is>
          <t>VÄSTMANLANDS LÄN</t>
        </is>
      </c>
      <c r="E434" t="inlineStr">
        <is>
          <t>SURAHAMMAR</t>
        </is>
      </c>
      <c r="G434" t="n">
        <v>5.1</v>
      </c>
      <c r="H434" t="n">
        <v>1</v>
      </c>
      <c r="I434" t="n">
        <v>0</v>
      </c>
      <c r="J434" t="n">
        <v>0</v>
      </c>
      <c r="K434" t="n">
        <v>0</v>
      </c>
      <c r="L434" t="n">
        <v>0</v>
      </c>
      <c r="M434" t="n">
        <v>0</v>
      </c>
      <c r="N434" t="n">
        <v>0</v>
      </c>
      <c r="O434" t="n">
        <v>0</v>
      </c>
      <c r="P434" t="n">
        <v>0</v>
      </c>
      <c r="Q434" t="n">
        <v>1</v>
      </c>
      <c r="R434" s="2" t="inlineStr">
        <is>
          <t>Göktyta</t>
        </is>
      </c>
      <c r="S434">
        <f>HYPERLINK("https://klasma.github.io/Logging_1907/artfynd/A 47453-2024 artfynd.xlsx", "A 47453-2024")</f>
        <v/>
      </c>
      <c r="T434">
        <f>HYPERLINK("https://klasma.github.io/Logging_1907/kartor/A 47453-2024 karta.png", "A 47453-2024")</f>
        <v/>
      </c>
      <c r="V434">
        <f>HYPERLINK("https://klasma.github.io/Logging_1907/klagomål/A 47453-2024 FSC-klagomål.docx", "A 47453-2024")</f>
        <v/>
      </c>
      <c r="W434">
        <f>HYPERLINK("https://klasma.github.io/Logging_1907/klagomålsmail/A 47453-2024 FSC-klagomål mail.docx", "A 47453-2024")</f>
        <v/>
      </c>
      <c r="X434">
        <f>HYPERLINK("https://klasma.github.io/Logging_1907/tillsyn/A 47453-2024 tillsynsbegäran.docx", "A 47453-2024")</f>
        <v/>
      </c>
      <c r="Y434">
        <f>HYPERLINK("https://klasma.github.io/Logging_1907/tillsynsmail/A 47453-2024 tillsynsbegäran mail.docx", "A 47453-2024")</f>
        <v/>
      </c>
      <c r="Z434">
        <f>HYPERLINK("https://klasma.github.io/Logging_1907/fåglar/A 47453-2024 prioriterade fågelarter.docx", "A 47453-2024")</f>
        <v/>
      </c>
    </row>
    <row r="435" ht="15" customHeight="1">
      <c r="A435" t="inlineStr">
        <is>
          <t>A 49630-2024</t>
        </is>
      </c>
      <c r="B435" s="1" t="n">
        <v>45596</v>
      </c>
      <c r="C435" s="1" t="n">
        <v>45811</v>
      </c>
      <c r="D435" t="inlineStr">
        <is>
          <t>VÄSTMANLANDS LÄN</t>
        </is>
      </c>
      <c r="E435" t="inlineStr">
        <is>
          <t>SKINNSKATTEBERG</t>
        </is>
      </c>
      <c r="F435" t="inlineStr">
        <is>
          <t>Sveaskog</t>
        </is>
      </c>
      <c r="G435" t="n">
        <v>7.3</v>
      </c>
      <c r="H435" t="n">
        <v>1</v>
      </c>
      <c r="I435" t="n">
        <v>0</v>
      </c>
      <c r="J435" t="n">
        <v>0</v>
      </c>
      <c r="K435" t="n">
        <v>0</v>
      </c>
      <c r="L435" t="n">
        <v>0</v>
      </c>
      <c r="M435" t="n">
        <v>0</v>
      </c>
      <c r="N435" t="n">
        <v>0</v>
      </c>
      <c r="O435" t="n">
        <v>0</v>
      </c>
      <c r="P435" t="n">
        <v>0</v>
      </c>
      <c r="Q435" t="n">
        <v>1</v>
      </c>
      <c r="R435" s="2" t="inlineStr">
        <is>
          <t>Fläcknycklar</t>
        </is>
      </c>
      <c r="S435">
        <f>HYPERLINK("https://klasma.github.io/Logging_1904/artfynd/A 49630-2024 artfynd.xlsx", "A 49630-2024")</f>
        <v/>
      </c>
      <c r="T435">
        <f>HYPERLINK("https://klasma.github.io/Logging_1904/kartor/A 49630-2024 karta.png", "A 49630-2024")</f>
        <v/>
      </c>
      <c r="V435">
        <f>HYPERLINK("https://klasma.github.io/Logging_1904/klagomål/A 49630-2024 FSC-klagomål.docx", "A 49630-2024")</f>
        <v/>
      </c>
      <c r="W435">
        <f>HYPERLINK("https://klasma.github.io/Logging_1904/klagomålsmail/A 49630-2024 FSC-klagomål mail.docx", "A 49630-2024")</f>
        <v/>
      </c>
      <c r="X435">
        <f>HYPERLINK("https://klasma.github.io/Logging_1904/tillsyn/A 49630-2024 tillsynsbegäran.docx", "A 49630-2024")</f>
        <v/>
      </c>
      <c r="Y435">
        <f>HYPERLINK("https://klasma.github.io/Logging_1904/tillsynsmail/A 49630-2024 tillsynsbegäran mail.docx", "A 49630-2024")</f>
        <v/>
      </c>
    </row>
    <row r="436" ht="15" customHeight="1">
      <c r="A436" t="inlineStr">
        <is>
          <t>A 51122-2024</t>
        </is>
      </c>
      <c r="B436" s="1" t="n">
        <v>45603</v>
      </c>
      <c r="C436" s="1" t="n">
        <v>45811</v>
      </c>
      <c r="D436" t="inlineStr">
        <is>
          <t>VÄSTMANLANDS LÄN</t>
        </is>
      </c>
      <c r="E436" t="inlineStr">
        <is>
          <t>FAGERSTA</t>
        </is>
      </c>
      <c r="F436" t="inlineStr">
        <is>
          <t>Sveaskog</t>
        </is>
      </c>
      <c r="G436" t="n">
        <v>8</v>
      </c>
      <c r="H436" t="n">
        <v>0</v>
      </c>
      <c r="I436" t="n">
        <v>0</v>
      </c>
      <c r="J436" t="n">
        <v>1</v>
      </c>
      <c r="K436" t="n">
        <v>0</v>
      </c>
      <c r="L436" t="n">
        <v>0</v>
      </c>
      <c r="M436" t="n">
        <v>0</v>
      </c>
      <c r="N436" t="n">
        <v>0</v>
      </c>
      <c r="O436" t="n">
        <v>1</v>
      </c>
      <c r="P436" t="n">
        <v>0</v>
      </c>
      <c r="Q436" t="n">
        <v>1</v>
      </c>
      <c r="R436" s="2" t="inlineStr">
        <is>
          <t>Brunklöver</t>
        </is>
      </c>
      <c r="S436">
        <f>HYPERLINK("https://klasma.github.io/Logging_1982/artfynd/A 51122-2024 artfynd.xlsx", "A 51122-2024")</f>
        <v/>
      </c>
      <c r="T436">
        <f>HYPERLINK("https://klasma.github.io/Logging_1982/kartor/A 51122-2024 karta.png", "A 51122-2024")</f>
        <v/>
      </c>
      <c r="V436">
        <f>HYPERLINK("https://klasma.github.io/Logging_1982/klagomål/A 51122-2024 FSC-klagomål.docx", "A 51122-2024")</f>
        <v/>
      </c>
      <c r="W436">
        <f>HYPERLINK("https://klasma.github.io/Logging_1982/klagomålsmail/A 51122-2024 FSC-klagomål mail.docx", "A 51122-2024")</f>
        <v/>
      </c>
      <c r="X436">
        <f>HYPERLINK("https://klasma.github.io/Logging_1982/tillsyn/A 51122-2024 tillsynsbegäran.docx", "A 51122-2024")</f>
        <v/>
      </c>
      <c r="Y436">
        <f>HYPERLINK("https://klasma.github.io/Logging_1982/tillsynsmail/A 51122-2024 tillsynsbegäran mail.docx", "A 51122-2024")</f>
        <v/>
      </c>
    </row>
    <row r="437" ht="15" customHeight="1">
      <c r="A437" t="inlineStr">
        <is>
          <t>A 51947-2024</t>
        </is>
      </c>
      <c r="B437" s="1" t="n">
        <v>45607</v>
      </c>
      <c r="C437" s="1" t="n">
        <v>45811</v>
      </c>
      <c r="D437" t="inlineStr">
        <is>
          <t>VÄSTMANLANDS LÄN</t>
        </is>
      </c>
      <c r="E437" t="inlineStr">
        <is>
          <t>ARBOGA</t>
        </is>
      </c>
      <c r="F437" t="inlineStr">
        <is>
          <t>Sveaskog</t>
        </is>
      </c>
      <c r="G437" t="n">
        <v>2.3</v>
      </c>
      <c r="H437" t="n">
        <v>0</v>
      </c>
      <c r="I437" t="n">
        <v>0</v>
      </c>
      <c r="J437" t="n">
        <v>1</v>
      </c>
      <c r="K437" t="n">
        <v>0</v>
      </c>
      <c r="L437" t="n">
        <v>0</v>
      </c>
      <c r="M437" t="n">
        <v>0</v>
      </c>
      <c r="N437" t="n">
        <v>0</v>
      </c>
      <c r="O437" t="n">
        <v>1</v>
      </c>
      <c r="P437" t="n">
        <v>0</v>
      </c>
      <c r="Q437" t="n">
        <v>1</v>
      </c>
      <c r="R437" s="2" t="inlineStr">
        <is>
          <t>Ullticka</t>
        </is>
      </c>
      <c r="S437">
        <f>HYPERLINK("https://klasma.github.io/Logging_1984/artfynd/A 51947-2024 artfynd.xlsx", "A 51947-2024")</f>
        <v/>
      </c>
      <c r="T437">
        <f>HYPERLINK("https://klasma.github.io/Logging_1984/kartor/A 51947-2024 karta.png", "A 51947-2024")</f>
        <v/>
      </c>
      <c r="V437">
        <f>HYPERLINK("https://klasma.github.io/Logging_1984/klagomål/A 51947-2024 FSC-klagomål.docx", "A 51947-2024")</f>
        <v/>
      </c>
      <c r="W437">
        <f>HYPERLINK("https://klasma.github.io/Logging_1984/klagomålsmail/A 51947-2024 FSC-klagomål mail.docx", "A 51947-2024")</f>
        <v/>
      </c>
      <c r="X437">
        <f>HYPERLINK("https://klasma.github.io/Logging_1984/tillsyn/A 51947-2024 tillsynsbegäran.docx", "A 51947-2024")</f>
        <v/>
      </c>
      <c r="Y437">
        <f>HYPERLINK("https://klasma.github.io/Logging_1984/tillsynsmail/A 51947-2024 tillsynsbegäran mail.docx", "A 51947-2024")</f>
        <v/>
      </c>
    </row>
    <row r="438" ht="15" customHeight="1">
      <c r="A438" t="inlineStr">
        <is>
          <t>A 51912-2024</t>
        </is>
      </c>
      <c r="B438" s="1" t="n">
        <v>45607</v>
      </c>
      <c r="C438" s="1" t="n">
        <v>45811</v>
      </c>
      <c r="D438" t="inlineStr">
        <is>
          <t>VÄSTMANLANDS LÄN</t>
        </is>
      </c>
      <c r="E438" t="inlineStr">
        <is>
          <t>VÄSTERÅS</t>
        </is>
      </c>
      <c r="G438" t="n">
        <v>13.2</v>
      </c>
      <c r="H438" t="n">
        <v>0</v>
      </c>
      <c r="I438" t="n">
        <v>0</v>
      </c>
      <c r="J438" t="n">
        <v>1</v>
      </c>
      <c r="K438" t="n">
        <v>0</v>
      </c>
      <c r="L438" t="n">
        <v>0</v>
      </c>
      <c r="M438" t="n">
        <v>0</v>
      </c>
      <c r="N438" t="n">
        <v>0</v>
      </c>
      <c r="O438" t="n">
        <v>1</v>
      </c>
      <c r="P438" t="n">
        <v>0</v>
      </c>
      <c r="Q438" t="n">
        <v>1</v>
      </c>
      <c r="R438" s="2" t="inlineStr">
        <is>
          <t>Tallticka</t>
        </is>
      </c>
      <c r="S438">
        <f>HYPERLINK("https://klasma.github.io/Logging_1980/artfynd/A 51912-2024 artfynd.xlsx", "A 51912-2024")</f>
        <v/>
      </c>
      <c r="T438">
        <f>HYPERLINK("https://klasma.github.io/Logging_1980/kartor/A 51912-2024 karta.png", "A 51912-2024")</f>
        <v/>
      </c>
      <c r="V438">
        <f>HYPERLINK("https://klasma.github.io/Logging_1980/klagomål/A 51912-2024 FSC-klagomål.docx", "A 51912-2024")</f>
        <v/>
      </c>
      <c r="W438">
        <f>HYPERLINK("https://klasma.github.io/Logging_1980/klagomålsmail/A 51912-2024 FSC-klagomål mail.docx", "A 51912-2024")</f>
        <v/>
      </c>
      <c r="X438">
        <f>HYPERLINK("https://klasma.github.io/Logging_1980/tillsyn/A 51912-2024 tillsynsbegäran.docx", "A 51912-2024")</f>
        <v/>
      </c>
      <c r="Y438">
        <f>HYPERLINK("https://klasma.github.io/Logging_1980/tillsynsmail/A 51912-2024 tillsynsbegäran mail.docx", "A 51912-2024")</f>
        <v/>
      </c>
    </row>
    <row r="439" ht="15" customHeight="1">
      <c r="A439" t="inlineStr">
        <is>
          <t>A 54868-2024</t>
        </is>
      </c>
      <c r="B439" s="1" t="n">
        <v>45618</v>
      </c>
      <c r="C439" s="1" t="n">
        <v>45811</v>
      </c>
      <c r="D439" t="inlineStr">
        <is>
          <t>VÄSTMANLANDS LÄN</t>
        </is>
      </c>
      <c r="E439" t="inlineStr">
        <is>
          <t>KÖPING</t>
        </is>
      </c>
      <c r="F439" t="inlineStr">
        <is>
          <t>Sveaskog</t>
        </is>
      </c>
      <c r="G439" t="n">
        <v>6.4</v>
      </c>
      <c r="H439" t="n">
        <v>0</v>
      </c>
      <c r="I439" t="n">
        <v>0</v>
      </c>
      <c r="J439" t="n">
        <v>1</v>
      </c>
      <c r="K439" t="n">
        <v>0</v>
      </c>
      <c r="L439" t="n">
        <v>0</v>
      </c>
      <c r="M439" t="n">
        <v>0</v>
      </c>
      <c r="N439" t="n">
        <v>0</v>
      </c>
      <c r="O439" t="n">
        <v>1</v>
      </c>
      <c r="P439" t="n">
        <v>0</v>
      </c>
      <c r="Q439" t="n">
        <v>1</v>
      </c>
      <c r="R439" s="2" t="inlineStr">
        <is>
          <t>Skogsklocka</t>
        </is>
      </c>
      <c r="S439">
        <f>HYPERLINK("https://klasma.github.io/Logging_1983/artfynd/A 54868-2024 artfynd.xlsx", "A 54868-2024")</f>
        <v/>
      </c>
      <c r="T439">
        <f>HYPERLINK("https://klasma.github.io/Logging_1983/kartor/A 54868-2024 karta.png", "A 54868-2024")</f>
        <v/>
      </c>
      <c r="V439">
        <f>HYPERLINK("https://klasma.github.io/Logging_1983/klagomål/A 54868-2024 FSC-klagomål.docx", "A 54868-2024")</f>
        <v/>
      </c>
      <c r="W439">
        <f>HYPERLINK("https://klasma.github.io/Logging_1983/klagomålsmail/A 54868-2024 FSC-klagomål mail.docx", "A 54868-2024")</f>
        <v/>
      </c>
      <c r="X439">
        <f>HYPERLINK("https://klasma.github.io/Logging_1983/tillsyn/A 54868-2024 tillsynsbegäran.docx", "A 54868-2024")</f>
        <v/>
      </c>
      <c r="Y439">
        <f>HYPERLINK("https://klasma.github.io/Logging_1983/tillsynsmail/A 54868-2024 tillsynsbegäran mail.docx", "A 54868-2024")</f>
        <v/>
      </c>
    </row>
    <row r="440" ht="15" customHeight="1">
      <c r="A440" t="inlineStr">
        <is>
          <t>A 55711-2024</t>
        </is>
      </c>
      <c r="B440" s="1" t="n">
        <v>45622</v>
      </c>
      <c r="C440" s="1" t="n">
        <v>45811</v>
      </c>
      <c r="D440" t="inlineStr">
        <is>
          <t>VÄSTMANLANDS LÄN</t>
        </is>
      </c>
      <c r="E440" t="inlineStr">
        <is>
          <t>NORBERG</t>
        </is>
      </c>
      <c r="G440" t="n">
        <v>2.5</v>
      </c>
      <c r="H440" t="n">
        <v>1</v>
      </c>
      <c r="I440" t="n">
        <v>1</v>
      </c>
      <c r="J440" t="n">
        <v>0</v>
      </c>
      <c r="K440" t="n">
        <v>0</v>
      </c>
      <c r="L440" t="n">
        <v>0</v>
      </c>
      <c r="M440" t="n">
        <v>0</v>
      </c>
      <c r="N440" t="n">
        <v>0</v>
      </c>
      <c r="O440" t="n">
        <v>0</v>
      </c>
      <c r="P440" t="n">
        <v>0</v>
      </c>
      <c r="Q440" t="n">
        <v>1</v>
      </c>
      <c r="R440" s="2" t="inlineStr">
        <is>
          <t>Skogsknipprot</t>
        </is>
      </c>
      <c r="S440">
        <f>HYPERLINK("https://klasma.github.io/Logging_1962/artfynd/A 55711-2024 artfynd.xlsx", "A 55711-2024")</f>
        <v/>
      </c>
      <c r="T440">
        <f>HYPERLINK("https://klasma.github.io/Logging_1962/kartor/A 55711-2024 karta.png", "A 55711-2024")</f>
        <v/>
      </c>
      <c r="V440">
        <f>HYPERLINK("https://klasma.github.io/Logging_1962/klagomål/A 55711-2024 FSC-klagomål.docx", "A 55711-2024")</f>
        <v/>
      </c>
      <c r="W440">
        <f>HYPERLINK("https://klasma.github.io/Logging_1962/klagomålsmail/A 55711-2024 FSC-klagomål mail.docx", "A 55711-2024")</f>
        <v/>
      </c>
      <c r="X440">
        <f>HYPERLINK("https://klasma.github.io/Logging_1962/tillsyn/A 55711-2024 tillsynsbegäran.docx", "A 55711-2024")</f>
        <v/>
      </c>
      <c r="Y440">
        <f>HYPERLINK("https://klasma.github.io/Logging_1962/tillsynsmail/A 55711-2024 tillsynsbegäran mail.docx", "A 55711-2024")</f>
        <v/>
      </c>
    </row>
    <row r="441" ht="15" customHeight="1">
      <c r="A441" t="inlineStr">
        <is>
          <t>A 58307-2024</t>
        </is>
      </c>
      <c r="B441" s="1" t="n">
        <v>45632</v>
      </c>
      <c r="C441" s="1" t="n">
        <v>45811</v>
      </c>
      <c r="D441" t="inlineStr">
        <is>
          <t>VÄSTMANLANDS LÄN</t>
        </is>
      </c>
      <c r="E441" t="inlineStr">
        <is>
          <t>FAGERSTA</t>
        </is>
      </c>
      <c r="G441" t="n">
        <v>1</v>
      </c>
      <c r="H441" t="n">
        <v>0</v>
      </c>
      <c r="I441" t="n">
        <v>1</v>
      </c>
      <c r="J441" t="n">
        <v>0</v>
      </c>
      <c r="K441" t="n">
        <v>0</v>
      </c>
      <c r="L441" t="n">
        <v>0</v>
      </c>
      <c r="M441" t="n">
        <v>0</v>
      </c>
      <c r="N441" t="n">
        <v>0</v>
      </c>
      <c r="O441" t="n">
        <v>0</v>
      </c>
      <c r="P441" t="n">
        <v>0</v>
      </c>
      <c r="Q441" t="n">
        <v>1</v>
      </c>
      <c r="R441" s="2" t="inlineStr">
        <is>
          <t>Mindre märgborre</t>
        </is>
      </c>
      <c r="S441">
        <f>HYPERLINK("https://klasma.github.io/Logging_1982/artfynd/A 58307-2024 artfynd.xlsx", "A 58307-2024")</f>
        <v/>
      </c>
      <c r="T441">
        <f>HYPERLINK("https://klasma.github.io/Logging_1982/kartor/A 58307-2024 karta.png", "A 58307-2024")</f>
        <v/>
      </c>
      <c r="V441">
        <f>HYPERLINK("https://klasma.github.io/Logging_1982/klagomål/A 58307-2024 FSC-klagomål.docx", "A 58307-2024")</f>
        <v/>
      </c>
      <c r="W441">
        <f>HYPERLINK("https://klasma.github.io/Logging_1982/klagomålsmail/A 58307-2024 FSC-klagomål mail.docx", "A 58307-2024")</f>
        <v/>
      </c>
      <c r="X441">
        <f>HYPERLINK("https://klasma.github.io/Logging_1982/tillsyn/A 58307-2024 tillsynsbegäran.docx", "A 58307-2024")</f>
        <v/>
      </c>
      <c r="Y441">
        <f>HYPERLINK("https://klasma.github.io/Logging_1982/tillsynsmail/A 58307-2024 tillsynsbegäran mail.docx", "A 58307-2024")</f>
        <v/>
      </c>
    </row>
    <row r="442" ht="15" customHeight="1">
      <c r="A442" t="inlineStr">
        <is>
          <t>A 58122-2024</t>
        </is>
      </c>
      <c r="B442" s="1" t="n">
        <v>45632</v>
      </c>
      <c r="C442" s="1" t="n">
        <v>45811</v>
      </c>
      <c r="D442" t="inlineStr">
        <is>
          <t>VÄSTMANLANDS LÄN</t>
        </is>
      </c>
      <c r="E442" t="inlineStr">
        <is>
          <t>KÖPING</t>
        </is>
      </c>
      <c r="G442" t="n">
        <v>5.7</v>
      </c>
      <c r="H442" t="n">
        <v>1</v>
      </c>
      <c r="I442" t="n">
        <v>0</v>
      </c>
      <c r="J442" t="n">
        <v>0</v>
      </c>
      <c r="K442" t="n">
        <v>0</v>
      </c>
      <c r="L442" t="n">
        <v>0</v>
      </c>
      <c r="M442" t="n">
        <v>0</v>
      </c>
      <c r="N442" t="n">
        <v>0</v>
      </c>
      <c r="O442" t="n">
        <v>0</v>
      </c>
      <c r="P442" t="n">
        <v>0</v>
      </c>
      <c r="Q442" t="n">
        <v>1</v>
      </c>
      <c r="R442" s="2" t="inlineStr">
        <is>
          <t>Vanlig groda</t>
        </is>
      </c>
      <c r="S442">
        <f>HYPERLINK("https://klasma.github.io/Logging_1983/artfynd/A 58122-2024 artfynd.xlsx", "A 58122-2024")</f>
        <v/>
      </c>
      <c r="T442">
        <f>HYPERLINK("https://klasma.github.io/Logging_1983/kartor/A 58122-2024 karta.png", "A 58122-2024")</f>
        <v/>
      </c>
      <c r="V442">
        <f>HYPERLINK("https://klasma.github.io/Logging_1983/klagomål/A 58122-2024 FSC-klagomål.docx", "A 58122-2024")</f>
        <v/>
      </c>
      <c r="W442">
        <f>HYPERLINK("https://klasma.github.io/Logging_1983/klagomålsmail/A 58122-2024 FSC-klagomål mail.docx", "A 58122-2024")</f>
        <v/>
      </c>
      <c r="X442">
        <f>HYPERLINK("https://klasma.github.io/Logging_1983/tillsyn/A 58122-2024 tillsynsbegäran.docx", "A 58122-2024")</f>
        <v/>
      </c>
      <c r="Y442">
        <f>HYPERLINK("https://klasma.github.io/Logging_1983/tillsynsmail/A 58122-2024 tillsynsbegäran mail.docx", "A 58122-2024")</f>
        <v/>
      </c>
    </row>
    <row r="443" ht="15" customHeight="1">
      <c r="A443" t="inlineStr">
        <is>
          <t>A 58711-2024</t>
        </is>
      </c>
      <c r="B443" s="1" t="n">
        <v>45635</v>
      </c>
      <c r="C443" s="1" t="n">
        <v>45811</v>
      </c>
      <c r="D443" t="inlineStr">
        <is>
          <t>VÄSTMANLANDS LÄN</t>
        </is>
      </c>
      <c r="E443" t="inlineStr">
        <is>
          <t>SALA</t>
        </is>
      </c>
      <c r="G443" t="n">
        <v>1.5</v>
      </c>
      <c r="H443" t="n">
        <v>1</v>
      </c>
      <c r="I443" t="n">
        <v>0</v>
      </c>
      <c r="J443" t="n">
        <v>0</v>
      </c>
      <c r="K443" t="n">
        <v>0</v>
      </c>
      <c r="L443" t="n">
        <v>0</v>
      </c>
      <c r="M443" t="n">
        <v>0</v>
      </c>
      <c r="N443" t="n">
        <v>0</v>
      </c>
      <c r="O443" t="n">
        <v>0</v>
      </c>
      <c r="P443" t="n">
        <v>0</v>
      </c>
      <c r="Q443" t="n">
        <v>1</v>
      </c>
      <c r="R443" s="2" t="inlineStr">
        <is>
          <t>Gröngöling</t>
        </is>
      </c>
      <c r="S443">
        <f>HYPERLINK("https://klasma.github.io/Logging_1981/artfynd/A 58711-2024 artfynd.xlsx", "A 58711-2024")</f>
        <v/>
      </c>
      <c r="T443">
        <f>HYPERLINK("https://klasma.github.io/Logging_1981/kartor/A 58711-2024 karta.png", "A 58711-2024")</f>
        <v/>
      </c>
      <c r="V443">
        <f>HYPERLINK("https://klasma.github.io/Logging_1981/klagomål/A 58711-2024 FSC-klagomål.docx", "A 58711-2024")</f>
        <v/>
      </c>
      <c r="W443">
        <f>HYPERLINK("https://klasma.github.io/Logging_1981/klagomålsmail/A 58711-2024 FSC-klagomål mail.docx", "A 58711-2024")</f>
        <v/>
      </c>
      <c r="X443">
        <f>HYPERLINK("https://klasma.github.io/Logging_1981/tillsyn/A 58711-2024 tillsynsbegäran.docx", "A 58711-2024")</f>
        <v/>
      </c>
      <c r="Y443">
        <f>HYPERLINK("https://klasma.github.io/Logging_1981/tillsynsmail/A 58711-2024 tillsynsbegäran mail.docx", "A 58711-2024")</f>
        <v/>
      </c>
      <c r="Z443">
        <f>HYPERLINK("https://klasma.github.io/Logging_1981/fåglar/A 58711-2024 prioriterade fågelarter.docx", "A 58711-2024")</f>
        <v/>
      </c>
    </row>
    <row r="444" ht="15" customHeight="1">
      <c r="A444" t="inlineStr">
        <is>
          <t>A 60218-2024</t>
        </is>
      </c>
      <c r="B444" s="1" t="n">
        <v>45642</v>
      </c>
      <c r="C444" s="1" t="n">
        <v>45811</v>
      </c>
      <c r="D444" t="inlineStr">
        <is>
          <t>VÄSTMANLANDS LÄN</t>
        </is>
      </c>
      <c r="E444" t="inlineStr">
        <is>
          <t>VÄSTERÅS</t>
        </is>
      </c>
      <c r="G444" t="n">
        <v>7.3</v>
      </c>
      <c r="H444" t="n">
        <v>1</v>
      </c>
      <c r="I444" t="n">
        <v>0</v>
      </c>
      <c r="J444" t="n">
        <v>0</v>
      </c>
      <c r="K444" t="n">
        <v>0</v>
      </c>
      <c r="L444" t="n">
        <v>0</v>
      </c>
      <c r="M444" t="n">
        <v>0</v>
      </c>
      <c r="N444" t="n">
        <v>0</v>
      </c>
      <c r="O444" t="n">
        <v>0</v>
      </c>
      <c r="P444" t="n">
        <v>0</v>
      </c>
      <c r="Q444" t="n">
        <v>1</v>
      </c>
      <c r="R444" s="2" t="inlineStr">
        <is>
          <t>Mindre vattensalamander</t>
        </is>
      </c>
      <c r="S444">
        <f>HYPERLINK("https://klasma.github.io/Logging_1980/artfynd/A 60218-2024 artfynd.xlsx", "A 60218-2024")</f>
        <v/>
      </c>
      <c r="T444">
        <f>HYPERLINK("https://klasma.github.io/Logging_1980/kartor/A 60218-2024 karta.png", "A 60218-2024")</f>
        <v/>
      </c>
      <c r="V444">
        <f>HYPERLINK("https://klasma.github.io/Logging_1980/klagomål/A 60218-2024 FSC-klagomål.docx", "A 60218-2024")</f>
        <v/>
      </c>
      <c r="W444">
        <f>HYPERLINK("https://klasma.github.io/Logging_1980/klagomålsmail/A 60218-2024 FSC-klagomål mail.docx", "A 60218-2024")</f>
        <v/>
      </c>
      <c r="X444">
        <f>HYPERLINK("https://klasma.github.io/Logging_1980/tillsyn/A 60218-2024 tillsynsbegäran.docx", "A 60218-2024")</f>
        <v/>
      </c>
      <c r="Y444">
        <f>HYPERLINK("https://klasma.github.io/Logging_1980/tillsynsmail/A 60218-2024 tillsynsbegäran mail.docx", "A 60218-2024")</f>
        <v/>
      </c>
    </row>
    <row r="445" ht="15" customHeight="1">
      <c r="A445" t="inlineStr">
        <is>
          <t>A 61099-2024</t>
        </is>
      </c>
      <c r="B445" s="1" t="n">
        <v>45644</v>
      </c>
      <c r="C445" s="1" t="n">
        <v>45811</v>
      </c>
      <c r="D445" t="inlineStr">
        <is>
          <t>VÄSTMANLANDS LÄN</t>
        </is>
      </c>
      <c r="E445" t="inlineStr">
        <is>
          <t>NORBERG</t>
        </is>
      </c>
      <c r="G445" t="n">
        <v>0.4</v>
      </c>
      <c r="H445" t="n">
        <v>1</v>
      </c>
      <c r="I445" t="n">
        <v>0</v>
      </c>
      <c r="J445" t="n">
        <v>0</v>
      </c>
      <c r="K445" t="n">
        <v>0</v>
      </c>
      <c r="L445" t="n">
        <v>0</v>
      </c>
      <c r="M445" t="n">
        <v>0</v>
      </c>
      <c r="N445" t="n">
        <v>0</v>
      </c>
      <c r="O445" t="n">
        <v>0</v>
      </c>
      <c r="P445" t="n">
        <v>0</v>
      </c>
      <c r="Q445" t="n">
        <v>1</v>
      </c>
      <c r="R445" s="2" t="inlineStr">
        <is>
          <t>Blåsippa</t>
        </is>
      </c>
      <c r="S445">
        <f>HYPERLINK("https://klasma.github.io/Logging_1962/artfynd/A 61099-2024 artfynd.xlsx", "A 61099-2024")</f>
        <v/>
      </c>
      <c r="T445">
        <f>HYPERLINK("https://klasma.github.io/Logging_1962/kartor/A 61099-2024 karta.png", "A 61099-2024")</f>
        <v/>
      </c>
      <c r="V445">
        <f>HYPERLINK("https://klasma.github.io/Logging_1962/klagomål/A 61099-2024 FSC-klagomål.docx", "A 61099-2024")</f>
        <v/>
      </c>
      <c r="W445">
        <f>HYPERLINK("https://klasma.github.io/Logging_1962/klagomålsmail/A 61099-2024 FSC-klagomål mail.docx", "A 61099-2024")</f>
        <v/>
      </c>
      <c r="X445">
        <f>HYPERLINK("https://klasma.github.io/Logging_1962/tillsyn/A 61099-2024 tillsynsbegäran.docx", "A 61099-2024")</f>
        <v/>
      </c>
      <c r="Y445">
        <f>HYPERLINK("https://klasma.github.io/Logging_1962/tillsynsmail/A 61099-2024 tillsynsbegäran mail.docx", "A 61099-2024")</f>
        <v/>
      </c>
    </row>
    <row r="446" ht="15" customHeight="1">
      <c r="A446" t="inlineStr">
        <is>
          <t>A 60852-2024</t>
        </is>
      </c>
      <c r="B446" s="1" t="n">
        <v>45644</v>
      </c>
      <c r="C446" s="1" t="n">
        <v>45811</v>
      </c>
      <c r="D446" t="inlineStr">
        <is>
          <t>VÄSTMANLANDS LÄN</t>
        </is>
      </c>
      <c r="E446" t="inlineStr">
        <is>
          <t>SALA</t>
        </is>
      </c>
      <c r="G446" t="n">
        <v>7.6</v>
      </c>
      <c r="H446" t="n">
        <v>1</v>
      </c>
      <c r="I446" t="n">
        <v>0</v>
      </c>
      <c r="J446" t="n">
        <v>0</v>
      </c>
      <c r="K446" t="n">
        <v>0</v>
      </c>
      <c r="L446" t="n">
        <v>0</v>
      </c>
      <c r="M446" t="n">
        <v>0</v>
      </c>
      <c r="N446" t="n">
        <v>0</v>
      </c>
      <c r="O446" t="n">
        <v>0</v>
      </c>
      <c r="P446" t="n">
        <v>0</v>
      </c>
      <c r="Q446" t="n">
        <v>1</v>
      </c>
      <c r="R446" s="2" t="inlineStr">
        <is>
          <t>Blåsippa</t>
        </is>
      </c>
      <c r="S446">
        <f>HYPERLINK("https://klasma.github.io/Logging_1981/artfynd/A 60852-2024 artfynd.xlsx", "A 60852-2024")</f>
        <v/>
      </c>
      <c r="T446">
        <f>HYPERLINK("https://klasma.github.io/Logging_1981/kartor/A 60852-2024 karta.png", "A 60852-2024")</f>
        <v/>
      </c>
      <c r="V446">
        <f>HYPERLINK("https://klasma.github.io/Logging_1981/klagomål/A 60852-2024 FSC-klagomål.docx", "A 60852-2024")</f>
        <v/>
      </c>
      <c r="W446">
        <f>HYPERLINK("https://klasma.github.io/Logging_1981/klagomålsmail/A 60852-2024 FSC-klagomål mail.docx", "A 60852-2024")</f>
        <v/>
      </c>
      <c r="X446">
        <f>HYPERLINK("https://klasma.github.io/Logging_1981/tillsyn/A 60852-2024 tillsynsbegäran.docx", "A 60852-2024")</f>
        <v/>
      </c>
      <c r="Y446">
        <f>HYPERLINK("https://klasma.github.io/Logging_1981/tillsynsmail/A 60852-2024 tillsynsbegäran mail.docx", "A 60852-2024")</f>
        <v/>
      </c>
    </row>
    <row r="447" ht="15" customHeight="1">
      <c r="A447" t="inlineStr">
        <is>
          <t>A 61036-2024</t>
        </is>
      </c>
      <c r="B447" s="1" t="n">
        <v>45645</v>
      </c>
      <c r="C447" s="1" t="n">
        <v>45811</v>
      </c>
      <c r="D447" t="inlineStr">
        <is>
          <t>VÄSTMANLANDS LÄN</t>
        </is>
      </c>
      <c r="E447" t="inlineStr">
        <is>
          <t>VÄSTERÅS</t>
        </is>
      </c>
      <c r="G447" t="n">
        <v>3.7</v>
      </c>
      <c r="H447" t="n">
        <v>1</v>
      </c>
      <c r="I447" t="n">
        <v>0</v>
      </c>
      <c r="J447" t="n">
        <v>0</v>
      </c>
      <c r="K447" t="n">
        <v>0</v>
      </c>
      <c r="L447" t="n">
        <v>0</v>
      </c>
      <c r="M447" t="n">
        <v>0</v>
      </c>
      <c r="N447" t="n">
        <v>0</v>
      </c>
      <c r="O447" t="n">
        <v>0</v>
      </c>
      <c r="P447" t="n">
        <v>0</v>
      </c>
      <c r="Q447" t="n">
        <v>1</v>
      </c>
      <c r="R447" s="2" t="inlineStr">
        <is>
          <t>Revlummer</t>
        </is>
      </c>
      <c r="S447">
        <f>HYPERLINK("https://klasma.github.io/Logging_1980/artfynd/A 61036-2024 artfynd.xlsx", "A 61036-2024")</f>
        <v/>
      </c>
      <c r="T447">
        <f>HYPERLINK("https://klasma.github.io/Logging_1980/kartor/A 61036-2024 karta.png", "A 61036-2024")</f>
        <v/>
      </c>
      <c r="V447">
        <f>HYPERLINK("https://klasma.github.io/Logging_1980/klagomål/A 61036-2024 FSC-klagomål.docx", "A 61036-2024")</f>
        <v/>
      </c>
      <c r="W447">
        <f>HYPERLINK("https://klasma.github.io/Logging_1980/klagomålsmail/A 61036-2024 FSC-klagomål mail.docx", "A 61036-2024")</f>
        <v/>
      </c>
      <c r="X447">
        <f>HYPERLINK("https://klasma.github.io/Logging_1980/tillsyn/A 61036-2024 tillsynsbegäran.docx", "A 61036-2024")</f>
        <v/>
      </c>
      <c r="Y447">
        <f>HYPERLINK("https://klasma.github.io/Logging_1980/tillsynsmail/A 61036-2024 tillsynsbegäran mail.docx", "A 61036-2024")</f>
        <v/>
      </c>
    </row>
    <row r="448" ht="15" customHeight="1">
      <c r="A448" t="inlineStr">
        <is>
          <t>A 61577-2024</t>
        </is>
      </c>
      <c r="B448" s="1" t="n">
        <v>45646</v>
      </c>
      <c r="C448" s="1" t="n">
        <v>45811</v>
      </c>
      <c r="D448" t="inlineStr">
        <is>
          <t>VÄSTMANLANDS LÄN</t>
        </is>
      </c>
      <c r="E448" t="inlineStr">
        <is>
          <t>KÖPING</t>
        </is>
      </c>
      <c r="G448" t="n">
        <v>5.6</v>
      </c>
      <c r="H448" t="n">
        <v>1</v>
      </c>
      <c r="I448" t="n">
        <v>0</v>
      </c>
      <c r="J448" t="n">
        <v>0</v>
      </c>
      <c r="K448" t="n">
        <v>0</v>
      </c>
      <c r="L448" t="n">
        <v>0</v>
      </c>
      <c r="M448" t="n">
        <v>0</v>
      </c>
      <c r="N448" t="n">
        <v>0</v>
      </c>
      <c r="O448" t="n">
        <v>0</v>
      </c>
      <c r="P448" t="n">
        <v>0</v>
      </c>
      <c r="Q448" t="n">
        <v>1</v>
      </c>
      <c r="R448" s="2" t="inlineStr">
        <is>
          <t>Skogsödla</t>
        </is>
      </c>
      <c r="S448">
        <f>HYPERLINK("https://klasma.github.io/Logging_1983/artfynd/A 61577-2024 artfynd.xlsx", "A 61577-2024")</f>
        <v/>
      </c>
      <c r="T448">
        <f>HYPERLINK("https://klasma.github.io/Logging_1983/kartor/A 61577-2024 karta.png", "A 61577-2024")</f>
        <v/>
      </c>
      <c r="V448">
        <f>HYPERLINK("https://klasma.github.io/Logging_1983/klagomål/A 61577-2024 FSC-klagomål.docx", "A 61577-2024")</f>
        <v/>
      </c>
      <c r="W448">
        <f>HYPERLINK("https://klasma.github.io/Logging_1983/klagomålsmail/A 61577-2024 FSC-klagomål mail.docx", "A 61577-2024")</f>
        <v/>
      </c>
      <c r="X448">
        <f>HYPERLINK("https://klasma.github.io/Logging_1983/tillsyn/A 61577-2024 tillsynsbegäran.docx", "A 61577-2024")</f>
        <v/>
      </c>
      <c r="Y448">
        <f>HYPERLINK("https://klasma.github.io/Logging_1983/tillsynsmail/A 61577-2024 tillsynsbegäran mail.docx", "A 61577-2024")</f>
        <v/>
      </c>
    </row>
    <row r="449" ht="15" customHeight="1">
      <c r="A449" t="inlineStr">
        <is>
          <t>A 62097-2024</t>
        </is>
      </c>
      <c r="B449" s="1" t="n">
        <v>45646</v>
      </c>
      <c r="C449" s="1" t="n">
        <v>45811</v>
      </c>
      <c r="D449" t="inlineStr">
        <is>
          <t>VÄSTMANLANDS LÄN</t>
        </is>
      </c>
      <c r="E449" t="inlineStr">
        <is>
          <t>SURAHAMMAR</t>
        </is>
      </c>
      <c r="F449" t="inlineStr">
        <is>
          <t>Bergvik skog väst AB</t>
        </is>
      </c>
      <c r="G449" t="n">
        <v>21.7</v>
      </c>
      <c r="H449" t="n">
        <v>1</v>
      </c>
      <c r="I449" t="n">
        <v>0</v>
      </c>
      <c r="J449" t="n">
        <v>0</v>
      </c>
      <c r="K449" t="n">
        <v>0</v>
      </c>
      <c r="L449" t="n">
        <v>0</v>
      </c>
      <c r="M449" t="n">
        <v>0</v>
      </c>
      <c r="N449" t="n">
        <v>0</v>
      </c>
      <c r="O449" t="n">
        <v>0</v>
      </c>
      <c r="P449" t="n">
        <v>0</v>
      </c>
      <c r="Q449" t="n">
        <v>1</v>
      </c>
      <c r="R449" s="2" t="inlineStr">
        <is>
          <t>Revlummer</t>
        </is>
      </c>
      <c r="S449">
        <f>HYPERLINK("https://klasma.github.io/Logging_1907/artfynd/A 62097-2024 artfynd.xlsx", "A 62097-2024")</f>
        <v/>
      </c>
      <c r="T449">
        <f>HYPERLINK("https://klasma.github.io/Logging_1907/kartor/A 62097-2024 karta.png", "A 62097-2024")</f>
        <v/>
      </c>
      <c r="V449">
        <f>HYPERLINK("https://klasma.github.io/Logging_1907/klagomål/A 62097-2024 FSC-klagomål.docx", "A 62097-2024")</f>
        <v/>
      </c>
      <c r="W449">
        <f>HYPERLINK("https://klasma.github.io/Logging_1907/klagomålsmail/A 62097-2024 FSC-klagomål mail.docx", "A 62097-2024")</f>
        <v/>
      </c>
      <c r="X449">
        <f>HYPERLINK("https://klasma.github.io/Logging_1907/tillsyn/A 62097-2024 tillsynsbegäran.docx", "A 62097-2024")</f>
        <v/>
      </c>
      <c r="Y449">
        <f>HYPERLINK("https://klasma.github.io/Logging_1907/tillsynsmail/A 62097-2024 tillsynsbegäran mail.docx", "A 62097-2024")</f>
        <v/>
      </c>
    </row>
    <row r="450" ht="15" customHeight="1">
      <c r="A450" t="inlineStr">
        <is>
          <t>A 62156-2024</t>
        </is>
      </c>
      <c r="B450" s="1" t="n">
        <v>45656</v>
      </c>
      <c r="C450" s="1" t="n">
        <v>45811</v>
      </c>
      <c r="D450" t="inlineStr">
        <is>
          <t>VÄSTMANLANDS LÄN</t>
        </is>
      </c>
      <c r="E450" t="inlineStr">
        <is>
          <t>SKINNSKATTEBERG</t>
        </is>
      </c>
      <c r="G450" t="n">
        <v>11.5</v>
      </c>
      <c r="H450" t="n">
        <v>0</v>
      </c>
      <c r="I450" t="n">
        <v>1</v>
      </c>
      <c r="J450" t="n">
        <v>0</v>
      </c>
      <c r="K450" t="n">
        <v>0</v>
      </c>
      <c r="L450" t="n">
        <v>0</v>
      </c>
      <c r="M450" t="n">
        <v>0</v>
      </c>
      <c r="N450" t="n">
        <v>0</v>
      </c>
      <c r="O450" t="n">
        <v>0</v>
      </c>
      <c r="P450" t="n">
        <v>0</v>
      </c>
      <c r="Q450" t="n">
        <v>1</v>
      </c>
      <c r="R450" s="2" t="inlineStr">
        <is>
          <t>Vedticka</t>
        </is>
      </c>
      <c r="S450">
        <f>HYPERLINK("https://klasma.github.io/Logging_1904/artfynd/A 62156-2024 artfynd.xlsx", "A 62156-2024")</f>
        <v/>
      </c>
      <c r="T450">
        <f>HYPERLINK("https://klasma.github.io/Logging_1904/kartor/A 62156-2024 karta.png", "A 62156-2024")</f>
        <v/>
      </c>
      <c r="V450">
        <f>HYPERLINK("https://klasma.github.io/Logging_1904/klagomål/A 62156-2024 FSC-klagomål.docx", "A 62156-2024")</f>
        <v/>
      </c>
      <c r="W450">
        <f>HYPERLINK("https://klasma.github.io/Logging_1904/klagomålsmail/A 62156-2024 FSC-klagomål mail.docx", "A 62156-2024")</f>
        <v/>
      </c>
      <c r="X450">
        <f>HYPERLINK("https://klasma.github.io/Logging_1904/tillsyn/A 62156-2024 tillsynsbegäran.docx", "A 62156-2024")</f>
        <v/>
      </c>
      <c r="Y450">
        <f>HYPERLINK("https://klasma.github.io/Logging_1904/tillsynsmail/A 62156-2024 tillsynsbegäran mail.docx", "A 62156-2024")</f>
        <v/>
      </c>
    </row>
    <row r="451" ht="15" customHeight="1">
      <c r="A451" t="inlineStr">
        <is>
          <t>A 1043-2025</t>
        </is>
      </c>
      <c r="B451" s="1" t="n">
        <v>45666</v>
      </c>
      <c r="C451" s="1" t="n">
        <v>45811</v>
      </c>
      <c r="D451" t="inlineStr">
        <is>
          <t>VÄSTMANLANDS LÄN</t>
        </is>
      </c>
      <c r="E451" t="inlineStr">
        <is>
          <t>KUNGSÖR</t>
        </is>
      </c>
      <c r="G451" t="n">
        <v>2.5</v>
      </c>
      <c r="H451" t="n">
        <v>1</v>
      </c>
      <c r="I451" t="n">
        <v>0</v>
      </c>
      <c r="J451" t="n">
        <v>0</v>
      </c>
      <c r="K451" t="n">
        <v>1</v>
      </c>
      <c r="L451" t="n">
        <v>0</v>
      </c>
      <c r="M451" t="n">
        <v>0</v>
      </c>
      <c r="N451" t="n">
        <v>0</v>
      </c>
      <c r="O451" t="n">
        <v>1</v>
      </c>
      <c r="P451" t="n">
        <v>1</v>
      </c>
      <c r="Q451" t="n">
        <v>1</v>
      </c>
      <c r="R451" s="2" t="inlineStr">
        <is>
          <t>Knärot</t>
        </is>
      </c>
      <c r="S451">
        <f>HYPERLINK("https://klasma.github.io/Logging_1960/artfynd/A 1043-2025 artfynd.xlsx", "A 1043-2025")</f>
        <v/>
      </c>
      <c r="T451">
        <f>HYPERLINK("https://klasma.github.io/Logging_1960/kartor/A 1043-2025 karta.png", "A 1043-2025")</f>
        <v/>
      </c>
      <c r="U451">
        <f>HYPERLINK("https://klasma.github.io/Logging_1960/knärot/A 1043-2025 karta knärot.png", "A 1043-2025")</f>
        <v/>
      </c>
      <c r="V451">
        <f>HYPERLINK("https://klasma.github.io/Logging_1960/klagomål/A 1043-2025 FSC-klagomål.docx", "A 1043-2025")</f>
        <v/>
      </c>
      <c r="W451">
        <f>HYPERLINK("https://klasma.github.io/Logging_1960/klagomålsmail/A 1043-2025 FSC-klagomål mail.docx", "A 1043-2025")</f>
        <v/>
      </c>
      <c r="X451">
        <f>HYPERLINK("https://klasma.github.io/Logging_1960/tillsyn/A 1043-2025 tillsynsbegäran.docx", "A 1043-2025")</f>
        <v/>
      </c>
      <c r="Y451">
        <f>HYPERLINK("https://klasma.github.io/Logging_1960/tillsynsmail/A 1043-2025 tillsynsbegäran mail.docx", "A 1043-2025")</f>
        <v/>
      </c>
    </row>
    <row r="452" ht="15" customHeight="1">
      <c r="A452" t="inlineStr">
        <is>
          <t>A 6603-2025</t>
        </is>
      </c>
      <c r="B452" s="1" t="n">
        <v>45700</v>
      </c>
      <c r="C452" s="1" t="n">
        <v>45811</v>
      </c>
      <c r="D452" t="inlineStr">
        <is>
          <t>VÄSTMANLANDS LÄN</t>
        </is>
      </c>
      <c r="E452" t="inlineStr">
        <is>
          <t>KÖPING</t>
        </is>
      </c>
      <c r="G452" t="n">
        <v>12.1</v>
      </c>
      <c r="H452" t="n">
        <v>0</v>
      </c>
      <c r="I452" t="n">
        <v>0</v>
      </c>
      <c r="J452" t="n">
        <v>1</v>
      </c>
      <c r="K452" t="n">
        <v>0</v>
      </c>
      <c r="L452" t="n">
        <v>0</v>
      </c>
      <c r="M452" t="n">
        <v>0</v>
      </c>
      <c r="N452" t="n">
        <v>0</v>
      </c>
      <c r="O452" t="n">
        <v>1</v>
      </c>
      <c r="P452" t="n">
        <v>0</v>
      </c>
      <c r="Q452" t="n">
        <v>1</v>
      </c>
      <c r="R452" s="2" t="inlineStr">
        <is>
          <t>Motaggsvamp</t>
        </is>
      </c>
      <c r="S452">
        <f>HYPERLINK("https://klasma.github.io/Logging_1983/artfynd/A 6603-2025 artfynd.xlsx", "A 6603-2025")</f>
        <v/>
      </c>
      <c r="T452">
        <f>HYPERLINK("https://klasma.github.io/Logging_1983/kartor/A 6603-2025 karta.png", "A 6603-2025")</f>
        <v/>
      </c>
      <c r="V452">
        <f>HYPERLINK("https://klasma.github.io/Logging_1983/klagomål/A 6603-2025 FSC-klagomål.docx", "A 6603-2025")</f>
        <v/>
      </c>
      <c r="W452">
        <f>HYPERLINK("https://klasma.github.io/Logging_1983/klagomålsmail/A 6603-2025 FSC-klagomål mail.docx", "A 6603-2025")</f>
        <v/>
      </c>
      <c r="X452">
        <f>HYPERLINK("https://klasma.github.io/Logging_1983/tillsyn/A 6603-2025 tillsynsbegäran.docx", "A 6603-2025")</f>
        <v/>
      </c>
      <c r="Y452">
        <f>HYPERLINK("https://klasma.github.io/Logging_1983/tillsynsmail/A 6603-2025 tillsynsbegäran mail.docx", "A 6603-2025")</f>
        <v/>
      </c>
    </row>
    <row r="453" ht="15" customHeight="1">
      <c r="A453" t="inlineStr">
        <is>
          <t>A 9803-2025</t>
        </is>
      </c>
      <c r="B453" s="1" t="n">
        <v>45716</v>
      </c>
      <c r="C453" s="1" t="n">
        <v>45811</v>
      </c>
      <c r="D453" t="inlineStr">
        <is>
          <t>VÄSTMANLANDS LÄN</t>
        </is>
      </c>
      <c r="E453" t="inlineStr">
        <is>
          <t>FAGERSTA</t>
        </is>
      </c>
      <c r="F453" t="inlineStr">
        <is>
          <t>Sveaskog</t>
        </is>
      </c>
      <c r="G453" t="n">
        <v>4.5</v>
      </c>
      <c r="H453" t="n">
        <v>1</v>
      </c>
      <c r="I453" t="n">
        <v>0</v>
      </c>
      <c r="J453" t="n">
        <v>0</v>
      </c>
      <c r="K453" t="n">
        <v>1</v>
      </c>
      <c r="L453" t="n">
        <v>0</v>
      </c>
      <c r="M453" t="n">
        <v>0</v>
      </c>
      <c r="N453" t="n">
        <v>0</v>
      </c>
      <c r="O453" t="n">
        <v>1</v>
      </c>
      <c r="P453" t="n">
        <v>1</v>
      </c>
      <c r="Q453" t="n">
        <v>1</v>
      </c>
      <c r="R453" s="2" t="inlineStr">
        <is>
          <t>Tallbit</t>
        </is>
      </c>
      <c r="S453">
        <f>HYPERLINK("https://klasma.github.io/Logging_191982/artfynd/A 9803-2025 artfynd.xlsx", "A 9803-2025")</f>
        <v/>
      </c>
      <c r="T453">
        <f>HYPERLINK("https://klasma.github.io/Logging_191982/kartor/A 9803-2025 karta.png", "A 9803-2025")</f>
        <v/>
      </c>
      <c r="V453">
        <f>HYPERLINK("https://klasma.github.io/Logging_191982/klagomål/A 9803-2025 FSC-klagomål.docx", "A 9803-2025")</f>
        <v/>
      </c>
      <c r="W453">
        <f>HYPERLINK("https://klasma.github.io/Logging_191982/klagomålsmail/A 9803-2025 FSC-klagomål mail.docx", "A 9803-2025")</f>
        <v/>
      </c>
      <c r="X453">
        <f>HYPERLINK("https://klasma.github.io/Logging_191982/tillsyn/A 9803-2025 tillsynsbegäran.docx", "A 9803-2025")</f>
        <v/>
      </c>
      <c r="Y453">
        <f>HYPERLINK("https://klasma.github.io/Logging_191982/tillsynsmail/A 9803-2025 tillsynsbegäran mail.docx", "A 9803-2025")</f>
        <v/>
      </c>
      <c r="Z453">
        <f>HYPERLINK("https://klasma.github.io/Logging_191982/fåglar/A 9803-2025 prioriterade fågelarter.docx", "A 9803-2025")</f>
        <v/>
      </c>
    </row>
    <row r="454" ht="15" customHeight="1">
      <c r="A454" t="inlineStr">
        <is>
          <t>A 10373-2025</t>
        </is>
      </c>
      <c r="B454" s="1" t="n">
        <v>45720</v>
      </c>
      <c r="C454" s="1" t="n">
        <v>45811</v>
      </c>
      <c r="D454" t="inlineStr">
        <is>
          <t>VÄSTMANLANDS LÄN</t>
        </is>
      </c>
      <c r="E454" t="inlineStr">
        <is>
          <t>FAGERSTA</t>
        </is>
      </c>
      <c r="G454" t="n">
        <v>3</v>
      </c>
      <c r="H454" t="n">
        <v>1</v>
      </c>
      <c r="I454" t="n">
        <v>1</v>
      </c>
      <c r="J454" t="n">
        <v>0</v>
      </c>
      <c r="K454" t="n">
        <v>0</v>
      </c>
      <c r="L454" t="n">
        <v>0</v>
      </c>
      <c r="M454" t="n">
        <v>0</v>
      </c>
      <c r="N454" t="n">
        <v>0</v>
      </c>
      <c r="O454" t="n">
        <v>0</v>
      </c>
      <c r="P454" t="n">
        <v>0</v>
      </c>
      <c r="Q454" t="n">
        <v>1</v>
      </c>
      <c r="R454" s="2" t="inlineStr">
        <is>
          <t>Plattlummer</t>
        </is>
      </c>
      <c r="S454">
        <f>HYPERLINK("https://klasma.github.io/Logging_191982/artfynd/A 10373-2025 artfynd.xlsx", "A 10373-2025")</f>
        <v/>
      </c>
      <c r="T454">
        <f>HYPERLINK("https://klasma.github.io/Logging_191982/kartor/A 10373-2025 karta.png", "A 10373-2025")</f>
        <v/>
      </c>
      <c r="V454">
        <f>HYPERLINK("https://klasma.github.io/Logging_191982/klagomål/A 10373-2025 FSC-klagomål.docx", "A 10373-2025")</f>
        <v/>
      </c>
      <c r="W454">
        <f>HYPERLINK("https://klasma.github.io/Logging_191982/klagomålsmail/A 10373-2025 FSC-klagomål mail.docx", "A 10373-2025")</f>
        <v/>
      </c>
      <c r="X454">
        <f>HYPERLINK("https://klasma.github.io/Logging_191982/tillsyn/A 10373-2025 tillsynsbegäran.docx", "A 10373-2025")</f>
        <v/>
      </c>
      <c r="Y454">
        <f>HYPERLINK("https://klasma.github.io/Logging_191982/tillsynsmail/A 10373-2025 tillsynsbegäran mail.docx", "A 10373-2025")</f>
        <v/>
      </c>
    </row>
    <row r="455" ht="15" customHeight="1">
      <c r="A455" t="inlineStr">
        <is>
          <t>A 13066-2025</t>
        </is>
      </c>
      <c r="B455" s="1" t="n">
        <v>45734</v>
      </c>
      <c r="C455" s="1" t="n">
        <v>45811</v>
      </c>
      <c r="D455" t="inlineStr">
        <is>
          <t>VÄSTMANLANDS LÄN</t>
        </is>
      </c>
      <c r="E455" t="inlineStr">
        <is>
          <t>KÖPING</t>
        </is>
      </c>
      <c r="F455" t="inlineStr">
        <is>
          <t>Sveaskog</t>
        </is>
      </c>
      <c r="G455" t="n">
        <v>0.7</v>
      </c>
      <c r="H455" t="n">
        <v>1</v>
      </c>
      <c r="I455" t="n">
        <v>0</v>
      </c>
      <c r="J455" t="n">
        <v>0</v>
      </c>
      <c r="K455" t="n">
        <v>0</v>
      </c>
      <c r="L455" t="n">
        <v>0</v>
      </c>
      <c r="M455" t="n">
        <v>0</v>
      </c>
      <c r="N455" t="n">
        <v>0</v>
      </c>
      <c r="O455" t="n">
        <v>0</v>
      </c>
      <c r="P455" t="n">
        <v>0</v>
      </c>
      <c r="Q455" t="n">
        <v>1</v>
      </c>
      <c r="R455" s="2" t="inlineStr">
        <is>
          <t>Revlummer</t>
        </is>
      </c>
      <c r="S455">
        <f>HYPERLINK("https://klasma.github.io/Logging_191983/artfynd/A 13066-2025 artfynd.xlsx", "A 13066-2025")</f>
        <v/>
      </c>
      <c r="T455">
        <f>HYPERLINK("https://klasma.github.io/Logging_191983/kartor/A 13066-2025 karta.png", "A 13066-2025")</f>
        <v/>
      </c>
      <c r="V455">
        <f>HYPERLINK("https://klasma.github.io/Logging_191983/klagomål/A 13066-2025 FSC-klagomål.docx", "A 13066-2025")</f>
        <v/>
      </c>
      <c r="W455">
        <f>HYPERLINK("https://klasma.github.io/Logging_191983/klagomålsmail/A 13066-2025 FSC-klagomål mail.docx", "A 13066-2025")</f>
        <v/>
      </c>
      <c r="X455">
        <f>HYPERLINK("https://klasma.github.io/Logging_191983/tillsyn/A 13066-2025 tillsynsbegäran.docx", "A 13066-2025")</f>
        <v/>
      </c>
      <c r="Y455">
        <f>HYPERLINK("https://klasma.github.io/Logging_191983/tillsynsmail/A 13066-2025 tillsynsbegäran mail.docx", "A 13066-2025")</f>
        <v/>
      </c>
    </row>
    <row r="456" ht="15" customHeight="1">
      <c r="A456" t="inlineStr">
        <is>
          <t>A 13788-2025</t>
        </is>
      </c>
      <c r="B456" s="1" t="n">
        <v>45737</v>
      </c>
      <c r="C456" s="1" t="n">
        <v>45811</v>
      </c>
      <c r="D456" t="inlineStr">
        <is>
          <t>VÄSTMANLANDS LÄN</t>
        </is>
      </c>
      <c r="E456" t="inlineStr">
        <is>
          <t>SURAHAMMAR</t>
        </is>
      </c>
      <c r="G456" t="n">
        <v>9.699999999999999</v>
      </c>
      <c r="H456" t="n">
        <v>1</v>
      </c>
      <c r="I456" t="n">
        <v>0</v>
      </c>
      <c r="J456" t="n">
        <v>0</v>
      </c>
      <c r="K456" t="n">
        <v>0</v>
      </c>
      <c r="L456" t="n">
        <v>0</v>
      </c>
      <c r="M456" t="n">
        <v>0</v>
      </c>
      <c r="N456" t="n">
        <v>0</v>
      </c>
      <c r="O456" t="n">
        <v>0</v>
      </c>
      <c r="P456" t="n">
        <v>0</v>
      </c>
      <c r="Q456" t="n">
        <v>1</v>
      </c>
      <c r="R456" s="2" t="inlineStr">
        <is>
          <t>Sparvuggla</t>
        </is>
      </c>
      <c r="S456">
        <f>HYPERLINK("https://klasma.github.io/Logging_191907/artfynd/A 13788-2025 artfynd.xlsx", "A 13788-2025")</f>
        <v/>
      </c>
      <c r="T456">
        <f>HYPERLINK("https://klasma.github.io/Logging_191907/kartor/A 13788-2025 karta.png", "A 13788-2025")</f>
        <v/>
      </c>
      <c r="V456">
        <f>HYPERLINK("https://klasma.github.io/Logging_191907/klagomål/A 13788-2025 FSC-klagomål.docx", "A 13788-2025")</f>
        <v/>
      </c>
      <c r="W456">
        <f>HYPERLINK("https://klasma.github.io/Logging_191907/klagomålsmail/A 13788-2025 FSC-klagomål mail.docx", "A 13788-2025")</f>
        <v/>
      </c>
      <c r="X456">
        <f>HYPERLINK("https://klasma.github.io/Logging_191907/tillsyn/A 13788-2025 tillsynsbegäran.docx", "A 13788-2025")</f>
        <v/>
      </c>
      <c r="Y456">
        <f>HYPERLINK("https://klasma.github.io/Logging_191907/tillsynsmail/A 13788-2025 tillsynsbegäran mail.docx", "A 13788-2025")</f>
        <v/>
      </c>
      <c r="Z456">
        <f>HYPERLINK("https://klasma.github.io/Logging_191907/fåglar/A 13788-2025 prioriterade fågelarter.docx", "A 13788-2025")</f>
        <v/>
      </c>
    </row>
    <row r="457" ht="15" customHeight="1">
      <c r="A457" t="inlineStr">
        <is>
          <t>A 15107-2025</t>
        </is>
      </c>
      <c r="B457" s="1" t="n">
        <v>45744</v>
      </c>
      <c r="C457" s="1" t="n">
        <v>45811</v>
      </c>
      <c r="D457" t="inlineStr">
        <is>
          <t>VÄSTMANLANDS LÄN</t>
        </is>
      </c>
      <c r="E457" t="inlineStr">
        <is>
          <t>NORBERG</t>
        </is>
      </c>
      <c r="F457" t="inlineStr">
        <is>
          <t>Sveaskog</t>
        </is>
      </c>
      <c r="G457" t="n">
        <v>0.9</v>
      </c>
      <c r="H457" t="n">
        <v>1</v>
      </c>
      <c r="I457" t="n">
        <v>0</v>
      </c>
      <c r="J457" t="n">
        <v>0</v>
      </c>
      <c r="K457" t="n">
        <v>0</v>
      </c>
      <c r="L457" t="n">
        <v>0</v>
      </c>
      <c r="M457" t="n">
        <v>0</v>
      </c>
      <c r="N457" t="n">
        <v>0</v>
      </c>
      <c r="O457" t="n">
        <v>0</v>
      </c>
      <c r="P457" t="n">
        <v>0</v>
      </c>
      <c r="Q457" t="n">
        <v>1</v>
      </c>
      <c r="R457" s="2" t="inlineStr">
        <is>
          <t>Blåsippa</t>
        </is>
      </c>
      <c r="S457">
        <f>HYPERLINK("https://klasma.github.io/Logging_191962/artfynd/A 15107-2025 artfynd.xlsx", "A 15107-2025")</f>
        <v/>
      </c>
      <c r="T457">
        <f>HYPERLINK("https://klasma.github.io/Logging_191962/kartor/A 15107-2025 karta.png", "A 15107-2025")</f>
        <v/>
      </c>
      <c r="V457">
        <f>HYPERLINK("https://klasma.github.io/Logging_191962/klagomål/A 15107-2025 FSC-klagomål.docx", "A 15107-2025")</f>
        <v/>
      </c>
      <c r="W457">
        <f>HYPERLINK("https://klasma.github.io/Logging_191962/klagomålsmail/A 15107-2025 FSC-klagomål mail.docx", "A 15107-2025")</f>
        <v/>
      </c>
      <c r="X457">
        <f>HYPERLINK("https://klasma.github.io/Logging_191962/tillsyn/A 15107-2025 tillsynsbegäran.docx", "A 15107-2025")</f>
        <v/>
      </c>
      <c r="Y457">
        <f>HYPERLINK("https://klasma.github.io/Logging_191962/tillsynsmail/A 15107-2025 tillsynsbegäran mail.docx", "A 15107-2025")</f>
        <v/>
      </c>
    </row>
    <row r="458" ht="15" customHeight="1">
      <c r="A458" t="inlineStr">
        <is>
          <t>A 17298-2025</t>
        </is>
      </c>
      <c r="B458" s="1" t="n">
        <v>45756</v>
      </c>
      <c r="C458" s="1" t="n">
        <v>45811</v>
      </c>
      <c r="D458" t="inlineStr">
        <is>
          <t>VÄSTMANLANDS LÄN</t>
        </is>
      </c>
      <c r="E458" t="inlineStr">
        <is>
          <t>SKINNSKATTEBERG</t>
        </is>
      </c>
      <c r="F458" t="inlineStr">
        <is>
          <t>Sveaskog</t>
        </is>
      </c>
      <c r="G458" t="n">
        <v>6</v>
      </c>
      <c r="H458" t="n">
        <v>0</v>
      </c>
      <c r="I458" t="n">
        <v>1</v>
      </c>
      <c r="J458" t="n">
        <v>0</v>
      </c>
      <c r="K458" t="n">
        <v>0</v>
      </c>
      <c r="L458" t="n">
        <v>0</v>
      </c>
      <c r="M458" t="n">
        <v>0</v>
      </c>
      <c r="N458" t="n">
        <v>0</v>
      </c>
      <c r="O458" t="n">
        <v>0</v>
      </c>
      <c r="P458" t="n">
        <v>0</v>
      </c>
      <c r="Q458" t="n">
        <v>1</v>
      </c>
      <c r="R458" s="2" t="inlineStr">
        <is>
          <t>Toppvaxing</t>
        </is>
      </c>
      <c r="S458">
        <f>HYPERLINK("https://klasma.github.io/Logging_191904/artfynd/A 17298-2025 artfynd.xlsx", "A 17298-2025")</f>
        <v/>
      </c>
      <c r="T458">
        <f>HYPERLINK("https://klasma.github.io/Logging_191904/kartor/A 17298-2025 karta.png", "A 17298-2025")</f>
        <v/>
      </c>
      <c r="V458">
        <f>HYPERLINK("https://klasma.github.io/Logging_191904/klagomål/A 17298-2025 FSC-klagomål.docx", "A 17298-2025")</f>
        <v/>
      </c>
      <c r="W458">
        <f>HYPERLINK("https://klasma.github.io/Logging_191904/klagomålsmail/A 17298-2025 FSC-klagomål mail.docx", "A 17298-2025")</f>
        <v/>
      </c>
      <c r="X458">
        <f>HYPERLINK("https://klasma.github.io/Logging_191904/tillsyn/A 17298-2025 tillsynsbegäran.docx", "A 17298-2025")</f>
        <v/>
      </c>
      <c r="Y458">
        <f>HYPERLINK("https://klasma.github.io/Logging_191904/tillsynsmail/A 17298-2025 tillsynsbegäran mail.docx", "A 17298-2025")</f>
        <v/>
      </c>
    </row>
    <row r="459" ht="15" customHeight="1">
      <c r="A459" t="inlineStr">
        <is>
          <t>A 17613-2025</t>
        </is>
      </c>
      <c r="B459" s="1" t="n">
        <v>45757</v>
      </c>
      <c r="C459" s="1" t="n">
        <v>45811</v>
      </c>
      <c r="D459" t="inlineStr">
        <is>
          <t>VÄSTMANLANDS LÄN</t>
        </is>
      </c>
      <c r="E459" t="inlineStr">
        <is>
          <t>FAGERSTA</t>
        </is>
      </c>
      <c r="F459" t="inlineStr">
        <is>
          <t>Sveaskog</t>
        </is>
      </c>
      <c r="G459" t="n">
        <v>6.5</v>
      </c>
      <c r="H459" t="n">
        <v>1</v>
      </c>
      <c r="I459" t="n">
        <v>1</v>
      </c>
      <c r="J459" t="n">
        <v>0</v>
      </c>
      <c r="K459" t="n">
        <v>0</v>
      </c>
      <c r="L459" t="n">
        <v>0</v>
      </c>
      <c r="M459" t="n">
        <v>0</v>
      </c>
      <c r="N459" t="n">
        <v>0</v>
      </c>
      <c r="O459" t="n">
        <v>0</v>
      </c>
      <c r="P459" t="n">
        <v>0</v>
      </c>
      <c r="Q459" t="n">
        <v>1</v>
      </c>
      <c r="R459" s="2" t="inlineStr">
        <is>
          <t>Korallrot</t>
        </is>
      </c>
      <c r="S459">
        <f>HYPERLINK("https://klasma.github.io/Logging_191982/artfynd/A 17613-2025 artfynd.xlsx", "A 17613-2025")</f>
        <v/>
      </c>
      <c r="T459">
        <f>HYPERLINK("https://klasma.github.io/Logging_191982/kartor/A 17613-2025 karta.png", "A 17613-2025")</f>
        <v/>
      </c>
      <c r="V459">
        <f>HYPERLINK("https://klasma.github.io/Logging_191982/klagomål/A 17613-2025 FSC-klagomål.docx", "A 17613-2025")</f>
        <v/>
      </c>
      <c r="W459">
        <f>HYPERLINK("https://klasma.github.io/Logging_191982/klagomålsmail/A 17613-2025 FSC-klagomål mail.docx", "A 17613-2025")</f>
        <v/>
      </c>
      <c r="X459">
        <f>HYPERLINK("https://klasma.github.io/Logging_191982/tillsyn/A 17613-2025 tillsynsbegäran.docx", "A 17613-2025")</f>
        <v/>
      </c>
      <c r="Y459">
        <f>HYPERLINK("https://klasma.github.io/Logging_191982/tillsynsmail/A 17613-2025 tillsynsbegäran mail.docx", "A 17613-2025")</f>
        <v/>
      </c>
    </row>
    <row r="460" ht="15" customHeight="1">
      <c r="A460" t="inlineStr">
        <is>
          <t>A 18371-2025</t>
        </is>
      </c>
      <c r="B460" s="1" t="n">
        <v>45762</v>
      </c>
      <c r="C460" s="1" t="n">
        <v>45811</v>
      </c>
      <c r="D460" t="inlineStr">
        <is>
          <t>VÄSTMANLANDS LÄN</t>
        </is>
      </c>
      <c r="E460" t="inlineStr">
        <is>
          <t>KÖPING</t>
        </is>
      </c>
      <c r="G460" t="n">
        <v>0.8</v>
      </c>
      <c r="H460" t="n">
        <v>1</v>
      </c>
      <c r="I460" t="n">
        <v>0</v>
      </c>
      <c r="J460" t="n">
        <v>0</v>
      </c>
      <c r="K460" t="n">
        <v>0</v>
      </c>
      <c r="L460" t="n">
        <v>0</v>
      </c>
      <c r="M460" t="n">
        <v>0</v>
      </c>
      <c r="N460" t="n">
        <v>0</v>
      </c>
      <c r="O460" t="n">
        <v>0</v>
      </c>
      <c r="P460" t="n">
        <v>0</v>
      </c>
      <c r="Q460" t="n">
        <v>1</v>
      </c>
      <c r="R460" s="2" t="inlineStr">
        <is>
          <t>Blåsippa</t>
        </is>
      </c>
      <c r="S460">
        <f>HYPERLINK("https://klasma.github.io/Logging_191983/artfynd/A 18371-2025 artfynd.xlsx", "A 18371-2025")</f>
        <v/>
      </c>
      <c r="T460">
        <f>HYPERLINK("https://klasma.github.io/Logging_191983/kartor/A 18371-2025 karta.png", "A 18371-2025")</f>
        <v/>
      </c>
      <c r="V460">
        <f>HYPERLINK("https://klasma.github.io/Logging_191983/klagomål/A 18371-2025 FSC-klagomål.docx", "A 18371-2025")</f>
        <v/>
      </c>
      <c r="W460">
        <f>HYPERLINK("https://klasma.github.io/Logging_191983/klagomålsmail/A 18371-2025 FSC-klagomål mail.docx", "A 18371-2025")</f>
        <v/>
      </c>
      <c r="X460">
        <f>HYPERLINK("https://klasma.github.io/Logging_191983/tillsyn/A 18371-2025 tillsynsbegäran.docx", "A 18371-2025")</f>
        <v/>
      </c>
      <c r="Y460">
        <f>HYPERLINK("https://klasma.github.io/Logging_191983/tillsynsmail/A 18371-2025 tillsynsbegäran mail.docx", "A 18371-2025")</f>
        <v/>
      </c>
    </row>
    <row r="461" ht="15" customHeight="1">
      <c r="A461" t="inlineStr">
        <is>
          <t>A 18464-2025</t>
        </is>
      </c>
      <c r="B461" s="1" t="n">
        <v>45762</v>
      </c>
      <c r="C461" s="1" t="n">
        <v>45811</v>
      </c>
      <c r="D461" t="inlineStr">
        <is>
          <t>VÄSTMANLANDS LÄN</t>
        </is>
      </c>
      <c r="E461" t="inlineStr">
        <is>
          <t>NORBERG</t>
        </is>
      </c>
      <c r="F461" t="inlineStr">
        <is>
          <t>Sveaskog</t>
        </is>
      </c>
      <c r="G461" t="n">
        <v>1.1</v>
      </c>
      <c r="H461" t="n">
        <v>1</v>
      </c>
      <c r="I461" t="n">
        <v>1</v>
      </c>
      <c r="J461" t="n">
        <v>0</v>
      </c>
      <c r="K461" t="n">
        <v>0</v>
      </c>
      <c r="L461" t="n">
        <v>0</v>
      </c>
      <c r="M461" t="n">
        <v>0</v>
      </c>
      <c r="N461" t="n">
        <v>0</v>
      </c>
      <c r="O461" t="n">
        <v>0</v>
      </c>
      <c r="P461" t="n">
        <v>0</v>
      </c>
      <c r="Q461" t="n">
        <v>1</v>
      </c>
      <c r="R461" s="2" t="inlineStr">
        <is>
          <t>Skogsknipprot</t>
        </is>
      </c>
      <c r="S461">
        <f>HYPERLINK("https://klasma.github.io/Logging_191962/artfynd/A 18464-2025 artfynd.xlsx", "A 18464-2025")</f>
        <v/>
      </c>
      <c r="T461">
        <f>HYPERLINK("https://klasma.github.io/Logging_191962/kartor/A 18464-2025 karta.png", "A 18464-2025")</f>
        <v/>
      </c>
      <c r="V461">
        <f>HYPERLINK("https://klasma.github.io/Logging_191962/klagomål/A 18464-2025 FSC-klagomål.docx", "A 18464-2025")</f>
        <v/>
      </c>
      <c r="W461">
        <f>HYPERLINK("https://klasma.github.io/Logging_191962/klagomålsmail/A 18464-2025 FSC-klagomål mail.docx", "A 18464-2025")</f>
        <v/>
      </c>
      <c r="X461">
        <f>HYPERLINK("https://klasma.github.io/Logging_191962/tillsyn/A 18464-2025 tillsynsbegäran.docx", "A 18464-2025")</f>
        <v/>
      </c>
      <c r="Y461">
        <f>HYPERLINK("https://klasma.github.io/Logging_191962/tillsynsmail/A 18464-2025 tillsynsbegäran mail.docx", "A 18464-2025")</f>
        <v/>
      </c>
    </row>
    <row r="462" ht="15" customHeight="1">
      <c r="A462" t="inlineStr">
        <is>
          <t>A 19361-2025</t>
        </is>
      </c>
      <c r="B462" s="1" t="n">
        <v>45769</v>
      </c>
      <c r="C462" s="1" t="n">
        <v>45811</v>
      </c>
      <c r="D462" t="inlineStr">
        <is>
          <t>VÄSTMANLANDS LÄN</t>
        </is>
      </c>
      <c r="E462" t="inlineStr">
        <is>
          <t>SALA</t>
        </is>
      </c>
      <c r="F462" t="inlineStr">
        <is>
          <t>Bergvik skog öst AB</t>
        </is>
      </c>
      <c r="G462" t="n">
        <v>8.9</v>
      </c>
      <c r="H462" t="n">
        <v>0</v>
      </c>
      <c r="I462" t="n">
        <v>0</v>
      </c>
      <c r="J462" t="n">
        <v>1</v>
      </c>
      <c r="K462" t="n">
        <v>0</v>
      </c>
      <c r="L462" t="n">
        <v>0</v>
      </c>
      <c r="M462" t="n">
        <v>0</v>
      </c>
      <c r="N462" t="n">
        <v>0</v>
      </c>
      <c r="O462" t="n">
        <v>1</v>
      </c>
      <c r="P462" t="n">
        <v>0</v>
      </c>
      <c r="Q462" t="n">
        <v>1</v>
      </c>
      <c r="R462" s="2" t="inlineStr">
        <is>
          <t>Garnlav</t>
        </is>
      </c>
      <c r="S462">
        <f>HYPERLINK("https://klasma.github.io/Logging_191981/artfynd/A 19361-2025 artfynd.xlsx", "A 19361-2025")</f>
        <v/>
      </c>
      <c r="T462">
        <f>HYPERLINK("https://klasma.github.io/Logging_191981/kartor/A 19361-2025 karta.png", "A 19361-2025")</f>
        <v/>
      </c>
      <c r="V462">
        <f>HYPERLINK("https://klasma.github.io/Logging_191981/klagomål/A 19361-2025 FSC-klagomål.docx", "A 19361-2025")</f>
        <v/>
      </c>
      <c r="W462">
        <f>HYPERLINK("https://klasma.github.io/Logging_191981/klagomålsmail/A 19361-2025 FSC-klagomål mail.docx", "A 19361-2025")</f>
        <v/>
      </c>
      <c r="X462">
        <f>HYPERLINK("https://klasma.github.io/Logging_191981/tillsyn/A 19361-2025 tillsynsbegäran.docx", "A 19361-2025")</f>
        <v/>
      </c>
      <c r="Y462">
        <f>HYPERLINK("https://klasma.github.io/Logging_191981/tillsynsmail/A 19361-2025 tillsynsbegäran mail.docx", "A 19361-2025")</f>
        <v/>
      </c>
    </row>
    <row r="463" ht="15" customHeight="1">
      <c r="A463" t="inlineStr">
        <is>
          <t>A 19550-2025</t>
        </is>
      </c>
      <c r="B463" s="1" t="n">
        <v>45770</v>
      </c>
      <c r="C463" s="1" t="n">
        <v>45811</v>
      </c>
      <c r="D463" t="inlineStr">
        <is>
          <t>VÄSTMANLANDS LÄN</t>
        </is>
      </c>
      <c r="E463" t="inlineStr">
        <is>
          <t>FAGERSTA</t>
        </is>
      </c>
      <c r="G463" t="n">
        <v>16.4</v>
      </c>
      <c r="H463" t="n">
        <v>1</v>
      </c>
      <c r="I463" t="n">
        <v>0</v>
      </c>
      <c r="J463" t="n">
        <v>0</v>
      </c>
      <c r="K463" t="n">
        <v>0</v>
      </c>
      <c r="L463" t="n">
        <v>0</v>
      </c>
      <c r="M463" t="n">
        <v>0</v>
      </c>
      <c r="N463" t="n">
        <v>0</v>
      </c>
      <c r="O463" t="n">
        <v>0</v>
      </c>
      <c r="P463" t="n">
        <v>0</v>
      </c>
      <c r="Q463" t="n">
        <v>1</v>
      </c>
      <c r="R463" s="2" t="inlineStr">
        <is>
          <t>Fläcknycklar</t>
        </is>
      </c>
      <c r="S463">
        <f>HYPERLINK("https://klasma.github.io/Logging_191982/artfynd/A 19550-2025 artfynd.xlsx", "A 19550-2025")</f>
        <v/>
      </c>
      <c r="T463">
        <f>HYPERLINK("https://klasma.github.io/Logging_191982/kartor/A 19550-2025 karta.png", "A 19550-2025")</f>
        <v/>
      </c>
      <c r="V463">
        <f>HYPERLINK("https://klasma.github.io/Logging_191982/klagomål/A 19550-2025 FSC-klagomål.docx", "A 19550-2025")</f>
        <v/>
      </c>
      <c r="W463">
        <f>HYPERLINK("https://klasma.github.io/Logging_191982/klagomålsmail/A 19550-2025 FSC-klagomål mail.docx", "A 19550-2025")</f>
        <v/>
      </c>
      <c r="X463">
        <f>HYPERLINK("https://klasma.github.io/Logging_191982/tillsyn/A 19550-2025 tillsynsbegäran.docx", "A 19550-2025")</f>
        <v/>
      </c>
      <c r="Y463">
        <f>HYPERLINK("https://klasma.github.io/Logging_191982/tillsynsmail/A 19550-2025 tillsynsbegäran mail.docx", "A 19550-2025")</f>
        <v/>
      </c>
    </row>
    <row r="464" ht="15" customHeight="1">
      <c r="A464" t="inlineStr">
        <is>
          <t>A 20257-2025</t>
        </is>
      </c>
      <c r="B464" s="1" t="n">
        <v>45773</v>
      </c>
      <c r="C464" s="1" t="n">
        <v>45811</v>
      </c>
      <c r="D464" t="inlineStr">
        <is>
          <t>VÄSTMANLANDS LÄN</t>
        </is>
      </c>
      <c r="E464" t="inlineStr">
        <is>
          <t>NORBERG</t>
        </is>
      </c>
      <c r="F464" t="inlineStr">
        <is>
          <t>Sveaskog</t>
        </is>
      </c>
      <c r="G464" t="n">
        <v>1.5</v>
      </c>
      <c r="H464" t="n">
        <v>1</v>
      </c>
      <c r="I464" t="n">
        <v>1</v>
      </c>
      <c r="J464" t="n">
        <v>0</v>
      </c>
      <c r="K464" t="n">
        <v>0</v>
      </c>
      <c r="L464" t="n">
        <v>0</v>
      </c>
      <c r="M464" t="n">
        <v>0</v>
      </c>
      <c r="N464" t="n">
        <v>0</v>
      </c>
      <c r="O464" t="n">
        <v>0</v>
      </c>
      <c r="P464" t="n">
        <v>0</v>
      </c>
      <c r="Q464" t="n">
        <v>1</v>
      </c>
      <c r="R464" s="2" t="inlineStr">
        <is>
          <t>Plattlummer</t>
        </is>
      </c>
      <c r="S464">
        <f>HYPERLINK("https://klasma.github.io/Logging_191962/artfynd/A 20257-2025 artfynd.xlsx", "A 20257-2025")</f>
        <v/>
      </c>
      <c r="T464">
        <f>HYPERLINK("https://klasma.github.io/Logging_191962/kartor/A 20257-2025 karta.png", "A 20257-2025")</f>
        <v/>
      </c>
      <c r="V464">
        <f>HYPERLINK("https://klasma.github.io/Logging_191962/klagomål/A 20257-2025 FSC-klagomål.docx", "A 20257-2025")</f>
        <v/>
      </c>
      <c r="W464">
        <f>HYPERLINK("https://klasma.github.io/Logging_191962/klagomålsmail/A 20257-2025 FSC-klagomål mail.docx", "A 20257-2025")</f>
        <v/>
      </c>
      <c r="X464">
        <f>HYPERLINK("https://klasma.github.io/Logging_191962/tillsyn/A 20257-2025 tillsynsbegäran.docx", "A 20257-2025")</f>
        <v/>
      </c>
      <c r="Y464">
        <f>HYPERLINK("https://klasma.github.io/Logging_191962/tillsynsmail/A 20257-2025 tillsynsbegäran mail.docx", "A 20257-2025")</f>
        <v/>
      </c>
    </row>
    <row r="465" ht="15" customHeight="1">
      <c r="A465" t="inlineStr">
        <is>
          <t>A 20706-2025</t>
        </is>
      </c>
      <c r="B465" s="1" t="n">
        <v>45776</v>
      </c>
      <c r="C465" s="1" t="n">
        <v>45811</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45811</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20953-2025</t>
        </is>
      </c>
      <c r="B467" s="1" t="n">
        <v>45777</v>
      </c>
      <c r="C467" s="1" t="n">
        <v>45811</v>
      </c>
      <c r="D467" t="inlineStr">
        <is>
          <t>VÄSTMANLANDS LÄN</t>
        </is>
      </c>
      <c r="E467" t="inlineStr">
        <is>
          <t>SKINNSKATTEBERG</t>
        </is>
      </c>
      <c r="F467" t="inlineStr">
        <is>
          <t>Sveaskog</t>
        </is>
      </c>
      <c r="G467" t="n">
        <v>6.9</v>
      </c>
      <c r="H467" t="n">
        <v>0</v>
      </c>
      <c r="I467" t="n">
        <v>0</v>
      </c>
      <c r="J467" t="n">
        <v>1</v>
      </c>
      <c r="K467" t="n">
        <v>0</v>
      </c>
      <c r="L467" t="n">
        <v>0</v>
      </c>
      <c r="M467" t="n">
        <v>0</v>
      </c>
      <c r="N467" t="n">
        <v>0</v>
      </c>
      <c r="O467" t="n">
        <v>1</v>
      </c>
      <c r="P467" t="n">
        <v>0</v>
      </c>
      <c r="Q467" t="n">
        <v>1</v>
      </c>
      <c r="R467" s="2" t="inlineStr">
        <is>
          <t>Motaggsvamp</t>
        </is>
      </c>
      <c r="S467">
        <f>HYPERLINK("https://klasma.github.io/Logging_191904/artfynd/A 20953-2025 artfynd.xlsx", "A 20953-2025")</f>
        <v/>
      </c>
      <c r="T467">
        <f>HYPERLINK("https://klasma.github.io/Logging_191904/kartor/A 20953-2025 karta.png", "A 20953-2025")</f>
        <v/>
      </c>
      <c r="V467">
        <f>HYPERLINK("https://klasma.github.io/Logging_191904/klagomål/A 20953-2025 FSC-klagomål.docx", "A 20953-2025")</f>
        <v/>
      </c>
      <c r="W467">
        <f>HYPERLINK("https://klasma.github.io/Logging_191904/klagomålsmail/A 20953-2025 FSC-klagomål mail.docx", "A 20953-2025")</f>
        <v/>
      </c>
      <c r="X467">
        <f>HYPERLINK("https://klasma.github.io/Logging_191904/tillsyn/A 20953-2025 tillsynsbegäran.docx", "A 20953-2025")</f>
        <v/>
      </c>
      <c r="Y467">
        <f>HYPERLINK("https://klasma.github.io/Logging_191904/tillsynsmail/A 20953-2025 tillsynsbegäran mail.docx", "A 20953-2025")</f>
        <v/>
      </c>
    </row>
    <row r="468" ht="15" customHeight="1">
      <c r="A468" t="inlineStr">
        <is>
          <t>A 21716-2025</t>
        </is>
      </c>
      <c r="B468" s="1" t="n">
        <v>45783</v>
      </c>
      <c r="C468" s="1" t="n">
        <v>45811</v>
      </c>
      <c r="D468" t="inlineStr">
        <is>
          <t>VÄSTMANLANDS LÄN</t>
        </is>
      </c>
      <c r="E468" t="inlineStr">
        <is>
          <t>SURAHAMMAR</t>
        </is>
      </c>
      <c r="F468" t="inlineStr">
        <is>
          <t>Allmännings- och besparingsskogar</t>
        </is>
      </c>
      <c r="G468" t="n">
        <v>21.1</v>
      </c>
      <c r="H468" t="n">
        <v>1</v>
      </c>
      <c r="I468" t="n">
        <v>0</v>
      </c>
      <c r="J468" t="n">
        <v>1</v>
      </c>
      <c r="K468" t="n">
        <v>0</v>
      </c>
      <c r="L468" t="n">
        <v>0</v>
      </c>
      <c r="M468" t="n">
        <v>0</v>
      </c>
      <c r="N468" t="n">
        <v>0</v>
      </c>
      <c r="O468" t="n">
        <v>1</v>
      </c>
      <c r="P468" t="n">
        <v>0</v>
      </c>
      <c r="Q468" t="n">
        <v>1</v>
      </c>
      <c r="R468" s="2" t="inlineStr">
        <is>
          <t>Spillkråka</t>
        </is>
      </c>
      <c r="S468">
        <f>HYPERLINK("https://klasma.github.io/Logging_191907/artfynd/A 21716-2025 artfynd.xlsx", "A 21716-2025")</f>
        <v/>
      </c>
      <c r="T468">
        <f>HYPERLINK("https://klasma.github.io/Logging_191907/kartor/A 21716-2025 karta.png", "A 21716-2025")</f>
        <v/>
      </c>
      <c r="V468">
        <f>HYPERLINK("https://klasma.github.io/Logging_191907/klagomål/A 21716-2025 FSC-klagomål.docx", "A 21716-2025")</f>
        <v/>
      </c>
      <c r="W468">
        <f>HYPERLINK("https://klasma.github.io/Logging_191907/klagomålsmail/A 21716-2025 FSC-klagomål mail.docx", "A 21716-2025")</f>
        <v/>
      </c>
      <c r="X468">
        <f>HYPERLINK("https://klasma.github.io/Logging_191907/tillsyn/A 21716-2025 tillsynsbegäran.docx", "A 21716-2025")</f>
        <v/>
      </c>
      <c r="Y468">
        <f>HYPERLINK("https://klasma.github.io/Logging_191907/tillsynsmail/A 21716-2025 tillsynsbegäran mail.docx", "A 21716-2025")</f>
        <v/>
      </c>
      <c r="Z468">
        <f>HYPERLINK("https://klasma.github.io/Logging_191907/fåglar/A 21716-2025 prioriterade fågelarter.docx", "A 21716-2025")</f>
        <v/>
      </c>
    </row>
    <row r="469" ht="15" customHeight="1">
      <c r="A469" t="inlineStr">
        <is>
          <t>A 22950-2025</t>
        </is>
      </c>
      <c r="B469" s="1" t="n">
        <v>45790</v>
      </c>
      <c r="C469" s="1" t="n">
        <v>45811</v>
      </c>
      <c r="D469" t="inlineStr">
        <is>
          <t>VÄSTMANLANDS LÄN</t>
        </is>
      </c>
      <c r="E469" t="inlineStr">
        <is>
          <t>SALA</t>
        </is>
      </c>
      <c r="G469" t="n">
        <v>6.2</v>
      </c>
      <c r="H469" t="n">
        <v>1</v>
      </c>
      <c r="I469" t="n">
        <v>0</v>
      </c>
      <c r="J469" t="n">
        <v>1</v>
      </c>
      <c r="K469" t="n">
        <v>0</v>
      </c>
      <c r="L469" t="n">
        <v>0</v>
      </c>
      <c r="M469" t="n">
        <v>0</v>
      </c>
      <c r="N469" t="n">
        <v>0</v>
      </c>
      <c r="O469" t="n">
        <v>1</v>
      </c>
      <c r="P469" t="n">
        <v>0</v>
      </c>
      <c r="Q469" t="n">
        <v>1</v>
      </c>
      <c r="R469" s="2" t="inlineStr">
        <is>
          <t>Svartvit flugsnappare</t>
        </is>
      </c>
      <c r="S469">
        <f>HYPERLINK("https://klasma.github.io/Logging_191981/artfynd/A 22950-2025 artfynd.xlsx", "A 22950-2025")</f>
        <v/>
      </c>
      <c r="T469">
        <f>HYPERLINK("https://klasma.github.io/Logging_191981/kartor/A 22950-2025 karta.png", "A 22950-2025")</f>
        <v/>
      </c>
      <c r="V469">
        <f>HYPERLINK("https://klasma.github.io/Logging_191981/klagomål/A 22950-2025 FSC-klagomål.docx", "A 22950-2025")</f>
        <v/>
      </c>
      <c r="W469">
        <f>HYPERLINK("https://klasma.github.io/Logging_191981/klagomålsmail/A 22950-2025 FSC-klagomål mail.docx", "A 22950-2025")</f>
        <v/>
      </c>
      <c r="X469">
        <f>HYPERLINK("https://klasma.github.io/Logging_191981/tillsyn/A 22950-2025 tillsynsbegäran.docx", "A 22950-2025")</f>
        <v/>
      </c>
      <c r="Y469">
        <f>HYPERLINK("https://klasma.github.io/Logging_191981/tillsynsmail/A 22950-2025 tillsynsbegäran mail.docx", "A 22950-2025")</f>
        <v/>
      </c>
      <c r="Z469">
        <f>HYPERLINK("https://klasma.github.io/Logging_191981/fåglar/A 22950-2025 prioriterade fågelarter.docx", "A 22950-2025")</f>
        <v/>
      </c>
    </row>
    <row r="470" ht="15" customHeight="1">
      <c r="A470" t="inlineStr">
        <is>
          <t>A 23574-2025</t>
        </is>
      </c>
      <c r="B470" s="1" t="n">
        <v>45792</v>
      </c>
      <c r="C470" s="1" t="n">
        <v>45811</v>
      </c>
      <c r="D470" t="inlineStr">
        <is>
          <t>VÄSTMANLANDS LÄN</t>
        </is>
      </c>
      <c r="E470" t="inlineStr">
        <is>
          <t>SKINNSKATTEBERG</t>
        </is>
      </c>
      <c r="F470" t="inlineStr">
        <is>
          <t>Sveaskog</t>
        </is>
      </c>
      <c r="G470" t="n">
        <v>5.4</v>
      </c>
      <c r="H470" t="n">
        <v>0</v>
      </c>
      <c r="I470" t="n">
        <v>0</v>
      </c>
      <c r="J470" t="n">
        <v>1</v>
      </c>
      <c r="K470" t="n">
        <v>0</v>
      </c>
      <c r="L470" t="n">
        <v>0</v>
      </c>
      <c r="M470" t="n">
        <v>0</v>
      </c>
      <c r="N470" t="n">
        <v>0</v>
      </c>
      <c r="O470" t="n">
        <v>1</v>
      </c>
      <c r="P470" t="n">
        <v>0</v>
      </c>
      <c r="Q470" t="n">
        <v>1</v>
      </c>
      <c r="R470" s="2" t="inlineStr">
        <is>
          <t>Motaggsvamp</t>
        </is>
      </c>
      <c r="S470">
        <f>HYPERLINK("https://klasma.github.io/Logging_191904/artfynd/A 23574-2025 artfynd.xlsx", "A 23574-2025")</f>
        <v/>
      </c>
      <c r="T470">
        <f>HYPERLINK("https://klasma.github.io/Logging_191904/kartor/A 23574-2025 karta.png", "A 23574-2025")</f>
        <v/>
      </c>
      <c r="V470">
        <f>HYPERLINK("https://klasma.github.io/Logging_191904/klagomål/A 23574-2025 FSC-klagomål.docx", "A 23574-2025")</f>
        <v/>
      </c>
      <c r="W470">
        <f>HYPERLINK("https://klasma.github.io/Logging_191904/klagomålsmail/A 23574-2025 FSC-klagomål mail.docx", "A 23574-2025")</f>
        <v/>
      </c>
      <c r="X470">
        <f>HYPERLINK("https://klasma.github.io/Logging_191904/tillsyn/A 23574-2025 tillsynsbegäran.docx", "A 23574-2025")</f>
        <v/>
      </c>
      <c r="Y470">
        <f>HYPERLINK("https://klasma.github.io/Logging_191904/tillsynsmail/A 23574-2025 tillsynsbegäran mail.docx", "A 23574-2025")</f>
        <v/>
      </c>
    </row>
    <row r="471" ht="15" customHeight="1">
      <c r="A471" t="inlineStr">
        <is>
          <t>A 17915-2019</t>
        </is>
      </c>
      <c r="B471" s="1" t="n">
        <v>43557</v>
      </c>
      <c r="C471" s="1" t="n">
        <v>45811</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45811</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45811</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45811</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45811</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45811</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45811</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45811</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45811</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45811</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45811</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45811</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45811</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45811</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45811</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45811</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45811</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45811</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45811</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45811</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45811</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45811</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45811</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45811</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45811</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45811</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45811</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45811</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45811</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45811</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45811</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45811</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45811</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45811</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45811</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45811</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45811</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45811</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45811</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45811</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45811</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45811</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45811</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45811</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45811</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45811</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45811</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45811</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45811</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45811</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45811</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45811</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45811</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45811</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45811</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45811</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45811</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45811</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45811</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45811</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45811</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45811</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45811</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45811</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45811</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45811</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45811</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45811</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45811</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45811</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45811</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45811</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45811</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45811</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45811</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45811</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45811</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45811</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45811</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45811</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45811</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45811</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45811</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45811</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45811</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45811</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45811</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45811</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45811</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45811</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45811</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45811</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45811</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45811</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45811</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45811</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45811</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45811</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45811</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45811</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45811</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45811</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45811</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45811</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45811</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45811</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45811</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45811</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45811</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45811</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45811</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45811</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45811</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45811</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45811</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45811</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45811</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45811</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45811</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45811</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45811</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45811</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45811</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45811</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45811</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45811</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45811</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45811</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45811</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45811</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45811</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45811</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45811</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45811</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45811</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45811</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45811</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45811</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45811</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45811</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45811</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45811</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45811</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45811</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45811</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45811</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45811</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45811</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45811</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45811</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45811</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45811</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45811</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45811</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45811</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45811</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45811</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45811</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45811</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45811</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45811</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45811</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45811</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45811</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45811</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45811</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45811</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45811</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45811</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45811</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45811</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45811</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45811</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45811</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45811</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45811</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45811</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45811</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45811</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45811</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45811</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45811</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45811</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45811</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45811</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45811</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45811</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45811</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45811</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45811</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45811</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45811</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45811</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45811</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45811</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45811</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45811</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45811</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45811</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45811</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45811</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45811</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45811</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45811</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45811</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45811</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45811</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45811</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45811</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45811</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45811</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45811</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45811</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45811</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45811</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45811</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45811</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45811</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45811</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45811</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45811</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45811</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45811</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45811</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45811</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45811</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45811</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45811</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45811</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45811</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45811</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45811</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45811</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45811</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45811</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45811</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45811</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45811</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45811</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45811</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45811</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45811</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45811</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45811</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45811</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45811</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45811</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45811</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45811</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45811</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45811</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45811</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45811</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45811</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45811</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45811</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45811</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45811</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45811</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45811</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45811</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45811</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45811</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45811</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45811</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45811</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45811</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45811</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45811</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45811</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45811</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45811</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45811</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45811</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45811</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45811</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45811</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45811</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45811</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45811</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45811</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45811</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45811</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45811</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45811</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45811</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45811</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45811</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45811</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45811</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45811</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45811</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45811</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45811</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45811</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45811</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45811</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45811</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45811</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45811</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45811</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45811</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45811</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45811</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45811</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45811</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45811</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45811</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45811</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45811</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45811</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45811</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45811</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45811</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45811</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45811</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45811</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45811</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45811</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45811</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45811</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45811</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45811</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45811</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45811</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45811</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45811</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45811</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45811</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45811</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45811</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45811</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45811</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45811</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45811</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45811</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45811</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45811</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45811</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45811</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45811</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45811</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45811</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45811</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45811</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45811</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45811</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45811</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45811</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45811</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45811</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45811</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45811</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45811</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45811</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45811</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45811</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45811</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45811</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45811</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45811</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45811</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45811</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45811</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45811</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45811</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45811</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45811</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45811</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45811</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45811</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45811</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45811</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45811</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45811</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45811</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45811</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45811</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45811</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45811</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45811</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45811</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45811</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45811</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45811</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45811</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45811</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45811</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45811</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45811</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45811</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45811</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45811</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45811</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45811</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45811</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45811</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45811</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45811</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45811</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45811</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45811</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45811</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45811</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45811</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45811</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45811</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45811</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45811</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45811</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45811</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45811</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45811</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45811</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45811</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45811</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45811</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45811</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45811</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45811</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45811</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45811</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45811</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45811</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45811</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45811</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45811</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45811</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45811</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45811</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45811</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45811</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45811</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45811</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45811</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45811</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45811</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45811</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45811</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45811</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45811</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45811</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45811</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45811</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45811</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45811</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45811</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45811</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45811</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45811</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45811</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45811</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45811</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45811</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45811</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45811</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45811</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45811</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45811</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45811</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45811</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45811</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45811</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45811</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45811</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45811</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45811</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45811</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45811</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45811</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45811</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45811</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45811</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45811</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45811</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45811</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45811</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45811</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45811</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45811</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45811</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45811</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45811</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45811</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45811</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45811</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45811</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45811</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45811</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45811</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45811</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45811</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45811</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45811</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45811</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45811</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45811</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45811</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45811</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45811</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45811</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45811</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45811</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45811</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45811</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45811</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45811</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45811</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45811</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45811</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45811</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45811</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45811</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45811</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45811</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45811</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45811</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45811</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45811</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45811</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45811</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45811</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45811</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45811</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45811</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45811</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45811</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45811</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45811</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45811</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45811</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45811</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45811</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45811</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45811</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45811</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45811</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45811</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45811</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45811</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45811</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45811</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45811</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45811</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45811</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45811</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45811</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45811</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45811</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45811</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45811</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45811</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45811</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45811</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45811</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45811</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45811</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45811</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45811</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45811</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45811</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45811</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45811</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45811</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45811</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45811</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45811</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45811</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45811</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45811</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45811</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45811</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45811</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45811</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45811</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45811</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45811</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45811</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45811</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45811</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45811</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45811</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45811</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45811</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45811</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45811</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45811</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45811</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45811</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45811</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45811</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45811</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45811</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45811</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45811</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45811</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45811</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45811</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45811</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45811</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45811</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45811</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45811</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45811</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45811</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45811</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45811</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45811</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45811</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45811</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45811</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45811</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45811</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45811</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45811</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45811</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45811</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45811</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45811</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45811</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45811</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45811</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45811</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45811</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45811</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45811</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45811</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45811</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45811</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45811</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45811</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45811</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45811</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45811</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45811</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45811</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45811</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45811</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45811</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45811</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45811</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45811</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45811</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45811</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45811</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45811</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45811</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45811</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45811</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45811</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45811</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45811</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45811</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45811</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45811</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45811</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45811</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45811</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45811</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45811</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45811</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45811</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45811</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45811</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45811</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45811</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45811</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45811</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45811</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45811</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45811</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45811</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45811</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45811</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45811</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45811</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45811</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45811</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45811</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45811</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45811</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45811</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45811</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45811</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45811</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45811</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45811</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45811</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45811</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45811</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45811</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45811</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45811</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45811</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45811</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45811</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45811</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45811</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45811</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45811</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45811</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45811</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45811</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45811</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45811</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45811</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45811</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45811</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45811</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45811</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45811</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45811</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45811</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45811</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45811</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45811</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45811</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45811</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45811</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45811</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45811</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45811</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45811</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45811</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45811</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45811</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45811</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45811</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45811</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45811</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45811</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45811</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45811</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45811</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45811</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45811</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45811</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45811</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45811</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45811</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45811</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45811</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45811</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45811</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45811</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45811</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45811</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45811</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45811</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45811</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45811</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45811</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45811</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45811</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45811</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45811</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45811</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45811</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45811</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45811</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45811</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45811</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45811</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45811</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45811</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45811</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45811</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45811</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45811</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45811</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45811</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45811</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45811</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45811</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45811</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45811</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45811</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45811</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45811</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45811</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45811</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45811</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45811</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45811</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45811</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45811</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45811</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45811</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45811</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45811</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45811</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45811</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45811</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45811</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45811</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45811</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45811</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45811</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45811</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45811</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45811</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45811</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45811</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45811</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45811</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45811</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45811</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45811</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45811</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45811</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45811</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45811</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45811</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45811</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45811</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45811</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45811</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45811</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45811</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45811</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45811</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45811</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45811</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45811</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45811</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45811</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45811</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45811</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45811</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45811</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45811</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45811</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45811</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45811</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45811</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45811</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45811</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45811</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45811</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45811</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45811</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45811</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45811</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45811</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45811</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45811</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45811</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45811</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45811</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45811</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45811</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45811</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45811</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45811</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45811</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45811</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45811</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45811</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45811</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45811</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45811</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45811</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45811</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45811</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45811</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45811</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45811</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45811</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45811</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45811</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45811</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45811</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45811</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45811</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45811</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45811</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45811</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45811</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45811</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45811</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45811</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45811</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45811</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45811</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45811</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45811</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45811</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45811</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45811</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45811</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45811</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45811</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45811</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45811</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45811</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45811</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45811</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45811</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45811</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45811</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45811</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45811</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45811</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45811</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45811</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45811</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45811</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45811</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45811</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45811</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45811</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45811</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45811</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45811</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45811</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45811</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45811</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45811</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45811</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45811</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45811</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45811</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45811</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45811</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45811</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45811</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45811</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45811</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45811</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45811</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45811</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45811</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45811</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45811</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45811</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45811</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45811</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45811</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45811</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45811</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45811</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45811</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45811</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45811</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45811</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45811</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45811</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45811</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45811</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45811</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45811</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45811</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45811</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45811</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45811</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45811</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45811</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45811</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45811</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45811</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45811</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45811</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45811</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45811</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45811</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45811</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45811</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45811</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45811</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45811</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45811</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45811</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45811</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45811</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45811</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45811</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45811</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45811</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45811</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45811</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45811</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45811</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45811</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45811</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45811</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45811</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45811</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45811</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45811</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45811</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45811</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45811</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45811</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45811</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45811</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45811</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45811</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45811</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45811</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45811</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45811</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45811</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45811</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45811</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45811</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45811</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45811</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45811</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45811</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45811</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45811</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45811</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45811</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45811</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45811</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45811</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45811</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45811</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45811</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45811</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45811</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45811</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45811</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45811</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45811</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45811</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45811</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45811</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45811</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45811</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45811</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45811</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45811</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45811</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45811</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45811</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45811</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45811</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45811</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45811</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45811</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45811</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45811</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45811</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45811</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45811</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45811</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45811</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45811</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45811</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45811</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45811</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45811</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45811</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45811</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45811</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45811</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45811</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45811</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45811</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45811</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45811</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45811</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45811</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45811</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45811</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45811</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45811</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45811</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45811</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45811</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45811</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45811</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45811</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45811</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45811</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45811</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45811</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45811</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45811</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45811</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45811</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45811</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45811</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45811</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45811</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45811</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45811</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45811</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45811</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45811</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45811</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45811</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45811</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45811</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45811</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45811</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45811</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45811</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45811</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45811</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45811</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45811</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45811</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45811</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45811</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45811</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45811</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45811</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45811</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45811</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45811</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45811</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45811</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45811</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45811</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45811</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45811</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45811</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45811</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45811</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45811</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45811</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45811</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45811</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45811</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45811</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45811</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45811</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45811</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45811</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45811</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45811</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45811</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45811</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45811</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45811</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45811</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45811</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45811</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45811</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45811</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45811</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45811</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45811</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45811</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45811</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45811</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45811</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45811</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45811</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45811</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45811</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45811</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45811</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45811</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45811</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45811</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45811</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45811</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45811</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45811</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45811</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45811</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45811</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45811</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45811</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45811</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45811</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45811</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45811</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45811</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45811</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45811</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45811</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45811</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45811</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45811</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45811</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45811</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45811</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45811</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45811</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45811</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45811</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45811</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45811</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45811</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45811</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45811</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45811</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45811</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45811</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45811</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45811</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45811</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45811</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45811</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45811</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45811</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45811</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45811</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45811</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45811</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45811</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45811</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45811</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45811</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45811</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45811</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45811</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45811</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45811</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45811</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45811</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45811</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45811</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45811</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45811</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45811</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45811</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45811</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45811</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45811</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45811</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45811</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45811</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45811</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45811</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45811</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45811</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45811</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45811</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45811</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45811</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45811</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45811</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45811</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45811</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45811</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45811</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45811</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45811</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45811</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45811</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45811</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45811</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45811</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45811</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45811</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45811</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45811</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45811</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45811</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45811</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45811</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45811</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45811</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45811</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45811</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45811</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45811</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45811</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45811</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45811</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45811</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45811</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45811</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45811</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45811</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45811</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45811</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45811</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45811</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45811</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45811</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45811</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45811</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45811</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45811</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45811</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45811</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45811</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45811</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45811</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45811</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45811</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45811</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45811</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45811</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45811</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45811</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45811</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45811</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45811</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45811</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45811</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45811</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45811</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45811</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45811</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45811</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45811</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45811</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45811</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45811</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45811</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45811</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45811</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45811</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45811</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45811</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45811</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45811</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45811</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45811</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45811</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45811</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45811</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45811</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45811</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45811</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45811</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45811</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45811</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45811</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45811</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45811</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45811</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45811</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45811</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45811</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45811</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45811</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45811</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45811</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45811</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45811</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45811</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45811</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45811</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45811</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45811</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45811</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45811</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45811</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45811</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45811</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45811</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45811</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45811</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45811</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45811</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45811</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45811</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45811</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45811</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45811</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45811</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45811</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45811</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45811</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45811</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45811</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45811</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45811</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45811</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45811</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45811</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45811</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45811</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45811</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45811</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45811</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45811</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45811</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45811</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45811</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45811</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45811</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45811</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45811</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45811</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45811</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45811</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45811</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45811</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45811</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45811</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45811</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45811</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45811</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45811</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45811</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45811</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45811</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45811</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45811</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45811</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45811</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45811</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45811</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45811</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45811</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45811</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45811</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45811</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45811</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45811</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45811</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45811</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45811</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45811</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45811</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45811</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45811</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45811</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45811</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45811</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45811</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45811</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45811</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45811</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45811</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45811</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45811</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45811</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45811</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45811</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45811</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45811</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45811</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45811</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45811</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45811</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45811</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45811</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45811</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45811</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45811</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45811</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45811</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45811</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45811</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45811</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45811</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45811</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45811</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45811</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45811</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45811</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45811</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45811</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45811</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45811</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45811</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45811</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45811</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45811</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45811</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45811</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45811</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45811</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45811</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45811</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45811</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45811</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45811</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45811</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45811</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45811</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45811</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45811</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45811</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45811</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45811</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45811</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45811</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45811</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45811</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45811</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45811</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45811</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45811</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45811</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45811</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45811</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45811</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45811</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45811</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45811</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45811</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45811</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45811</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45811</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45811</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45811</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45811</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45811</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45811</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45811</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45811</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45811</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45811</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45811</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45811</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45811</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45811</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45811</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45811</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45811</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45811</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45811</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45811</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45811</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45811</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45811</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45811</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45811</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45811</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45811</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45811</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45811</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45811</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45811</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45811</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45811</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45811</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45811</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45811</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45811</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45811</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45811</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45811</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45811</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45811</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45811</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45811</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45811</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45811</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45811</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45811</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45811</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45811</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45811</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45811</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45811</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45811</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45811</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45811</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45811</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45811</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45811</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45811</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45811</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45811</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45811</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45811</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45811</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45811</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45811</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45811</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45811</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45811</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45811</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45811</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45811</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45811</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45811</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45811</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45811</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45811</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45811</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45811</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45811</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45811</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45811</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45811</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45811</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45811</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45811</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45811</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45811</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45811</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45811</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45811</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45811</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45811</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45811</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45811</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45811</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45811</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45811</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45811</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45811</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45811</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45811</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45811</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45811</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45811</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45811</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45811</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45811</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45811</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45811</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45811</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45811</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45811</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45811</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45811</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45811</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45811</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45811</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45811</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45811</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45811</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45811</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45811</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45811</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45811</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45811</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45811</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45811</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45811</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45811</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45811</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45811</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45811</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45811</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45811</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45811</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45811</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45811</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45811</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45811</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45811</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45811</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45811</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45811</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45811</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45811</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45811</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45811</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45811</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45811</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45811</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45811</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45811</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45811</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45811</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45811</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45811</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45811</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45811</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45811</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45811</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45811</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45811</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45811</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45811</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45811</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45811</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45811</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45811</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45811</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45811</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45811</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45811</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45811</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45811</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45811</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45811</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45811</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45811</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45811</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45811</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45811</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45811</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45811</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45811</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45811</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45811</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45811</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45811</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45811</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45811</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45811</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45811</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45811</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45811</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45811</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45811</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45811</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45811</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45811</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45811</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45811</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45811</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45811</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45811</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45811</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45811</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45811</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45811</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45811</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45811</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45811</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45811</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45811</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45811</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45811</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45811</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45811</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45811</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45811</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45811</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45811</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45811</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45811</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45811</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45811</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45811</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45811</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45811</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45811</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45811</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45811</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45811</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45811</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45811</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45811</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45811</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45811</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45811</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45811</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45811</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45811</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45811</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45811</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45811</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45811</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45811</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45811</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45811</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45811</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45811</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45811</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45811</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45811</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45811</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45811</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45811</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45811</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45811</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45811</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45811</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45811</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45811</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45811</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45811</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45811</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45811</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45811</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45811</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45811</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45811</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45811</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45811</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45811</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45811</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45811</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45811</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45811</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45811</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45811</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45811</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45811</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45811</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45811</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45811</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45811</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45811</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45811</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45811</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45811</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45811</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45811</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45811</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45811</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45811</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45811</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45811</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45811</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45811</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45811</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45811</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45811</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45811</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45811</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45811</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45811</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45811</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45811</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45811</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45811</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45811</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45811</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45811</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45811</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45811</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45811</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45811</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45811</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45811</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45811</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45811</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45811</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45811</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45811</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45811</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45811</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45811</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45811</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45811</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45811</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45811</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45811</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45811</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45811</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45811</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45811</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45811</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45811</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45811</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45811</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45811</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45811</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45811</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45811</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45811</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45811</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45811</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45811</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45811</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45811</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45811</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45811</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45811</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45811</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45811</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45811</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45811</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45811</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45811</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45811</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45811</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45811</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45811</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45811</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45811</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45811</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45811</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45811</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45811</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45811</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45811</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45811</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45811</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45811</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26700-2022</t>
        </is>
      </c>
      <c r="B2340" s="1" t="n">
        <v>44739</v>
      </c>
      <c r="C2340" s="1" t="n">
        <v>45811</v>
      </c>
      <c r="D2340" t="inlineStr">
        <is>
          <t>VÄSTMANLANDS LÄN</t>
        </is>
      </c>
      <c r="E2340" t="inlineStr">
        <is>
          <t>SURAHAMMAR</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26680-2022</t>
        </is>
      </c>
      <c r="B2341" s="1" t="n">
        <v>44739</v>
      </c>
      <c r="C2341" s="1" t="n">
        <v>45811</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26702-2022</t>
        </is>
      </c>
      <c r="B2342" s="1" t="n">
        <v>44739</v>
      </c>
      <c r="C2342" s="1" t="n">
        <v>45811</v>
      </c>
      <c r="D2342" t="inlineStr">
        <is>
          <t>VÄSTMANLANDS LÄN</t>
        </is>
      </c>
      <c r="E2342" t="inlineStr">
        <is>
          <t>HALLSTAHAMMAR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26697-2022</t>
        </is>
      </c>
      <c r="B2343" s="1" t="n">
        <v>44739</v>
      </c>
      <c r="C2343" s="1" t="n">
        <v>45811</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26556-2022</t>
        </is>
      </c>
      <c r="B2344" s="1" t="n">
        <v>44739</v>
      </c>
      <c r="C2344" s="1" t="n">
        <v>45811</v>
      </c>
      <c r="D2344" t="inlineStr">
        <is>
          <t>VÄSTMANLANDS LÄN</t>
        </is>
      </c>
      <c r="E2344" t="inlineStr">
        <is>
          <t>VÄSTERÅS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26568-2022</t>
        </is>
      </c>
      <c r="B2345" s="1" t="n">
        <v>44739</v>
      </c>
      <c r="C2345" s="1" t="n">
        <v>45811</v>
      </c>
      <c r="D2345" t="inlineStr">
        <is>
          <t>VÄSTMANLANDS LÄN</t>
        </is>
      </c>
      <c r="E2345" t="inlineStr">
        <is>
          <t>VÄSTERÅS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26835-2022</t>
        </is>
      </c>
      <c r="B2346" s="1" t="n">
        <v>44740</v>
      </c>
      <c r="C2346" s="1" t="n">
        <v>45811</v>
      </c>
      <c r="D2346" t="inlineStr">
        <is>
          <t>VÄSTMANLANDS LÄN</t>
        </is>
      </c>
      <c r="E2346" t="inlineStr">
        <is>
          <t>VÄSTERÅS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27164-2022</t>
        </is>
      </c>
      <c r="B2347" s="1" t="n">
        <v>44741</v>
      </c>
      <c r="C2347" s="1" t="n">
        <v>45811</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27229-2022</t>
        </is>
      </c>
      <c r="B2348" s="1" t="n">
        <v>44741</v>
      </c>
      <c r="C2348" s="1" t="n">
        <v>45811</v>
      </c>
      <c r="D2348" t="inlineStr">
        <is>
          <t>VÄSTMANLANDS LÄN</t>
        </is>
      </c>
      <c r="E2348" t="inlineStr">
        <is>
          <t>SALA</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27240-2022</t>
        </is>
      </c>
      <c r="B2349" s="1" t="n">
        <v>44741</v>
      </c>
      <c r="C2349" s="1" t="n">
        <v>45811</v>
      </c>
      <c r="D2349" t="inlineStr">
        <is>
          <t>VÄSTMANLANDS LÄN</t>
        </is>
      </c>
      <c r="E2349" t="inlineStr">
        <is>
          <t>SALA</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27260-2022</t>
        </is>
      </c>
      <c r="B2350" s="1" t="n">
        <v>44741</v>
      </c>
      <c r="C2350" s="1" t="n">
        <v>45811</v>
      </c>
      <c r="D2350" t="inlineStr">
        <is>
          <t>VÄSTMANLANDS LÄN</t>
        </is>
      </c>
      <c r="E2350" t="inlineStr">
        <is>
          <t>KÖPING</t>
        </is>
      </c>
      <c r="F2350" t="inlineStr">
        <is>
          <t>Sveaskog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27261-2022</t>
        </is>
      </c>
      <c r="B2351" s="1" t="n">
        <v>44741</v>
      </c>
      <c r="C2351" s="1" t="n">
        <v>45811</v>
      </c>
      <c r="D2351" t="inlineStr">
        <is>
          <t>VÄSTMANLANDS LÄN</t>
        </is>
      </c>
      <c r="E2351" t="inlineStr">
        <is>
          <t>KÖPING</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27446-2022</t>
        </is>
      </c>
      <c r="B2352" s="1" t="n">
        <v>44742</v>
      </c>
      <c r="C2352" s="1" t="n">
        <v>45811</v>
      </c>
      <c r="D2352" t="inlineStr">
        <is>
          <t>VÄSTMANLANDS LÄN</t>
        </is>
      </c>
      <c r="E2352" t="inlineStr">
        <is>
          <t>SALA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27381-2022</t>
        </is>
      </c>
      <c r="B2353" s="1" t="n">
        <v>44742</v>
      </c>
      <c r="C2353" s="1" t="n">
        <v>45811</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27528-2022</t>
        </is>
      </c>
      <c r="B2354" s="1" t="n">
        <v>44742</v>
      </c>
      <c r="C2354" s="1" t="n">
        <v>45811</v>
      </c>
      <c r="D2354" t="inlineStr">
        <is>
          <t>VÄSTMANLANDS LÄN</t>
        </is>
      </c>
      <c r="E2354" t="inlineStr">
        <is>
          <t>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27486-2022</t>
        </is>
      </c>
      <c r="B2355" s="1" t="n">
        <v>44742</v>
      </c>
      <c r="C2355" s="1" t="n">
        <v>45811</v>
      </c>
      <c r="D2355" t="inlineStr">
        <is>
          <t>VÄSTMANLANDS LÄN</t>
        </is>
      </c>
      <c r="E2355" t="inlineStr">
        <is>
          <t>SALA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27702-2022</t>
        </is>
      </c>
      <c r="B2356" s="1" t="n">
        <v>44743</v>
      </c>
      <c r="C2356" s="1" t="n">
        <v>45811</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45811</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27749-2022</t>
        </is>
      </c>
      <c r="B2358" s="1" t="n">
        <v>44743</v>
      </c>
      <c r="C2358" s="1" t="n">
        <v>45811</v>
      </c>
      <c r="D2358" t="inlineStr">
        <is>
          <t>VÄSTMANLANDS LÄN</t>
        </is>
      </c>
      <c r="E2358" t="inlineStr">
        <is>
          <t>KÖPING</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27986-2022</t>
        </is>
      </c>
      <c r="B2359" s="1" t="n">
        <v>44745</v>
      </c>
      <c r="C2359" s="1" t="n">
        <v>45811</v>
      </c>
      <c r="D2359" t="inlineStr">
        <is>
          <t>VÄSTMANLANDS LÄN</t>
        </is>
      </c>
      <c r="E2359" t="inlineStr">
        <is>
          <t>ARBOGA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28069-2022</t>
        </is>
      </c>
      <c r="B2360" s="1" t="n">
        <v>44746</v>
      </c>
      <c r="C2360" s="1" t="n">
        <v>45811</v>
      </c>
      <c r="D2360" t="inlineStr">
        <is>
          <t>VÄSTMANLANDS LÄN</t>
        </is>
      </c>
      <c r="E2360" t="inlineStr">
        <is>
          <t>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28215-2022</t>
        </is>
      </c>
      <c r="B2361" s="1" t="n">
        <v>44746</v>
      </c>
      <c r="C2361" s="1" t="n">
        <v>45811</v>
      </c>
      <c r="D2361" t="inlineStr">
        <is>
          <t>VÄSTMANLANDS LÄN</t>
        </is>
      </c>
      <c r="E2361" t="inlineStr">
        <is>
          <t>SALA</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28249-2022</t>
        </is>
      </c>
      <c r="B2362" s="1" t="n">
        <v>44746</v>
      </c>
      <c r="C2362" s="1" t="n">
        <v>45811</v>
      </c>
      <c r="D2362" t="inlineStr">
        <is>
          <t>VÄSTMANLANDS LÄN</t>
        </is>
      </c>
      <c r="E2362" t="inlineStr">
        <is>
          <t>FAGERSTA</t>
        </is>
      </c>
      <c r="F2362" t="inlineStr">
        <is>
          <t>Kommuner</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28402-2022</t>
        </is>
      </c>
      <c r="B2363" s="1" t="n">
        <v>44747</v>
      </c>
      <c r="C2363" s="1" t="n">
        <v>45811</v>
      </c>
      <c r="D2363" t="inlineStr">
        <is>
          <t>VÄSTMANLANDS LÄN</t>
        </is>
      </c>
      <c r="E2363" t="inlineStr">
        <is>
          <t>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28863-2022</t>
        </is>
      </c>
      <c r="B2364" s="1" t="n">
        <v>44749</v>
      </c>
      <c r="C2364" s="1" t="n">
        <v>45811</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28875-2022</t>
        </is>
      </c>
      <c r="B2365" s="1" t="n">
        <v>44749</v>
      </c>
      <c r="C2365" s="1" t="n">
        <v>45811</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28999-2022</t>
        </is>
      </c>
      <c r="B2366" s="1" t="n">
        <v>44749</v>
      </c>
      <c r="C2366" s="1" t="n">
        <v>45811</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28827-2022</t>
        </is>
      </c>
      <c r="B2367" s="1" t="n">
        <v>44749</v>
      </c>
      <c r="C2367" s="1" t="n">
        <v>45811</v>
      </c>
      <c r="D2367" t="inlineStr">
        <is>
          <t>VÄSTMANLANDS LÄN</t>
        </is>
      </c>
      <c r="E2367" t="inlineStr">
        <is>
          <t>SALA</t>
        </is>
      </c>
      <c r="F2367" t="inlineStr">
        <is>
          <t>Kommuner</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28873-2022</t>
        </is>
      </c>
      <c r="B2368" s="1" t="n">
        <v>44749</v>
      </c>
      <c r="C2368" s="1" t="n">
        <v>45811</v>
      </c>
      <c r="D2368" t="inlineStr">
        <is>
          <t>VÄSTMANLANDS LÄN</t>
        </is>
      </c>
      <c r="E2368" t="inlineStr">
        <is>
          <t>SALA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29002-2022</t>
        </is>
      </c>
      <c r="B2369" s="1" t="n">
        <v>44749</v>
      </c>
      <c r="C2369" s="1" t="n">
        <v>45811</v>
      </c>
      <c r="D2369" t="inlineStr">
        <is>
          <t>VÄSTMANLANDS LÄN</t>
        </is>
      </c>
      <c r="E2369" t="inlineStr">
        <is>
          <t>SALA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28868-2022</t>
        </is>
      </c>
      <c r="B2370" s="1" t="n">
        <v>44749</v>
      </c>
      <c r="C2370" s="1" t="n">
        <v>45811</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28874-2022</t>
        </is>
      </c>
      <c r="B2371" s="1" t="n">
        <v>44749</v>
      </c>
      <c r="C2371" s="1" t="n">
        <v>45811</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28879-2022</t>
        </is>
      </c>
      <c r="B2372" s="1" t="n">
        <v>44749</v>
      </c>
      <c r="C2372" s="1" t="n">
        <v>45811</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29059-2022</t>
        </is>
      </c>
      <c r="B2373" s="1" t="n">
        <v>44750</v>
      </c>
      <c r="C2373" s="1" t="n">
        <v>45811</v>
      </c>
      <c r="D2373" t="inlineStr">
        <is>
          <t>VÄSTMANLANDS LÄN</t>
        </is>
      </c>
      <c r="E2373" t="inlineStr">
        <is>
          <t>KUNGSÖR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29055-2022</t>
        </is>
      </c>
      <c r="B2374" s="1" t="n">
        <v>44750</v>
      </c>
      <c r="C2374" s="1" t="n">
        <v>45811</v>
      </c>
      <c r="D2374" t="inlineStr">
        <is>
          <t>VÄSTMANLANDS LÄN</t>
        </is>
      </c>
      <c r="E2374" t="inlineStr">
        <is>
          <t>KUNGSÖR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29235-2022</t>
        </is>
      </c>
      <c r="B2375" s="1" t="n">
        <v>44750</v>
      </c>
      <c r="C2375" s="1" t="n">
        <v>45811</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29228-2022</t>
        </is>
      </c>
      <c r="B2376" s="1" t="n">
        <v>44750</v>
      </c>
      <c r="C2376" s="1" t="n">
        <v>45811</v>
      </c>
      <c r="D2376" t="inlineStr">
        <is>
          <t>VÄSTMANLANDS LÄN</t>
        </is>
      </c>
      <c r="E2376" t="inlineStr">
        <is>
          <t>SALA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29233-2022</t>
        </is>
      </c>
      <c r="B2377" s="1" t="n">
        <v>44750</v>
      </c>
      <c r="C2377" s="1" t="n">
        <v>45811</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29248-2022</t>
        </is>
      </c>
      <c r="B2378" s="1" t="n">
        <v>44750</v>
      </c>
      <c r="C2378" s="1" t="n">
        <v>45811</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29230-2022</t>
        </is>
      </c>
      <c r="B2379" s="1" t="n">
        <v>44750</v>
      </c>
      <c r="C2379" s="1" t="n">
        <v>45811</v>
      </c>
      <c r="D2379" t="inlineStr">
        <is>
          <t>VÄSTMANLANDS LÄN</t>
        </is>
      </c>
      <c r="E2379" t="inlineStr">
        <is>
          <t>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29133-2022</t>
        </is>
      </c>
      <c r="B2380" s="1" t="n">
        <v>44750</v>
      </c>
      <c r="C2380" s="1" t="n">
        <v>45811</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29213-2022</t>
        </is>
      </c>
      <c r="B2381" s="1" t="n">
        <v>44750</v>
      </c>
      <c r="C2381" s="1" t="n">
        <v>45811</v>
      </c>
      <c r="D2381" t="inlineStr">
        <is>
          <t>VÄSTMANLANDS LÄN</t>
        </is>
      </c>
      <c r="E2381" t="inlineStr">
        <is>
          <t>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29317-2022</t>
        </is>
      </c>
      <c r="B2382" s="1" t="n">
        <v>44751</v>
      </c>
      <c r="C2382" s="1" t="n">
        <v>45811</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29448-2022</t>
        </is>
      </c>
      <c r="B2383" s="1" t="n">
        <v>44753</v>
      </c>
      <c r="C2383" s="1" t="n">
        <v>45811</v>
      </c>
      <c r="D2383" t="inlineStr">
        <is>
          <t>VÄSTMANLANDS LÄN</t>
        </is>
      </c>
      <c r="E2383" t="inlineStr">
        <is>
          <t>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29446-2022</t>
        </is>
      </c>
      <c r="B2384" s="1" t="n">
        <v>44753</v>
      </c>
      <c r="C2384" s="1" t="n">
        <v>45811</v>
      </c>
      <c r="D2384" t="inlineStr">
        <is>
          <t>VÄSTMANLANDS LÄN</t>
        </is>
      </c>
      <c r="E2384" t="inlineStr">
        <is>
          <t>KÖPING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29445-2022</t>
        </is>
      </c>
      <c r="B2385" s="1" t="n">
        <v>44753</v>
      </c>
      <c r="C2385" s="1" t="n">
        <v>45811</v>
      </c>
      <c r="D2385" t="inlineStr">
        <is>
          <t>VÄSTMANLANDS LÄN</t>
        </is>
      </c>
      <c r="E2385" t="inlineStr">
        <is>
          <t>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29513-2022</t>
        </is>
      </c>
      <c r="B2386" s="1" t="n">
        <v>44753</v>
      </c>
      <c r="C2386" s="1" t="n">
        <v>45811</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29510-2022</t>
        </is>
      </c>
      <c r="B2387" s="1" t="n">
        <v>44753</v>
      </c>
      <c r="C2387" s="1" t="n">
        <v>45811</v>
      </c>
      <c r="D2387" t="inlineStr">
        <is>
          <t>VÄSTMANLANDS LÄN</t>
        </is>
      </c>
      <c r="E2387" t="inlineStr">
        <is>
          <t>FAGERSTA</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29573-2022</t>
        </is>
      </c>
      <c r="B2388" s="1" t="n">
        <v>44754</v>
      </c>
      <c r="C2388" s="1" t="n">
        <v>45811</v>
      </c>
      <c r="D2388" t="inlineStr">
        <is>
          <t>VÄSTMANLANDS LÄN</t>
        </is>
      </c>
      <c r="E2388" t="inlineStr">
        <is>
          <t>ARBOGA</t>
        </is>
      </c>
      <c r="F2388" t="inlineStr">
        <is>
          <t>Kyrkan</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29746-2022</t>
        </is>
      </c>
      <c r="B2389" s="1" t="n">
        <v>44755</v>
      </c>
      <c r="C2389" s="1" t="n">
        <v>45811</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29749-2022</t>
        </is>
      </c>
      <c r="B2390" s="1" t="n">
        <v>44755</v>
      </c>
      <c r="C2390" s="1" t="n">
        <v>45811</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29752-2022</t>
        </is>
      </c>
      <c r="B2391" s="1" t="n">
        <v>44755</v>
      </c>
      <c r="C2391" s="1" t="n">
        <v>45811</v>
      </c>
      <c r="D2391" t="inlineStr">
        <is>
          <t>VÄSTMANLANDS LÄN</t>
        </is>
      </c>
      <c r="E2391" t="inlineStr">
        <is>
          <t>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29963-2022</t>
        </is>
      </c>
      <c r="B2392" s="1" t="n">
        <v>44756</v>
      </c>
      <c r="C2392" s="1" t="n">
        <v>45811</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29965-2022</t>
        </is>
      </c>
      <c r="B2393" s="1" t="n">
        <v>44756</v>
      </c>
      <c r="C2393" s="1" t="n">
        <v>45811</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29982-2022</t>
        </is>
      </c>
      <c r="B2394" s="1" t="n">
        <v>44756</v>
      </c>
      <c r="C2394" s="1" t="n">
        <v>45811</v>
      </c>
      <c r="D2394" t="inlineStr">
        <is>
          <t>VÄSTMANLANDS LÄN</t>
        </is>
      </c>
      <c r="E2394" t="inlineStr">
        <is>
          <t>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29934-2022</t>
        </is>
      </c>
      <c r="B2395" s="1" t="n">
        <v>44757</v>
      </c>
      <c r="C2395" s="1" t="n">
        <v>45811</v>
      </c>
      <c r="D2395" t="inlineStr">
        <is>
          <t>VÄSTMANLANDS LÄN</t>
        </is>
      </c>
      <c r="E2395" t="inlineStr">
        <is>
          <t>KÖPING</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30079-2022</t>
        </is>
      </c>
      <c r="B2396" s="1" t="n">
        <v>44757</v>
      </c>
      <c r="C2396" s="1" t="n">
        <v>45811</v>
      </c>
      <c r="D2396" t="inlineStr">
        <is>
          <t>VÄSTMANLANDS LÄN</t>
        </is>
      </c>
      <c r="E2396" t="inlineStr">
        <is>
          <t>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30141-2022</t>
        </is>
      </c>
      <c r="B2397" s="1" t="n">
        <v>44757</v>
      </c>
      <c r="C2397" s="1" t="n">
        <v>45811</v>
      </c>
      <c r="D2397" t="inlineStr">
        <is>
          <t>VÄSTMANLANDS LÄN</t>
        </is>
      </c>
      <c r="E2397" t="inlineStr">
        <is>
          <t>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30147-2022</t>
        </is>
      </c>
      <c r="B2398" s="1" t="n">
        <v>44757</v>
      </c>
      <c r="C2398" s="1" t="n">
        <v>45811</v>
      </c>
      <c r="D2398" t="inlineStr">
        <is>
          <t>VÄSTMANLANDS LÄN</t>
        </is>
      </c>
      <c r="E2398" t="inlineStr">
        <is>
          <t>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30194-2022</t>
        </is>
      </c>
      <c r="B2399" s="1" t="n">
        <v>44757</v>
      </c>
      <c r="C2399" s="1" t="n">
        <v>45811</v>
      </c>
      <c r="D2399" t="inlineStr">
        <is>
          <t>VÄSTMANLANDS LÄN</t>
        </is>
      </c>
      <c r="E2399" t="inlineStr">
        <is>
          <t>VÄSTERÅS</t>
        </is>
      </c>
      <c r="F2399" t="inlineStr">
        <is>
          <t>Sveaskog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30360-2022</t>
        </is>
      </c>
      <c r="B2400" s="1" t="n">
        <v>44760</v>
      </c>
      <c r="C2400" s="1" t="n">
        <v>45811</v>
      </c>
      <c r="D2400" t="inlineStr">
        <is>
          <t>VÄSTMANLANDS LÄN</t>
        </is>
      </c>
      <c r="E2400" t="inlineStr">
        <is>
          <t>SALA</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30305-2022</t>
        </is>
      </c>
      <c r="B2401" s="1" t="n">
        <v>44760</v>
      </c>
      <c r="C2401" s="1" t="n">
        <v>45811</v>
      </c>
      <c r="D2401" t="inlineStr">
        <is>
          <t>VÄSTMANLANDS LÄN</t>
        </is>
      </c>
      <c r="E2401" t="inlineStr">
        <is>
          <t>ARBOGA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30468-2022</t>
        </is>
      </c>
      <c r="B2402" s="1" t="n">
        <v>44761</v>
      </c>
      <c r="C2402" s="1" t="n">
        <v>45811</v>
      </c>
      <c r="D2402" t="inlineStr">
        <is>
          <t>VÄSTMANLANDS LÄN</t>
        </is>
      </c>
      <c r="E2402" t="inlineStr">
        <is>
          <t>VÄSTERÅS</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30442-2022</t>
        </is>
      </c>
      <c r="B2403" s="1" t="n">
        <v>44761</v>
      </c>
      <c r="C2403" s="1" t="n">
        <v>45811</v>
      </c>
      <c r="D2403" t="inlineStr">
        <is>
          <t>VÄSTMANLANDS LÄN</t>
        </is>
      </c>
      <c r="E2403" t="inlineStr">
        <is>
          <t>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30433-2022</t>
        </is>
      </c>
      <c r="B2404" s="1" t="n">
        <v>44761</v>
      </c>
      <c r="C2404" s="1" t="n">
        <v>45811</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30465-2022</t>
        </is>
      </c>
      <c r="B2405" s="1" t="n">
        <v>44761</v>
      </c>
      <c r="C2405" s="1" t="n">
        <v>45811</v>
      </c>
      <c r="D2405" t="inlineStr">
        <is>
          <t>VÄSTMANLANDS LÄN</t>
        </is>
      </c>
      <c r="E2405" t="inlineStr">
        <is>
          <t>VÄSTERÅS</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30569-2022</t>
        </is>
      </c>
      <c r="B2406" s="1" t="n">
        <v>44762</v>
      </c>
      <c r="C2406" s="1" t="n">
        <v>45811</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30570-2022</t>
        </is>
      </c>
      <c r="B2407" s="1" t="n">
        <v>44762</v>
      </c>
      <c r="C2407" s="1" t="n">
        <v>45811</v>
      </c>
      <c r="D2407" t="inlineStr">
        <is>
          <t>VÄSTMANLANDS LÄN</t>
        </is>
      </c>
      <c r="E2407" t="inlineStr">
        <is>
          <t>VÄSTERÅS</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30761-2022</t>
        </is>
      </c>
      <c r="B2408" s="1" t="n">
        <v>44764</v>
      </c>
      <c r="C2408" s="1" t="n">
        <v>45811</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30766-2022</t>
        </is>
      </c>
      <c r="B2409" s="1" t="n">
        <v>44764</v>
      </c>
      <c r="C2409" s="1" t="n">
        <v>45811</v>
      </c>
      <c r="D2409" t="inlineStr">
        <is>
          <t>VÄSTMANLANDS LÄN</t>
        </is>
      </c>
      <c r="E2409" t="inlineStr">
        <is>
          <t>HALLSTAHAMMAR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30813-2022</t>
        </is>
      </c>
      <c r="B2410" s="1" t="n">
        <v>44765</v>
      </c>
      <c r="C2410" s="1" t="n">
        <v>45811</v>
      </c>
      <c r="D2410" t="inlineStr">
        <is>
          <t>VÄSTMANLANDS LÄN</t>
        </is>
      </c>
      <c r="E2410" t="inlineStr">
        <is>
          <t>FAGERSTA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30868-2022</t>
        </is>
      </c>
      <c r="B2411" s="1" t="n">
        <v>44767</v>
      </c>
      <c r="C2411" s="1" t="n">
        <v>45811</v>
      </c>
      <c r="D2411" t="inlineStr">
        <is>
          <t>VÄSTMANLANDS LÄN</t>
        </is>
      </c>
      <c r="E2411" t="inlineStr">
        <is>
          <t>FAGERSTA</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30971-2022</t>
        </is>
      </c>
      <c r="B2412" s="1" t="n">
        <v>44768</v>
      </c>
      <c r="C2412" s="1" t="n">
        <v>45811</v>
      </c>
      <c r="D2412" t="inlineStr">
        <is>
          <t>VÄSTMANLANDS LÄN</t>
        </is>
      </c>
      <c r="E2412" t="inlineStr">
        <is>
          <t>SALA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31000-2022</t>
        </is>
      </c>
      <c r="B2413" s="1" t="n">
        <v>44768</v>
      </c>
      <c r="C2413" s="1" t="n">
        <v>45811</v>
      </c>
      <c r="D2413" t="inlineStr">
        <is>
          <t>VÄSTMANLANDS LÄN</t>
        </is>
      </c>
      <c r="E2413" t="inlineStr">
        <is>
          <t>SALA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31161-2022</t>
        </is>
      </c>
      <c r="B2414" s="1" t="n">
        <v>44770</v>
      </c>
      <c r="C2414" s="1" t="n">
        <v>45811</v>
      </c>
      <c r="D2414" t="inlineStr">
        <is>
          <t>VÄSTMANLANDS LÄN</t>
        </is>
      </c>
      <c r="E2414" t="inlineStr">
        <is>
          <t>KÖPING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31128-2022</t>
        </is>
      </c>
      <c r="B2415" s="1" t="n">
        <v>44770</v>
      </c>
      <c r="C2415" s="1" t="n">
        <v>45811</v>
      </c>
      <c r="D2415" t="inlineStr">
        <is>
          <t>VÄSTMANLANDS LÄN</t>
        </is>
      </c>
      <c r="E2415" t="inlineStr">
        <is>
          <t>HALLSTAHAMMAR</t>
        </is>
      </c>
      <c r="F2415" t="inlineStr">
        <is>
          <t>Allmännings- och besparingsskogar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31193-2022</t>
        </is>
      </c>
      <c r="B2416" s="1" t="n">
        <v>44770</v>
      </c>
      <c r="C2416" s="1" t="n">
        <v>45811</v>
      </c>
      <c r="D2416" t="inlineStr">
        <is>
          <t>VÄSTMANLANDS LÄN</t>
        </is>
      </c>
      <c r="E2416" t="inlineStr">
        <is>
          <t>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31319-2022</t>
        </is>
      </c>
      <c r="B2417" s="1" t="n">
        <v>44774</v>
      </c>
      <c r="C2417" s="1" t="n">
        <v>45811</v>
      </c>
      <c r="D2417" t="inlineStr">
        <is>
          <t>VÄSTMANLANDS LÄN</t>
        </is>
      </c>
      <c r="E2417" t="inlineStr">
        <is>
          <t>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31395-2022</t>
        </is>
      </c>
      <c r="B2418" s="1" t="n">
        <v>44774</v>
      </c>
      <c r="C2418" s="1" t="n">
        <v>45811</v>
      </c>
      <c r="D2418" t="inlineStr">
        <is>
          <t>VÄSTMANLANDS LÄN</t>
        </is>
      </c>
      <c r="E2418" t="inlineStr">
        <is>
          <t>SKINNSKATTEBERG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31373-2022</t>
        </is>
      </c>
      <c r="B2419" s="1" t="n">
        <v>44774</v>
      </c>
      <c r="C2419" s="1" t="n">
        <v>45811</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31403-2022</t>
        </is>
      </c>
      <c r="B2420" s="1" t="n">
        <v>44774</v>
      </c>
      <c r="C2420" s="1" t="n">
        <v>45811</v>
      </c>
      <c r="D2420" t="inlineStr">
        <is>
          <t>VÄSTMANLANDS LÄN</t>
        </is>
      </c>
      <c r="E2420" t="inlineStr">
        <is>
          <t>SKINNSKATTEBERG</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31380-2022</t>
        </is>
      </c>
      <c r="B2421" s="1" t="n">
        <v>44774</v>
      </c>
      <c r="C2421" s="1" t="n">
        <v>45811</v>
      </c>
      <c r="D2421" t="inlineStr">
        <is>
          <t>VÄSTMANLANDS LÄN</t>
        </is>
      </c>
      <c r="E2421" t="inlineStr">
        <is>
          <t>SALA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31387-2022</t>
        </is>
      </c>
      <c r="B2422" s="1" t="n">
        <v>44774</v>
      </c>
      <c r="C2422" s="1" t="n">
        <v>45811</v>
      </c>
      <c r="D2422" t="inlineStr">
        <is>
          <t>VÄSTMANLANDS LÄN</t>
        </is>
      </c>
      <c r="E2422" t="inlineStr">
        <is>
          <t>SALA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31394-2022</t>
        </is>
      </c>
      <c r="B2423" s="1" t="n">
        <v>44774</v>
      </c>
      <c r="C2423" s="1" t="n">
        <v>45811</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31578-2022</t>
        </is>
      </c>
      <c r="B2424" s="1" t="n">
        <v>44775</v>
      </c>
      <c r="C2424" s="1" t="n">
        <v>45811</v>
      </c>
      <c r="D2424" t="inlineStr">
        <is>
          <t>VÄSTMANLANDS LÄN</t>
        </is>
      </c>
      <c r="E2424" t="inlineStr">
        <is>
          <t>VÄSTERÅS</t>
        </is>
      </c>
      <c r="F2424" t="inlineStr">
        <is>
          <t>Kommuner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31831-2022</t>
        </is>
      </c>
      <c r="B2425" s="1" t="n">
        <v>44776</v>
      </c>
      <c r="C2425" s="1" t="n">
        <v>45811</v>
      </c>
      <c r="D2425" t="inlineStr">
        <is>
          <t>VÄSTMANLANDS LÄN</t>
        </is>
      </c>
      <c r="E2425" t="inlineStr">
        <is>
          <t>FAGERSTA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31883-2022</t>
        </is>
      </c>
      <c r="B2426" s="1" t="n">
        <v>44777</v>
      </c>
      <c r="C2426" s="1" t="n">
        <v>45811</v>
      </c>
      <c r="D2426" t="inlineStr">
        <is>
          <t>VÄSTMANLANDS LÄN</t>
        </is>
      </c>
      <c r="E2426" t="inlineStr">
        <is>
          <t>KUNGSÖR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32249-2022</t>
        </is>
      </c>
      <c r="B2427" s="1" t="n">
        <v>44781</v>
      </c>
      <c r="C2427" s="1" t="n">
        <v>45811</v>
      </c>
      <c r="D2427" t="inlineStr">
        <is>
          <t>VÄSTMANLANDS LÄN</t>
        </is>
      </c>
      <c r="E2427" t="inlineStr">
        <is>
          <t>FAGERSTA</t>
        </is>
      </c>
      <c r="F2427" t="inlineStr">
        <is>
          <t>Kommuner</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32224-2022</t>
        </is>
      </c>
      <c r="B2428" s="1" t="n">
        <v>44781</v>
      </c>
      <c r="C2428" s="1" t="n">
        <v>45811</v>
      </c>
      <c r="D2428" t="inlineStr">
        <is>
          <t>VÄSTMANLANDS LÄN</t>
        </is>
      </c>
      <c r="E2428" t="inlineStr">
        <is>
          <t>ARBOGA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32475-2022</t>
        </is>
      </c>
      <c r="B2429" s="1" t="n">
        <v>44782</v>
      </c>
      <c r="C2429" s="1" t="n">
        <v>45811</v>
      </c>
      <c r="D2429" t="inlineStr">
        <is>
          <t>VÄSTMANLANDS LÄN</t>
        </is>
      </c>
      <c r="E2429" t="inlineStr">
        <is>
          <t>SURAHAMMAR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32491-2022</t>
        </is>
      </c>
      <c r="B2430" s="1" t="n">
        <v>44782</v>
      </c>
      <c r="C2430" s="1" t="n">
        <v>45811</v>
      </c>
      <c r="D2430" t="inlineStr">
        <is>
          <t>VÄSTMANLANDS LÄN</t>
        </is>
      </c>
      <c r="E2430" t="inlineStr">
        <is>
          <t>SURAHAMMAR</t>
        </is>
      </c>
      <c r="F2430" t="inlineStr">
        <is>
          <t>Bergvik skog väst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32492-2022</t>
        </is>
      </c>
      <c r="B2431" s="1" t="n">
        <v>44782</v>
      </c>
      <c r="C2431" s="1" t="n">
        <v>45811</v>
      </c>
      <c r="D2431" t="inlineStr">
        <is>
          <t>VÄSTMANLANDS LÄN</t>
        </is>
      </c>
      <c r="E2431" t="inlineStr">
        <is>
          <t>SURAHAMMAR</t>
        </is>
      </c>
      <c r="F2431" t="inlineStr">
        <is>
          <t>Bergvik skog väst AB</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33156-2022</t>
        </is>
      </c>
      <c r="B2432" s="1" t="n">
        <v>44785</v>
      </c>
      <c r="C2432" s="1" t="n">
        <v>45811</v>
      </c>
      <c r="D2432" t="inlineStr">
        <is>
          <t>VÄSTMANLANDS LÄN</t>
        </is>
      </c>
      <c r="E2432" t="inlineStr">
        <is>
          <t>KÖPING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33176-2022</t>
        </is>
      </c>
      <c r="B2433" s="1" t="n">
        <v>44785</v>
      </c>
      <c r="C2433" s="1" t="n">
        <v>45811</v>
      </c>
      <c r="D2433" t="inlineStr">
        <is>
          <t>VÄSTMANLANDS LÄN</t>
        </is>
      </c>
      <c r="E2433" t="inlineStr">
        <is>
          <t>SKINNSKATTEBERG</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33177-2022</t>
        </is>
      </c>
      <c r="B2434" s="1" t="n">
        <v>44785</v>
      </c>
      <c r="C2434" s="1" t="n">
        <v>45811</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33154-2022</t>
        </is>
      </c>
      <c r="B2435" s="1" t="n">
        <v>44785</v>
      </c>
      <c r="C2435" s="1" t="n">
        <v>45811</v>
      </c>
      <c r="D2435" t="inlineStr">
        <is>
          <t>VÄSTMANLANDS LÄN</t>
        </is>
      </c>
      <c r="E2435" t="inlineStr">
        <is>
          <t>SKINNSKATTEBERG</t>
        </is>
      </c>
      <c r="F2435" t="inlineStr">
        <is>
          <t>Sveaskog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33179-2022</t>
        </is>
      </c>
      <c r="B2436" s="1" t="n">
        <v>44785</v>
      </c>
      <c r="C2436" s="1" t="n">
        <v>45811</v>
      </c>
      <c r="D2436" t="inlineStr">
        <is>
          <t>VÄSTMANLANDS LÄN</t>
        </is>
      </c>
      <c r="E2436" t="inlineStr">
        <is>
          <t>SKINNSKATTEBERG</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33309-2022</t>
        </is>
      </c>
      <c r="B2437" s="1" t="n">
        <v>44788</v>
      </c>
      <c r="C2437" s="1" t="n">
        <v>45811</v>
      </c>
      <c r="D2437" t="inlineStr">
        <is>
          <t>VÄSTMANLANDS LÄN</t>
        </is>
      </c>
      <c r="E2437" t="inlineStr">
        <is>
          <t>SALA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33433-2022</t>
        </is>
      </c>
      <c r="B2438" s="1" t="n">
        <v>44788</v>
      </c>
      <c r="C2438" s="1" t="n">
        <v>45811</v>
      </c>
      <c r="D2438" t="inlineStr">
        <is>
          <t>VÄSTMANLANDS LÄN</t>
        </is>
      </c>
      <c r="E2438" t="inlineStr">
        <is>
          <t>KÖPING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33600-2022</t>
        </is>
      </c>
      <c r="B2439" s="1" t="n">
        <v>44789</v>
      </c>
      <c r="C2439" s="1" t="n">
        <v>45811</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33641-2022</t>
        </is>
      </c>
      <c r="B2440" s="1" t="n">
        <v>44789</v>
      </c>
      <c r="C2440" s="1" t="n">
        <v>45811</v>
      </c>
      <c r="D2440" t="inlineStr">
        <is>
          <t>VÄSTMANLANDS LÄN</t>
        </is>
      </c>
      <c r="E2440" t="inlineStr">
        <is>
          <t>VÄSTERÅS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33809-2022</t>
        </is>
      </c>
      <c r="B2441" s="1" t="n">
        <v>44790</v>
      </c>
      <c r="C2441" s="1" t="n">
        <v>45811</v>
      </c>
      <c r="D2441" t="inlineStr">
        <is>
          <t>VÄSTMANLANDS LÄN</t>
        </is>
      </c>
      <c r="E2441" t="inlineStr">
        <is>
          <t>ARBOGA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33931-2022</t>
        </is>
      </c>
      <c r="B2442" s="1" t="n">
        <v>44790</v>
      </c>
      <c r="C2442" s="1" t="n">
        <v>45811</v>
      </c>
      <c r="D2442" t="inlineStr">
        <is>
          <t>VÄSTMANLANDS LÄN</t>
        </is>
      </c>
      <c r="E2442" t="inlineStr">
        <is>
          <t>SURAHAMMAR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33946-2022</t>
        </is>
      </c>
      <c r="B2443" s="1" t="n">
        <v>44790</v>
      </c>
      <c r="C2443" s="1" t="n">
        <v>45811</v>
      </c>
      <c r="D2443" t="inlineStr">
        <is>
          <t>VÄSTMANLANDS LÄN</t>
        </is>
      </c>
      <c r="E2443" t="inlineStr">
        <is>
          <t>SURAHAMMAR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33953-2022</t>
        </is>
      </c>
      <c r="B2444" s="1" t="n">
        <v>44790</v>
      </c>
      <c r="C2444" s="1" t="n">
        <v>45811</v>
      </c>
      <c r="D2444" t="inlineStr">
        <is>
          <t>VÄSTMANLANDS LÄN</t>
        </is>
      </c>
      <c r="E2444" t="inlineStr">
        <is>
          <t>SURAHAMMAR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34073-2022</t>
        </is>
      </c>
      <c r="B2445" s="1" t="n">
        <v>44791</v>
      </c>
      <c r="C2445" s="1" t="n">
        <v>45811</v>
      </c>
      <c r="D2445" t="inlineStr">
        <is>
          <t>VÄSTMANLANDS LÄN</t>
        </is>
      </c>
      <c r="E2445" t="inlineStr">
        <is>
          <t>VÄSTERÅS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34110-2022</t>
        </is>
      </c>
      <c r="B2446" s="1" t="n">
        <v>44791</v>
      </c>
      <c r="C2446" s="1" t="n">
        <v>45811</v>
      </c>
      <c r="D2446" t="inlineStr">
        <is>
          <t>VÄSTMANLANDS LÄN</t>
        </is>
      </c>
      <c r="E2446" t="inlineStr">
        <is>
          <t>SALA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34461-2022</t>
        </is>
      </c>
      <c r="B2447" s="1" t="n">
        <v>44792</v>
      </c>
      <c r="C2447" s="1" t="n">
        <v>45811</v>
      </c>
      <c r="D2447" t="inlineStr">
        <is>
          <t>VÄSTMANLANDS LÄN</t>
        </is>
      </c>
      <c r="E2447" t="inlineStr">
        <is>
          <t>VÄSTERÅS</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34468-2022</t>
        </is>
      </c>
      <c r="B2448" s="1" t="n">
        <v>44792</v>
      </c>
      <c r="C2448" s="1" t="n">
        <v>45811</v>
      </c>
      <c r="D2448" t="inlineStr">
        <is>
          <t>VÄSTMANLANDS LÄN</t>
        </is>
      </c>
      <c r="E2448" t="inlineStr">
        <is>
          <t>SALA</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34733-2022</t>
        </is>
      </c>
      <c r="B2449" s="1" t="n">
        <v>44795</v>
      </c>
      <c r="C2449" s="1" t="n">
        <v>45811</v>
      </c>
      <c r="D2449" t="inlineStr">
        <is>
          <t>VÄSTMANLANDS LÄN</t>
        </is>
      </c>
      <c r="E2449" t="inlineStr">
        <is>
          <t>FAGERSTA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34737-2022</t>
        </is>
      </c>
      <c r="B2450" s="1" t="n">
        <v>44795</v>
      </c>
      <c r="C2450" s="1" t="n">
        <v>45811</v>
      </c>
      <c r="D2450" t="inlineStr">
        <is>
          <t>VÄSTMANLANDS LÄN</t>
        </is>
      </c>
      <c r="E2450" t="inlineStr">
        <is>
          <t>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34957-2022</t>
        </is>
      </c>
      <c r="B2451" s="1" t="n">
        <v>44796</v>
      </c>
      <c r="C2451" s="1" t="n">
        <v>45811</v>
      </c>
      <c r="D2451" t="inlineStr">
        <is>
          <t>VÄSTMANLANDS LÄN</t>
        </is>
      </c>
      <c r="E2451" t="inlineStr">
        <is>
          <t>SURAHAMMAR</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34955-2022</t>
        </is>
      </c>
      <c r="B2452" s="1" t="n">
        <v>44796</v>
      </c>
      <c r="C2452" s="1" t="n">
        <v>45811</v>
      </c>
      <c r="D2452" t="inlineStr">
        <is>
          <t>VÄSTMANLANDS LÄN</t>
        </is>
      </c>
      <c r="E2452" t="inlineStr">
        <is>
          <t>SURAHAMMAR</t>
        </is>
      </c>
      <c r="F2452" t="inlineStr">
        <is>
          <t>Sveaskog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34956-2022</t>
        </is>
      </c>
      <c r="B2453" s="1" t="n">
        <v>44796</v>
      </c>
      <c r="C2453" s="1" t="n">
        <v>45811</v>
      </c>
      <c r="D2453" t="inlineStr">
        <is>
          <t>VÄSTMANLANDS LÄN</t>
        </is>
      </c>
      <c r="E2453" t="inlineStr">
        <is>
          <t>SURAHAMMAR</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35108-2022</t>
        </is>
      </c>
      <c r="B2454" s="1" t="n">
        <v>44797</v>
      </c>
      <c r="C2454" s="1" t="n">
        <v>45811</v>
      </c>
      <c r="D2454" t="inlineStr">
        <is>
          <t>VÄSTMANLANDS LÄN</t>
        </is>
      </c>
      <c r="E2454" t="inlineStr">
        <is>
          <t>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35144-2022</t>
        </is>
      </c>
      <c r="B2455" s="1" t="n">
        <v>44797</v>
      </c>
      <c r="C2455" s="1" t="n">
        <v>45811</v>
      </c>
      <c r="D2455" t="inlineStr">
        <is>
          <t>VÄSTMANLANDS LÄN</t>
        </is>
      </c>
      <c r="E2455" t="inlineStr">
        <is>
          <t>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35410-2022</t>
        </is>
      </c>
      <c r="B2456" s="1" t="n">
        <v>44798</v>
      </c>
      <c r="C2456" s="1" t="n">
        <v>45811</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35637-2022</t>
        </is>
      </c>
      <c r="B2457" s="1" t="n">
        <v>44799</v>
      </c>
      <c r="C2457" s="1" t="n">
        <v>45811</v>
      </c>
      <c r="D2457" t="inlineStr">
        <is>
          <t>VÄSTMANLANDS LÄN</t>
        </is>
      </c>
      <c r="E2457" t="inlineStr">
        <is>
          <t>SALA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35677-2022</t>
        </is>
      </c>
      <c r="B2458" s="1" t="n">
        <v>44799</v>
      </c>
      <c r="C2458" s="1" t="n">
        <v>45811</v>
      </c>
      <c r="D2458" t="inlineStr">
        <is>
          <t>VÄSTMANLANDS LÄN</t>
        </is>
      </c>
      <c r="E2458" t="inlineStr">
        <is>
          <t>SURAHAMMAR</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35682-2022</t>
        </is>
      </c>
      <c r="B2459" s="1" t="n">
        <v>44799</v>
      </c>
      <c r="C2459" s="1" t="n">
        <v>45811</v>
      </c>
      <c r="D2459" t="inlineStr">
        <is>
          <t>VÄSTMANLANDS LÄN</t>
        </is>
      </c>
      <c r="E2459" t="inlineStr">
        <is>
          <t>SURAHAMMAR</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35679-2022</t>
        </is>
      </c>
      <c r="B2460" s="1" t="n">
        <v>44799</v>
      </c>
      <c r="C2460" s="1" t="n">
        <v>45811</v>
      </c>
      <c r="D2460" t="inlineStr">
        <is>
          <t>VÄSTMANLANDS LÄN</t>
        </is>
      </c>
      <c r="E2460" t="inlineStr">
        <is>
          <t>SURAHAMMAR</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35684-2022</t>
        </is>
      </c>
      <c r="B2461" s="1" t="n">
        <v>44799</v>
      </c>
      <c r="C2461" s="1" t="n">
        <v>45811</v>
      </c>
      <c r="D2461" t="inlineStr">
        <is>
          <t>VÄSTMANLANDS LÄN</t>
        </is>
      </c>
      <c r="E2461" t="inlineStr">
        <is>
          <t>NORBERG</t>
        </is>
      </c>
      <c r="F2461" t="inlineStr">
        <is>
          <t>Sveaskog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35983-2022</t>
        </is>
      </c>
      <c r="B2462" s="1" t="n">
        <v>44802</v>
      </c>
      <c r="C2462" s="1" t="n">
        <v>45811</v>
      </c>
      <c r="D2462" t="inlineStr">
        <is>
          <t>VÄSTMANLANDS LÄN</t>
        </is>
      </c>
      <c r="E2462" t="inlineStr">
        <is>
          <t>VÄSTERÅS</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36270-2022</t>
        </is>
      </c>
      <c r="B2463" s="1" t="n">
        <v>44803</v>
      </c>
      <c r="C2463" s="1" t="n">
        <v>45811</v>
      </c>
      <c r="D2463" t="inlineStr">
        <is>
          <t>VÄSTMANLANDS LÄN</t>
        </is>
      </c>
      <c r="E2463" t="inlineStr">
        <is>
          <t>SKINNSKATTEBERG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36288-2022</t>
        </is>
      </c>
      <c r="B2464" s="1" t="n">
        <v>44803</v>
      </c>
      <c r="C2464" s="1" t="n">
        <v>45811</v>
      </c>
      <c r="D2464" t="inlineStr">
        <is>
          <t>VÄSTMANLANDS LÄN</t>
        </is>
      </c>
      <c r="E2464" t="inlineStr">
        <is>
          <t>SKINNSKATTEBERG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36419-2022</t>
        </is>
      </c>
      <c r="B2465" s="1" t="n">
        <v>44803</v>
      </c>
      <c r="C2465" s="1" t="n">
        <v>45811</v>
      </c>
      <c r="D2465" t="inlineStr">
        <is>
          <t>VÄSTMANLANDS LÄN</t>
        </is>
      </c>
      <c r="E2465" t="inlineStr">
        <is>
          <t>KUNGSÖR</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36504-2022</t>
        </is>
      </c>
      <c r="B2466" s="1" t="n">
        <v>44804</v>
      </c>
      <c r="C2466" s="1" t="n">
        <v>45811</v>
      </c>
      <c r="D2466" t="inlineStr">
        <is>
          <t>VÄSTMANLANDS LÄN</t>
        </is>
      </c>
      <c r="E2466" t="inlineStr">
        <is>
          <t>KÖPING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36838-2022</t>
        </is>
      </c>
      <c r="B2467" s="1" t="n">
        <v>44805</v>
      </c>
      <c r="C2467" s="1" t="n">
        <v>45811</v>
      </c>
      <c r="D2467" t="inlineStr">
        <is>
          <t>VÄSTMANLANDS LÄN</t>
        </is>
      </c>
      <c r="E2467" t="inlineStr">
        <is>
          <t>NORBERG</t>
        </is>
      </c>
      <c r="F2467" t="inlineStr">
        <is>
          <t>Sveaskog</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36836-2022</t>
        </is>
      </c>
      <c r="B2468" s="1" t="n">
        <v>44805</v>
      </c>
      <c r="C2468" s="1" t="n">
        <v>45811</v>
      </c>
      <c r="D2468" t="inlineStr">
        <is>
          <t>VÄSTMANLANDS LÄN</t>
        </is>
      </c>
      <c r="E2468" t="inlineStr">
        <is>
          <t>NORBERG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36839-2022</t>
        </is>
      </c>
      <c r="B2469" s="1" t="n">
        <v>44805</v>
      </c>
      <c r="C2469" s="1" t="n">
        <v>45811</v>
      </c>
      <c r="D2469" t="inlineStr">
        <is>
          <t>VÄSTMANLANDS LÄN</t>
        </is>
      </c>
      <c r="E2469" t="inlineStr">
        <is>
          <t>NORBERG</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37210-2022</t>
        </is>
      </c>
      <c r="B2470" s="1" t="n">
        <v>44806</v>
      </c>
      <c r="C2470" s="1" t="n">
        <v>45811</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37447-2022</t>
        </is>
      </c>
      <c r="B2471" s="1" t="n">
        <v>44809</v>
      </c>
      <c r="C2471" s="1" t="n">
        <v>45811</v>
      </c>
      <c r="D2471" t="inlineStr">
        <is>
          <t>VÄSTMANLANDS LÄN</t>
        </is>
      </c>
      <c r="E2471" t="inlineStr">
        <is>
          <t>KÖPING</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37686-2022</t>
        </is>
      </c>
      <c r="B2472" s="1" t="n">
        <v>44810</v>
      </c>
      <c r="C2472" s="1" t="n">
        <v>45811</v>
      </c>
      <c r="D2472" t="inlineStr">
        <is>
          <t>VÄSTMANLANDS LÄN</t>
        </is>
      </c>
      <c r="E2472" t="inlineStr">
        <is>
          <t>HALLSTAHAMMAR</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37660-2022</t>
        </is>
      </c>
      <c r="B2473" s="1" t="n">
        <v>44810</v>
      </c>
      <c r="C2473" s="1" t="n">
        <v>45811</v>
      </c>
      <c r="D2473" t="inlineStr">
        <is>
          <t>VÄSTMANLANDS LÄN</t>
        </is>
      </c>
      <c r="E2473" t="inlineStr">
        <is>
          <t>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37730-2022</t>
        </is>
      </c>
      <c r="B2474" s="1" t="n">
        <v>44810</v>
      </c>
      <c r="C2474" s="1" t="n">
        <v>45811</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37751-2022</t>
        </is>
      </c>
      <c r="B2475" s="1" t="n">
        <v>44810</v>
      </c>
      <c r="C2475" s="1" t="n">
        <v>45811</v>
      </c>
      <c r="D2475" t="inlineStr">
        <is>
          <t>VÄSTMANLANDS LÄN</t>
        </is>
      </c>
      <c r="E2475" t="inlineStr">
        <is>
          <t>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37776-2022</t>
        </is>
      </c>
      <c r="B2476" s="1" t="n">
        <v>44810</v>
      </c>
      <c r="C2476" s="1" t="n">
        <v>45811</v>
      </c>
      <c r="D2476" t="inlineStr">
        <is>
          <t>VÄSTMANLANDS LÄN</t>
        </is>
      </c>
      <c r="E2476" t="inlineStr">
        <is>
          <t>KÖPING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38081-2022</t>
        </is>
      </c>
      <c r="B2477" s="1" t="n">
        <v>44811</v>
      </c>
      <c r="C2477" s="1" t="n">
        <v>45811</v>
      </c>
      <c r="D2477" t="inlineStr">
        <is>
          <t>VÄSTMANLANDS LÄN</t>
        </is>
      </c>
      <c r="E2477" t="inlineStr">
        <is>
          <t>SALA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38161-2022</t>
        </is>
      </c>
      <c r="B2478" s="1" t="n">
        <v>44812</v>
      </c>
      <c r="C2478" s="1" t="n">
        <v>45811</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38381-2022</t>
        </is>
      </c>
      <c r="B2479" s="1" t="n">
        <v>44812</v>
      </c>
      <c r="C2479" s="1" t="n">
        <v>45811</v>
      </c>
      <c r="D2479" t="inlineStr">
        <is>
          <t>VÄSTMANLANDS LÄN</t>
        </is>
      </c>
      <c r="E2479" t="inlineStr">
        <is>
          <t>VÄSTERÅS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38555-2022</t>
        </is>
      </c>
      <c r="B2480" s="1" t="n">
        <v>44813</v>
      </c>
      <c r="C2480" s="1" t="n">
        <v>45811</v>
      </c>
      <c r="D2480" t="inlineStr">
        <is>
          <t>VÄSTMANLANDS LÄN</t>
        </is>
      </c>
      <c r="E2480" t="inlineStr">
        <is>
          <t>HALLSTAHAMMAR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38725-2022</t>
        </is>
      </c>
      <c r="B2481" s="1" t="n">
        <v>44815</v>
      </c>
      <c r="C2481" s="1" t="n">
        <v>45811</v>
      </c>
      <c r="D2481" t="inlineStr">
        <is>
          <t>VÄSTMANLANDS LÄN</t>
        </is>
      </c>
      <c r="E2481" t="inlineStr">
        <is>
          <t>NORBERG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38905-2022</t>
        </is>
      </c>
      <c r="B2482" s="1" t="n">
        <v>44816</v>
      </c>
      <c r="C2482" s="1" t="n">
        <v>45811</v>
      </c>
      <c r="D2482" t="inlineStr">
        <is>
          <t>VÄSTMANLANDS LÄN</t>
        </is>
      </c>
      <c r="E2482" t="inlineStr">
        <is>
          <t>NORBERG</t>
        </is>
      </c>
      <c r="F2482" t="inlineStr">
        <is>
          <t>Sveaskog</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38906-2022</t>
        </is>
      </c>
      <c r="B2483" s="1" t="n">
        <v>44816</v>
      </c>
      <c r="C2483" s="1" t="n">
        <v>45811</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38903-2022</t>
        </is>
      </c>
      <c r="B2484" s="1" t="n">
        <v>44816</v>
      </c>
      <c r="C2484" s="1" t="n">
        <v>45811</v>
      </c>
      <c r="D2484" t="inlineStr">
        <is>
          <t>VÄSTMANLANDS LÄN</t>
        </is>
      </c>
      <c r="E2484" t="inlineStr">
        <is>
          <t>NORBERG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39127-2022</t>
        </is>
      </c>
      <c r="B2485" s="1" t="n">
        <v>44816</v>
      </c>
      <c r="C2485" s="1" t="n">
        <v>45811</v>
      </c>
      <c r="D2485" t="inlineStr">
        <is>
          <t>VÄSTMANLANDS LÄN</t>
        </is>
      </c>
      <c r="E2485" t="inlineStr">
        <is>
          <t>VÄSTERÅS</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39214-2022</t>
        </is>
      </c>
      <c r="B2486" s="1" t="n">
        <v>44817</v>
      </c>
      <c r="C2486" s="1" t="n">
        <v>45811</v>
      </c>
      <c r="D2486" t="inlineStr">
        <is>
          <t>VÄSTMANLANDS LÄN</t>
        </is>
      </c>
      <c r="E2486" t="inlineStr">
        <is>
          <t>FAGERSTA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39432-2022</t>
        </is>
      </c>
      <c r="B2487" s="1" t="n">
        <v>44818</v>
      </c>
      <c r="C2487" s="1" t="n">
        <v>45811</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39451-2022</t>
        </is>
      </c>
      <c r="B2488" s="1" t="n">
        <v>44818</v>
      </c>
      <c r="C2488" s="1" t="n">
        <v>45811</v>
      </c>
      <c r="D2488" t="inlineStr">
        <is>
          <t>VÄSTMANLANDS LÄN</t>
        </is>
      </c>
      <c r="E2488" t="inlineStr">
        <is>
          <t>SALA</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39600-2022</t>
        </is>
      </c>
      <c r="B2489" s="1" t="n">
        <v>44818</v>
      </c>
      <c r="C2489" s="1" t="n">
        <v>45811</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39597-2022</t>
        </is>
      </c>
      <c r="B2490" s="1" t="n">
        <v>44818</v>
      </c>
      <c r="C2490" s="1" t="n">
        <v>45811</v>
      </c>
      <c r="D2490" t="inlineStr">
        <is>
          <t>VÄSTMANLANDS LÄN</t>
        </is>
      </c>
      <c r="E2490" t="inlineStr">
        <is>
          <t>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40094-2022</t>
        </is>
      </c>
      <c r="B2491" s="1" t="n">
        <v>44819</v>
      </c>
      <c r="C2491" s="1" t="n">
        <v>45811</v>
      </c>
      <c r="D2491" t="inlineStr">
        <is>
          <t>VÄSTMANLANDS LÄN</t>
        </is>
      </c>
      <c r="E2491" t="inlineStr">
        <is>
          <t>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40113-2022</t>
        </is>
      </c>
      <c r="B2492" s="1" t="n">
        <v>44819</v>
      </c>
      <c r="C2492" s="1" t="n">
        <v>45811</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40405-2022</t>
        </is>
      </c>
      <c r="B2493" s="1" t="n">
        <v>44823</v>
      </c>
      <c r="C2493" s="1" t="n">
        <v>45811</v>
      </c>
      <c r="D2493" t="inlineStr">
        <is>
          <t>VÄSTMANLANDS LÄN</t>
        </is>
      </c>
      <c r="E2493" t="inlineStr">
        <is>
          <t>SALA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40499-2022</t>
        </is>
      </c>
      <c r="B2494" s="1" t="n">
        <v>44823</v>
      </c>
      <c r="C2494" s="1" t="n">
        <v>45811</v>
      </c>
      <c r="D2494" t="inlineStr">
        <is>
          <t>VÄSTMANLANDS LÄN</t>
        </is>
      </c>
      <c r="E2494" t="inlineStr">
        <is>
          <t>SKINNSKATTEBERG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40597-2022</t>
        </is>
      </c>
      <c r="B2495" s="1" t="n">
        <v>44823</v>
      </c>
      <c r="C2495" s="1" t="n">
        <v>45811</v>
      </c>
      <c r="D2495" t="inlineStr">
        <is>
          <t>VÄSTMANLANDS LÄN</t>
        </is>
      </c>
      <c r="E2495" t="inlineStr">
        <is>
          <t>SALA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40782-2022</t>
        </is>
      </c>
      <c r="B2496" s="1" t="n">
        <v>44824</v>
      </c>
      <c r="C2496" s="1" t="n">
        <v>45811</v>
      </c>
      <c r="D2496" t="inlineStr">
        <is>
          <t>VÄSTMANLANDS LÄN</t>
        </is>
      </c>
      <c r="E2496" t="inlineStr">
        <is>
          <t>VÄSTERÅS</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40815-2022</t>
        </is>
      </c>
      <c r="B2497" s="1" t="n">
        <v>44824</v>
      </c>
      <c r="C2497" s="1" t="n">
        <v>45811</v>
      </c>
      <c r="D2497" t="inlineStr">
        <is>
          <t>VÄSTMANLANDS LÄN</t>
        </is>
      </c>
      <c r="E2497" t="inlineStr">
        <is>
          <t>KUNGSÖR</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40864-2022</t>
        </is>
      </c>
      <c r="B2498" s="1" t="n">
        <v>44825</v>
      </c>
      <c r="C2498" s="1" t="n">
        <v>45811</v>
      </c>
      <c r="D2498" t="inlineStr">
        <is>
          <t>VÄSTMANLANDS LÄN</t>
        </is>
      </c>
      <c r="E2498" t="inlineStr">
        <is>
          <t>FAGERSTA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41059-2022</t>
        </is>
      </c>
      <c r="B2499" s="1" t="n">
        <v>44825</v>
      </c>
      <c r="C2499" s="1" t="n">
        <v>45811</v>
      </c>
      <c r="D2499" t="inlineStr">
        <is>
          <t>VÄSTMANLANDS LÄN</t>
        </is>
      </c>
      <c r="E2499" t="inlineStr">
        <is>
          <t>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41032-2022</t>
        </is>
      </c>
      <c r="B2500" s="1" t="n">
        <v>44825</v>
      </c>
      <c r="C2500" s="1" t="n">
        <v>45811</v>
      </c>
      <c r="D2500" t="inlineStr">
        <is>
          <t>VÄSTMANLANDS LÄN</t>
        </is>
      </c>
      <c r="E2500" t="inlineStr">
        <is>
          <t>KÖPING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41052-2022</t>
        </is>
      </c>
      <c r="B2501" s="1" t="n">
        <v>44825</v>
      </c>
      <c r="C2501" s="1" t="n">
        <v>45811</v>
      </c>
      <c r="D2501" t="inlineStr">
        <is>
          <t>VÄSTMANLANDS LÄN</t>
        </is>
      </c>
      <c r="E2501" t="inlineStr">
        <is>
          <t>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41064-2022</t>
        </is>
      </c>
      <c r="B2502" s="1" t="n">
        <v>44825</v>
      </c>
      <c r="C2502" s="1" t="n">
        <v>45811</v>
      </c>
      <c r="D2502" t="inlineStr">
        <is>
          <t>VÄSTMANLANDS LÄN</t>
        </is>
      </c>
      <c r="E2502" t="inlineStr">
        <is>
          <t>KÖPING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41114-2022</t>
        </is>
      </c>
      <c r="B2503" s="1" t="n">
        <v>44825</v>
      </c>
      <c r="C2503" s="1" t="n">
        <v>45811</v>
      </c>
      <c r="D2503" t="inlineStr">
        <is>
          <t>VÄSTMANLANDS LÄN</t>
        </is>
      </c>
      <c r="E2503" t="inlineStr">
        <is>
          <t>VÄSTERÅS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41160-2022</t>
        </is>
      </c>
      <c r="B2504" s="1" t="n">
        <v>44825</v>
      </c>
      <c r="C2504" s="1" t="n">
        <v>45811</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41219-2022</t>
        </is>
      </c>
      <c r="B2505" s="1" t="n">
        <v>44826</v>
      </c>
      <c r="C2505" s="1" t="n">
        <v>45811</v>
      </c>
      <c r="D2505" t="inlineStr">
        <is>
          <t>VÄSTMANLANDS LÄN</t>
        </is>
      </c>
      <c r="E2505" t="inlineStr">
        <is>
          <t>VÄSTERÅS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41220-2022</t>
        </is>
      </c>
      <c r="B2506" s="1" t="n">
        <v>44826</v>
      </c>
      <c r="C2506" s="1" t="n">
        <v>45811</v>
      </c>
      <c r="D2506" t="inlineStr">
        <is>
          <t>VÄSTMANLANDS LÄN</t>
        </is>
      </c>
      <c r="E2506" t="inlineStr">
        <is>
          <t>VÄSTERÅS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41576-2022</t>
        </is>
      </c>
      <c r="B2507" s="1" t="n">
        <v>44826</v>
      </c>
      <c r="C2507" s="1" t="n">
        <v>45811</v>
      </c>
      <c r="D2507" t="inlineStr">
        <is>
          <t>VÄSTMANLANDS LÄN</t>
        </is>
      </c>
      <c r="E2507" t="inlineStr">
        <is>
          <t>SURAHAMMAR</t>
        </is>
      </c>
      <c r="F2507" t="inlineStr">
        <is>
          <t>Bergvik skog väst AB</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41555-2022</t>
        </is>
      </c>
      <c r="B2508" s="1" t="n">
        <v>44826</v>
      </c>
      <c r="C2508" s="1" t="n">
        <v>45811</v>
      </c>
      <c r="D2508" t="inlineStr">
        <is>
          <t>VÄSTMANLANDS LÄN</t>
        </is>
      </c>
      <c r="E2508" t="inlineStr">
        <is>
          <t>SURAHAMMAR</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41567-2022</t>
        </is>
      </c>
      <c r="B2509" s="1" t="n">
        <v>44827</v>
      </c>
      <c r="C2509" s="1" t="n">
        <v>45811</v>
      </c>
      <c r="D2509" t="inlineStr">
        <is>
          <t>VÄSTMANLANDS LÄN</t>
        </is>
      </c>
      <c r="E2509" t="inlineStr">
        <is>
          <t>SALA</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41587-2022</t>
        </is>
      </c>
      <c r="B2510" s="1" t="n">
        <v>44827</v>
      </c>
      <c r="C2510" s="1" t="n">
        <v>45811</v>
      </c>
      <c r="D2510" t="inlineStr">
        <is>
          <t>VÄSTMANLANDS LÄN</t>
        </is>
      </c>
      <c r="E2510" t="inlineStr">
        <is>
          <t>ARBOGA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41583-2022</t>
        </is>
      </c>
      <c r="B2511" s="1" t="n">
        <v>44827</v>
      </c>
      <c r="C2511" s="1" t="n">
        <v>45811</v>
      </c>
      <c r="D2511" t="inlineStr">
        <is>
          <t>VÄSTMANLANDS LÄN</t>
        </is>
      </c>
      <c r="E2511" t="inlineStr">
        <is>
          <t>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41720-2022</t>
        </is>
      </c>
      <c r="B2512" s="1" t="n">
        <v>44827</v>
      </c>
      <c r="C2512" s="1" t="n">
        <v>45811</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41739-2022</t>
        </is>
      </c>
      <c r="B2513" s="1" t="n">
        <v>44827</v>
      </c>
      <c r="C2513" s="1" t="n">
        <v>45811</v>
      </c>
      <c r="D2513" t="inlineStr">
        <is>
          <t>VÄSTMANLANDS LÄN</t>
        </is>
      </c>
      <c r="E2513" t="inlineStr">
        <is>
          <t>NORBERG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41717-2022</t>
        </is>
      </c>
      <c r="B2514" s="1" t="n">
        <v>44827</v>
      </c>
      <c r="C2514" s="1" t="n">
        <v>45811</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41744-2022</t>
        </is>
      </c>
      <c r="B2515" s="1" t="n">
        <v>44827</v>
      </c>
      <c r="C2515" s="1" t="n">
        <v>45811</v>
      </c>
      <c r="D2515" t="inlineStr">
        <is>
          <t>VÄSTMANLANDS LÄN</t>
        </is>
      </c>
      <c r="E2515" t="inlineStr">
        <is>
          <t>NORBERG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41750-2022</t>
        </is>
      </c>
      <c r="B2516" s="1" t="n">
        <v>44827</v>
      </c>
      <c r="C2516" s="1" t="n">
        <v>45811</v>
      </c>
      <c r="D2516" t="inlineStr">
        <is>
          <t>VÄSTMANLANDS LÄN</t>
        </is>
      </c>
      <c r="E2516" t="inlineStr">
        <is>
          <t>NORBERG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41716-2022</t>
        </is>
      </c>
      <c r="B2517" s="1" t="n">
        <v>44827</v>
      </c>
      <c r="C2517" s="1" t="n">
        <v>45811</v>
      </c>
      <c r="D2517" t="inlineStr">
        <is>
          <t>VÄSTMANLANDS LÄN</t>
        </is>
      </c>
      <c r="E2517" t="inlineStr">
        <is>
          <t>SKINNSKATTEBERG</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41732-2022</t>
        </is>
      </c>
      <c r="B2518" s="1" t="n">
        <v>44827</v>
      </c>
      <c r="C2518" s="1" t="n">
        <v>45811</v>
      </c>
      <c r="D2518" t="inlineStr">
        <is>
          <t>VÄSTMANLANDS LÄN</t>
        </is>
      </c>
      <c r="E2518" t="inlineStr">
        <is>
          <t>SKINNSKATTEBERG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41742-2022</t>
        </is>
      </c>
      <c r="B2519" s="1" t="n">
        <v>44827</v>
      </c>
      <c r="C2519" s="1" t="n">
        <v>45811</v>
      </c>
      <c r="D2519" t="inlineStr">
        <is>
          <t>VÄSTMANLANDS LÄN</t>
        </is>
      </c>
      <c r="E2519" t="inlineStr">
        <is>
          <t>NORBERG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41748-2022</t>
        </is>
      </c>
      <c r="B2520" s="1" t="n">
        <v>44827</v>
      </c>
      <c r="C2520" s="1" t="n">
        <v>45811</v>
      </c>
      <c r="D2520" t="inlineStr">
        <is>
          <t>VÄSTMANLANDS LÄN</t>
        </is>
      </c>
      <c r="E2520" t="inlineStr">
        <is>
          <t>NORBERG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41866-2022</t>
        </is>
      </c>
      <c r="B2521" s="1" t="n">
        <v>44829</v>
      </c>
      <c r="C2521" s="1" t="n">
        <v>45811</v>
      </c>
      <c r="D2521" t="inlineStr">
        <is>
          <t>VÄSTMANLANDS LÄN</t>
        </is>
      </c>
      <c r="E2521" t="inlineStr">
        <is>
          <t>SKINNSKATTEBERG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41868-2022</t>
        </is>
      </c>
      <c r="B2522" s="1" t="n">
        <v>44829</v>
      </c>
      <c r="C2522" s="1" t="n">
        <v>45811</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41876-2022</t>
        </is>
      </c>
      <c r="B2523" s="1" t="n">
        <v>44830</v>
      </c>
      <c r="C2523" s="1" t="n">
        <v>45811</v>
      </c>
      <c r="D2523" t="inlineStr">
        <is>
          <t>VÄSTMANLANDS LÄN</t>
        </is>
      </c>
      <c r="E2523" t="inlineStr">
        <is>
          <t>SALA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42036-2022</t>
        </is>
      </c>
      <c r="B2524" s="1" t="n">
        <v>44830</v>
      </c>
      <c r="C2524" s="1" t="n">
        <v>45811</v>
      </c>
      <c r="D2524" t="inlineStr">
        <is>
          <t>VÄSTMANLANDS LÄN</t>
        </is>
      </c>
      <c r="E2524" t="inlineStr">
        <is>
          <t>ARBOGA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42045-2022</t>
        </is>
      </c>
      <c r="B2525" s="1" t="n">
        <v>44830</v>
      </c>
      <c r="C2525" s="1" t="n">
        <v>45811</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42416-2022</t>
        </is>
      </c>
      <c r="B2526" s="1" t="n">
        <v>44831</v>
      </c>
      <c r="C2526" s="1" t="n">
        <v>45811</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42447-2022</t>
        </is>
      </c>
      <c r="B2527" s="1" t="n">
        <v>44831</v>
      </c>
      <c r="C2527" s="1" t="n">
        <v>45811</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42414-2022</t>
        </is>
      </c>
      <c r="B2528" s="1" t="n">
        <v>44831</v>
      </c>
      <c r="C2528" s="1" t="n">
        <v>45811</v>
      </c>
      <c r="D2528" t="inlineStr">
        <is>
          <t>VÄSTMANLANDS LÄN</t>
        </is>
      </c>
      <c r="E2528" t="inlineStr">
        <is>
          <t>SALA</t>
        </is>
      </c>
      <c r="G2528" t="n">
        <v>3.4</v>
      </c>
      <c r="H2528" t="n">
        <v>0</v>
      </c>
      <c r="I2528" t="n">
        <v>0</v>
      </c>
      <c r="J2528" t="n">
        <v>0</v>
      </c>
      <c r="K2528" t="n">
        <v>0</v>
      </c>
      <c r="L2528" t="n">
        <v>0</v>
      </c>
      <c r="M2528" t="n">
        <v>0</v>
      </c>
      <c r="N2528" t="n">
        <v>0</v>
      </c>
      <c r="O2528" t="n">
        <v>0</v>
      </c>
      <c r="P2528" t="n">
        <v>0</v>
      </c>
      <c r="Q2528" t="n">
        <v>0</v>
      </c>
      <c r="R2528" s="2" t="inlineStr"/>
      <c r="U2528">
        <f>HYPERLINK("https://klasma.github.io/Logging_1981/knärot/A 42414-2022 karta knärot.png", "A 42414-2022")</f>
        <v/>
      </c>
      <c r="V2528">
        <f>HYPERLINK("https://klasma.github.io/Logging_1981/klagomål/A 42414-2022 FSC-klagomål.docx", "A 42414-2022")</f>
        <v/>
      </c>
      <c r="W2528">
        <f>HYPERLINK("https://klasma.github.io/Logging_1981/klagomålsmail/A 42414-2022 FSC-klagomål mail.docx", "A 42414-2022")</f>
        <v/>
      </c>
      <c r="X2528">
        <f>HYPERLINK("https://klasma.github.io/Logging_1981/tillsyn/A 42414-2022 tillsynsbegäran.docx", "A 42414-2022")</f>
        <v/>
      </c>
      <c r="Y2528">
        <f>HYPERLINK("https://klasma.github.io/Logging_1981/tillsynsmail/A 42414-2022 tillsynsbegäran mail.docx", "A 42414-2022")</f>
        <v/>
      </c>
    </row>
    <row r="2529" ht="15" customHeight="1">
      <c r="A2529" t="inlineStr">
        <is>
          <t>A 42491-2022</t>
        </is>
      </c>
      <c r="B2529" s="1" t="n">
        <v>44831</v>
      </c>
      <c r="C2529" s="1" t="n">
        <v>45811</v>
      </c>
      <c r="D2529" t="inlineStr">
        <is>
          <t>VÄSTMANLANDS LÄN</t>
        </is>
      </c>
      <c r="E2529" t="inlineStr">
        <is>
          <t>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42505-2022</t>
        </is>
      </c>
      <c r="B2530" s="1" t="n">
        <v>44831</v>
      </c>
      <c r="C2530" s="1" t="n">
        <v>45811</v>
      </c>
      <c r="D2530" t="inlineStr">
        <is>
          <t>VÄSTMANLANDS LÄN</t>
        </is>
      </c>
      <c r="E2530" t="inlineStr">
        <is>
          <t>NORBERG</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42504-2022</t>
        </is>
      </c>
      <c r="B2531" s="1" t="n">
        <v>44831</v>
      </c>
      <c r="C2531" s="1" t="n">
        <v>45811</v>
      </c>
      <c r="D2531" t="inlineStr">
        <is>
          <t>VÄSTMANLANDS LÄN</t>
        </is>
      </c>
      <c r="E2531" t="inlineStr">
        <is>
          <t>NORBERG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42714-2022</t>
        </is>
      </c>
      <c r="B2532" s="1" t="n">
        <v>44832</v>
      </c>
      <c r="C2532" s="1" t="n">
        <v>45811</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42832-2022</t>
        </is>
      </c>
      <c r="B2533" s="1" t="n">
        <v>44832</v>
      </c>
      <c r="C2533" s="1" t="n">
        <v>45811</v>
      </c>
      <c r="D2533" t="inlineStr">
        <is>
          <t>VÄSTMANLANDS LÄN</t>
        </is>
      </c>
      <c r="E2533" t="inlineStr">
        <is>
          <t>SURAHAMMAR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42841-2022</t>
        </is>
      </c>
      <c r="B2534" s="1" t="n">
        <v>44832</v>
      </c>
      <c r="C2534" s="1" t="n">
        <v>45811</v>
      </c>
      <c r="D2534" t="inlineStr">
        <is>
          <t>VÄSTMANLANDS LÄN</t>
        </is>
      </c>
      <c r="E2534" t="inlineStr">
        <is>
          <t>SURAHAMMAR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42829-2022</t>
        </is>
      </c>
      <c r="B2535" s="1" t="n">
        <v>44832</v>
      </c>
      <c r="C2535" s="1" t="n">
        <v>45811</v>
      </c>
      <c r="D2535" t="inlineStr">
        <is>
          <t>VÄSTMANLANDS LÄN</t>
        </is>
      </c>
      <c r="E2535" t="inlineStr">
        <is>
          <t>SURAHAMMAR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42910-2022</t>
        </is>
      </c>
      <c r="B2536" s="1" t="n">
        <v>44833</v>
      </c>
      <c r="C2536" s="1" t="n">
        <v>45811</v>
      </c>
      <c r="D2536" t="inlineStr">
        <is>
          <t>VÄSTMANLANDS LÄN</t>
        </is>
      </c>
      <c r="E2536" t="inlineStr">
        <is>
          <t>VÄSTERÅS</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43073-2022</t>
        </is>
      </c>
      <c r="B2537" s="1" t="n">
        <v>44833</v>
      </c>
      <c r="C2537" s="1" t="n">
        <v>45811</v>
      </c>
      <c r="D2537" t="inlineStr">
        <is>
          <t>VÄSTMANLANDS LÄN</t>
        </is>
      </c>
      <c r="E2537" t="inlineStr">
        <is>
          <t>NORBERG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43103-2022</t>
        </is>
      </c>
      <c r="B2538" s="1" t="n">
        <v>44833</v>
      </c>
      <c r="C2538" s="1" t="n">
        <v>45811</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43075-2022</t>
        </is>
      </c>
      <c r="B2539" s="1" t="n">
        <v>44833</v>
      </c>
      <c r="C2539" s="1" t="n">
        <v>45811</v>
      </c>
      <c r="D2539" t="inlineStr">
        <is>
          <t>VÄSTMANLANDS LÄN</t>
        </is>
      </c>
      <c r="E2539" t="inlineStr">
        <is>
          <t>NORBERG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43072-2022</t>
        </is>
      </c>
      <c r="B2540" s="1" t="n">
        <v>44833</v>
      </c>
      <c r="C2540" s="1" t="n">
        <v>45811</v>
      </c>
      <c r="D2540" t="inlineStr">
        <is>
          <t>VÄSTMANLANDS LÄN</t>
        </is>
      </c>
      <c r="E2540" t="inlineStr">
        <is>
          <t>NORBERG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43076-2022</t>
        </is>
      </c>
      <c r="B2541" s="1" t="n">
        <v>44833</v>
      </c>
      <c r="C2541" s="1" t="n">
        <v>45811</v>
      </c>
      <c r="D2541" t="inlineStr">
        <is>
          <t>VÄSTMANLANDS LÄN</t>
        </is>
      </c>
      <c r="E2541" t="inlineStr">
        <is>
          <t>NORBERG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43101-2022</t>
        </is>
      </c>
      <c r="B2542" s="1" t="n">
        <v>44833</v>
      </c>
      <c r="C2542" s="1" t="n">
        <v>45811</v>
      </c>
      <c r="D2542" t="inlineStr">
        <is>
          <t>VÄSTMANLANDS LÄN</t>
        </is>
      </c>
      <c r="E2542" t="inlineStr">
        <is>
          <t>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43303-2022</t>
        </is>
      </c>
      <c r="B2543" s="1" t="n">
        <v>44834</v>
      </c>
      <c r="C2543" s="1" t="n">
        <v>45811</v>
      </c>
      <c r="D2543" t="inlineStr">
        <is>
          <t>VÄSTMANLANDS LÄN</t>
        </is>
      </c>
      <c r="E2543" t="inlineStr">
        <is>
          <t>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43384-2022</t>
        </is>
      </c>
      <c r="B2544" s="1" t="n">
        <v>44834</v>
      </c>
      <c r="C2544" s="1" t="n">
        <v>45811</v>
      </c>
      <c r="D2544" t="inlineStr">
        <is>
          <t>VÄSTMANLANDS LÄN</t>
        </is>
      </c>
      <c r="E2544" t="inlineStr">
        <is>
          <t>SKINNSKATTEBERG</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43349-2022</t>
        </is>
      </c>
      <c r="B2545" s="1" t="n">
        <v>44834</v>
      </c>
      <c r="C2545" s="1" t="n">
        <v>45811</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43347-2022</t>
        </is>
      </c>
      <c r="B2546" s="1" t="n">
        <v>44834</v>
      </c>
      <c r="C2546" s="1" t="n">
        <v>45811</v>
      </c>
      <c r="D2546" t="inlineStr">
        <is>
          <t>VÄSTMANLANDS LÄN</t>
        </is>
      </c>
      <c r="E2546" t="inlineStr">
        <is>
          <t>SKINNSKATTEBERG</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43567-2022</t>
        </is>
      </c>
      <c r="B2547" s="1" t="n">
        <v>44837</v>
      </c>
      <c r="C2547" s="1" t="n">
        <v>45811</v>
      </c>
      <c r="D2547" t="inlineStr">
        <is>
          <t>VÄSTMANLANDS LÄN</t>
        </is>
      </c>
      <c r="E2547" t="inlineStr">
        <is>
          <t>KÖPING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43587-2022</t>
        </is>
      </c>
      <c r="B2548" s="1" t="n">
        <v>44837</v>
      </c>
      <c r="C2548" s="1" t="n">
        <v>45811</v>
      </c>
      <c r="D2548" t="inlineStr">
        <is>
          <t>VÄSTMANLANDS LÄN</t>
        </is>
      </c>
      <c r="E2548" t="inlineStr">
        <is>
          <t>ARBOGA</t>
        </is>
      </c>
      <c r="F2548" t="inlineStr">
        <is>
          <t>Sveaskog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44016-2022</t>
        </is>
      </c>
      <c r="B2549" s="1" t="n">
        <v>44838</v>
      </c>
      <c r="C2549" s="1" t="n">
        <v>45811</v>
      </c>
      <c r="D2549" t="inlineStr">
        <is>
          <t>VÄSTMANLANDS LÄN</t>
        </is>
      </c>
      <c r="E2549" t="inlineStr">
        <is>
          <t>NORBERG</t>
        </is>
      </c>
      <c r="F2549" t="inlineStr">
        <is>
          <t>Sveaskog</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44015-2022</t>
        </is>
      </c>
      <c r="B2550" s="1" t="n">
        <v>44838</v>
      </c>
      <c r="C2550" s="1" t="n">
        <v>45811</v>
      </c>
      <c r="D2550" t="inlineStr">
        <is>
          <t>VÄSTMANLANDS LÄN</t>
        </is>
      </c>
      <c r="E2550" t="inlineStr">
        <is>
          <t>NORBERG</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44217-2022</t>
        </is>
      </c>
      <c r="B2551" s="1" t="n">
        <v>44839</v>
      </c>
      <c r="C2551" s="1" t="n">
        <v>45811</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44318-2022</t>
        </is>
      </c>
      <c r="B2552" s="1" t="n">
        <v>44839</v>
      </c>
      <c r="C2552" s="1" t="n">
        <v>45811</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44224-2022</t>
        </is>
      </c>
      <c r="B2553" s="1" t="n">
        <v>44839</v>
      </c>
      <c r="C2553" s="1" t="n">
        <v>45811</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44408-2022</t>
        </is>
      </c>
      <c r="B2554" s="1" t="n">
        <v>44839</v>
      </c>
      <c r="C2554" s="1" t="n">
        <v>45811</v>
      </c>
      <c r="D2554" t="inlineStr">
        <is>
          <t>VÄSTMANLANDS LÄN</t>
        </is>
      </c>
      <c r="E2554" t="inlineStr">
        <is>
          <t>KÖPING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44370-2022</t>
        </is>
      </c>
      <c r="B2555" s="1" t="n">
        <v>44839</v>
      </c>
      <c r="C2555" s="1" t="n">
        <v>45811</v>
      </c>
      <c r="D2555" t="inlineStr">
        <is>
          <t>VÄSTMANLANDS LÄN</t>
        </is>
      </c>
      <c r="E2555" t="inlineStr">
        <is>
          <t>KÖPING</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44711-2022</t>
        </is>
      </c>
      <c r="B2556" s="1" t="n">
        <v>44840</v>
      </c>
      <c r="C2556" s="1" t="n">
        <v>45811</v>
      </c>
      <c r="D2556" t="inlineStr">
        <is>
          <t>VÄSTMANLANDS LÄN</t>
        </is>
      </c>
      <c r="E2556" t="inlineStr">
        <is>
          <t>FAGERSTA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44906-2022</t>
        </is>
      </c>
      <c r="B2557" s="1" t="n">
        <v>44840</v>
      </c>
      <c r="C2557" s="1" t="n">
        <v>45811</v>
      </c>
      <c r="D2557" t="inlineStr">
        <is>
          <t>VÄSTMANLANDS LÄN</t>
        </is>
      </c>
      <c r="E2557" t="inlineStr">
        <is>
          <t>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44695-2022</t>
        </is>
      </c>
      <c r="B2558" s="1" t="n">
        <v>44840</v>
      </c>
      <c r="C2558" s="1" t="n">
        <v>45811</v>
      </c>
      <c r="D2558" t="inlineStr">
        <is>
          <t>VÄSTMANLANDS LÄN</t>
        </is>
      </c>
      <c r="E2558" t="inlineStr">
        <is>
          <t>VÄSTERÅS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44710-2022</t>
        </is>
      </c>
      <c r="B2559" s="1" t="n">
        <v>44840</v>
      </c>
      <c r="C2559" s="1" t="n">
        <v>45811</v>
      </c>
      <c r="D2559" t="inlineStr">
        <is>
          <t>VÄSTMANLANDS LÄN</t>
        </is>
      </c>
      <c r="E2559" t="inlineStr">
        <is>
          <t>FAGERSTA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44892-2022</t>
        </is>
      </c>
      <c r="B2560" s="1" t="n">
        <v>44841</v>
      </c>
      <c r="C2560" s="1" t="n">
        <v>45811</v>
      </c>
      <c r="D2560" t="inlineStr">
        <is>
          <t>VÄSTMANLANDS LÄN</t>
        </is>
      </c>
      <c r="E2560" t="inlineStr">
        <is>
          <t>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45015-2022</t>
        </is>
      </c>
      <c r="B2561" s="1" t="n">
        <v>44841</v>
      </c>
      <c r="C2561" s="1" t="n">
        <v>45811</v>
      </c>
      <c r="D2561" t="inlineStr">
        <is>
          <t>VÄSTMANLANDS LÄN</t>
        </is>
      </c>
      <c r="E2561" t="inlineStr">
        <is>
          <t>SALA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45008-2022</t>
        </is>
      </c>
      <c r="B2562" s="1" t="n">
        <v>44841</v>
      </c>
      <c r="C2562" s="1" t="n">
        <v>45811</v>
      </c>
      <c r="D2562" t="inlineStr">
        <is>
          <t>VÄSTMANLANDS LÄN</t>
        </is>
      </c>
      <c r="E2562" t="inlineStr">
        <is>
          <t>SKINNSKATTEBERG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45010-2022</t>
        </is>
      </c>
      <c r="B2563" s="1" t="n">
        <v>44841</v>
      </c>
      <c r="C2563" s="1" t="n">
        <v>45811</v>
      </c>
      <c r="D2563" t="inlineStr">
        <is>
          <t>VÄSTMANLANDS LÄN</t>
        </is>
      </c>
      <c r="E2563" t="inlineStr">
        <is>
          <t>SKINNSKATTEBERG</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44935-2022</t>
        </is>
      </c>
      <c r="B2564" s="1" t="n">
        <v>44841</v>
      </c>
      <c r="C2564" s="1" t="n">
        <v>45811</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45213-2022</t>
        </is>
      </c>
      <c r="B2565" s="1" t="n">
        <v>44844</v>
      </c>
      <c r="C2565" s="1" t="n">
        <v>45811</v>
      </c>
      <c r="D2565" t="inlineStr">
        <is>
          <t>VÄSTMANLANDS LÄN</t>
        </is>
      </c>
      <c r="E2565" t="inlineStr">
        <is>
          <t>NORBERG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45309-2022</t>
        </is>
      </c>
      <c r="B2566" s="1" t="n">
        <v>44844</v>
      </c>
      <c r="C2566" s="1" t="n">
        <v>45811</v>
      </c>
      <c r="D2566" t="inlineStr">
        <is>
          <t>VÄSTMANLANDS LÄN</t>
        </is>
      </c>
      <c r="E2566" t="inlineStr">
        <is>
          <t>SALA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45338-2022</t>
        </is>
      </c>
      <c r="B2567" s="1" t="n">
        <v>44844</v>
      </c>
      <c r="C2567" s="1" t="n">
        <v>45811</v>
      </c>
      <c r="D2567" t="inlineStr">
        <is>
          <t>VÄSTMANLANDS LÄN</t>
        </is>
      </c>
      <c r="E2567" t="inlineStr">
        <is>
          <t>ARBOGA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45517-2022</t>
        </is>
      </c>
      <c r="B2568" s="1" t="n">
        <v>44845</v>
      </c>
      <c r="C2568" s="1" t="n">
        <v>45811</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45615-2022</t>
        </is>
      </c>
      <c r="B2569" s="1" t="n">
        <v>44845</v>
      </c>
      <c r="C2569" s="1" t="n">
        <v>45811</v>
      </c>
      <c r="D2569" t="inlineStr">
        <is>
          <t>VÄSTMANLANDS LÄN</t>
        </is>
      </c>
      <c r="E2569" t="inlineStr">
        <is>
          <t>SALA</t>
        </is>
      </c>
      <c r="F2569" t="inlineStr">
        <is>
          <t>Bergvik skog öst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45738-2022</t>
        </is>
      </c>
      <c r="B2570" s="1" t="n">
        <v>44846</v>
      </c>
      <c r="C2570" s="1" t="n">
        <v>45811</v>
      </c>
      <c r="D2570" t="inlineStr">
        <is>
          <t>VÄSTMANLANDS LÄN</t>
        </is>
      </c>
      <c r="E2570" t="inlineStr">
        <is>
          <t>NORBERG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45740-2022</t>
        </is>
      </c>
      <c r="B2571" s="1" t="n">
        <v>44846</v>
      </c>
      <c r="C2571" s="1" t="n">
        <v>45811</v>
      </c>
      <c r="D2571" t="inlineStr">
        <is>
          <t>VÄSTMANLANDS LÄN</t>
        </is>
      </c>
      <c r="E2571" t="inlineStr">
        <is>
          <t>NORBERG</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45737-2022</t>
        </is>
      </c>
      <c r="B2572" s="1" t="n">
        <v>44846</v>
      </c>
      <c r="C2572" s="1" t="n">
        <v>45811</v>
      </c>
      <c r="D2572" t="inlineStr">
        <is>
          <t>VÄSTMANLANDS LÄN</t>
        </is>
      </c>
      <c r="E2572" t="inlineStr">
        <is>
          <t>NORBERG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46123-2022</t>
        </is>
      </c>
      <c r="B2573" s="1" t="n">
        <v>44847</v>
      </c>
      <c r="C2573" s="1" t="n">
        <v>45811</v>
      </c>
      <c r="D2573" t="inlineStr">
        <is>
          <t>VÄSTMANLANDS LÄN</t>
        </is>
      </c>
      <c r="E2573" t="inlineStr">
        <is>
          <t>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46192-2022</t>
        </is>
      </c>
      <c r="B2574" s="1" t="n">
        <v>44847</v>
      </c>
      <c r="C2574" s="1" t="n">
        <v>45811</v>
      </c>
      <c r="D2574" t="inlineStr">
        <is>
          <t>VÄSTMANLANDS LÄN</t>
        </is>
      </c>
      <c r="E2574" t="inlineStr">
        <is>
          <t>ARBOGA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46114-2022</t>
        </is>
      </c>
      <c r="B2575" s="1" t="n">
        <v>44847</v>
      </c>
      <c r="C2575" s="1" t="n">
        <v>45811</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46116-2022</t>
        </is>
      </c>
      <c r="B2576" s="1" t="n">
        <v>44847</v>
      </c>
      <c r="C2576" s="1" t="n">
        <v>45811</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46156-2022</t>
        </is>
      </c>
      <c r="B2577" s="1" t="n">
        <v>44847</v>
      </c>
      <c r="C2577" s="1" t="n">
        <v>45811</v>
      </c>
      <c r="D2577" t="inlineStr">
        <is>
          <t>VÄSTMANLANDS LÄN</t>
        </is>
      </c>
      <c r="E2577" t="inlineStr">
        <is>
          <t>VÄSTERÅS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46124-2022</t>
        </is>
      </c>
      <c r="B2578" s="1" t="n">
        <v>44847</v>
      </c>
      <c r="C2578" s="1" t="n">
        <v>45811</v>
      </c>
      <c r="D2578" t="inlineStr">
        <is>
          <t>VÄSTMANLANDS LÄN</t>
        </is>
      </c>
      <c r="E2578" t="inlineStr">
        <is>
          <t>KÖPING</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46264-2022</t>
        </is>
      </c>
      <c r="B2579" s="1" t="n">
        <v>44847</v>
      </c>
      <c r="C2579" s="1" t="n">
        <v>45811</v>
      </c>
      <c r="D2579" t="inlineStr">
        <is>
          <t>VÄSTMANLANDS LÄN</t>
        </is>
      </c>
      <c r="E2579" t="inlineStr">
        <is>
          <t>SALA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46126-2022</t>
        </is>
      </c>
      <c r="B2580" s="1" t="n">
        <v>44847</v>
      </c>
      <c r="C2580" s="1" t="n">
        <v>45811</v>
      </c>
      <c r="D2580" t="inlineStr">
        <is>
          <t>VÄSTMANLANDS LÄN</t>
        </is>
      </c>
      <c r="E2580" t="inlineStr">
        <is>
          <t>KÖPING</t>
        </is>
      </c>
      <c r="G2580" t="n">
        <v>17.5</v>
      </c>
      <c r="H2580" t="n">
        <v>0</v>
      </c>
      <c r="I2580" t="n">
        <v>0</v>
      </c>
      <c r="J2580" t="n">
        <v>0</v>
      </c>
      <c r="K2580" t="n">
        <v>0</v>
      </c>
      <c r="L2580" t="n">
        <v>0</v>
      </c>
      <c r="M2580" t="n">
        <v>0</v>
      </c>
      <c r="N2580" t="n">
        <v>0</v>
      </c>
      <c r="O2580" t="n">
        <v>0</v>
      </c>
      <c r="P2580" t="n">
        <v>0</v>
      </c>
      <c r="Q2580" t="n">
        <v>0</v>
      </c>
      <c r="R2580" s="2" t="inlineStr"/>
    </row>
    <row r="2581" ht="15" customHeight="1">
      <c r="A2581" t="inlineStr">
        <is>
          <t>A 46369-2022</t>
        </is>
      </c>
      <c r="B2581" s="1" t="n">
        <v>44848</v>
      </c>
      <c r="C2581" s="1" t="n">
        <v>45811</v>
      </c>
      <c r="D2581" t="inlineStr">
        <is>
          <t>VÄSTMANLANDS LÄN</t>
        </is>
      </c>
      <c r="E2581" t="inlineStr">
        <is>
          <t>NORBERG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46460-2022</t>
        </is>
      </c>
      <c r="B2582" s="1" t="n">
        <v>44848</v>
      </c>
      <c r="C2582" s="1" t="n">
        <v>45811</v>
      </c>
      <c r="D2582" t="inlineStr">
        <is>
          <t>VÄSTMANLANDS LÄN</t>
        </is>
      </c>
      <c r="E2582" t="inlineStr">
        <is>
          <t>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46641-2022</t>
        </is>
      </c>
      <c r="B2583" s="1" t="n">
        <v>44849</v>
      </c>
      <c r="C2583" s="1" t="n">
        <v>45811</v>
      </c>
      <c r="D2583" t="inlineStr">
        <is>
          <t>VÄSTMANLANDS LÄN</t>
        </is>
      </c>
      <c r="E2583" t="inlineStr">
        <is>
          <t>NORBERG</t>
        </is>
      </c>
      <c r="F2583" t="inlineStr">
        <is>
          <t>Sveaskog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46909-2022</t>
        </is>
      </c>
      <c r="B2584" s="1" t="n">
        <v>44851</v>
      </c>
      <c r="C2584" s="1" t="n">
        <v>45811</v>
      </c>
      <c r="D2584" t="inlineStr">
        <is>
          <t>VÄSTMANLANDS LÄN</t>
        </is>
      </c>
      <c r="E2584" t="inlineStr">
        <is>
          <t>SKINNSKATTEBERG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47607-2022</t>
        </is>
      </c>
      <c r="B2585" s="1" t="n">
        <v>44852</v>
      </c>
      <c r="C2585" s="1" t="n">
        <v>45811</v>
      </c>
      <c r="D2585" t="inlineStr">
        <is>
          <t>VÄSTMANLANDS LÄN</t>
        </is>
      </c>
      <c r="E2585" t="inlineStr">
        <is>
          <t>NORBERG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47610-2022</t>
        </is>
      </c>
      <c r="B2586" s="1" t="n">
        <v>44852</v>
      </c>
      <c r="C2586" s="1" t="n">
        <v>45811</v>
      </c>
      <c r="D2586" t="inlineStr">
        <is>
          <t>VÄSTMANLANDS LÄN</t>
        </is>
      </c>
      <c r="E2586" t="inlineStr">
        <is>
          <t>NORBERG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47658-2022</t>
        </is>
      </c>
      <c r="B2587" s="1" t="n">
        <v>44852</v>
      </c>
      <c r="C2587" s="1" t="n">
        <v>45811</v>
      </c>
      <c r="D2587" t="inlineStr">
        <is>
          <t>VÄSTMANLANDS LÄN</t>
        </is>
      </c>
      <c r="E2587" t="inlineStr">
        <is>
          <t>SKINNSKATTEBERG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47599-2022</t>
        </is>
      </c>
      <c r="B2588" s="1" t="n">
        <v>44852</v>
      </c>
      <c r="C2588" s="1" t="n">
        <v>45811</v>
      </c>
      <c r="D2588" t="inlineStr">
        <is>
          <t>VÄSTMANLANDS LÄN</t>
        </is>
      </c>
      <c r="E2588" t="inlineStr">
        <is>
          <t>NORBERG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47653-2022</t>
        </is>
      </c>
      <c r="B2589" s="1" t="n">
        <v>44852</v>
      </c>
      <c r="C2589" s="1" t="n">
        <v>45811</v>
      </c>
      <c r="D2589" t="inlineStr">
        <is>
          <t>VÄSTMANLANDS LÄN</t>
        </is>
      </c>
      <c r="E2589" t="inlineStr">
        <is>
          <t>SKINNSKATTEBERG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47086-2022</t>
        </is>
      </c>
      <c r="B2590" s="1" t="n">
        <v>44852</v>
      </c>
      <c r="C2590" s="1" t="n">
        <v>45811</v>
      </c>
      <c r="D2590" t="inlineStr">
        <is>
          <t>VÄSTMANLANDS LÄN</t>
        </is>
      </c>
      <c r="E2590" t="inlineStr">
        <is>
          <t>SALA</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47713-2022</t>
        </is>
      </c>
      <c r="B2591" s="1" t="n">
        <v>44854</v>
      </c>
      <c r="C2591" s="1" t="n">
        <v>45811</v>
      </c>
      <c r="D2591" t="inlineStr">
        <is>
          <t>VÄSTMANLANDS LÄN</t>
        </is>
      </c>
      <c r="E2591" t="inlineStr">
        <is>
          <t>SALA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47715-2022</t>
        </is>
      </c>
      <c r="B2592" s="1" t="n">
        <v>44854</v>
      </c>
      <c r="C2592" s="1" t="n">
        <v>45811</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47923-2022</t>
        </is>
      </c>
      <c r="B2593" s="1" t="n">
        <v>44855</v>
      </c>
      <c r="C2593" s="1" t="n">
        <v>45811</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47909-2022</t>
        </is>
      </c>
      <c r="B2594" s="1" t="n">
        <v>44855</v>
      </c>
      <c r="C2594" s="1" t="n">
        <v>45811</v>
      </c>
      <c r="D2594" t="inlineStr">
        <is>
          <t>VÄSTMANLANDS LÄN</t>
        </is>
      </c>
      <c r="E2594" t="inlineStr">
        <is>
          <t>SALA</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48235-2022</t>
        </is>
      </c>
      <c r="B2595" s="1" t="n">
        <v>44858</v>
      </c>
      <c r="C2595" s="1" t="n">
        <v>45811</v>
      </c>
      <c r="D2595" t="inlineStr">
        <is>
          <t>VÄSTMANLANDS LÄN</t>
        </is>
      </c>
      <c r="E2595" t="inlineStr">
        <is>
          <t>ARBOGA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48272-2022</t>
        </is>
      </c>
      <c r="B2596" s="1" t="n">
        <v>44858</v>
      </c>
      <c r="C2596" s="1" t="n">
        <v>45811</v>
      </c>
      <c r="D2596" t="inlineStr">
        <is>
          <t>VÄSTMANLANDS LÄN</t>
        </is>
      </c>
      <c r="E2596" t="inlineStr">
        <is>
          <t>ARBOGA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48219-2022</t>
        </is>
      </c>
      <c r="B2597" s="1" t="n">
        <v>44858</v>
      </c>
      <c r="C2597" s="1" t="n">
        <v>45811</v>
      </c>
      <c r="D2597" t="inlineStr">
        <is>
          <t>VÄSTMANLANDS LÄN</t>
        </is>
      </c>
      <c r="E2597" t="inlineStr">
        <is>
          <t>SALA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48261-2022</t>
        </is>
      </c>
      <c r="B2598" s="1" t="n">
        <v>44858</v>
      </c>
      <c r="C2598" s="1" t="n">
        <v>45811</v>
      </c>
      <c r="D2598" t="inlineStr">
        <is>
          <t>VÄSTMANLANDS LÄN</t>
        </is>
      </c>
      <c r="E2598" t="inlineStr">
        <is>
          <t>FAGERSTA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48825-2022</t>
        </is>
      </c>
      <c r="B2599" s="1" t="n">
        <v>44859</v>
      </c>
      <c r="C2599" s="1" t="n">
        <v>45811</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48581-2022</t>
        </is>
      </c>
      <c r="B2600" s="1" t="n">
        <v>44859</v>
      </c>
      <c r="C2600" s="1" t="n">
        <v>45811</v>
      </c>
      <c r="D2600" t="inlineStr">
        <is>
          <t>VÄSTMANLANDS LÄN</t>
        </is>
      </c>
      <c r="E2600" t="inlineStr">
        <is>
          <t>SURAHAMMAR</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48754-2022</t>
        </is>
      </c>
      <c r="B2601" s="1" t="n">
        <v>44859</v>
      </c>
      <c r="C2601" s="1" t="n">
        <v>45811</v>
      </c>
      <c r="D2601" t="inlineStr">
        <is>
          <t>VÄSTMANLANDS LÄN</t>
        </is>
      </c>
      <c r="E2601" t="inlineStr">
        <is>
          <t>NORBERG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48828-2022</t>
        </is>
      </c>
      <c r="B2602" s="1" t="n">
        <v>44859</v>
      </c>
      <c r="C2602" s="1" t="n">
        <v>45811</v>
      </c>
      <c r="D2602" t="inlineStr">
        <is>
          <t>VÄSTMANLANDS LÄN</t>
        </is>
      </c>
      <c r="E2602" t="inlineStr">
        <is>
          <t>SKINNSKATTEBERG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48859-2022</t>
        </is>
      </c>
      <c r="B2603" s="1" t="n">
        <v>44859</v>
      </c>
      <c r="C2603" s="1" t="n">
        <v>45811</v>
      </c>
      <c r="D2603" t="inlineStr">
        <is>
          <t>VÄSTMANLANDS LÄN</t>
        </is>
      </c>
      <c r="E2603" t="inlineStr">
        <is>
          <t>NORBERG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49086-2022</t>
        </is>
      </c>
      <c r="B2604" s="1" t="n">
        <v>44860</v>
      </c>
      <c r="C2604" s="1" t="n">
        <v>45811</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49143-2022</t>
        </is>
      </c>
      <c r="B2605" s="1" t="n">
        <v>44860</v>
      </c>
      <c r="C2605" s="1" t="n">
        <v>45811</v>
      </c>
      <c r="D2605" t="inlineStr">
        <is>
          <t>VÄSTMANLANDS LÄN</t>
        </is>
      </c>
      <c r="E2605" t="inlineStr">
        <is>
          <t>NORBERG</t>
        </is>
      </c>
      <c r="F2605" t="inlineStr">
        <is>
          <t>Sveaskog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50124-2022</t>
        </is>
      </c>
      <c r="B2606" s="1" t="n">
        <v>44860</v>
      </c>
      <c r="C2606" s="1" t="n">
        <v>45811</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49163-2022</t>
        </is>
      </c>
      <c r="B2607" s="1" t="n">
        <v>44860</v>
      </c>
      <c r="C2607" s="1" t="n">
        <v>45811</v>
      </c>
      <c r="D2607" t="inlineStr">
        <is>
          <t>VÄSTMANLANDS LÄN</t>
        </is>
      </c>
      <c r="E2607" t="inlineStr">
        <is>
          <t>NORBERG</t>
        </is>
      </c>
      <c r="F2607" t="inlineStr">
        <is>
          <t>Sveaskog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49311-2022</t>
        </is>
      </c>
      <c r="B2608" s="1" t="n">
        <v>44861</v>
      </c>
      <c r="C2608" s="1" t="n">
        <v>45811</v>
      </c>
      <c r="D2608" t="inlineStr">
        <is>
          <t>VÄSTMANLANDS LÄN</t>
        </is>
      </c>
      <c r="E2608" t="inlineStr">
        <is>
          <t>FAGERSTA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49254-2022</t>
        </is>
      </c>
      <c r="B2609" s="1" t="n">
        <v>44861</v>
      </c>
      <c r="C2609" s="1" t="n">
        <v>45811</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50461-2022</t>
        </is>
      </c>
      <c r="B2610" s="1" t="n">
        <v>44861</v>
      </c>
      <c r="C2610" s="1" t="n">
        <v>45811</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50479-2022</t>
        </is>
      </c>
      <c r="B2611" s="1" t="n">
        <v>44861</v>
      </c>
      <c r="C2611" s="1" t="n">
        <v>45811</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49686-2022</t>
        </is>
      </c>
      <c r="B2612" s="1" t="n">
        <v>44862</v>
      </c>
      <c r="C2612" s="1" t="n">
        <v>45811</v>
      </c>
      <c r="D2612" t="inlineStr">
        <is>
          <t>VÄSTMANLANDS LÄN</t>
        </is>
      </c>
      <c r="E2612" t="inlineStr">
        <is>
          <t>SURAHAMMAR</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49687-2022</t>
        </is>
      </c>
      <c r="B2613" s="1" t="n">
        <v>44862</v>
      </c>
      <c r="C2613" s="1" t="n">
        <v>45811</v>
      </c>
      <c r="D2613" t="inlineStr">
        <is>
          <t>VÄSTMANLANDS LÄN</t>
        </is>
      </c>
      <c r="E2613" t="inlineStr">
        <is>
          <t>SKINNSKATTEBERG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50180-2022</t>
        </is>
      </c>
      <c r="B2614" s="1" t="n">
        <v>44865</v>
      </c>
      <c r="C2614" s="1" t="n">
        <v>45811</v>
      </c>
      <c r="D2614" t="inlineStr">
        <is>
          <t>VÄSTMANLANDS LÄN</t>
        </is>
      </c>
      <c r="E2614" t="inlineStr">
        <is>
          <t>VÄSTERÅS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50193-2022</t>
        </is>
      </c>
      <c r="B2615" s="1" t="n">
        <v>44865</v>
      </c>
      <c r="C2615" s="1" t="n">
        <v>45811</v>
      </c>
      <c r="D2615" t="inlineStr">
        <is>
          <t>VÄSTMANLANDS LÄN</t>
        </is>
      </c>
      <c r="E2615" t="inlineStr">
        <is>
          <t>VÄSTERÅS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50399-2022</t>
        </is>
      </c>
      <c r="B2616" s="1" t="n">
        <v>44866</v>
      </c>
      <c r="C2616" s="1" t="n">
        <v>45811</v>
      </c>
      <c r="D2616" t="inlineStr">
        <is>
          <t>VÄSTMANLANDS LÄN</t>
        </is>
      </c>
      <c r="E2616" t="inlineStr">
        <is>
          <t>KUNGSÖR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50394-2022</t>
        </is>
      </c>
      <c r="B2617" s="1" t="n">
        <v>44866</v>
      </c>
      <c r="C2617" s="1" t="n">
        <v>45811</v>
      </c>
      <c r="D2617" t="inlineStr">
        <is>
          <t>VÄSTMANLANDS LÄN</t>
        </is>
      </c>
      <c r="E2617" t="inlineStr">
        <is>
          <t>KUNGSÖR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51279-2022</t>
        </is>
      </c>
      <c r="B2618" s="1" t="n">
        <v>44866</v>
      </c>
      <c r="C2618" s="1" t="n">
        <v>45811</v>
      </c>
      <c r="D2618" t="inlineStr">
        <is>
          <t>VÄSTMANLANDS LÄN</t>
        </is>
      </c>
      <c r="E2618" t="inlineStr">
        <is>
          <t>SALA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51377-2022</t>
        </is>
      </c>
      <c r="B2619" s="1" t="n">
        <v>44866</v>
      </c>
      <c r="C2619" s="1" t="n">
        <v>45811</v>
      </c>
      <c r="D2619" t="inlineStr">
        <is>
          <t>VÄSTMANLANDS LÄN</t>
        </is>
      </c>
      <c r="E2619" t="inlineStr">
        <is>
          <t>SALA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51339-2022</t>
        </is>
      </c>
      <c r="B2620" s="1" t="n">
        <v>44866</v>
      </c>
      <c r="C2620" s="1" t="n">
        <v>45811</v>
      </c>
      <c r="D2620" t="inlineStr">
        <is>
          <t>VÄSTMANLANDS LÄN</t>
        </is>
      </c>
      <c r="E2620" t="inlineStr">
        <is>
          <t>KÖPING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51273-2022</t>
        </is>
      </c>
      <c r="B2621" s="1" t="n">
        <v>44866</v>
      </c>
      <c r="C2621" s="1" t="n">
        <v>45811</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50974-2022</t>
        </is>
      </c>
      <c r="B2622" s="1" t="n">
        <v>44867</v>
      </c>
      <c r="C2622" s="1" t="n">
        <v>45811</v>
      </c>
      <c r="D2622" t="inlineStr">
        <is>
          <t>VÄSTMANLANDS LÄN</t>
        </is>
      </c>
      <c r="E2622" t="inlineStr">
        <is>
          <t>SKINNSKATTEBERG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50980-2022</t>
        </is>
      </c>
      <c r="B2623" s="1" t="n">
        <v>44867</v>
      </c>
      <c r="C2623" s="1" t="n">
        <v>45811</v>
      </c>
      <c r="D2623" t="inlineStr">
        <is>
          <t>VÄSTMANLANDS LÄN</t>
        </is>
      </c>
      <c r="E2623" t="inlineStr">
        <is>
          <t>SKINNSKATTEBERG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50795-2022</t>
        </is>
      </c>
      <c r="B2624" s="1" t="n">
        <v>44867</v>
      </c>
      <c r="C2624" s="1" t="n">
        <v>45811</v>
      </c>
      <c r="D2624" t="inlineStr">
        <is>
          <t>VÄSTMANLANDS LÄN</t>
        </is>
      </c>
      <c r="E2624" t="inlineStr">
        <is>
          <t>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51203-2022</t>
        </is>
      </c>
      <c r="B2625" s="1" t="n">
        <v>44868</v>
      </c>
      <c r="C2625" s="1" t="n">
        <v>45811</v>
      </c>
      <c r="D2625" t="inlineStr">
        <is>
          <t>VÄSTMANLANDS LÄN</t>
        </is>
      </c>
      <c r="E2625" t="inlineStr">
        <is>
          <t>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51415-2022</t>
        </is>
      </c>
      <c r="B2626" s="1" t="n">
        <v>44869</v>
      </c>
      <c r="C2626" s="1" t="n">
        <v>45811</v>
      </c>
      <c r="D2626" t="inlineStr">
        <is>
          <t>VÄSTMANLANDS LÄN</t>
        </is>
      </c>
      <c r="E2626" t="inlineStr">
        <is>
          <t>NORBERG</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51600-2022</t>
        </is>
      </c>
      <c r="B2627" s="1" t="n">
        <v>44871</v>
      </c>
      <c r="C2627" s="1" t="n">
        <v>45811</v>
      </c>
      <c r="D2627" t="inlineStr">
        <is>
          <t>VÄSTMANLANDS LÄN</t>
        </is>
      </c>
      <c r="E2627" t="inlineStr">
        <is>
          <t>SALA</t>
        </is>
      </c>
      <c r="F2627" t="inlineStr">
        <is>
          <t>Bergvik skog öst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51596-2022</t>
        </is>
      </c>
      <c r="B2628" s="1" t="n">
        <v>44871</v>
      </c>
      <c r="C2628" s="1" t="n">
        <v>45811</v>
      </c>
      <c r="D2628" t="inlineStr">
        <is>
          <t>VÄSTMANLANDS LÄN</t>
        </is>
      </c>
      <c r="E2628" t="inlineStr">
        <is>
          <t>SALA</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51662-2022</t>
        </is>
      </c>
      <c r="B2629" s="1" t="n">
        <v>44872</v>
      </c>
      <c r="C2629" s="1" t="n">
        <v>45811</v>
      </c>
      <c r="D2629" t="inlineStr">
        <is>
          <t>VÄSTMANLANDS LÄN</t>
        </is>
      </c>
      <c r="E2629" t="inlineStr">
        <is>
          <t>SKINNSKATTEBERG</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51936-2022</t>
        </is>
      </c>
      <c r="B2630" s="1" t="n">
        <v>44872</v>
      </c>
      <c r="C2630" s="1" t="n">
        <v>45811</v>
      </c>
      <c r="D2630" t="inlineStr">
        <is>
          <t>VÄSTMANLANDS LÄN</t>
        </is>
      </c>
      <c r="E2630" t="inlineStr">
        <is>
          <t>FAGERSTA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52063-2022</t>
        </is>
      </c>
      <c r="B2631" s="1" t="n">
        <v>44873</v>
      </c>
      <c r="C2631" s="1" t="n">
        <v>45811</v>
      </c>
      <c r="D2631" t="inlineStr">
        <is>
          <t>VÄSTMANLANDS LÄN</t>
        </is>
      </c>
      <c r="E2631" t="inlineStr">
        <is>
          <t>NORBERG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52068-2022</t>
        </is>
      </c>
      <c r="B2632" s="1" t="n">
        <v>44873</v>
      </c>
      <c r="C2632" s="1" t="n">
        <v>45811</v>
      </c>
      <c r="D2632" t="inlineStr">
        <is>
          <t>VÄSTMANLANDS LÄN</t>
        </is>
      </c>
      <c r="E2632" t="inlineStr">
        <is>
          <t>NORBERG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52076-2022</t>
        </is>
      </c>
      <c r="B2633" s="1" t="n">
        <v>44873</v>
      </c>
      <c r="C2633" s="1" t="n">
        <v>45811</v>
      </c>
      <c r="D2633" t="inlineStr">
        <is>
          <t>VÄSTMANLANDS LÄN</t>
        </is>
      </c>
      <c r="E2633" t="inlineStr">
        <is>
          <t>NORBERG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52199-2022</t>
        </is>
      </c>
      <c r="B2634" s="1" t="n">
        <v>44873</v>
      </c>
      <c r="C2634" s="1" t="n">
        <v>45811</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52504-2022</t>
        </is>
      </c>
      <c r="B2635" s="1" t="n">
        <v>44874</v>
      </c>
      <c r="C2635" s="1" t="n">
        <v>45811</v>
      </c>
      <c r="D2635" t="inlineStr">
        <is>
          <t>VÄSTMANLANDS LÄN</t>
        </is>
      </c>
      <c r="E2635" t="inlineStr">
        <is>
          <t>SALA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52498-2022</t>
        </is>
      </c>
      <c r="B2636" s="1" t="n">
        <v>44874</v>
      </c>
      <c r="C2636" s="1" t="n">
        <v>45811</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52396-2022</t>
        </is>
      </c>
      <c r="B2637" s="1" t="n">
        <v>44874</v>
      </c>
      <c r="C2637" s="1" t="n">
        <v>45811</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52569-2022</t>
        </is>
      </c>
      <c r="B2638" s="1" t="n">
        <v>44874</v>
      </c>
      <c r="C2638" s="1" t="n">
        <v>45811</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52630-2022</t>
        </is>
      </c>
      <c r="B2639" s="1" t="n">
        <v>44874</v>
      </c>
      <c r="C2639" s="1" t="n">
        <v>45811</v>
      </c>
      <c r="D2639" t="inlineStr">
        <is>
          <t>VÄSTMANLANDS LÄN</t>
        </is>
      </c>
      <c r="E2639" t="inlineStr">
        <is>
          <t>SALA</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52809-2022</t>
        </is>
      </c>
      <c r="B2640" s="1" t="n">
        <v>44875</v>
      </c>
      <c r="C2640" s="1" t="n">
        <v>45811</v>
      </c>
      <c r="D2640" t="inlineStr">
        <is>
          <t>VÄSTMANLANDS LÄN</t>
        </is>
      </c>
      <c r="E2640" t="inlineStr">
        <is>
          <t>KUNGSÖR</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52764-2022</t>
        </is>
      </c>
      <c r="B2641" s="1" t="n">
        <v>44875</v>
      </c>
      <c r="C2641" s="1" t="n">
        <v>45811</v>
      </c>
      <c r="D2641" t="inlineStr">
        <is>
          <t>VÄSTMANLANDS LÄN</t>
        </is>
      </c>
      <c r="E2641" t="inlineStr">
        <is>
          <t>VÄSTERÅS</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52802-2022</t>
        </is>
      </c>
      <c r="B2642" s="1" t="n">
        <v>44875</v>
      </c>
      <c r="C2642" s="1" t="n">
        <v>45811</v>
      </c>
      <c r="D2642" t="inlineStr">
        <is>
          <t>VÄSTMANLANDS LÄN</t>
        </is>
      </c>
      <c r="E2642" t="inlineStr">
        <is>
          <t>KUNGSÖR</t>
        </is>
      </c>
      <c r="F2642" t="inlineStr">
        <is>
          <t>Allmännings- och besparingsskogar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53454-2022</t>
        </is>
      </c>
      <c r="B2643" s="1" t="n">
        <v>44879</v>
      </c>
      <c r="C2643" s="1" t="n">
        <v>45811</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53425-2022</t>
        </is>
      </c>
      <c r="B2644" s="1" t="n">
        <v>44879</v>
      </c>
      <c r="C2644" s="1" t="n">
        <v>45811</v>
      </c>
      <c r="D2644" t="inlineStr">
        <is>
          <t>VÄSTMANLANDS LÄN</t>
        </is>
      </c>
      <c r="E2644" t="inlineStr">
        <is>
          <t>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53432-2022</t>
        </is>
      </c>
      <c r="B2645" s="1" t="n">
        <v>44879</v>
      </c>
      <c r="C2645" s="1" t="n">
        <v>45811</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53628-2022</t>
        </is>
      </c>
      <c r="B2646" s="1" t="n">
        <v>44879</v>
      </c>
      <c r="C2646" s="1" t="n">
        <v>45811</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53630-2022</t>
        </is>
      </c>
      <c r="B2647" s="1" t="n">
        <v>44879</v>
      </c>
      <c r="C2647" s="1" t="n">
        <v>45811</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53836-2022</t>
        </is>
      </c>
      <c r="B2648" s="1" t="n">
        <v>44880</v>
      </c>
      <c r="C2648" s="1" t="n">
        <v>45811</v>
      </c>
      <c r="D2648" t="inlineStr">
        <is>
          <t>VÄSTMANLANDS LÄN</t>
        </is>
      </c>
      <c r="E2648" t="inlineStr">
        <is>
          <t>VÄSTERÅS</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53864-2022</t>
        </is>
      </c>
      <c r="B2649" s="1" t="n">
        <v>44880</v>
      </c>
      <c r="C2649" s="1" t="n">
        <v>45811</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53735-2022</t>
        </is>
      </c>
      <c r="B2650" s="1" t="n">
        <v>44880</v>
      </c>
      <c r="C2650" s="1" t="n">
        <v>45811</v>
      </c>
      <c r="D2650" t="inlineStr">
        <is>
          <t>VÄSTMANLANDS LÄN</t>
        </is>
      </c>
      <c r="E2650" t="inlineStr">
        <is>
          <t>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53838-2022</t>
        </is>
      </c>
      <c r="B2651" s="1" t="n">
        <v>44880</v>
      </c>
      <c r="C2651" s="1" t="n">
        <v>45811</v>
      </c>
      <c r="D2651" t="inlineStr">
        <is>
          <t>VÄSTMANLANDS LÄN</t>
        </is>
      </c>
      <c r="E2651" t="inlineStr">
        <is>
          <t>SALA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53858-2022</t>
        </is>
      </c>
      <c r="B2652" s="1" t="n">
        <v>44880</v>
      </c>
      <c r="C2652" s="1" t="n">
        <v>45811</v>
      </c>
      <c r="D2652" t="inlineStr">
        <is>
          <t>VÄSTMANLANDS LÄN</t>
        </is>
      </c>
      <c r="E2652" t="inlineStr">
        <is>
          <t>VÄSTERÅS</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53833-2022</t>
        </is>
      </c>
      <c r="B2653" s="1" t="n">
        <v>44880</v>
      </c>
      <c r="C2653" s="1" t="n">
        <v>45811</v>
      </c>
      <c r="D2653" t="inlineStr">
        <is>
          <t>VÄSTMANLANDS LÄN</t>
        </is>
      </c>
      <c r="E2653" t="inlineStr">
        <is>
          <t>VÄSTERÅS</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53997-2022</t>
        </is>
      </c>
      <c r="B2654" s="1" t="n">
        <v>44881</v>
      </c>
      <c r="C2654" s="1" t="n">
        <v>45811</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54657-2022</t>
        </is>
      </c>
      <c r="B2655" s="1" t="n">
        <v>44883</v>
      </c>
      <c r="C2655" s="1" t="n">
        <v>45811</v>
      </c>
      <c r="D2655" t="inlineStr">
        <is>
          <t>VÄSTMANLANDS LÄN</t>
        </is>
      </c>
      <c r="E2655" t="inlineStr">
        <is>
          <t>SKINNSKATTEBERG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54868-2022</t>
        </is>
      </c>
      <c r="B2656" s="1" t="n">
        <v>44885</v>
      </c>
      <c r="C2656" s="1" t="n">
        <v>45811</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54968-2022</t>
        </is>
      </c>
      <c r="B2657" s="1" t="n">
        <v>44886</v>
      </c>
      <c r="C2657" s="1" t="n">
        <v>45811</v>
      </c>
      <c r="D2657" t="inlineStr">
        <is>
          <t>VÄSTMANLANDS LÄN</t>
        </is>
      </c>
      <c r="E2657" t="inlineStr">
        <is>
          <t>KUNGSÖR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55003-2022</t>
        </is>
      </c>
      <c r="B2658" s="1" t="n">
        <v>44886</v>
      </c>
      <c r="C2658" s="1" t="n">
        <v>45811</v>
      </c>
      <c r="D2658" t="inlineStr">
        <is>
          <t>VÄSTMANLANDS LÄN</t>
        </is>
      </c>
      <c r="E2658" t="inlineStr">
        <is>
          <t>KUNGSÖR</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55187-2022</t>
        </is>
      </c>
      <c r="B2659" s="1" t="n">
        <v>44886</v>
      </c>
      <c r="C2659" s="1" t="n">
        <v>45811</v>
      </c>
      <c r="D2659" t="inlineStr">
        <is>
          <t>VÄSTMANLANDS LÄN</t>
        </is>
      </c>
      <c r="E2659" t="inlineStr">
        <is>
          <t>ARBOGA</t>
        </is>
      </c>
      <c r="F2659" t="inlineStr">
        <is>
          <t>Allmännings- och besparingsskogar</t>
        </is>
      </c>
      <c r="G2659" t="n">
        <v>19.4</v>
      </c>
      <c r="H2659" t="n">
        <v>0</v>
      </c>
      <c r="I2659" t="n">
        <v>0</v>
      </c>
      <c r="J2659" t="n">
        <v>0</v>
      </c>
      <c r="K2659" t="n">
        <v>0</v>
      </c>
      <c r="L2659" t="n">
        <v>0</v>
      </c>
      <c r="M2659" t="n">
        <v>0</v>
      </c>
      <c r="N2659" t="n">
        <v>0</v>
      </c>
      <c r="O2659" t="n">
        <v>0</v>
      </c>
      <c r="P2659" t="n">
        <v>0</v>
      </c>
      <c r="Q2659" t="n">
        <v>0</v>
      </c>
      <c r="R2659" s="2" t="inlineStr"/>
    </row>
    <row r="2660" ht="15" customHeight="1">
      <c r="A2660" t="inlineStr">
        <is>
          <t>A 55188-2022</t>
        </is>
      </c>
      <c r="B2660" s="1" t="n">
        <v>44886</v>
      </c>
      <c r="C2660" s="1" t="n">
        <v>45811</v>
      </c>
      <c r="D2660" t="inlineStr">
        <is>
          <t>VÄSTMANLANDS LÄN</t>
        </is>
      </c>
      <c r="E2660" t="inlineStr">
        <is>
          <t>ARBOGA</t>
        </is>
      </c>
      <c r="F2660" t="inlineStr">
        <is>
          <t>Allmännings- och besparingsskogar</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55348-2022</t>
        </is>
      </c>
      <c r="B2661" s="1" t="n">
        <v>44887</v>
      </c>
      <c r="C2661" s="1" t="n">
        <v>45811</v>
      </c>
      <c r="D2661" t="inlineStr">
        <is>
          <t>VÄSTMANLANDS LÄN</t>
        </is>
      </c>
      <c r="E2661" t="inlineStr">
        <is>
          <t>HALLSTAHAMMAR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55389-2022</t>
        </is>
      </c>
      <c r="B2662" s="1" t="n">
        <v>44887</v>
      </c>
      <c r="C2662" s="1" t="n">
        <v>45811</v>
      </c>
      <c r="D2662" t="inlineStr">
        <is>
          <t>VÄSTMANLANDS LÄN</t>
        </is>
      </c>
      <c r="E2662" t="inlineStr">
        <is>
          <t>KÖPING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56537-2022</t>
        </is>
      </c>
      <c r="B2663" s="1" t="n">
        <v>44887</v>
      </c>
      <c r="C2663" s="1" t="n">
        <v>45811</v>
      </c>
      <c r="D2663" t="inlineStr">
        <is>
          <t>VÄSTMANLANDS LÄN</t>
        </is>
      </c>
      <c r="E2663" t="inlineStr">
        <is>
          <t>SKINNSKATTEBERG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55457-2022</t>
        </is>
      </c>
      <c r="B2664" s="1" t="n">
        <v>44887</v>
      </c>
      <c r="C2664" s="1" t="n">
        <v>45811</v>
      </c>
      <c r="D2664" t="inlineStr">
        <is>
          <t>VÄSTMANLANDS LÄN</t>
        </is>
      </c>
      <c r="E2664" t="inlineStr">
        <is>
          <t>ARBOGA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55627-2022</t>
        </is>
      </c>
      <c r="B2665" s="1" t="n">
        <v>44888</v>
      </c>
      <c r="C2665" s="1" t="n">
        <v>45811</v>
      </c>
      <c r="D2665" t="inlineStr">
        <is>
          <t>VÄSTMANLANDS LÄN</t>
        </is>
      </c>
      <c r="E2665" t="inlineStr">
        <is>
          <t>ARBOGA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55720-2022</t>
        </is>
      </c>
      <c r="B2666" s="1" t="n">
        <v>44888</v>
      </c>
      <c r="C2666" s="1" t="n">
        <v>45811</v>
      </c>
      <c r="D2666" t="inlineStr">
        <is>
          <t>VÄSTMANLANDS LÄN</t>
        </is>
      </c>
      <c r="E2666" t="inlineStr">
        <is>
          <t>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55562-2022</t>
        </is>
      </c>
      <c r="B2667" s="1" t="n">
        <v>44888</v>
      </c>
      <c r="C2667" s="1" t="n">
        <v>45811</v>
      </c>
      <c r="D2667" t="inlineStr">
        <is>
          <t>VÄSTMANLANDS LÄN</t>
        </is>
      </c>
      <c r="E2667" t="inlineStr">
        <is>
          <t>HALLSTAHAMMAR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55574-2022</t>
        </is>
      </c>
      <c r="B2668" s="1" t="n">
        <v>44888</v>
      </c>
      <c r="C2668" s="1" t="n">
        <v>45811</v>
      </c>
      <c r="D2668" t="inlineStr">
        <is>
          <t>VÄSTMANLANDS LÄN</t>
        </is>
      </c>
      <c r="E2668" t="inlineStr">
        <is>
          <t>HALLSTAHAMMAR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55733-2022</t>
        </is>
      </c>
      <c r="B2669" s="1" t="n">
        <v>44888</v>
      </c>
      <c r="C2669" s="1" t="n">
        <v>45811</v>
      </c>
      <c r="D2669" t="inlineStr">
        <is>
          <t>VÄSTMANLANDS LÄN</t>
        </is>
      </c>
      <c r="E2669" t="inlineStr">
        <is>
          <t>SALA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56847-2022</t>
        </is>
      </c>
      <c r="B2670" s="1" t="n">
        <v>44888</v>
      </c>
      <c r="C2670" s="1" t="n">
        <v>45811</v>
      </c>
      <c r="D2670" t="inlineStr">
        <is>
          <t>VÄSTMANLANDS LÄN</t>
        </is>
      </c>
      <c r="E2670" t="inlineStr">
        <is>
          <t>VÄSTERÅS</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56089-2022</t>
        </is>
      </c>
      <c r="B2671" s="1" t="n">
        <v>44889</v>
      </c>
      <c r="C2671" s="1" t="n">
        <v>45811</v>
      </c>
      <c r="D2671" t="inlineStr">
        <is>
          <t>VÄSTMANLANDS LÄN</t>
        </is>
      </c>
      <c r="E2671" t="inlineStr">
        <is>
          <t>SALA</t>
        </is>
      </c>
      <c r="F2671" t="inlineStr">
        <is>
          <t>Sveaskog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56088-2022</t>
        </is>
      </c>
      <c r="B2672" s="1" t="n">
        <v>44889</v>
      </c>
      <c r="C2672" s="1" t="n">
        <v>45811</v>
      </c>
      <c r="D2672" t="inlineStr">
        <is>
          <t>VÄSTMANLANDS LÄN</t>
        </is>
      </c>
      <c r="E2672" t="inlineStr">
        <is>
          <t>SALA</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56146-2022</t>
        </is>
      </c>
      <c r="B2673" s="1" t="n">
        <v>44889</v>
      </c>
      <c r="C2673" s="1" t="n">
        <v>45811</v>
      </c>
      <c r="D2673" t="inlineStr">
        <is>
          <t>VÄSTMANLANDS LÄN</t>
        </is>
      </c>
      <c r="E2673" t="inlineStr">
        <is>
          <t>VÄSTERÅS</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56234-2022</t>
        </is>
      </c>
      <c r="B2674" s="1" t="n">
        <v>44890</v>
      </c>
      <c r="C2674" s="1" t="n">
        <v>45811</v>
      </c>
      <c r="D2674" t="inlineStr">
        <is>
          <t>VÄSTMANLANDS LÄN</t>
        </is>
      </c>
      <c r="E2674" t="inlineStr">
        <is>
          <t>SALA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56292-2022</t>
        </is>
      </c>
      <c r="B2675" s="1" t="n">
        <v>44890</v>
      </c>
      <c r="C2675" s="1" t="n">
        <v>45811</v>
      </c>
      <c r="D2675" t="inlineStr">
        <is>
          <t>VÄSTMANLANDS LÄN</t>
        </is>
      </c>
      <c r="E2675" t="inlineStr">
        <is>
          <t>KÖPING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56242-2022</t>
        </is>
      </c>
      <c r="B2676" s="1" t="n">
        <v>44890</v>
      </c>
      <c r="C2676" s="1" t="n">
        <v>45811</v>
      </c>
      <c r="D2676" t="inlineStr">
        <is>
          <t>VÄSTMANLANDS LÄN</t>
        </is>
      </c>
      <c r="E2676" t="inlineStr">
        <is>
          <t>SALA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56259-2022</t>
        </is>
      </c>
      <c r="B2677" s="1" t="n">
        <v>44890</v>
      </c>
      <c r="C2677" s="1" t="n">
        <v>45811</v>
      </c>
      <c r="D2677" t="inlineStr">
        <is>
          <t>VÄSTMANLANDS LÄN</t>
        </is>
      </c>
      <c r="E2677" t="inlineStr">
        <is>
          <t>SKINNSKATTEBERG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56279-2022</t>
        </is>
      </c>
      <c r="B2678" s="1" t="n">
        <v>44890</v>
      </c>
      <c r="C2678" s="1" t="n">
        <v>45811</v>
      </c>
      <c r="D2678" t="inlineStr">
        <is>
          <t>VÄSTMANLANDS LÄN</t>
        </is>
      </c>
      <c r="E2678" t="inlineStr">
        <is>
          <t>NORBERG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56285-2022</t>
        </is>
      </c>
      <c r="B2679" s="1" t="n">
        <v>44890</v>
      </c>
      <c r="C2679" s="1" t="n">
        <v>45811</v>
      </c>
      <c r="D2679" t="inlineStr">
        <is>
          <t>VÄSTMANLANDS LÄN</t>
        </is>
      </c>
      <c r="E2679" t="inlineStr">
        <is>
          <t>VÄSTERÅS</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56283-2022</t>
        </is>
      </c>
      <c r="B2680" s="1" t="n">
        <v>44890</v>
      </c>
      <c r="C2680" s="1" t="n">
        <v>45811</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56290-2022</t>
        </is>
      </c>
      <c r="B2681" s="1" t="n">
        <v>44890</v>
      </c>
      <c r="C2681" s="1" t="n">
        <v>45811</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56535-2022</t>
        </is>
      </c>
      <c r="B2682" s="1" t="n">
        <v>44893</v>
      </c>
      <c r="C2682" s="1" t="n">
        <v>45811</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56559-2022</t>
        </is>
      </c>
      <c r="B2683" s="1" t="n">
        <v>44893</v>
      </c>
      <c r="C2683" s="1" t="n">
        <v>45811</v>
      </c>
      <c r="D2683" t="inlineStr">
        <is>
          <t>VÄSTMANLANDS LÄN</t>
        </is>
      </c>
      <c r="E2683" t="inlineStr">
        <is>
          <t>VÄSTERÅS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56532-2022</t>
        </is>
      </c>
      <c r="B2684" s="1" t="n">
        <v>44893</v>
      </c>
      <c r="C2684" s="1" t="n">
        <v>45811</v>
      </c>
      <c r="D2684" t="inlineStr">
        <is>
          <t>VÄSTMANLANDS LÄN</t>
        </is>
      </c>
      <c r="E2684" t="inlineStr">
        <is>
          <t>VÄSTERÅS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56706-2022</t>
        </is>
      </c>
      <c r="B2685" s="1" t="n">
        <v>44893</v>
      </c>
      <c r="C2685" s="1" t="n">
        <v>45811</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56547-2022</t>
        </is>
      </c>
      <c r="B2686" s="1" t="n">
        <v>44893</v>
      </c>
      <c r="C2686" s="1" t="n">
        <v>45811</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56707-2022</t>
        </is>
      </c>
      <c r="B2687" s="1" t="n">
        <v>44893</v>
      </c>
      <c r="C2687" s="1" t="n">
        <v>45811</v>
      </c>
      <c r="D2687" t="inlineStr">
        <is>
          <t>VÄSTMANLANDS LÄN</t>
        </is>
      </c>
      <c r="E2687" t="inlineStr">
        <is>
          <t>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56553-2022</t>
        </is>
      </c>
      <c r="B2688" s="1" t="n">
        <v>44893</v>
      </c>
      <c r="C2688" s="1" t="n">
        <v>45811</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56929-2022</t>
        </is>
      </c>
      <c r="B2689" s="1" t="n">
        <v>44894</v>
      </c>
      <c r="C2689" s="1" t="n">
        <v>45811</v>
      </c>
      <c r="D2689" t="inlineStr">
        <is>
          <t>VÄSTMANLANDS LÄN</t>
        </is>
      </c>
      <c r="E2689" t="inlineStr">
        <is>
          <t>SKINNSKATTEBERG</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56979-2022</t>
        </is>
      </c>
      <c r="B2690" s="1" t="n">
        <v>44894</v>
      </c>
      <c r="C2690" s="1" t="n">
        <v>45811</v>
      </c>
      <c r="D2690" t="inlineStr">
        <is>
          <t>VÄSTMANLANDS LÄN</t>
        </is>
      </c>
      <c r="E2690" t="inlineStr">
        <is>
          <t>KÖPING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56846-2022</t>
        </is>
      </c>
      <c r="B2691" s="1" t="n">
        <v>44894</v>
      </c>
      <c r="C2691" s="1" t="n">
        <v>45811</v>
      </c>
      <c r="D2691" t="inlineStr">
        <is>
          <t>VÄSTMANLANDS LÄN</t>
        </is>
      </c>
      <c r="E2691" t="inlineStr">
        <is>
          <t>KÖPING</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56977-2022</t>
        </is>
      </c>
      <c r="B2692" s="1" t="n">
        <v>44894</v>
      </c>
      <c r="C2692" s="1" t="n">
        <v>45811</v>
      </c>
      <c r="D2692" t="inlineStr">
        <is>
          <t>VÄSTMANLANDS LÄN</t>
        </is>
      </c>
      <c r="E2692" t="inlineStr">
        <is>
          <t>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57248-2022</t>
        </is>
      </c>
      <c r="B2693" s="1" t="n">
        <v>44895</v>
      </c>
      <c r="C2693" s="1" t="n">
        <v>45811</v>
      </c>
      <c r="D2693" t="inlineStr">
        <is>
          <t>VÄSTMANLANDS LÄN</t>
        </is>
      </c>
      <c r="E2693" t="inlineStr">
        <is>
          <t>FAGERSTA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57371-2022</t>
        </is>
      </c>
      <c r="B2694" s="1" t="n">
        <v>44896</v>
      </c>
      <c r="C2694" s="1" t="n">
        <v>45811</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57514-2022</t>
        </is>
      </c>
      <c r="B2695" s="1" t="n">
        <v>44896</v>
      </c>
      <c r="C2695" s="1" t="n">
        <v>45811</v>
      </c>
      <c r="D2695" t="inlineStr">
        <is>
          <t>VÄSTMANLANDS LÄN</t>
        </is>
      </c>
      <c r="E2695" t="inlineStr">
        <is>
          <t>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57760-2022</t>
        </is>
      </c>
      <c r="B2696" s="1" t="n">
        <v>44897</v>
      </c>
      <c r="C2696" s="1" t="n">
        <v>45811</v>
      </c>
      <c r="D2696" t="inlineStr">
        <is>
          <t>VÄSTMANLANDS LÄN</t>
        </is>
      </c>
      <c r="E2696" t="inlineStr">
        <is>
          <t>KÖPING</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57641-2022</t>
        </is>
      </c>
      <c r="B2697" s="1" t="n">
        <v>44897</v>
      </c>
      <c r="C2697" s="1" t="n">
        <v>45811</v>
      </c>
      <c r="D2697" t="inlineStr">
        <is>
          <t>VÄSTMANLANDS LÄN</t>
        </is>
      </c>
      <c r="E2697" t="inlineStr">
        <is>
          <t>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57873-2022</t>
        </is>
      </c>
      <c r="B2698" s="1" t="n">
        <v>44899</v>
      </c>
      <c r="C2698" s="1" t="n">
        <v>45811</v>
      </c>
      <c r="D2698" t="inlineStr">
        <is>
          <t>VÄSTMANLANDS LÄN</t>
        </is>
      </c>
      <c r="E2698" t="inlineStr">
        <is>
          <t>VÄSTERÅS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58105-2022</t>
        </is>
      </c>
      <c r="B2699" s="1" t="n">
        <v>44900</v>
      </c>
      <c r="C2699" s="1" t="n">
        <v>45811</v>
      </c>
      <c r="D2699" t="inlineStr">
        <is>
          <t>VÄSTMANLANDS LÄN</t>
        </is>
      </c>
      <c r="E2699" t="inlineStr">
        <is>
          <t>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58076-2022</t>
        </is>
      </c>
      <c r="B2700" s="1" t="n">
        <v>44900</v>
      </c>
      <c r="C2700" s="1" t="n">
        <v>45811</v>
      </c>
      <c r="D2700" t="inlineStr">
        <is>
          <t>VÄSTMANLANDS LÄN</t>
        </is>
      </c>
      <c r="E2700" t="inlineStr">
        <is>
          <t>SALA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58085-2022</t>
        </is>
      </c>
      <c r="B2701" s="1" t="n">
        <v>44900</v>
      </c>
      <c r="C2701" s="1" t="n">
        <v>45811</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58106-2022</t>
        </is>
      </c>
      <c r="B2702" s="1" t="n">
        <v>44900</v>
      </c>
      <c r="C2702" s="1" t="n">
        <v>45811</v>
      </c>
      <c r="D2702" t="inlineStr">
        <is>
          <t>VÄSTMANLANDS LÄN</t>
        </is>
      </c>
      <c r="E2702" t="inlineStr">
        <is>
          <t>KÖPING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58215-2022</t>
        </is>
      </c>
      <c r="B2703" s="1" t="n">
        <v>44901</v>
      </c>
      <c r="C2703" s="1" t="n">
        <v>45811</v>
      </c>
      <c r="D2703" t="inlineStr">
        <is>
          <t>VÄSTMANLANDS LÄN</t>
        </is>
      </c>
      <c r="E2703" t="inlineStr">
        <is>
          <t>VÄSTERÅS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58231-2022</t>
        </is>
      </c>
      <c r="B2704" s="1" t="n">
        <v>44901</v>
      </c>
      <c r="C2704" s="1" t="n">
        <v>45811</v>
      </c>
      <c r="D2704" t="inlineStr">
        <is>
          <t>VÄSTMANLANDS LÄN</t>
        </is>
      </c>
      <c r="E2704" t="inlineStr">
        <is>
          <t>VÄSTERÅS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58364-2022</t>
        </is>
      </c>
      <c r="B2705" s="1" t="n">
        <v>44901</v>
      </c>
      <c r="C2705" s="1" t="n">
        <v>45811</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58395-2022</t>
        </is>
      </c>
      <c r="B2706" s="1" t="n">
        <v>44901</v>
      </c>
      <c r="C2706" s="1" t="n">
        <v>45811</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58348-2022</t>
        </is>
      </c>
      <c r="B2707" s="1" t="n">
        <v>44901</v>
      </c>
      <c r="C2707" s="1" t="n">
        <v>45811</v>
      </c>
      <c r="D2707" t="inlineStr">
        <is>
          <t>VÄSTMANLANDS LÄN</t>
        </is>
      </c>
      <c r="E2707" t="inlineStr">
        <is>
          <t>HALLSTAHAMMAR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58496-2022</t>
        </is>
      </c>
      <c r="B2708" s="1" t="n">
        <v>44902</v>
      </c>
      <c r="C2708" s="1" t="n">
        <v>45811</v>
      </c>
      <c r="D2708" t="inlineStr">
        <is>
          <t>VÄSTMANLANDS LÄN</t>
        </is>
      </c>
      <c r="E2708" t="inlineStr">
        <is>
          <t>SALA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58502-2022</t>
        </is>
      </c>
      <c r="B2709" s="1" t="n">
        <v>44902</v>
      </c>
      <c r="C2709" s="1" t="n">
        <v>45811</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58622-2022</t>
        </is>
      </c>
      <c r="B2710" s="1" t="n">
        <v>44902</v>
      </c>
      <c r="C2710" s="1" t="n">
        <v>45811</v>
      </c>
      <c r="D2710" t="inlineStr">
        <is>
          <t>VÄSTMANLANDS LÄN</t>
        </is>
      </c>
      <c r="E2710" t="inlineStr">
        <is>
          <t>KUNGSÖR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58657-2022</t>
        </is>
      </c>
      <c r="B2711" s="1" t="n">
        <v>44902</v>
      </c>
      <c r="C2711" s="1" t="n">
        <v>45811</v>
      </c>
      <c r="D2711" t="inlineStr">
        <is>
          <t>VÄSTMANLANDS LÄN</t>
        </is>
      </c>
      <c r="E2711" t="inlineStr">
        <is>
          <t>KUNGSÖR</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58637-2022</t>
        </is>
      </c>
      <c r="B2712" s="1" t="n">
        <v>44902</v>
      </c>
      <c r="C2712" s="1" t="n">
        <v>45811</v>
      </c>
      <c r="D2712" t="inlineStr">
        <is>
          <t>VÄSTMANLANDS LÄN</t>
        </is>
      </c>
      <c r="E2712" t="inlineStr">
        <is>
          <t>VÄSTERÅS</t>
        </is>
      </c>
      <c r="F2712" t="inlineStr">
        <is>
          <t>Kyrkan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58642-2022</t>
        </is>
      </c>
      <c r="B2713" s="1" t="n">
        <v>44902</v>
      </c>
      <c r="C2713" s="1" t="n">
        <v>45811</v>
      </c>
      <c r="D2713" t="inlineStr">
        <is>
          <t>VÄSTMANLANDS LÄN</t>
        </is>
      </c>
      <c r="E2713" t="inlineStr">
        <is>
          <t>KUNGSÖR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58834-2022</t>
        </is>
      </c>
      <c r="B2714" s="1" t="n">
        <v>44903</v>
      </c>
      <c r="C2714" s="1" t="n">
        <v>45811</v>
      </c>
      <c r="D2714" t="inlineStr">
        <is>
          <t>VÄSTMANLANDS LÄN</t>
        </is>
      </c>
      <c r="E2714" t="inlineStr">
        <is>
          <t>SKINNSKATTEBERG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58960-2022</t>
        </is>
      </c>
      <c r="B2715" s="1" t="n">
        <v>44903</v>
      </c>
      <c r="C2715" s="1" t="n">
        <v>45811</v>
      </c>
      <c r="D2715" t="inlineStr">
        <is>
          <t>VÄSTMANLANDS LÄN</t>
        </is>
      </c>
      <c r="E2715" t="inlineStr">
        <is>
          <t>VÄSTERÅS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59019-2022</t>
        </is>
      </c>
      <c r="B2716" s="1" t="n">
        <v>44903</v>
      </c>
      <c r="C2716" s="1" t="n">
        <v>45811</v>
      </c>
      <c r="D2716" t="inlineStr">
        <is>
          <t>VÄSTMANLANDS LÄN</t>
        </is>
      </c>
      <c r="E2716" t="inlineStr">
        <is>
          <t>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60325-2022</t>
        </is>
      </c>
      <c r="B2717" s="1" t="n">
        <v>44903</v>
      </c>
      <c r="C2717" s="1" t="n">
        <v>45811</v>
      </c>
      <c r="D2717" t="inlineStr">
        <is>
          <t>VÄSTMANLANDS LÄN</t>
        </is>
      </c>
      <c r="E2717" t="inlineStr">
        <is>
          <t>VÄSTERÅS</t>
        </is>
      </c>
      <c r="F2717" t="inlineStr">
        <is>
          <t>Övriga Aktiebolag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59175-2022</t>
        </is>
      </c>
      <c r="B2718" s="1" t="n">
        <v>44904</v>
      </c>
      <c r="C2718" s="1" t="n">
        <v>45811</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59143-2022</t>
        </is>
      </c>
      <c r="B2719" s="1" t="n">
        <v>44904</v>
      </c>
      <c r="C2719" s="1" t="n">
        <v>45811</v>
      </c>
      <c r="D2719" t="inlineStr">
        <is>
          <t>VÄSTMANLANDS LÄN</t>
        </is>
      </c>
      <c r="E2719" t="inlineStr">
        <is>
          <t>VÄSTERÅS</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59483-2022</t>
        </is>
      </c>
      <c r="B2720" s="1" t="n">
        <v>44907</v>
      </c>
      <c r="C2720" s="1" t="n">
        <v>45811</v>
      </c>
      <c r="D2720" t="inlineStr">
        <is>
          <t>VÄSTMANLANDS LÄN</t>
        </is>
      </c>
      <c r="E2720" t="inlineStr">
        <is>
          <t>SALA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59500-2022</t>
        </is>
      </c>
      <c r="B2721" s="1" t="n">
        <v>44907</v>
      </c>
      <c r="C2721" s="1" t="n">
        <v>45811</v>
      </c>
      <c r="D2721" t="inlineStr">
        <is>
          <t>VÄSTMANLANDS LÄN</t>
        </is>
      </c>
      <c r="E2721" t="inlineStr">
        <is>
          <t>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59735-2022</t>
        </is>
      </c>
      <c r="B2722" s="1" t="n">
        <v>44908</v>
      </c>
      <c r="C2722" s="1" t="n">
        <v>45811</v>
      </c>
      <c r="D2722" t="inlineStr">
        <is>
          <t>VÄSTMANLANDS LÄN</t>
        </is>
      </c>
      <c r="E2722" t="inlineStr">
        <is>
          <t>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60949-2022</t>
        </is>
      </c>
      <c r="B2723" s="1" t="n">
        <v>44908</v>
      </c>
      <c r="C2723" s="1" t="n">
        <v>45811</v>
      </c>
      <c r="D2723" t="inlineStr">
        <is>
          <t>VÄSTMANLANDS LÄN</t>
        </is>
      </c>
      <c r="E2723" t="inlineStr">
        <is>
          <t>VÄSTERÅS</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61069-2022</t>
        </is>
      </c>
      <c r="B2724" s="1" t="n">
        <v>44908</v>
      </c>
      <c r="C2724" s="1" t="n">
        <v>45811</v>
      </c>
      <c r="D2724" t="inlineStr">
        <is>
          <t>VÄSTMANLANDS LÄN</t>
        </is>
      </c>
      <c r="E2724" t="inlineStr">
        <is>
          <t>VÄSTERÅS</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59853-2022</t>
        </is>
      </c>
      <c r="B2725" s="1" t="n">
        <v>44908</v>
      </c>
      <c r="C2725" s="1" t="n">
        <v>45811</v>
      </c>
      <c r="D2725" t="inlineStr">
        <is>
          <t>VÄSTMANLANDS LÄN</t>
        </is>
      </c>
      <c r="E2725" t="inlineStr">
        <is>
          <t>KUNGSÖR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60046-2022</t>
        </is>
      </c>
      <c r="B2726" s="1" t="n">
        <v>44909</v>
      </c>
      <c r="C2726" s="1" t="n">
        <v>45811</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60156-2022</t>
        </is>
      </c>
      <c r="B2727" s="1" t="n">
        <v>44909</v>
      </c>
      <c r="C2727" s="1" t="n">
        <v>45811</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59969-2022</t>
        </is>
      </c>
      <c r="B2728" s="1" t="n">
        <v>44909</v>
      </c>
      <c r="C2728" s="1" t="n">
        <v>45811</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59980-2022</t>
        </is>
      </c>
      <c r="B2729" s="1" t="n">
        <v>44909</v>
      </c>
      <c r="C2729" s="1" t="n">
        <v>45811</v>
      </c>
      <c r="D2729" t="inlineStr">
        <is>
          <t>VÄSTMANLANDS LÄN</t>
        </is>
      </c>
      <c r="E2729" t="inlineStr">
        <is>
          <t>ARBOGA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59970-2022</t>
        </is>
      </c>
      <c r="B2730" s="1" t="n">
        <v>44909</v>
      </c>
      <c r="C2730" s="1" t="n">
        <v>45811</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59977-2022</t>
        </is>
      </c>
      <c r="B2731" s="1" t="n">
        <v>44909</v>
      </c>
      <c r="C2731" s="1" t="n">
        <v>45811</v>
      </c>
      <c r="D2731" t="inlineStr">
        <is>
          <t>VÄSTMANLANDS LÄN</t>
        </is>
      </c>
      <c r="E2731" t="inlineStr">
        <is>
          <t>ARBOGA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60185-2022</t>
        </is>
      </c>
      <c r="B2732" s="1" t="n">
        <v>44910</v>
      </c>
      <c r="C2732" s="1" t="n">
        <v>45811</v>
      </c>
      <c r="D2732" t="inlineStr">
        <is>
          <t>VÄSTMANLANDS LÄN</t>
        </is>
      </c>
      <c r="E2732" t="inlineStr">
        <is>
          <t>SKINNSKATTEBERG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60379-2022</t>
        </is>
      </c>
      <c r="B2733" s="1" t="n">
        <v>44910</v>
      </c>
      <c r="C2733" s="1" t="n">
        <v>45811</v>
      </c>
      <c r="D2733" t="inlineStr">
        <is>
          <t>VÄSTMANLANDS LÄN</t>
        </is>
      </c>
      <c r="E2733" t="inlineStr">
        <is>
          <t>SALA</t>
        </is>
      </c>
      <c r="F2733" t="inlineStr">
        <is>
          <t>Kyrkan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60481-2022</t>
        </is>
      </c>
      <c r="B2734" s="1" t="n">
        <v>44911</v>
      </c>
      <c r="C2734" s="1" t="n">
        <v>45811</v>
      </c>
      <c r="D2734" t="inlineStr">
        <is>
          <t>VÄSTMANLANDS LÄN</t>
        </is>
      </c>
      <c r="E2734" t="inlineStr">
        <is>
          <t>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60485-2022</t>
        </is>
      </c>
      <c r="B2735" s="1" t="n">
        <v>44911</v>
      </c>
      <c r="C2735" s="1" t="n">
        <v>45811</v>
      </c>
      <c r="D2735" t="inlineStr">
        <is>
          <t>VÄSTMANLANDS LÄN</t>
        </is>
      </c>
      <c r="E2735" t="inlineStr">
        <is>
          <t>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60479-2022</t>
        </is>
      </c>
      <c r="B2736" s="1" t="n">
        <v>44911</v>
      </c>
      <c r="C2736" s="1" t="n">
        <v>45811</v>
      </c>
      <c r="D2736" t="inlineStr">
        <is>
          <t>VÄSTMANLANDS LÄN</t>
        </is>
      </c>
      <c r="E2736" t="inlineStr">
        <is>
          <t>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61745-2022</t>
        </is>
      </c>
      <c r="B2737" s="1" t="n">
        <v>44911</v>
      </c>
      <c r="C2737" s="1" t="n">
        <v>45811</v>
      </c>
      <c r="D2737" t="inlineStr">
        <is>
          <t>VÄSTMANLANDS LÄN</t>
        </is>
      </c>
      <c r="E2737" t="inlineStr">
        <is>
          <t>NORBERG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60703-2022</t>
        </is>
      </c>
      <c r="B2738" s="1" t="n">
        <v>44912</v>
      </c>
      <c r="C2738" s="1" t="n">
        <v>45811</v>
      </c>
      <c r="D2738" t="inlineStr">
        <is>
          <t>VÄSTMANLANDS LÄN</t>
        </is>
      </c>
      <c r="E2738" t="inlineStr">
        <is>
          <t>SALA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60705-2022</t>
        </is>
      </c>
      <c r="B2739" s="1" t="n">
        <v>44912</v>
      </c>
      <c r="C2739" s="1" t="n">
        <v>45811</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60794-2022</t>
        </is>
      </c>
      <c r="B2740" s="1" t="n">
        <v>44914</v>
      </c>
      <c r="C2740" s="1" t="n">
        <v>45811</v>
      </c>
      <c r="D2740" t="inlineStr">
        <is>
          <t>VÄSTMANLANDS LÄN</t>
        </is>
      </c>
      <c r="E2740" t="inlineStr">
        <is>
          <t>VÄSTERÅS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60790-2022</t>
        </is>
      </c>
      <c r="B2741" s="1" t="n">
        <v>44914</v>
      </c>
      <c r="C2741" s="1" t="n">
        <v>45811</v>
      </c>
      <c r="D2741" t="inlineStr">
        <is>
          <t>VÄSTMANLANDS LÄN</t>
        </is>
      </c>
      <c r="E2741" t="inlineStr">
        <is>
          <t>VÄSTERÅS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60894-2022</t>
        </is>
      </c>
      <c r="B2742" s="1" t="n">
        <v>44914</v>
      </c>
      <c r="C2742" s="1" t="n">
        <v>45811</v>
      </c>
      <c r="D2742" t="inlineStr">
        <is>
          <t>VÄSTMANLANDS LÄN</t>
        </is>
      </c>
      <c r="E2742" t="inlineStr">
        <is>
          <t>KÖPING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60974-2022</t>
        </is>
      </c>
      <c r="B2743" s="1" t="n">
        <v>44914</v>
      </c>
      <c r="C2743" s="1" t="n">
        <v>45811</v>
      </c>
      <c r="D2743" t="inlineStr">
        <is>
          <t>VÄSTMANLANDS LÄN</t>
        </is>
      </c>
      <c r="E2743" t="inlineStr">
        <is>
          <t>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61000-2022</t>
        </is>
      </c>
      <c r="B2744" s="1" t="n">
        <v>44914</v>
      </c>
      <c r="C2744" s="1" t="n">
        <v>45811</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60797-2022</t>
        </is>
      </c>
      <c r="B2745" s="1" t="n">
        <v>44914</v>
      </c>
      <c r="C2745" s="1" t="n">
        <v>45811</v>
      </c>
      <c r="D2745" t="inlineStr">
        <is>
          <t>VÄSTMANLANDS LÄN</t>
        </is>
      </c>
      <c r="E2745" t="inlineStr">
        <is>
          <t>VÄSTERÅS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60924-2022</t>
        </is>
      </c>
      <c r="B2746" s="1" t="n">
        <v>44914</v>
      </c>
      <c r="C2746" s="1" t="n">
        <v>45811</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61119-2022</t>
        </is>
      </c>
      <c r="B2747" s="1" t="n">
        <v>44915</v>
      </c>
      <c r="C2747" s="1" t="n">
        <v>45811</v>
      </c>
      <c r="D2747" t="inlineStr">
        <is>
          <t>VÄSTMANLANDS LÄN</t>
        </is>
      </c>
      <c r="E2747" t="inlineStr">
        <is>
          <t>VÄSTERÅS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61308-2022</t>
        </is>
      </c>
      <c r="B2748" s="1" t="n">
        <v>44915</v>
      </c>
      <c r="C2748" s="1" t="n">
        <v>45811</v>
      </c>
      <c r="D2748" t="inlineStr">
        <is>
          <t>VÄSTMANLANDS LÄN</t>
        </is>
      </c>
      <c r="E2748" t="inlineStr">
        <is>
          <t>VÄSTERÅS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61083-2022</t>
        </is>
      </c>
      <c r="B2749" s="1" t="n">
        <v>44915</v>
      </c>
      <c r="C2749" s="1" t="n">
        <v>45811</v>
      </c>
      <c r="D2749" t="inlineStr">
        <is>
          <t>VÄSTMANLANDS LÄN</t>
        </is>
      </c>
      <c r="E2749" t="inlineStr">
        <is>
          <t>KÖPING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61059-2022</t>
        </is>
      </c>
      <c r="B2750" s="1" t="n">
        <v>44915</v>
      </c>
      <c r="C2750" s="1" t="n">
        <v>45811</v>
      </c>
      <c r="D2750" t="inlineStr">
        <is>
          <t>VÄSTMANLANDS LÄN</t>
        </is>
      </c>
      <c r="E2750" t="inlineStr">
        <is>
          <t>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61070-2022</t>
        </is>
      </c>
      <c r="B2751" s="1" t="n">
        <v>44915</v>
      </c>
      <c r="C2751" s="1" t="n">
        <v>45811</v>
      </c>
      <c r="D2751" t="inlineStr">
        <is>
          <t>VÄSTMANLANDS LÄN</t>
        </is>
      </c>
      <c r="E2751" t="inlineStr">
        <is>
          <t>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61072-2022</t>
        </is>
      </c>
      <c r="B2752" s="1" t="n">
        <v>44915</v>
      </c>
      <c r="C2752" s="1" t="n">
        <v>45811</v>
      </c>
      <c r="D2752" t="inlineStr">
        <is>
          <t>VÄSTMANLANDS LÄN</t>
        </is>
      </c>
      <c r="E2752" t="inlineStr">
        <is>
          <t>KÖPING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61403-2022</t>
        </is>
      </c>
      <c r="B2753" s="1" t="n">
        <v>44916</v>
      </c>
      <c r="C2753" s="1" t="n">
        <v>45811</v>
      </c>
      <c r="D2753" t="inlineStr">
        <is>
          <t>VÄSTMANLANDS LÄN</t>
        </is>
      </c>
      <c r="E2753" t="inlineStr">
        <is>
          <t>ARBOGA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62635-2022</t>
        </is>
      </c>
      <c r="B2754" s="1" t="n">
        <v>44917</v>
      </c>
      <c r="C2754" s="1" t="n">
        <v>45811</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62654-2022</t>
        </is>
      </c>
      <c r="B2755" s="1" t="n">
        <v>44917</v>
      </c>
      <c r="C2755" s="1" t="n">
        <v>45811</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62651-2022</t>
        </is>
      </c>
      <c r="B2756" s="1" t="n">
        <v>44917</v>
      </c>
      <c r="C2756" s="1" t="n">
        <v>45811</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61892-2022</t>
        </is>
      </c>
      <c r="B2757" s="1" t="n">
        <v>44917</v>
      </c>
      <c r="C2757" s="1" t="n">
        <v>45811</v>
      </c>
      <c r="D2757" t="inlineStr">
        <is>
          <t>VÄSTMANLANDS LÄN</t>
        </is>
      </c>
      <c r="E2757" t="inlineStr">
        <is>
          <t>ARBOGA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61897-2022</t>
        </is>
      </c>
      <c r="B2758" s="1" t="n">
        <v>44917</v>
      </c>
      <c r="C2758" s="1" t="n">
        <v>45811</v>
      </c>
      <c r="D2758" t="inlineStr">
        <is>
          <t>VÄSTMANLANDS LÄN</t>
        </is>
      </c>
      <c r="E2758" t="inlineStr">
        <is>
          <t>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62648-2022</t>
        </is>
      </c>
      <c r="B2759" s="1" t="n">
        <v>44917</v>
      </c>
      <c r="C2759" s="1" t="n">
        <v>45811</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61985-2022</t>
        </is>
      </c>
      <c r="B2760" s="1" t="n">
        <v>44918</v>
      </c>
      <c r="C2760" s="1" t="n">
        <v>45811</v>
      </c>
      <c r="D2760" t="inlineStr">
        <is>
          <t>VÄSTMANLANDS LÄN</t>
        </is>
      </c>
      <c r="E2760" t="inlineStr">
        <is>
          <t>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62095-2022</t>
        </is>
      </c>
      <c r="B2761" s="1" t="n">
        <v>44919</v>
      </c>
      <c r="C2761" s="1" t="n">
        <v>45811</v>
      </c>
      <c r="D2761" t="inlineStr">
        <is>
          <t>VÄSTMANLANDS LÄN</t>
        </is>
      </c>
      <c r="E2761" t="inlineStr">
        <is>
          <t>FAGERSTA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62292-2022</t>
        </is>
      </c>
      <c r="B2762" s="1" t="n">
        <v>44923</v>
      </c>
      <c r="C2762" s="1" t="n">
        <v>45811</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62300-2022</t>
        </is>
      </c>
      <c r="B2763" s="1" t="n">
        <v>44923</v>
      </c>
      <c r="C2763" s="1" t="n">
        <v>45811</v>
      </c>
      <c r="D2763" t="inlineStr">
        <is>
          <t>VÄSTMANLANDS LÄN</t>
        </is>
      </c>
      <c r="E2763" t="inlineStr">
        <is>
          <t>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552-2023</t>
        </is>
      </c>
      <c r="B2764" s="1" t="n">
        <v>44925</v>
      </c>
      <c r="C2764" s="1" t="n">
        <v>45811</v>
      </c>
      <c r="D2764" t="inlineStr">
        <is>
          <t>VÄSTMANLANDS LÄN</t>
        </is>
      </c>
      <c r="E2764" t="inlineStr">
        <is>
          <t>NORBERG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559-2023</t>
        </is>
      </c>
      <c r="B2765" s="1" t="n">
        <v>44925</v>
      </c>
      <c r="C2765" s="1" t="n">
        <v>45811</v>
      </c>
      <c r="D2765" t="inlineStr">
        <is>
          <t>VÄSTMANLANDS LÄN</t>
        </is>
      </c>
      <c r="E2765" t="inlineStr">
        <is>
          <t>NORBERG</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71-2023</t>
        </is>
      </c>
      <c r="B2766" s="1" t="n">
        <v>44928</v>
      </c>
      <c r="C2766" s="1" t="n">
        <v>45811</v>
      </c>
      <c r="D2766" t="inlineStr">
        <is>
          <t>VÄSTMANLANDS LÄN</t>
        </is>
      </c>
      <c r="E2766" t="inlineStr">
        <is>
          <t>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198-2023</t>
        </is>
      </c>
      <c r="B2767" s="1" t="n">
        <v>44928</v>
      </c>
      <c r="C2767" s="1" t="n">
        <v>45811</v>
      </c>
      <c r="D2767" t="inlineStr">
        <is>
          <t>VÄSTMANLANDS LÄN</t>
        </is>
      </c>
      <c r="E2767" t="inlineStr">
        <is>
          <t>VÄSTERÅS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202-2023</t>
        </is>
      </c>
      <c r="B2768" s="1" t="n">
        <v>44928</v>
      </c>
      <c r="C2768" s="1" t="n">
        <v>45811</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1034-2023</t>
        </is>
      </c>
      <c r="B2769" s="1" t="n">
        <v>44935</v>
      </c>
      <c r="C2769" s="1" t="n">
        <v>45811</v>
      </c>
      <c r="D2769" t="inlineStr">
        <is>
          <t>VÄSTMANLANDS LÄN</t>
        </is>
      </c>
      <c r="E2769" t="inlineStr">
        <is>
          <t>KÖPING</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1069-2023</t>
        </is>
      </c>
      <c r="B2770" s="1" t="n">
        <v>44935</v>
      </c>
      <c r="C2770" s="1" t="n">
        <v>45811</v>
      </c>
      <c r="D2770" t="inlineStr">
        <is>
          <t>VÄSTMANLANDS LÄN</t>
        </is>
      </c>
      <c r="E2770" t="inlineStr">
        <is>
          <t>SKINNSKATTEBERG</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1196-2023</t>
        </is>
      </c>
      <c r="B2771" s="1" t="n">
        <v>44935</v>
      </c>
      <c r="C2771" s="1" t="n">
        <v>45811</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1594-2023</t>
        </is>
      </c>
      <c r="B2772" s="1" t="n">
        <v>44935</v>
      </c>
      <c r="C2772" s="1" t="n">
        <v>45811</v>
      </c>
      <c r="D2772" t="inlineStr">
        <is>
          <t>VÄSTMANLANDS LÄN</t>
        </is>
      </c>
      <c r="E2772" t="inlineStr">
        <is>
          <t>VÄSTERÅS</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1290-2023</t>
        </is>
      </c>
      <c r="B2773" s="1" t="n">
        <v>44936</v>
      </c>
      <c r="C2773" s="1" t="n">
        <v>45811</v>
      </c>
      <c r="D2773" t="inlineStr">
        <is>
          <t>VÄSTMANLANDS LÄN</t>
        </is>
      </c>
      <c r="E2773" t="inlineStr">
        <is>
          <t>KÖPING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1282-2023</t>
        </is>
      </c>
      <c r="B2774" s="1" t="n">
        <v>44936</v>
      </c>
      <c r="C2774" s="1" t="n">
        <v>45811</v>
      </c>
      <c r="D2774" t="inlineStr">
        <is>
          <t>VÄSTMANLANDS LÄN</t>
        </is>
      </c>
      <c r="E2774" t="inlineStr">
        <is>
          <t>SKINNSKATTEBERG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1701-2023</t>
        </is>
      </c>
      <c r="B2775" s="1" t="n">
        <v>44936</v>
      </c>
      <c r="C2775" s="1" t="n">
        <v>45811</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1700-2023</t>
        </is>
      </c>
      <c r="B2776" s="1" t="n">
        <v>44936</v>
      </c>
      <c r="C2776" s="1" t="n">
        <v>45811</v>
      </c>
      <c r="D2776" t="inlineStr">
        <is>
          <t>VÄSTMANLANDS LÄN</t>
        </is>
      </c>
      <c r="E2776" t="inlineStr">
        <is>
          <t>VÄSTERÅS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1761-2023</t>
        </is>
      </c>
      <c r="B2777" s="1" t="n">
        <v>44936</v>
      </c>
      <c r="C2777" s="1" t="n">
        <v>45811</v>
      </c>
      <c r="D2777" t="inlineStr">
        <is>
          <t>VÄSTMANLANDS LÄN</t>
        </is>
      </c>
      <c r="E2777" t="inlineStr">
        <is>
          <t>VÄSTERÅS</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1773-2023</t>
        </is>
      </c>
      <c r="B2778" s="1" t="n">
        <v>44936</v>
      </c>
      <c r="C2778" s="1" t="n">
        <v>45811</v>
      </c>
      <c r="D2778" t="inlineStr">
        <is>
          <t>VÄSTMANLANDS LÄN</t>
        </is>
      </c>
      <c r="E2778" t="inlineStr">
        <is>
          <t>VÄSTERÅS</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1617-2023</t>
        </is>
      </c>
      <c r="B2779" s="1" t="n">
        <v>44937</v>
      </c>
      <c r="C2779" s="1" t="n">
        <v>45811</v>
      </c>
      <c r="D2779" t="inlineStr">
        <is>
          <t>VÄSTMANLANDS LÄN</t>
        </is>
      </c>
      <c r="E2779" t="inlineStr">
        <is>
          <t>SKINNSKATTEBERG</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1638-2023</t>
        </is>
      </c>
      <c r="B2780" s="1" t="n">
        <v>44937</v>
      </c>
      <c r="C2780" s="1" t="n">
        <v>45811</v>
      </c>
      <c r="D2780" t="inlineStr">
        <is>
          <t>VÄSTMANLANDS LÄN</t>
        </is>
      </c>
      <c r="E2780" t="inlineStr">
        <is>
          <t>SALA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1793-2023</t>
        </is>
      </c>
      <c r="B2781" s="1" t="n">
        <v>44937</v>
      </c>
      <c r="C2781" s="1" t="n">
        <v>45811</v>
      </c>
      <c r="D2781" t="inlineStr">
        <is>
          <t>VÄSTMANLANDS LÄN</t>
        </is>
      </c>
      <c r="E2781" t="inlineStr">
        <is>
          <t>SALA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1814-2023</t>
        </is>
      </c>
      <c r="B2782" s="1" t="n">
        <v>44938</v>
      </c>
      <c r="C2782" s="1" t="n">
        <v>45811</v>
      </c>
      <c r="D2782" t="inlineStr">
        <is>
          <t>VÄSTMANLANDS LÄN</t>
        </is>
      </c>
      <c r="E2782" t="inlineStr">
        <is>
          <t>NORBERG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1934-2023</t>
        </is>
      </c>
      <c r="B2783" s="1" t="n">
        <v>44939</v>
      </c>
      <c r="C2783" s="1" t="n">
        <v>45811</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1967-2023</t>
        </is>
      </c>
      <c r="B2784" s="1" t="n">
        <v>44939</v>
      </c>
      <c r="C2784" s="1" t="n">
        <v>45811</v>
      </c>
      <c r="D2784" t="inlineStr">
        <is>
          <t>VÄSTMANLANDS LÄN</t>
        </is>
      </c>
      <c r="E2784" t="inlineStr">
        <is>
          <t>SALA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2329-2023</t>
        </is>
      </c>
      <c r="B2785" s="1" t="n">
        <v>44942</v>
      </c>
      <c r="C2785" s="1" t="n">
        <v>45811</v>
      </c>
      <c r="D2785" t="inlineStr">
        <is>
          <t>VÄSTMANLANDS LÄN</t>
        </is>
      </c>
      <c r="E2785" t="inlineStr">
        <is>
          <t>ARBOGA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2521-2023</t>
        </is>
      </c>
      <c r="B2786" s="1" t="n">
        <v>44943</v>
      </c>
      <c r="C2786" s="1" t="n">
        <v>45811</v>
      </c>
      <c r="D2786" t="inlineStr">
        <is>
          <t>VÄSTMANLANDS LÄN</t>
        </is>
      </c>
      <c r="E2786" t="inlineStr">
        <is>
          <t>SALA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2900-2023</t>
        </is>
      </c>
      <c r="B2787" s="1" t="n">
        <v>44943</v>
      </c>
      <c r="C2787" s="1" t="n">
        <v>45811</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2868-2023</t>
        </is>
      </c>
      <c r="B2788" s="1" t="n">
        <v>44945</v>
      </c>
      <c r="C2788" s="1" t="n">
        <v>45811</v>
      </c>
      <c r="D2788" t="inlineStr">
        <is>
          <t>VÄSTMANLANDS LÄN</t>
        </is>
      </c>
      <c r="E2788" t="inlineStr">
        <is>
          <t>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2848-2023</t>
        </is>
      </c>
      <c r="B2789" s="1" t="n">
        <v>44945</v>
      </c>
      <c r="C2789" s="1" t="n">
        <v>45811</v>
      </c>
      <c r="D2789" t="inlineStr">
        <is>
          <t>VÄSTMANLANDS LÄN</t>
        </is>
      </c>
      <c r="E2789" t="inlineStr">
        <is>
          <t>VÄSTERÅS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3085-2023</t>
        </is>
      </c>
      <c r="B2790" s="1" t="n">
        <v>44946</v>
      </c>
      <c r="C2790" s="1" t="n">
        <v>45811</v>
      </c>
      <c r="D2790" t="inlineStr">
        <is>
          <t>VÄSTMANLANDS LÄN</t>
        </is>
      </c>
      <c r="E2790" t="inlineStr">
        <is>
          <t>SURAHAMMAR</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3399-2023</t>
        </is>
      </c>
      <c r="B2791" s="1" t="n">
        <v>44949</v>
      </c>
      <c r="C2791" s="1" t="n">
        <v>45811</v>
      </c>
      <c r="D2791" t="inlineStr">
        <is>
          <t>VÄSTMANLANDS LÄN</t>
        </is>
      </c>
      <c r="E2791" t="inlineStr">
        <is>
          <t>ARBOGA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3683-2023</t>
        </is>
      </c>
      <c r="B2792" s="1" t="n">
        <v>44950</v>
      </c>
      <c r="C2792" s="1" t="n">
        <v>45811</v>
      </c>
      <c r="D2792" t="inlineStr">
        <is>
          <t>VÄSTMANLANDS LÄN</t>
        </is>
      </c>
      <c r="E2792" t="inlineStr">
        <is>
          <t>KUNGSÖR</t>
        </is>
      </c>
      <c r="F2792" t="inlineStr">
        <is>
          <t>Allmännings- och besparingsskogar</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3733-2023</t>
        </is>
      </c>
      <c r="B2793" s="1" t="n">
        <v>44951</v>
      </c>
      <c r="C2793" s="1" t="n">
        <v>45811</v>
      </c>
      <c r="D2793" t="inlineStr">
        <is>
          <t>VÄSTMANLANDS LÄN</t>
        </is>
      </c>
      <c r="E2793" t="inlineStr">
        <is>
          <t>SALA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3810-2023</t>
        </is>
      </c>
      <c r="B2794" s="1" t="n">
        <v>44951</v>
      </c>
      <c r="C2794" s="1" t="n">
        <v>45811</v>
      </c>
      <c r="D2794" t="inlineStr">
        <is>
          <t>VÄSTMANLANDS LÄN</t>
        </is>
      </c>
      <c r="E2794" t="inlineStr">
        <is>
          <t>SALA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3866-2023</t>
        </is>
      </c>
      <c r="B2795" s="1" t="n">
        <v>44951</v>
      </c>
      <c r="C2795" s="1" t="n">
        <v>45811</v>
      </c>
      <c r="D2795" t="inlineStr">
        <is>
          <t>VÄSTMANLANDS LÄN</t>
        </is>
      </c>
      <c r="E2795" t="inlineStr">
        <is>
          <t>SALA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4264-2023</t>
        </is>
      </c>
      <c r="B2796" s="1" t="n">
        <v>44953</v>
      </c>
      <c r="C2796" s="1" t="n">
        <v>45811</v>
      </c>
      <c r="D2796" t="inlineStr">
        <is>
          <t>VÄSTMANLANDS LÄN</t>
        </is>
      </c>
      <c r="E2796" t="inlineStr">
        <is>
          <t>FAGERSTA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4386-2023</t>
        </is>
      </c>
      <c r="B2797" s="1" t="n">
        <v>44955</v>
      </c>
      <c r="C2797" s="1" t="n">
        <v>45811</v>
      </c>
      <c r="D2797" t="inlineStr">
        <is>
          <t>VÄSTMANLANDS LÄN</t>
        </is>
      </c>
      <c r="E2797" t="inlineStr">
        <is>
          <t>SKINNSKATTEBERG</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4853-2023</t>
        </is>
      </c>
      <c r="B2798" s="1" t="n">
        <v>44957</v>
      </c>
      <c r="C2798" s="1" t="n">
        <v>45811</v>
      </c>
      <c r="D2798" t="inlineStr">
        <is>
          <t>VÄSTMANLANDS LÄN</t>
        </is>
      </c>
      <c r="E2798" t="inlineStr">
        <is>
          <t>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4637-2023</t>
        </is>
      </c>
      <c r="B2799" s="1" t="n">
        <v>44957</v>
      </c>
      <c r="C2799" s="1" t="n">
        <v>45811</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4687-2023</t>
        </is>
      </c>
      <c r="B2800" s="1" t="n">
        <v>44957</v>
      </c>
      <c r="C2800" s="1" t="n">
        <v>45811</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4791-2023</t>
        </is>
      </c>
      <c r="B2801" s="1" t="n">
        <v>44957</v>
      </c>
      <c r="C2801" s="1" t="n">
        <v>45811</v>
      </c>
      <c r="D2801" t="inlineStr">
        <is>
          <t>VÄSTMANLANDS LÄN</t>
        </is>
      </c>
      <c r="E2801" t="inlineStr">
        <is>
          <t>SALA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4797-2023</t>
        </is>
      </c>
      <c r="B2802" s="1" t="n">
        <v>44957</v>
      </c>
      <c r="C2802" s="1" t="n">
        <v>45811</v>
      </c>
      <c r="D2802" t="inlineStr">
        <is>
          <t>VÄSTMANLANDS LÄN</t>
        </is>
      </c>
      <c r="E2802" t="inlineStr">
        <is>
          <t>SALA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4852-2023</t>
        </is>
      </c>
      <c r="B2803" s="1" t="n">
        <v>44957</v>
      </c>
      <c r="C2803" s="1" t="n">
        <v>45811</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5123-2023</t>
        </is>
      </c>
      <c r="B2804" s="1" t="n">
        <v>44958</v>
      </c>
      <c r="C2804" s="1" t="n">
        <v>45811</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5459-2023</t>
        </is>
      </c>
      <c r="B2805" s="1" t="n">
        <v>44960</v>
      </c>
      <c r="C2805" s="1" t="n">
        <v>45811</v>
      </c>
      <c r="D2805" t="inlineStr">
        <is>
          <t>VÄSTMANLANDS LÄN</t>
        </is>
      </c>
      <c r="E2805" t="inlineStr">
        <is>
          <t>ARBOGA</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5724-2023</t>
        </is>
      </c>
      <c r="B2806" s="1" t="n">
        <v>44961</v>
      </c>
      <c r="C2806" s="1" t="n">
        <v>45811</v>
      </c>
      <c r="D2806" t="inlineStr">
        <is>
          <t>VÄSTMANLANDS LÄN</t>
        </is>
      </c>
      <c r="E2806" t="inlineStr">
        <is>
          <t>VÄSTERÅS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5782-2023</t>
        </is>
      </c>
      <c r="B2807" s="1" t="n">
        <v>44963</v>
      </c>
      <c r="C2807" s="1" t="n">
        <v>45811</v>
      </c>
      <c r="D2807" t="inlineStr">
        <is>
          <t>VÄSTMANLANDS LÄN</t>
        </is>
      </c>
      <c r="E2807" t="inlineStr">
        <is>
          <t>SALA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6111-2023</t>
        </is>
      </c>
      <c r="B2808" s="1" t="n">
        <v>44964</v>
      </c>
      <c r="C2808" s="1" t="n">
        <v>45811</v>
      </c>
      <c r="D2808" t="inlineStr">
        <is>
          <t>VÄSTMANLANDS LÄN</t>
        </is>
      </c>
      <c r="E2808" t="inlineStr">
        <is>
          <t>SALA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6135-2023</t>
        </is>
      </c>
      <c r="B2809" s="1" t="n">
        <v>44964</v>
      </c>
      <c r="C2809" s="1" t="n">
        <v>45811</v>
      </c>
      <c r="D2809" t="inlineStr">
        <is>
          <t>VÄSTMANLANDS LÄN</t>
        </is>
      </c>
      <c r="E2809" t="inlineStr">
        <is>
          <t>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6167-2023</t>
        </is>
      </c>
      <c r="B2810" s="1" t="n">
        <v>44964</v>
      </c>
      <c r="C2810" s="1" t="n">
        <v>45811</v>
      </c>
      <c r="D2810" t="inlineStr">
        <is>
          <t>VÄSTMANLANDS LÄN</t>
        </is>
      </c>
      <c r="E2810" t="inlineStr">
        <is>
          <t>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6130-2023</t>
        </is>
      </c>
      <c r="B2811" s="1" t="n">
        <v>44964</v>
      </c>
      <c r="C2811" s="1" t="n">
        <v>45811</v>
      </c>
      <c r="D2811" t="inlineStr">
        <is>
          <t>VÄSTMANLANDS LÄN</t>
        </is>
      </c>
      <c r="E2811" t="inlineStr">
        <is>
          <t>SALA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6051-2023</t>
        </is>
      </c>
      <c r="B2812" s="1" t="n">
        <v>44964</v>
      </c>
      <c r="C2812" s="1" t="n">
        <v>45811</v>
      </c>
      <c r="D2812" t="inlineStr">
        <is>
          <t>VÄSTMANLANDS LÄN</t>
        </is>
      </c>
      <c r="E2812" t="inlineStr">
        <is>
          <t>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6116-2023</t>
        </is>
      </c>
      <c r="B2813" s="1" t="n">
        <v>44964</v>
      </c>
      <c r="C2813" s="1" t="n">
        <v>45811</v>
      </c>
      <c r="D2813" t="inlineStr">
        <is>
          <t>VÄSTMANLANDS LÄN</t>
        </is>
      </c>
      <c r="E2813" t="inlineStr">
        <is>
          <t>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6139-2023</t>
        </is>
      </c>
      <c r="B2814" s="1" t="n">
        <v>44964</v>
      </c>
      <c r="C2814" s="1" t="n">
        <v>45811</v>
      </c>
      <c r="D2814" t="inlineStr">
        <is>
          <t>VÄSTMANLANDS LÄN</t>
        </is>
      </c>
      <c r="E2814" t="inlineStr">
        <is>
          <t>SALA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6183-2023</t>
        </is>
      </c>
      <c r="B2815" s="1" t="n">
        <v>44964</v>
      </c>
      <c r="C2815" s="1" t="n">
        <v>45811</v>
      </c>
      <c r="D2815" t="inlineStr">
        <is>
          <t>VÄSTMANLANDS LÄN</t>
        </is>
      </c>
      <c r="E2815" t="inlineStr">
        <is>
          <t>SKINNSKATTEBERG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6869-2023</t>
        </is>
      </c>
      <c r="B2816" s="1" t="n">
        <v>44964</v>
      </c>
      <c r="C2816" s="1" t="n">
        <v>45811</v>
      </c>
      <c r="D2816" t="inlineStr">
        <is>
          <t>VÄSTMANLANDS LÄN</t>
        </is>
      </c>
      <c r="E2816" t="inlineStr">
        <is>
          <t>SALA</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6298-2023</t>
        </is>
      </c>
      <c r="B2817" s="1" t="n">
        <v>44965</v>
      </c>
      <c r="C2817" s="1" t="n">
        <v>45811</v>
      </c>
      <c r="D2817" t="inlineStr">
        <is>
          <t>VÄSTMANLANDS LÄN</t>
        </is>
      </c>
      <c r="E2817" t="inlineStr">
        <is>
          <t>SKINNSKATTEBERG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6351-2023</t>
        </is>
      </c>
      <c r="B2818" s="1" t="n">
        <v>44965</v>
      </c>
      <c r="C2818" s="1" t="n">
        <v>45811</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6667-2023</t>
        </is>
      </c>
      <c r="B2819" s="1" t="n">
        <v>44966</v>
      </c>
      <c r="C2819" s="1" t="n">
        <v>45811</v>
      </c>
      <c r="D2819" t="inlineStr">
        <is>
          <t>VÄSTMANLANDS LÄN</t>
        </is>
      </c>
      <c r="E2819" t="inlineStr">
        <is>
          <t>KÖPING</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6680-2023</t>
        </is>
      </c>
      <c r="B2820" s="1" t="n">
        <v>44966</v>
      </c>
      <c r="C2820" s="1" t="n">
        <v>45811</v>
      </c>
      <c r="D2820" t="inlineStr">
        <is>
          <t>VÄSTMANLANDS LÄN</t>
        </is>
      </c>
      <c r="E2820" t="inlineStr">
        <is>
          <t>ARBOGA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6851-2023</t>
        </is>
      </c>
      <c r="B2821" s="1" t="n">
        <v>44967</v>
      </c>
      <c r="C2821" s="1" t="n">
        <v>45811</v>
      </c>
      <c r="D2821" t="inlineStr">
        <is>
          <t>VÄSTMANLANDS LÄN</t>
        </is>
      </c>
      <c r="E2821" t="inlineStr">
        <is>
          <t>SALA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6946-2023</t>
        </is>
      </c>
      <c r="B2822" s="1" t="n">
        <v>44967</v>
      </c>
      <c r="C2822" s="1" t="n">
        <v>45811</v>
      </c>
      <c r="D2822" t="inlineStr">
        <is>
          <t>VÄSTMANLANDS LÄN</t>
        </is>
      </c>
      <c r="E2822" t="inlineStr">
        <is>
          <t>KÖPING</t>
        </is>
      </c>
      <c r="F2822" t="inlineStr">
        <is>
          <t>Sveaskog</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6943-2023</t>
        </is>
      </c>
      <c r="B2823" s="1" t="n">
        <v>44967</v>
      </c>
      <c r="C2823" s="1" t="n">
        <v>45811</v>
      </c>
      <c r="D2823" t="inlineStr">
        <is>
          <t>VÄSTMANLANDS LÄN</t>
        </is>
      </c>
      <c r="E2823" t="inlineStr">
        <is>
          <t>SKINNSKATTEBERG</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6948-2023</t>
        </is>
      </c>
      <c r="B2824" s="1" t="n">
        <v>44967</v>
      </c>
      <c r="C2824" s="1" t="n">
        <v>45811</v>
      </c>
      <c r="D2824" t="inlineStr">
        <is>
          <t>VÄSTMANLANDS LÄN</t>
        </is>
      </c>
      <c r="E2824" t="inlineStr">
        <is>
          <t>KÖPING</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6949-2023</t>
        </is>
      </c>
      <c r="B2825" s="1" t="n">
        <v>44967</v>
      </c>
      <c r="C2825" s="1" t="n">
        <v>45811</v>
      </c>
      <c r="D2825" t="inlineStr">
        <is>
          <t>VÄSTMANLANDS LÄN</t>
        </is>
      </c>
      <c r="E2825" t="inlineStr">
        <is>
          <t>KÖPING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7176-2023</t>
        </is>
      </c>
      <c r="B2826" s="1" t="n">
        <v>44970</v>
      </c>
      <c r="C2826" s="1" t="n">
        <v>45811</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7193-2023</t>
        </is>
      </c>
      <c r="B2827" s="1" t="n">
        <v>44970</v>
      </c>
      <c r="C2827" s="1" t="n">
        <v>45811</v>
      </c>
      <c r="D2827" t="inlineStr">
        <is>
          <t>VÄSTMANLANDS LÄN</t>
        </is>
      </c>
      <c r="E2827" t="inlineStr">
        <is>
          <t>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7965-2023</t>
        </is>
      </c>
      <c r="B2828" s="1" t="n">
        <v>44970</v>
      </c>
      <c r="C2828" s="1" t="n">
        <v>45811</v>
      </c>
      <c r="D2828" t="inlineStr">
        <is>
          <t>VÄSTMANLANDS LÄN</t>
        </is>
      </c>
      <c r="E2828" t="inlineStr">
        <is>
          <t>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7954-2023</t>
        </is>
      </c>
      <c r="B2829" s="1" t="n">
        <v>44970</v>
      </c>
      <c r="C2829" s="1" t="n">
        <v>45811</v>
      </c>
      <c r="D2829" t="inlineStr">
        <is>
          <t>VÄSTMANLANDS LÄN</t>
        </is>
      </c>
      <c r="E2829" t="inlineStr">
        <is>
          <t>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7377-2023</t>
        </is>
      </c>
      <c r="B2830" s="1" t="n">
        <v>44971</v>
      </c>
      <c r="C2830" s="1" t="n">
        <v>45811</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7351-2023</t>
        </is>
      </c>
      <c r="B2831" s="1" t="n">
        <v>44971</v>
      </c>
      <c r="C2831" s="1" t="n">
        <v>45811</v>
      </c>
      <c r="D2831" t="inlineStr">
        <is>
          <t>VÄSTMANLANDS LÄN</t>
        </is>
      </c>
      <c r="E2831" t="inlineStr">
        <is>
          <t>SALA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7385-2023</t>
        </is>
      </c>
      <c r="B2832" s="1" t="n">
        <v>44971</v>
      </c>
      <c r="C2832" s="1" t="n">
        <v>45811</v>
      </c>
      <c r="D2832" t="inlineStr">
        <is>
          <t>VÄSTMANLANDS LÄN</t>
        </is>
      </c>
      <c r="E2832" t="inlineStr">
        <is>
          <t>FAGERSTA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7396-2023</t>
        </is>
      </c>
      <c r="B2833" s="1" t="n">
        <v>44971</v>
      </c>
      <c r="C2833" s="1" t="n">
        <v>45811</v>
      </c>
      <c r="D2833" t="inlineStr">
        <is>
          <t>VÄSTMANLANDS LÄN</t>
        </is>
      </c>
      <c r="E2833" t="inlineStr">
        <is>
          <t>FAGERSTA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7502-2023</t>
        </is>
      </c>
      <c r="B2834" s="1" t="n">
        <v>44971</v>
      </c>
      <c r="C2834" s="1" t="n">
        <v>45811</v>
      </c>
      <c r="D2834" t="inlineStr">
        <is>
          <t>VÄSTMANLANDS LÄN</t>
        </is>
      </c>
      <c r="E2834" t="inlineStr">
        <is>
          <t>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7616-2023</t>
        </is>
      </c>
      <c r="B2835" s="1" t="n">
        <v>44972</v>
      </c>
      <c r="C2835" s="1" t="n">
        <v>45811</v>
      </c>
      <c r="D2835" t="inlineStr">
        <is>
          <t>VÄSTMANLANDS LÄN</t>
        </is>
      </c>
      <c r="E2835" t="inlineStr">
        <is>
          <t>KUNGSÖR</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7664-2023</t>
        </is>
      </c>
      <c r="B2836" s="1" t="n">
        <v>44972</v>
      </c>
      <c r="C2836" s="1" t="n">
        <v>45811</v>
      </c>
      <c r="D2836" t="inlineStr">
        <is>
          <t>VÄSTMANLANDS LÄN</t>
        </is>
      </c>
      <c r="E2836" t="inlineStr">
        <is>
          <t>SALA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7635-2023</t>
        </is>
      </c>
      <c r="B2837" s="1" t="n">
        <v>44972</v>
      </c>
      <c r="C2837" s="1" t="n">
        <v>45811</v>
      </c>
      <c r="D2837" t="inlineStr">
        <is>
          <t>VÄSTMANLANDS LÄN</t>
        </is>
      </c>
      <c r="E2837" t="inlineStr">
        <is>
          <t>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7744-2023</t>
        </is>
      </c>
      <c r="B2838" s="1" t="n">
        <v>44973</v>
      </c>
      <c r="C2838" s="1" t="n">
        <v>45811</v>
      </c>
      <c r="D2838" t="inlineStr">
        <is>
          <t>VÄSTMANLANDS LÄN</t>
        </is>
      </c>
      <c r="E2838" t="inlineStr">
        <is>
          <t>NORBERG</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7772-2023</t>
        </is>
      </c>
      <c r="B2839" s="1" t="n">
        <v>44973</v>
      </c>
      <c r="C2839" s="1" t="n">
        <v>45811</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7813-2023</t>
        </is>
      </c>
      <c r="B2840" s="1" t="n">
        <v>44973</v>
      </c>
      <c r="C2840" s="1" t="n">
        <v>45811</v>
      </c>
      <c r="D2840" t="inlineStr">
        <is>
          <t>VÄSTMANLANDS LÄN</t>
        </is>
      </c>
      <c r="E2840" t="inlineStr">
        <is>
          <t>SALA</t>
        </is>
      </c>
      <c r="F2840" t="inlineStr">
        <is>
          <t>Bergvik skog öst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8746-2023</t>
        </is>
      </c>
      <c r="B2841" s="1" t="n">
        <v>44973</v>
      </c>
      <c r="C2841" s="1" t="n">
        <v>45811</v>
      </c>
      <c r="D2841" t="inlineStr">
        <is>
          <t>VÄSTMANLANDS LÄN</t>
        </is>
      </c>
      <c r="E2841" t="inlineStr">
        <is>
          <t>NORBERG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8744-2023</t>
        </is>
      </c>
      <c r="B2842" s="1" t="n">
        <v>44973</v>
      </c>
      <c r="C2842" s="1" t="n">
        <v>45811</v>
      </c>
      <c r="D2842" t="inlineStr">
        <is>
          <t>VÄSTMANLANDS LÄN</t>
        </is>
      </c>
      <c r="E2842" t="inlineStr">
        <is>
          <t>NORBERG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8047-2023</t>
        </is>
      </c>
      <c r="B2843" s="1" t="n">
        <v>44974</v>
      </c>
      <c r="C2843" s="1" t="n">
        <v>45811</v>
      </c>
      <c r="D2843" t="inlineStr">
        <is>
          <t>VÄSTMANLANDS LÄN</t>
        </is>
      </c>
      <c r="E2843" t="inlineStr">
        <is>
          <t>SALA</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8198-2023</t>
        </is>
      </c>
      <c r="B2844" s="1" t="n">
        <v>44974</v>
      </c>
      <c r="C2844" s="1" t="n">
        <v>45811</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8125-2023</t>
        </is>
      </c>
      <c r="B2845" s="1" t="n">
        <v>44974</v>
      </c>
      <c r="C2845" s="1" t="n">
        <v>45811</v>
      </c>
      <c r="D2845" t="inlineStr">
        <is>
          <t>VÄSTMANLANDS LÄN</t>
        </is>
      </c>
      <c r="E2845" t="inlineStr">
        <is>
          <t>ARBOGA</t>
        </is>
      </c>
      <c r="F2845" t="inlineStr">
        <is>
          <t>Allmännings- och besparingsskogar</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8264-2023</t>
        </is>
      </c>
      <c r="B2846" s="1" t="n">
        <v>44974</v>
      </c>
      <c r="C2846" s="1" t="n">
        <v>45811</v>
      </c>
      <c r="D2846" t="inlineStr">
        <is>
          <t>VÄSTMANLANDS LÄN</t>
        </is>
      </c>
      <c r="E2846" t="inlineStr">
        <is>
          <t>FAGERSTA</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8193-2023</t>
        </is>
      </c>
      <c r="B2847" s="1" t="n">
        <v>44974</v>
      </c>
      <c r="C2847" s="1" t="n">
        <v>45811</v>
      </c>
      <c r="D2847" t="inlineStr">
        <is>
          <t>VÄSTMANLANDS LÄN</t>
        </is>
      </c>
      <c r="E2847" t="inlineStr">
        <is>
          <t>KUNGSÖR</t>
        </is>
      </c>
      <c r="F2847" t="inlineStr">
        <is>
          <t>Allmännings- och besparingsskogar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8202-2023</t>
        </is>
      </c>
      <c r="B2848" s="1" t="n">
        <v>44974</v>
      </c>
      <c r="C2848" s="1" t="n">
        <v>45811</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8218-2023</t>
        </is>
      </c>
      <c r="B2849" s="1" t="n">
        <v>44974</v>
      </c>
      <c r="C2849" s="1" t="n">
        <v>45811</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8331-2023</t>
        </is>
      </c>
      <c r="B2850" s="1" t="n">
        <v>44974</v>
      </c>
      <c r="C2850" s="1" t="n">
        <v>45811</v>
      </c>
      <c r="D2850" t="inlineStr">
        <is>
          <t>VÄSTMANLANDS LÄN</t>
        </is>
      </c>
      <c r="E2850" t="inlineStr">
        <is>
          <t>KUNGSÖR</t>
        </is>
      </c>
      <c r="F2850" t="inlineStr">
        <is>
          <t>Allmännings- och besparingsskogar</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8199-2023</t>
        </is>
      </c>
      <c r="B2851" s="1" t="n">
        <v>44974</v>
      </c>
      <c r="C2851" s="1" t="n">
        <v>45811</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8228-2023</t>
        </is>
      </c>
      <c r="B2852" s="1" t="n">
        <v>44974</v>
      </c>
      <c r="C2852" s="1" t="n">
        <v>45811</v>
      </c>
      <c r="D2852" t="inlineStr">
        <is>
          <t>VÄSTMANLANDS LÄN</t>
        </is>
      </c>
      <c r="E2852" t="inlineStr">
        <is>
          <t>KUNGSÖR</t>
        </is>
      </c>
      <c r="G2852" t="n">
        <v>13.9</v>
      </c>
      <c r="H2852" t="n">
        <v>0</v>
      </c>
      <c r="I2852" t="n">
        <v>0</v>
      </c>
      <c r="J2852" t="n">
        <v>0</v>
      </c>
      <c r="K2852" t="n">
        <v>0</v>
      </c>
      <c r="L2852" t="n">
        <v>0</v>
      </c>
      <c r="M2852" t="n">
        <v>0</v>
      </c>
      <c r="N2852" t="n">
        <v>0</v>
      </c>
      <c r="O2852" t="n">
        <v>0</v>
      </c>
      <c r="P2852" t="n">
        <v>0</v>
      </c>
      <c r="Q2852" t="n">
        <v>0</v>
      </c>
      <c r="R2852" s="2" t="inlineStr"/>
    </row>
    <row r="2853" ht="15" customHeight="1">
      <c r="A2853" t="inlineStr">
        <is>
          <t>A 8275-2023</t>
        </is>
      </c>
      <c r="B2853" s="1" t="n">
        <v>44974</v>
      </c>
      <c r="C2853" s="1" t="n">
        <v>45811</v>
      </c>
      <c r="D2853" t="inlineStr">
        <is>
          <t>VÄSTMANLANDS LÄN</t>
        </is>
      </c>
      <c r="E2853" t="inlineStr">
        <is>
          <t>KUNGSÖR</t>
        </is>
      </c>
      <c r="F2853" t="inlineStr">
        <is>
          <t>Allmännings- och besparingsskogar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8436-2023</t>
        </is>
      </c>
      <c r="B2854" s="1" t="n">
        <v>44977</v>
      </c>
      <c r="C2854" s="1" t="n">
        <v>45811</v>
      </c>
      <c r="D2854" t="inlineStr">
        <is>
          <t>VÄSTMANLANDS LÄN</t>
        </is>
      </c>
      <c r="E2854" t="inlineStr">
        <is>
          <t>HALLSTAHAMMAR</t>
        </is>
      </c>
      <c r="F2854" t="inlineStr">
        <is>
          <t>Kyrkan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8461-2023</t>
        </is>
      </c>
      <c r="B2855" s="1" t="n">
        <v>44977</v>
      </c>
      <c r="C2855" s="1" t="n">
        <v>45811</v>
      </c>
      <c r="D2855" t="inlineStr">
        <is>
          <t>VÄSTMANLANDS LÄN</t>
        </is>
      </c>
      <c r="E2855" t="inlineStr">
        <is>
          <t>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8543-2023</t>
        </is>
      </c>
      <c r="B2856" s="1" t="n">
        <v>44977</v>
      </c>
      <c r="C2856" s="1" t="n">
        <v>45811</v>
      </c>
      <c r="D2856" t="inlineStr">
        <is>
          <t>VÄSTMANLANDS LÄN</t>
        </is>
      </c>
      <c r="E2856" t="inlineStr">
        <is>
          <t>VÄSTERÅS</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8578-2023</t>
        </is>
      </c>
      <c r="B2857" s="1" t="n">
        <v>44977</v>
      </c>
      <c r="C2857" s="1" t="n">
        <v>45811</v>
      </c>
      <c r="D2857" t="inlineStr">
        <is>
          <t>VÄSTMANLANDS LÄN</t>
        </is>
      </c>
      <c r="E2857" t="inlineStr">
        <is>
          <t>SKINNSKATTEBERG</t>
        </is>
      </c>
      <c r="F2857" t="inlineStr">
        <is>
          <t>Sveaskog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8541-2023</t>
        </is>
      </c>
      <c r="B2858" s="1" t="n">
        <v>44977</v>
      </c>
      <c r="C2858" s="1" t="n">
        <v>45811</v>
      </c>
      <c r="D2858" t="inlineStr">
        <is>
          <t>VÄSTMANLANDS LÄN</t>
        </is>
      </c>
      <c r="E2858" t="inlineStr">
        <is>
          <t>VÄSTERÅS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8476-2023</t>
        </is>
      </c>
      <c r="B2859" s="1" t="n">
        <v>44977</v>
      </c>
      <c r="C2859" s="1" t="n">
        <v>45811</v>
      </c>
      <c r="D2859" t="inlineStr">
        <is>
          <t>VÄSTMANLANDS LÄN</t>
        </is>
      </c>
      <c r="E2859" t="inlineStr">
        <is>
          <t>KÖPING</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8542-2023</t>
        </is>
      </c>
      <c r="B2860" s="1" t="n">
        <v>44977</v>
      </c>
      <c r="C2860" s="1" t="n">
        <v>45811</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8553-2023</t>
        </is>
      </c>
      <c r="B2861" s="1" t="n">
        <v>44977</v>
      </c>
      <c r="C2861" s="1" t="n">
        <v>45811</v>
      </c>
      <c r="D2861" t="inlineStr">
        <is>
          <t>VÄSTMANLANDS LÄN</t>
        </is>
      </c>
      <c r="E2861" t="inlineStr">
        <is>
          <t>SURAHAMMAR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8727-2023</t>
        </is>
      </c>
      <c r="B2862" s="1" t="n">
        <v>44978</v>
      </c>
      <c r="C2862" s="1" t="n">
        <v>45811</v>
      </c>
      <c r="D2862" t="inlineStr">
        <is>
          <t>VÄSTMANLANDS LÄN</t>
        </is>
      </c>
      <c r="E2862" t="inlineStr">
        <is>
          <t>VÄSTERÅS</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8800-2023</t>
        </is>
      </c>
      <c r="B2863" s="1" t="n">
        <v>44978</v>
      </c>
      <c r="C2863" s="1" t="n">
        <v>45811</v>
      </c>
      <c r="D2863" t="inlineStr">
        <is>
          <t>VÄSTMANLANDS LÄN</t>
        </is>
      </c>
      <c r="E2863" t="inlineStr">
        <is>
          <t>VÄSTERÅS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8833-2023</t>
        </is>
      </c>
      <c r="B2864" s="1" t="n">
        <v>44978</v>
      </c>
      <c r="C2864" s="1" t="n">
        <v>45811</v>
      </c>
      <c r="D2864" t="inlineStr">
        <is>
          <t>VÄSTMANLANDS LÄN</t>
        </is>
      </c>
      <c r="E2864" t="inlineStr">
        <is>
          <t>HALLSTAHAMMAR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8766-2023</t>
        </is>
      </c>
      <c r="B2865" s="1" t="n">
        <v>44978</v>
      </c>
      <c r="C2865" s="1" t="n">
        <v>45811</v>
      </c>
      <c r="D2865" t="inlineStr">
        <is>
          <t>VÄSTMANLANDS LÄN</t>
        </is>
      </c>
      <c r="E2865" t="inlineStr">
        <is>
          <t>SALA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8818-2023</t>
        </is>
      </c>
      <c r="B2866" s="1" t="n">
        <v>44978</v>
      </c>
      <c r="C2866" s="1" t="n">
        <v>45811</v>
      </c>
      <c r="D2866" t="inlineStr">
        <is>
          <t>VÄSTMANLANDS LÄN</t>
        </is>
      </c>
      <c r="E2866" t="inlineStr">
        <is>
          <t>ARBOGA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8797-2023</t>
        </is>
      </c>
      <c r="B2867" s="1" t="n">
        <v>44978</v>
      </c>
      <c r="C2867" s="1" t="n">
        <v>45811</v>
      </c>
      <c r="D2867" t="inlineStr">
        <is>
          <t>VÄSTMANLANDS LÄN</t>
        </is>
      </c>
      <c r="E2867" t="inlineStr">
        <is>
          <t>VÄSTERÅS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9051-2023</t>
        </is>
      </c>
      <c r="B2868" s="1" t="n">
        <v>44979</v>
      </c>
      <c r="C2868" s="1" t="n">
        <v>45811</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10749-2023</t>
        </is>
      </c>
      <c r="B2869" s="1" t="n">
        <v>44985</v>
      </c>
      <c r="C2869" s="1" t="n">
        <v>45811</v>
      </c>
      <c r="D2869" t="inlineStr">
        <is>
          <t>VÄSTMANLANDS LÄN</t>
        </is>
      </c>
      <c r="E2869" t="inlineStr">
        <is>
          <t>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10750-2023</t>
        </is>
      </c>
      <c r="B2870" s="1" t="n">
        <v>44985</v>
      </c>
      <c r="C2870" s="1" t="n">
        <v>45811</v>
      </c>
      <c r="D2870" t="inlineStr">
        <is>
          <t>VÄSTMANLANDS LÄN</t>
        </is>
      </c>
      <c r="E2870" t="inlineStr">
        <is>
          <t>KÖPING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10132-2023</t>
        </is>
      </c>
      <c r="B2871" s="1" t="n">
        <v>44986</v>
      </c>
      <c r="C2871" s="1" t="n">
        <v>45811</v>
      </c>
      <c r="D2871" t="inlineStr">
        <is>
          <t>VÄSTMANLANDS LÄN</t>
        </is>
      </c>
      <c r="E2871" t="inlineStr">
        <is>
          <t>ARBOGA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10225-2023</t>
        </is>
      </c>
      <c r="B2872" s="1" t="n">
        <v>44986</v>
      </c>
      <c r="C2872" s="1" t="n">
        <v>45811</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10378-2023</t>
        </is>
      </c>
      <c r="B2873" s="1" t="n">
        <v>44987</v>
      </c>
      <c r="C2873" s="1" t="n">
        <v>45811</v>
      </c>
      <c r="D2873" t="inlineStr">
        <is>
          <t>VÄSTMANLANDS LÄN</t>
        </is>
      </c>
      <c r="E2873" t="inlineStr">
        <is>
          <t>NORBERG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10380-2023</t>
        </is>
      </c>
      <c r="B2874" s="1" t="n">
        <v>44987</v>
      </c>
      <c r="C2874" s="1" t="n">
        <v>45811</v>
      </c>
      <c r="D2874" t="inlineStr">
        <is>
          <t>VÄSTMANLANDS LÄN</t>
        </is>
      </c>
      <c r="E2874" t="inlineStr">
        <is>
          <t>FAGERSTA</t>
        </is>
      </c>
      <c r="F2874" t="inlineStr">
        <is>
          <t>Övriga Aktiebolag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11137-2023</t>
        </is>
      </c>
      <c r="B2875" s="1" t="n">
        <v>44987</v>
      </c>
      <c r="C2875" s="1" t="n">
        <v>45811</v>
      </c>
      <c r="D2875" t="inlineStr">
        <is>
          <t>VÄSTMANLANDS LÄN</t>
        </is>
      </c>
      <c r="E2875" t="inlineStr">
        <is>
          <t>VÄSTERÅS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10617-2023</t>
        </is>
      </c>
      <c r="B2876" s="1" t="n">
        <v>44988</v>
      </c>
      <c r="C2876" s="1" t="n">
        <v>45811</v>
      </c>
      <c r="D2876" t="inlineStr">
        <is>
          <t>VÄSTMANLANDS LÄN</t>
        </is>
      </c>
      <c r="E2876" t="inlineStr">
        <is>
          <t>ARBOGA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11220-2023</t>
        </is>
      </c>
      <c r="B2877" s="1" t="n">
        <v>44988</v>
      </c>
      <c r="C2877" s="1" t="n">
        <v>45811</v>
      </c>
      <c r="D2877" t="inlineStr">
        <is>
          <t>VÄSTMANLANDS LÄN</t>
        </is>
      </c>
      <c r="E2877" t="inlineStr">
        <is>
          <t>KÖPING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11336-2023</t>
        </is>
      </c>
      <c r="B2878" s="1" t="n">
        <v>44988</v>
      </c>
      <c r="C2878" s="1" t="n">
        <v>45811</v>
      </c>
      <c r="D2878" t="inlineStr">
        <is>
          <t>VÄSTMANLANDS LÄN</t>
        </is>
      </c>
      <c r="E2878" t="inlineStr">
        <is>
          <t>VÄSTERÅS</t>
        </is>
      </c>
      <c r="F2878" t="inlineStr">
        <is>
          <t>Övriga Aktiebolag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11384-2023</t>
        </is>
      </c>
      <c r="B2879" s="1" t="n">
        <v>44988</v>
      </c>
      <c r="C2879" s="1" t="n">
        <v>45811</v>
      </c>
      <c r="D2879" t="inlineStr">
        <is>
          <t>VÄSTMANLANDS LÄN</t>
        </is>
      </c>
      <c r="E2879" t="inlineStr">
        <is>
          <t>KÖPING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10877-2023</t>
        </is>
      </c>
      <c r="B2880" s="1" t="n">
        <v>44991</v>
      </c>
      <c r="C2880" s="1" t="n">
        <v>45811</v>
      </c>
      <c r="D2880" t="inlineStr">
        <is>
          <t>VÄSTMANLANDS LÄN</t>
        </is>
      </c>
      <c r="E2880" t="inlineStr">
        <is>
          <t>SURAHAMMAR</t>
        </is>
      </c>
      <c r="F2880" t="inlineStr">
        <is>
          <t>Övriga Aktiebolag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10883-2023</t>
        </is>
      </c>
      <c r="B2881" s="1" t="n">
        <v>44991</v>
      </c>
      <c r="C2881" s="1" t="n">
        <v>45811</v>
      </c>
      <c r="D2881" t="inlineStr">
        <is>
          <t>VÄSTMANLANDS LÄN</t>
        </is>
      </c>
      <c r="E2881" t="inlineStr">
        <is>
          <t>SURAHAMMAR</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10851-2023</t>
        </is>
      </c>
      <c r="B2882" s="1" t="n">
        <v>44991</v>
      </c>
      <c r="C2882" s="1" t="n">
        <v>45811</v>
      </c>
      <c r="D2882" t="inlineStr">
        <is>
          <t>VÄSTMANLANDS LÄN</t>
        </is>
      </c>
      <c r="E2882" t="inlineStr">
        <is>
          <t>FAGERSTA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11463-2023</t>
        </is>
      </c>
      <c r="B2883" s="1" t="n">
        <v>44991</v>
      </c>
      <c r="C2883" s="1" t="n">
        <v>45811</v>
      </c>
      <c r="D2883" t="inlineStr">
        <is>
          <t>VÄSTMANLANDS LÄN</t>
        </is>
      </c>
      <c r="E2883" t="inlineStr">
        <is>
          <t>VÄSTERÅS</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11501-2023</t>
        </is>
      </c>
      <c r="B2884" s="1" t="n">
        <v>44991</v>
      </c>
      <c r="C2884" s="1" t="n">
        <v>45811</v>
      </c>
      <c r="D2884" t="inlineStr">
        <is>
          <t>VÄSTMANLANDS LÄN</t>
        </is>
      </c>
      <c r="E2884" t="inlineStr">
        <is>
          <t>SURAHAMMAR</t>
        </is>
      </c>
      <c r="F2884" t="inlineStr">
        <is>
          <t>Bergvik skog väst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11099-2023</t>
        </is>
      </c>
      <c r="B2885" s="1" t="n">
        <v>44992</v>
      </c>
      <c r="C2885" s="1" t="n">
        <v>45811</v>
      </c>
      <c r="D2885" t="inlineStr">
        <is>
          <t>VÄSTMANLANDS LÄN</t>
        </is>
      </c>
      <c r="E2885" t="inlineStr">
        <is>
          <t>NORBERG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11190-2023</t>
        </is>
      </c>
      <c r="B2886" s="1" t="n">
        <v>44992</v>
      </c>
      <c r="C2886" s="1" t="n">
        <v>45811</v>
      </c>
      <c r="D2886" t="inlineStr">
        <is>
          <t>VÄSTMANLANDS LÄN</t>
        </is>
      </c>
      <c r="E2886" t="inlineStr">
        <is>
          <t>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11166-2023</t>
        </is>
      </c>
      <c r="B2887" s="1" t="n">
        <v>44992</v>
      </c>
      <c r="C2887" s="1" t="n">
        <v>45811</v>
      </c>
      <c r="D2887" t="inlineStr">
        <is>
          <t>VÄSTMANLANDS LÄN</t>
        </is>
      </c>
      <c r="E2887" t="inlineStr">
        <is>
          <t>SALA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11183-2023</t>
        </is>
      </c>
      <c r="B2888" s="1" t="n">
        <v>44992</v>
      </c>
      <c r="C2888" s="1" t="n">
        <v>45811</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11664-2023</t>
        </is>
      </c>
      <c r="B2889" s="1" t="n">
        <v>44992</v>
      </c>
      <c r="C2889" s="1" t="n">
        <v>45811</v>
      </c>
      <c r="D2889" t="inlineStr">
        <is>
          <t>VÄSTMANLANDS LÄN</t>
        </is>
      </c>
      <c r="E2889" t="inlineStr">
        <is>
          <t>NORBERG</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11494-2023</t>
        </is>
      </c>
      <c r="B2890" s="1" t="n">
        <v>44993</v>
      </c>
      <c r="C2890" s="1" t="n">
        <v>45811</v>
      </c>
      <c r="D2890" t="inlineStr">
        <is>
          <t>VÄSTMANLANDS LÄN</t>
        </is>
      </c>
      <c r="E2890" t="inlineStr">
        <is>
          <t>SKINNSKATTEBERG</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11728-2023</t>
        </is>
      </c>
      <c r="B2891" s="1" t="n">
        <v>44993</v>
      </c>
      <c r="C2891" s="1" t="n">
        <v>45811</v>
      </c>
      <c r="D2891" t="inlineStr">
        <is>
          <t>VÄSTMANLANDS LÄN</t>
        </is>
      </c>
      <c r="E2891" t="inlineStr">
        <is>
          <t>SURAHAMMAR</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11631-2023</t>
        </is>
      </c>
      <c r="B2892" s="1" t="n">
        <v>44994</v>
      </c>
      <c r="C2892" s="1" t="n">
        <v>45811</v>
      </c>
      <c r="D2892" t="inlineStr">
        <is>
          <t>VÄSTMANLANDS LÄN</t>
        </is>
      </c>
      <c r="E2892" t="inlineStr">
        <is>
          <t>SALA</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11694-2023</t>
        </is>
      </c>
      <c r="B2893" s="1" t="n">
        <v>44994</v>
      </c>
      <c r="C2893" s="1" t="n">
        <v>45811</v>
      </c>
      <c r="D2893" t="inlineStr">
        <is>
          <t>VÄSTMANLANDS LÄN</t>
        </is>
      </c>
      <c r="E2893" t="inlineStr">
        <is>
          <t>ARBOGA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11691-2023</t>
        </is>
      </c>
      <c r="B2894" s="1" t="n">
        <v>44994</v>
      </c>
      <c r="C2894" s="1" t="n">
        <v>45811</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11748-2023</t>
        </is>
      </c>
      <c r="B2895" s="1" t="n">
        <v>44994</v>
      </c>
      <c r="C2895" s="1" t="n">
        <v>45811</v>
      </c>
      <c r="D2895" t="inlineStr">
        <is>
          <t>VÄSTMANLANDS LÄN</t>
        </is>
      </c>
      <c r="E2895" t="inlineStr">
        <is>
          <t>FAGERSTA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11660-2023</t>
        </is>
      </c>
      <c r="B2896" s="1" t="n">
        <v>44994</v>
      </c>
      <c r="C2896" s="1" t="n">
        <v>45811</v>
      </c>
      <c r="D2896" t="inlineStr">
        <is>
          <t>VÄSTMANLANDS LÄN</t>
        </is>
      </c>
      <c r="E2896" t="inlineStr">
        <is>
          <t>FAGERSTA</t>
        </is>
      </c>
      <c r="F2896" t="inlineStr">
        <is>
          <t>Kommuner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11696-2023</t>
        </is>
      </c>
      <c r="B2897" s="1" t="n">
        <v>44994</v>
      </c>
      <c r="C2897" s="1" t="n">
        <v>45811</v>
      </c>
      <c r="D2897" t="inlineStr">
        <is>
          <t>VÄSTMANLANDS LÄN</t>
        </is>
      </c>
      <c r="E2897" t="inlineStr">
        <is>
          <t>ARBOGA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11757-2023</t>
        </is>
      </c>
      <c r="B2898" s="1" t="n">
        <v>44994</v>
      </c>
      <c r="C2898" s="1" t="n">
        <v>45811</v>
      </c>
      <c r="D2898" t="inlineStr">
        <is>
          <t>VÄSTMANLANDS LÄN</t>
        </is>
      </c>
      <c r="E2898" t="inlineStr">
        <is>
          <t>FAGERSTA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12025-2023</t>
        </is>
      </c>
      <c r="B2899" s="1" t="n">
        <v>44995</v>
      </c>
      <c r="C2899" s="1" t="n">
        <v>45811</v>
      </c>
      <c r="D2899" t="inlineStr">
        <is>
          <t>VÄSTMANLANDS LÄN</t>
        </is>
      </c>
      <c r="E2899" t="inlineStr">
        <is>
          <t>SKINNSKATTEBERG</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12231-2023</t>
        </is>
      </c>
      <c r="B2900" s="1" t="n">
        <v>44995</v>
      </c>
      <c r="C2900" s="1" t="n">
        <v>45811</v>
      </c>
      <c r="D2900" t="inlineStr">
        <is>
          <t>VÄSTMANLANDS LÄN</t>
        </is>
      </c>
      <c r="E2900" t="inlineStr">
        <is>
          <t>SALA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12246-2023</t>
        </is>
      </c>
      <c r="B2901" s="1" t="n">
        <v>44995</v>
      </c>
      <c r="C2901" s="1" t="n">
        <v>45811</v>
      </c>
      <c r="D2901" t="inlineStr">
        <is>
          <t>VÄSTMANLANDS LÄN</t>
        </is>
      </c>
      <c r="E2901" t="inlineStr">
        <is>
          <t>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12272-2023</t>
        </is>
      </c>
      <c r="B2902" s="1" t="n">
        <v>44995</v>
      </c>
      <c r="C2902" s="1" t="n">
        <v>45811</v>
      </c>
      <c r="D2902" t="inlineStr">
        <is>
          <t>VÄSTMANLANDS LÄN</t>
        </is>
      </c>
      <c r="E2902" t="inlineStr">
        <is>
          <t>SALA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11992-2023</t>
        </is>
      </c>
      <c r="B2903" s="1" t="n">
        <v>44995</v>
      </c>
      <c r="C2903" s="1" t="n">
        <v>45811</v>
      </c>
      <c r="D2903" t="inlineStr">
        <is>
          <t>VÄSTMANLANDS LÄN</t>
        </is>
      </c>
      <c r="E2903" t="inlineStr">
        <is>
          <t>SKINNSKATTEBERG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12024-2023</t>
        </is>
      </c>
      <c r="B2904" s="1" t="n">
        <v>44995</v>
      </c>
      <c r="C2904" s="1" t="n">
        <v>45811</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12242-2023</t>
        </is>
      </c>
      <c r="B2905" s="1" t="n">
        <v>44995</v>
      </c>
      <c r="C2905" s="1" t="n">
        <v>45811</v>
      </c>
      <c r="D2905" t="inlineStr">
        <is>
          <t>VÄSTMANLANDS LÄN</t>
        </is>
      </c>
      <c r="E2905" t="inlineStr">
        <is>
          <t>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12252-2023</t>
        </is>
      </c>
      <c r="B2906" s="1" t="n">
        <v>44995</v>
      </c>
      <c r="C2906" s="1" t="n">
        <v>45811</v>
      </c>
      <c r="D2906" t="inlineStr">
        <is>
          <t>VÄSTMANLANDS LÄN</t>
        </is>
      </c>
      <c r="E2906" t="inlineStr">
        <is>
          <t>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12225-2023</t>
        </is>
      </c>
      <c r="B2907" s="1" t="n">
        <v>44995</v>
      </c>
      <c r="C2907" s="1" t="n">
        <v>45811</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12170-2023</t>
        </is>
      </c>
      <c r="B2908" s="1" t="n">
        <v>44998</v>
      </c>
      <c r="C2908" s="1" t="n">
        <v>45811</v>
      </c>
      <c r="D2908" t="inlineStr">
        <is>
          <t>VÄSTMANLANDS LÄN</t>
        </is>
      </c>
      <c r="E2908" t="inlineStr">
        <is>
          <t>NORBERG</t>
        </is>
      </c>
      <c r="F2908" t="inlineStr">
        <is>
          <t>Övriga Aktiebolag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12130-2023</t>
        </is>
      </c>
      <c r="B2909" s="1" t="n">
        <v>44998</v>
      </c>
      <c r="C2909" s="1" t="n">
        <v>45811</v>
      </c>
      <c r="D2909" t="inlineStr">
        <is>
          <t>VÄSTMANLANDS LÄN</t>
        </is>
      </c>
      <c r="E2909" t="inlineStr">
        <is>
          <t>NORBERG</t>
        </is>
      </c>
      <c r="F2909" t="inlineStr">
        <is>
          <t>Övriga Aktiebolag</t>
        </is>
      </c>
      <c r="G2909" t="n">
        <v>14.6</v>
      </c>
      <c r="H2909" t="n">
        <v>0</v>
      </c>
      <c r="I2909" t="n">
        <v>0</v>
      </c>
      <c r="J2909" t="n">
        <v>0</v>
      </c>
      <c r="K2909" t="n">
        <v>0</v>
      </c>
      <c r="L2909" t="n">
        <v>0</v>
      </c>
      <c r="M2909" t="n">
        <v>0</v>
      </c>
      <c r="N2909" t="n">
        <v>0</v>
      </c>
      <c r="O2909" t="n">
        <v>0</v>
      </c>
      <c r="P2909" t="n">
        <v>0</v>
      </c>
      <c r="Q2909" t="n">
        <v>0</v>
      </c>
      <c r="R2909" s="2" t="inlineStr"/>
    </row>
    <row r="2910" ht="15" customHeight="1">
      <c r="A2910" t="inlineStr">
        <is>
          <t>A 12121-2023</t>
        </is>
      </c>
      <c r="B2910" s="1" t="n">
        <v>44998</v>
      </c>
      <c r="C2910" s="1" t="n">
        <v>45811</v>
      </c>
      <c r="D2910" t="inlineStr">
        <is>
          <t>VÄSTMANLANDS LÄN</t>
        </is>
      </c>
      <c r="E2910" t="inlineStr">
        <is>
          <t>FAGERSTA</t>
        </is>
      </c>
      <c r="F2910" t="inlineStr">
        <is>
          <t>Övriga Aktiebolag</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12125-2023</t>
        </is>
      </c>
      <c r="B2911" s="1" t="n">
        <v>44998</v>
      </c>
      <c r="C2911" s="1" t="n">
        <v>45811</v>
      </c>
      <c r="D2911" t="inlineStr">
        <is>
          <t>VÄSTMANLANDS LÄN</t>
        </is>
      </c>
      <c r="E2911" t="inlineStr">
        <is>
          <t>FAGERSTA</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12171-2023</t>
        </is>
      </c>
      <c r="B2912" s="1" t="n">
        <v>44998</v>
      </c>
      <c r="C2912" s="1" t="n">
        <v>45811</v>
      </c>
      <c r="D2912" t="inlineStr">
        <is>
          <t>VÄSTMANLANDS LÄN</t>
        </is>
      </c>
      <c r="E2912" t="inlineStr">
        <is>
          <t>NORBERG</t>
        </is>
      </c>
      <c r="F2912" t="inlineStr">
        <is>
          <t>Övriga Aktiebolag</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12480-2023</t>
        </is>
      </c>
      <c r="B2913" s="1" t="n">
        <v>44999</v>
      </c>
      <c r="C2913" s="1" t="n">
        <v>45811</v>
      </c>
      <c r="D2913" t="inlineStr">
        <is>
          <t>VÄSTMANLANDS LÄN</t>
        </is>
      </c>
      <c r="E2913" t="inlineStr">
        <is>
          <t>VÄSTERÅS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12503-2023</t>
        </is>
      </c>
      <c r="B2914" s="1" t="n">
        <v>44999</v>
      </c>
      <c r="C2914" s="1" t="n">
        <v>45811</v>
      </c>
      <c r="D2914" t="inlineStr">
        <is>
          <t>VÄSTMANLANDS LÄN</t>
        </is>
      </c>
      <c r="E2914" t="inlineStr">
        <is>
          <t>KÖPING</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12509-2023</t>
        </is>
      </c>
      <c r="B2915" s="1" t="n">
        <v>45000</v>
      </c>
      <c r="C2915" s="1" t="n">
        <v>45811</v>
      </c>
      <c r="D2915" t="inlineStr">
        <is>
          <t>VÄSTMANLANDS LÄN</t>
        </is>
      </c>
      <c r="E2915" t="inlineStr">
        <is>
          <t>SALA</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12618-2023</t>
        </is>
      </c>
      <c r="B2916" s="1" t="n">
        <v>44999</v>
      </c>
      <c r="C2916" s="1" t="n">
        <v>45811</v>
      </c>
      <c r="D2916" t="inlineStr">
        <is>
          <t>VÄSTMANLANDS LÄN</t>
        </is>
      </c>
      <c r="E2916" t="inlineStr">
        <is>
          <t>VÄSTERÅS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12510-2023</t>
        </is>
      </c>
      <c r="B2917" s="1" t="n">
        <v>45000</v>
      </c>
      <c r="C2917" s="1" t="n">
        <v>45811</v>
      </c>
      <c r="D2917" t="inlineStr">
        <is>
          <t>VÄSTMANLANDS LÄN</t>
        </is>
      </c>
      <c r="E2917" t="inlineStr">
        <is>
          <t>SALA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12612-2023</t>
        </is>
      </c>
      <c r="B2918" s="1" t="n">
        <v>44999</v>
      </c>
      <c r="C2918" s="1" t="n">
        <v>45811</v>
      </c>
      <c r="D2918" t="inlineStr">
        <is>
          <t>VÄSTMANLANDS LÄN</t>
        </is>
      </c>
      <c r="E2918" t="inlineStr">
        <is>
          <t>VÄSTERÅS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12649-2023</t>
        </is>
      </c>
      <c r="B2919" s="1" t="n">
        <v>44999</v>
      </c>
      <c r="C2919" s="1" t="n">
        <v>45811</v>
      </c>
      <c r="D2919" t="inlineStr">
        <is>
          <t>VÄSTMANLANDS LÄN</t>
        </is>
      </c>
      <c r="E2919" t="inlineStr">
        <is>
          <t>VÄSTERÅS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12650-2023</t>
        </is>
      </c>
      <c r="B2920" s="1" t="n">
        <v>45000</v>
      </c>
      <c r="C2920" s="1" t="n">
        <v>45811</v>
      </c>
      <c r="D2920" t="inlineStr">
        <is>
          <t>VÄSTMANLANDS LÄN</t>
        </is>
      </c>
      <c r="E2920" t="inlineStr">
        <is>
          <t>ARBOGA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12796-2023</t>
        </is>
      </c>
      <c r="B2921" s="1" t="n">
        <v>45001</v>
      </c>
      <c r="C2921" s="1" t="n">
        <v>45811</v>
      </c>
      <c r="D2921" t="inlineStr">
        <is>
          <t>VÄSTMANLANDS LÄN</t>
        </is>
      </c>
      <c r="E2921" t="inlineStr">
        <is>
          <t>NORBERG</t>
        </is>
      </c>
      <c r="G2921" t="n">
        <v>22.4</v>
      </c>
      <c r="H2921" t="n">
        <v>0</v>
      </c>
      <c r="I2921" t="n">
        <v>0</v>
      </c>
      <c r="J2921" t="n">
        <v>0</v>
      </c>
      <c r="K2921" t="n">
        <v>0</v>
      </c>
      <c r="L2921" t="n">
        <v>0</v>
      </c>
      <c r="M2921" t="n">
        <v>0</v>
      </c>
      <c r="N2921" t="n">
        <v>0</v>
      </c>
      <c r="O2921" t="n">
        <v>0</v>
      </c>
      <c r="P2921" t="n">
        <v>0</v>
      </c>
      <c r="Q2921" t="n">
        <v>0</v>
      </c>
      <c r="R2921" s="2" t="inlineStr"/>
    </row>
    <row r="2922" ht="15" customHeight="1">
      <c r="A2922" t="inlineStr">
        <is>
          <t>A 12950-2023</t>
        </is>
      </c>
      <c r="B2922" s="1" t="n">
        <v>45001</v>
      </c>
      <c r="C2922" s="1" t="n">
        <v>45811</v>
      </c>
      <c r="D2922" t="inlineStr">
        <is>
          <t>VÄSTMANLANDS LÄN</t>
        </is>
      </c>
      <c r="E2922" t="inlineStr">
        <is>
          <t>VÄSTERÅS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13146-2023</t>
        </is>
      </c>
      <c r="B2923" s="1" t="n">
        <v>45002</v>
      </c>
      <c r="C2923" s="1" t="n">
        <v>45811</v>
      </c>
      <c r="D2923" t="inlineStr">
        <is>
          <t>VÄSTMANLANDS LÄN</t>
        </is>
      </c>
      <c r="E2923" t="inlineStr">
        <is>
          <t>SALA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13022-2023</t>
        </is>
      </c>
      <c r="B2924" s="1" t="n">
        <v>45002</v>
      </c>
      <c r="C2924" s="1" t="n">
        <v>45811</v>
      </c>
      <c r="D2924" t="inlineStr">
        <is>
          <t>VÄSTMANLANDS LÄN</t>
        </is>
      </c>
      <c r="E2924" t="inlineStr">
        <is>
          <t>SALA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13151-2023</t>
        </is>
      </c>
      <c r="B2925" s="1" t="n">
        <v>45002</v>
      </c>
      <c r="C2925" s="1" t="n">
        <v>45811</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13128-2023</t>
        </is>
      </c>
      <c r="B2926" s="1" t="n">
        <v>45002</v>
      </c>
      <c r="C2926" s="1" t="n">
        <v>45811</v>
      </c>
      <c r="D2926" t="inlineStr">
        <is>
          <t>VÄSTMANLANDS LÄN</t>
        </is>
      </c>
      <c r="E2926" t="inlineStr">
        <is>
          <t>SALA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13153-2023</t>
        </is>
      </c>
      <c r="B2927" s="1" t="n">
        <v>45002</v>
      </c>
      <c r="C2927" s="1" t="n">
        <v>45811</v>
      </c>
      <c r="D2927" t="inlineStr">
        <is>
          <t>VÄSTMANLANDS LÄN</t>
        </is>
      </c>
      <c r="E2927" t="inlineStr">
        <is>
          <t>SALA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13059-2023</t>
        </is>
      </c>
      <c r="B2928" s="1" t="n">
        <v>45002</v>
      </c>
      <c r="C2928" s="1" t="n">
        <v>45811</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13136-2023</t>
        </is>
      </c>
      <c r="B2929" s="1" t="n">
        <v>45002</v>
      </c>
      <c r="C2929" s="1" t="n">
        <v>45811</v>
      </c>
      <c r="D2929" t="inlineStr">
        <is>
          <t>VÄSTMANLANDS LÄN</t>
        </is>
      </c>
      <c r="E2929" t="inlineStr">
        <is>
          <t>ARBOGA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13414-2023</t>
        </is>
      </c>
      <c r="B2930" s="1" t="n">
        <v>45005</v>
      </c>
      <c r="C2930" s="1" t="n">
        <v>45811</v>
      </c>
      <c r="D2930" t="inlineStr">
        <is>
          <t>VÄSTMANLANDS LÄN</t>
        </is>
      </c>
      <c r="E2930" t="inlineStr">
        <is>
          <t>KÖPING</t>
        </is>
      </c>
      <c r="G2930" t="n">
        <v>12.4</v>
      </c>
      <c r="H2930" t="n">
        <v>0</v>
      </c>
      <c r="I2930" t="n">
        <v>0</v>
      </c>
      <c r="J2930" t="n">
        <v>0</v>
      </c>
      <c r="K2930" t="n">
        <v>0</v>
      </c>
      <c r="L2930" t="n">
        <v>0</v>
      </c>
      <c r="M2930" t="n">
        <v>0</v>
      </c>
      <c r="N2930" t="n">
        <v>0</v>
      </c>
      <c r="O2930" t="n">
        <v>0</v>
      </c>
      <c r="P2930" t="n">
        <v>0</v>
      </c>
      <c r="Q2930" t="n">
        <v>0</v>
      </c>
      <c r="R2930" s="2" t="inlineStr"/>
    </row>
    <row r="2931" ht="15" customHeight="1">
      <c r="A2931" t="inlineStr">
        <is>
          <t>A 13454-2023</t>
        </is>
      </c>
      <c r="B2931" s="1" t="n">
        <v>45005</v>
      </c>
      <c r="C2931" s="1" t="n">
        <v>45811</v>
      </c>
      <c r="D2931" t="inlineStr">
        <is>
          <t>VÄSTMANLANDS LÄN</t>
        </is>
      </c>
      <c r="E2931" t="inlineStr">
        <is>
          <t>NORBERG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13453-2023</t>
        </is>
      </c>
      <c r="B2932" s="1" t="n">
        <v>45005</v>
      </c>
      <c r="C2932" s="1" t="n">
        <v>45811</v>
      </c>
      <c r="D2932" t="inlineStr">
        <is>
          <t>VÄSTMANLANDS LÄN</t>
        </is>
      </c>
      <c r="E2932" t="inlineStr">
        <is>
          <t>NORBERG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13479-2023</t>
        </is>
      </c>
      <c r="B2933" s="1" t="n">
        <v>45005</v>
      </c>
      <c r="C2933" s="1" t="n">
        <v>45811</v>
      </c>
      <c r="D2933" t="inlineStr">
        <is>
          <t>VÄSTMANLANDS LÄN</t>
        </is>
      </c>
      <c r="E2933" t="inlineStr">
        <is>
          <t>SURAHAMMAR</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13405-2023</t>
        </is>
      </c>
      <c r="B2934" s="1" t="n">
        <v>45005</v>
      </c>
      <c r="C2934" s="1" t="n">
        <v>45811</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13553-2023</t>
        </is>
      </c>
      <c r="B2935" s="1" t="n">
        <v>45006</v>
      </c>
      <c r="C2935" s="1" t="n">
        <v>45811</v>
      </c>
      <c r="D2935" t="inlineStr">
        <is>
          <t>VÄSTMANLANDS LÄN</t>
        </is>
      </c>
      <c r="E2935" t="inlineStr">
        <is>
          <t>SKINNSKATTEBERG</t>
        </is>
      </c>
      <c r="F2935" t="inlineStr">
        <is>
          <t>Allmännings- och besparingsskogar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13544-2023</t>
        </is>
      </c>
      <c r="B2936" s="1" t="n">
        <v>45006</v>
      </c>
      <c r="C2936" s="1" t="n">
        <v>45811</v>
      </c>
      <c r="D2936" t="inlineStr">
        <is>
          <t>VÄSTMANLANDS LÄN</t>
        </is>
      </c>
      <c r="E2936" t="inlineStr">
        <is>
          <t>KÖPING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13595-2023</t>
        </is>
      </c>
      <c r="B2937" s="1" t="n">
        <v>45006</v>
      </c>
      <c r="C2937" s="1" t="n">
        <v>45811</v>
      </c>
      <c r="D2937" t="inlineStr">
        <is>
          <t>VÄSTMANLANDS LÄN</t>
        </is>
      </c>
      <c r="E2937" t="inlineStr">
        <is>
          <t>ARBOGA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13607-2023</t>
        </is>
      </c>
      <c r="B2938" s="1" t="n">
        <v>45006</v>
      </c>
      <c r="C2938" s="1" t="n">
        <v>45811</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13737-2023</t>
        </is>
      </c>
      <c r="B2939" s="1" t="n">
        <v>45007</v>
      </c>
      <c r="C2939" s="1" t="n">
        <v>45811</v>
      </c>
      <c r="D2939" t="inlineStr">
        <is>
          <t>VÄSTMANLANDS LÄN</t>
        </is>
      </c>
      <c r="E2939" t="inlineStr">
        <is>
          <t>ARBOGA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13857-2023</t>
        </is>
      </c>
      <c r="B2940" s="1" t="n">
        <v>45007</v>
      </c>
      <c r="C2940" s="1" t="n">
        <v>45811</v>
      </c>
      <c r="D2940" t="inlineStr">
        <is>
          <t>VÄSTMANLANDS LÄN</t>
        </is>
      </c>
      <c r="E2940" t="inlineStr">
        <is>
          <t>SALA</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13833-2023</t>
        </is>
      </c>
      <c r="B2941" s="1" t="n">
        <v>45007</v>
      </c>
      <c r="C2941" s="1" t="n">
        <v>45811</v>
      </c>
      <c r="D2941" t="inlineStr">
        <is>
          <t>VÄSTMANLANDS LÄN</t>
        </is>
      </c>
      <c r="E2941" t="inlineStr">
        <is>
          <t>SALA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13855-2023</t>
        </is>
      </c>
      <c r="B2942" s="1" t="n">
        <v>45007</v>
      </c>
      <c r="C2942" s="1" t="n">
        <v>45811</v>
      </c>
      <c r="D2942" t="inlineStr">
        <is>
          <t>VÄSTMANLANDS LÄN</t>
        </is>
      </c>
      <c r="E2942" t="inlineStr">
        <is>
          <t>SALA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14033-2023</t>
        </is>
      </c>
      <c r="B2943" s="1" t="n">
        <v>45007</v>
      </c>
      <c r="C2943" s="1" t="n">
        <v>45811</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13990-2023</t>
        </is>
      </c>
      <c r="B2944" s="1" t="n">
        <v>45007</v>
      </c>
      <c r="C2944" s="1" t="n">
        <v>45811</v>
      </c>
      <c r="D2944" t="inlineStr">
        <is>
          <t>VÄSTMANLANDS LÄN</t>
        </is>
      </c>
      <c r="E2944" t="inlineStr">
        <is>
          <t>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13987-2023</t>
        </is>
      </c>
      <c r="B2945" s="1" t="n">
        <v>45007</v>
      </c>
      <c r="C2945" s="1" t="n">
        <v>45811</v>
      </c>
      <c r="D2945" t="inlineStr">
        <is>
          <t>VÄSTMANLANDS LÄN</t>
        </is>
      </c>
      <c r="E2945" t="inlineStr">
        <is>
          <t>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13904-2023</t>
        </is>
      </c>
      <c r="B2946" s="1" t="n">
        <v>45008</v>
      </c>
      <c r="C2946" s="1" t="n">
        <v>45811</v>
      </c>
      <c r="D2946" t="inlineStr">
        <is>
          <t>VÄSTMANLANDS LÄN</t>
        </is>
      </c>
      <c r="E2946" t="inlineStr">
        <is>
          <t>NORBERG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13935-2023</t>
        </is>
      </c>
      <c r="B2947" s="1" t="n">
        <v>45008</v>
      </c>
      <c r="C2947" s="1" t="n">
        <v>45811</v>
      </c>
      <c r="D2947" t="inlineStr">
        <is>
          <t>VÄSTMANLANDS LÄN</t>
        </is>
      </c>
      <c r="E2947" t="inlineStr">
        <is>
          <t>SALA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14034-2023</t>
        </is>
      </c>
      <c r="B2948" s="1" t="n">
        <v>45008</v>
      </c>
      <c r="C2948" s="1" t="n">
        <v>45811</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14172-2023</t>
        </is>
      </c>
      <c r="B2949" s="1" t="n">
        <v>45009</v>
      </c>
      <c r="C2949" s="1" t="n">
        <v>45811</v>
      </c>
      <c r="D2949" t="inlineStr">
        <is>
          <t>VÄSTMANLANDS LÄN</t>
        </is>
      </c>
      <c r="E2949" t="inlineStr">
        <is>
          <t>SKINNSKATTEBERG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14230-2023</t>
        </is>
      </c>
      <c r="B2950" s="1" t="n">
        <v>45009</v>
      </c>
      <c r="C2950" s="1" t="n">
        <v>45811</v>
      </c>
      <c r="D2950" t="inlineStr">
        <is>
          <t>VÄSTMANLANDS LÄN</t>
        </is>
      </c>
      <c r="E2950" t="inlineStr">
        <is>
          <t>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14414-2023</t>
        </is>
      </c>
      <c r="B2951" s="1" t="n">
        <v>45012</v>
      </c>
      <c r="C2951" s="1" t="n">
        <v>45811</v>
      </c>
      <c r="D2951" t="inlineStr">
        <is>
          <t>VÄSTMANLANDS LÄN</t>
        </is>
      </c>
      <c r="E2951" t="inlineStr">
        <is>
          <t>ARBOGA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14413-2023</t>
        </is>
      </c>
      <c r="B2952" s="1" t="n">
        <v>45012</v>
      </c>
      <c r="C2952" s="1" t="n">
        <v>45811</v>
      </c>
      <c r="D2952" t="inlineStr">
        <is>
          <t>VÄSTMANLANDS LÄN</t>
        </is>
      </c>
      <c r="E2952" t="inlineStr">
        <is>
          <t>ARBOGA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14420-2023</t>
        </is>
      </c>
      <c r="B2953" s="1" t="n">
        <v>45012</v>
      </c>
      <c r="C2953" s="1" t="n">
        <v>45811</v>
      </c>
      <c r="D2953" t="inlineStr">
        <is>
          <t>VÄSTMANLANDS LÄN</t>
        </is>
      </c>
      <c r="E2953" t="inlineStr">
        <is>
          <t>ARBOGA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14626-2023</t>
        </is>
      </c>
      <c r="B2954" s="1" t="n">
        <v>45012</v>
      </c>
      <c r="C2954" s="1" t="n">
        <v>45811</v>
      </c>
      <c r="D2954" t="inlineStr">
        <is>
          <t>VÄSTMANLANDS LÄN</t>
        </is>
      </c>
      <c r="E2954" t="inlineStr">
        <is>
          <t>SURAHAMMAR</t>
        </is>
      </c>
      <c r="F2954" t="inlineStr">
        <is>
          <t>Bergvik skog väst AB</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14578-2023</t>
        </is>
      </c>
      <c r="B2955" s="1" t="n">
        <v>45013</v>
      </c>
      <c r="C2955" s="1" t="n">
        <v>45811</v>
      </c>
      <c r="D2955" t="inlineStr">
        <is>
          <t>VÄSTMANLANDS LÄN</t>
        </is>
      </c>
      <c r="E2955" t="inlineStr">
        <is>
          <t>SALA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14583-2023</t>
        </is>
      </c>
      <c r="B2956" s="1" t="n">
        <v>45013</v>
      </c>
      <c r="C2956" s="1" t="n">
        <v>45811</v>
      </c>
      <c r="D2956" t="inlineStr">
        <is>
          <t>VÄSTMANLANDS LÄN</t>
        </is>
      </c>
      <c r="E2956" t="inlineStr">
        <is>
          <t>SURAHAMMAR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14617-2023</t>
        </is>
      </c>
      <c r="B2957" s="1" t="n">
        <v>45013</v>
      </c>
      <c r="C2957" s="1" t="n">
        <v>45811</v>
      </c>
      <c r="D2957" t="inlineStr">
        <is>
          <t>VÄSTMANLANDS LÄN</t>
        </is>
      </c>
      <c r="E2957" t="inlineStr">
        <is>
          <t>NORBERG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14566-2023</t>
        </is>
      </c>
      <c r="B2958" s="1" t="n">
        <v>45013</v>
      </c>
      <c r="C2958" s="1" t="n">
        <v>45811</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14616-2023</t>
        </is>
      </c>
      <c r="B2959" s="1" t="n">
        <v>45013</v>
      </c>
      <c r="C2959" s="1" t="n">
        <v>45811</v>
      </c>
      <c r="D2959" t="inlineStr">
        <is>
          <t>VÄSTMANLANDS LÄN</t>
        </is>
      </c>
      <c r="E2959" t="inlineStr">
        <is>
          <t>NORBERG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14827-2023</t>
        </is>
      </c>
      <c r="B2960" s="1" t="n">
        <v>45013</v>
      </c>
      <c r="C2960" s="1" t="n">
        <v>45811</v>
      </c>
      <c r="D2960" t="inlineStr">
        <is>
          <t>VÄSTMANLANDS LÄN</t>
        </is>
      </c>
      <c r="E2960" t="inlineStr">
        <is>
          <t>NORBERG</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14711-2023</t>
        </is>
      </c>
      <c r="B2961" s="1" t="n">
        <v>45014</v>
      </c>
      <c r="C2961" s="1" t="n">
        <v>45811</v>
      </c>
      <c r="D2961" t="inlineStr">
        <is>
          <t>VÄSTMANLANDS LÄN</t>
        </is>
      </c>
      <c r="E2961" t="inlineStr">
        <is>
          <t>SKINNSKATTEBERG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14717-2023</t>
        </is>
      </c>
      <c r="B2962" s="1" t="n">
        <v>45014</v>
      </c>
      <c r="C2962" s="1" t="n">
        <v>45811</v>
      </c>
      <c r="D2962" t="inlineStr">
        <is>
          <t>VÄSTMANLANDS LÄN</t>
        </is>
      </c>
      <c r="E2962" t="inlineStr">
        <is>
          <t>SKINNSKATTEBERG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14733-2023</t>
        </is>
      </c>
      <c r="B2963" s="1" t="n">
        <v>45014</v>
      </c>
      <c r="C2963" s="1" t="n">
        <v>45811</v>
      </c>
      <c r="D2963" t="inlineStr">
        <is>
          <t>VÄSTMANLANDS LÄN</t>
        </is>
      </c>
      <c r="E2963" t="inlineStr">
        <is>
          <t>SKINNSKATTEBERG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14719-2023</t>
        </is>
      </c>
      <c r="B2964" s="1" t="n">
        <v>45014</v>
      </c>
      <c r="C2964" s="1" t="n">
        <v>45811</v>
      </c>
      <c r="D2964" t="inlineStr">
        <is>
          <t>VÄSTMANLANDS LÄN</t>
        </is>
      </c>
      <c r="E2964" t="inlineStr">
        <is>
          <t>SKINNSKATTEBERG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14736-2023</t>
        </is>
      </c>
      <c r="B2965" s="1" t="n">
        <v>45014</v>
      </c>
      <c r="C2965" s="1" t="n">
        <v>45811</v>
      </c>
      <c r="D2965" t="inlineStr">
        <is>
          <t>VÄSTMANLANDS LÄN</t>
        </is>
      </c>
      <c r="E2965" t="inlineStr">
        <is>
          <t>SKINNSKATTEBERG</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14823-2023</t>
        </is>
      </c>
      <c r="B2966" s="1" t="n">
        <v>45014</v>
      </c>
      <c r="C2966" s="1" t="n">
        <v>45811</v>
      </c>
      <c r="D2966" t="inlineStr">
        <is>
          <t>VÄSTMANLANDS LÄN</t>
        </is>
      </c>
      <c r="E2966" t="inlineStr">
        <is>
          <t>SALA</t>
        </is>
      </c>
      <c r="F2966" t="inlineStr">
        <is>
          <t>Kyrkan</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14790-2023</t>
        </is>
      </c>
      <c r="B2967" s="1" t="n">
        <v>45014</v>
      </c>
      <c r="C2967" s="1" t="n">
        <v>45811</v>
      </c>
      <c r="D2967" t="inlineStr">
        <is>
          <t>VÄSTMANLANDS LÄN</t>
        </is>
      </c>
      <c r="E2967" t="inlineStr">
        <is>
          <t>SALA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14903-2023</t>
        </is>
      </c>
      <c r="B2968" s="1" t="n">
        <v>45014</v>
      </c>
      <c r="C2968" s="1" t="n">
        <v>45811</v>
      </c>
      <c r="D2968" t="inlineStr">
        <is>
          <t>VÄSTMANLANDS LÄN</t>
        </is>
      </c>
      <c r="E2968" t="inlineStr">
        <is>
          <t>NORBERG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14904-2023</t>
        </is>
      </c>
      <c r="B2969" s="1" t="n">
        <v>45014</v>
      </c>
      <c r="C2969" s="1" t="n">
        <v>45811</v>
      </c>
      <c r="D2969" t="inlineStr">
        <is>
          <t>VÄSTMANLANDS LÄN</t>
        </is>
      </c>
      <c r="E2969" t="inlineStr">
        <is>
          <t>NORBERG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15042-2023</t>
        </is>
      </c>
      <c r="B2970" s="1" t="n">
        <v>45015</v>
      </c>
      <c r="C2970" s="1" t="n">
        <v>45811</v>
      </c>
      <c r="D2970" t="inlineStr">
        <is>
          <t>VÄSTMANLANDS LÄN</t>
        </is>
      </c>
      <c r="E2970" t="inlineStr">
        <is>
          <t>VÄSTERÅS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15083-2023</t>
        </is>
      </c>
      <c r="B2971" s="1" t="n">
        <v>45016</v>
      </c>
      <c r="C2971" s="1" t="n">
        <v>45811</v>
      </c>
      <c r="D2971" t="inlineStr">
        <is>
          <t>VÄSTMANLANDS LÄN</t>
        </is>
      </c>
      <c r="E2971" t="inlineStr">
        <is>
          <t>NORBERG</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15084-2023</t>
        </is>
      </c>
      <c r="B2972" s="1" t="n">
        <v>45016</v>
      </c>
      <c r="C2972" s="1" t="n">
        <v>45811</v>
      </c>
      <c r="D2972" t="inlineStr">
        <is>
          <t>VÄSTMANLANDS LÄN</t>
        </is>
      </c>
      <c r="E2972" t="inlineStr">
        <is>
          <t>NORBERG</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15098-2023</t>
        </is>
      </c>
      <c r="B2973" s="1" t="n">
        <v>45016</v>
      </c>
      <c r="C2973" s="1" t="n">
        <v>45811</v>
      </c>
      <c r="D2973" t="inlineStr">
        <is>
          <t>VÄSTMANLANDS LÄN</t>
        </is>
      </c>
      <c r="E2973" t="inlineStr">
        <is>
          <t>NORBERG</t>
        </is>
      </c>
      <c r="F2973" t="inlineStr">
        <is>
          <t>Övriga Aktiebolag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15350-2023</t>
        </is>
      </c>
      <c r="B2974" s="1" t="n">
        <v>45019</v>
      </c>
      <c r="C2974" s="1" t="n">
        <v>45811</v>
      </c>
      <c r="D2974" t="inlineStr">
        <is>
          <t>VÄSTMANLANDS LÄN</t>
        </is>
      </c>
      <c r="E2974" t="inlineStr">
        <is>
          <t>VÄSTERÅS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15329-2023</t>
        </is>
      </c>
      <c r="B2975" s="1" t="n">
        <v>45019</v>
      </c>
      <c r="C2975" s="1" t="n">
        <v>45811</v>
      </c>
      <c r="D2975" t="inlineStr">
        <is>
          <t>VÄSTMANLANDS LÄN</t>
        </is>
      </c>
      <c r="E2975" t="inlineStr">
        <is>
          <t>VÄSTERÅS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15348-2023</t>
        </is>
      </c>
      <c r="B2976" s="1" t="n">
        <v>45019</v>
      </c>
      <c r="C2976" s="1" t="n">
        <v>45811</v>
      </c>
      <c r="D2976" t="inlineStr">
        <is>
          <t>VÄSTMANLANDS LÄN</t>
        </is>
      </c>
      <c r="E2976" t="inlineStr">
        <is>
          <t>VÄSTERÅS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15297-2023</t>
        </is>
      </c>
      <c r="B2977" s="1" t="n">
        <v>45019</v>
      </c>
      <c r="C2977" s="1" t="n">
        <v>45811</v>
      </c>
      <c r="D2977" t="inlineStr">
        <is>
          <t>VÄSTMANLANDS LÄN</t>
        </is>
      </c>
      <c r="E2977" t="inlineStr">
        <is>
          <t>FAGERSTA</t>
        </is>
      </c>
      <c r="F2977" t="inlineStr">
        <is>
          <t>Övriga Aktiebolag</t>
        </is>
      </c>
      <c r="G2977" t="n">
        <v>26.3</v>
      </c>
      <c r="H2977" t="n">
        <v>0</v>
      </c>
      <c r="I2977" t="n">
        <v>0</v>
      </c>
      <c r="J2977" t="n">
        <v>0</v>
      </c>
      <c r="K2977" t="n">
        <v>0</v>
      </c>
      <c r="L2977" t="n">
        <v>0</v>
      </c>
      <c r="M2977" t="n">
        <v>0</v>
      </c>
      <c r="N2977" t="n">
        <v>0</v>
      </c>
      <c r="O2977" t="n">
        <v>0</v>
      </c>
      <c r="P2977" t="n">
        <v>0</v>
      </c>
      <c r="Q2977" t="n">
        <v>0</v>
      </c>
      <c r="R2977" s="2" t="inlineStr"/>
    </row>
    <row r="2978" ht="15" customHeight="1">
      <c r="A2978" t="inlineStr">
        <is>
          <t>A 15330-2023</t>
        </is>
      </c>
      <c r="B2978" s="1" t="n">
        <v>45019</v>
      </c>
      <c r="C2978" s="1" t="n">
        <v>45811</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15355-2023</t>
        </is>
      </c>
      <c r="B2979" s="1" t="n">
        <v>45019</v>
      </c>
      <c r="C2979" s="1" t="n">
        <v>45811</v>
      </c>
      <c r="D2979" t="inlineStr">
        <is>
          <t>VÄSTMANLANDS LÄN</t>
        </is>
      </c>
      <c r="E2979" t="inlineStr">
        <is>
          <t>VÄSTERÅS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15431-2023</t>
        </is>
      </c>
      <c r="B2980" s="1" t="n">
        <v>45020</v>
      </c>
      <c r="C2980" s="1" t="n">
        <v>45811</v>
      </c>
      <c r="D2980" t="inlineStr">
        <is>
          <t>VÄSTMANLANDS LÄN</t>
        </is>
      </c>
      <c r="E2980" t="inlineStr">
        <is>
          <t>NORBERG</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15589-2023</t>
        </is>
      </c>
      <c r="B2981" s="1" t="n">
        <v>45020</v>
      </c>
      <c r="C2981" s="1" t="n">
        <v>45811</v>
      </c>
      <c r="D2981" t="inlineStr">
        <is>
          <t>VÄSTMANLANDS LÄN</t>
        </is>
      </c>
      <c r="E2981" t="inlineStr">
        <is>
          <t>SALA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15429-2023</t>
        </is>
      </c>
      <c r="B2982" s="1" t="n">
        <v>45020</v>
      </c>
      <c r="C2982" s="1" t="n">
        <v>45811</v>
      </c>
      <c r="D2982" t="inlineStr">
        <is>
          <t>VÄSTMANLANDS LÄN</t>
        </is>
      </c>
      <c r="E2982" t="inlineStr">
        <is>
          <t>NORBERG</t>
        </is>
      </c>
      <c r="F2982" t="inlineStr">
        <is>
          <t>Övriga Aktiebolag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15584-2023</t>
        </is>
      </c>
      <c r="B2983" s="1" t="n">
        <v>45020</v>
      </c>
      <c r="C2983" s="1" t="n">
        <v>45811</v>
      </c>
      <c r="D2983" t="inlineStr">
        <is>
          <t>VÄSTMANLANDS LÄN</t>
        </is>
      </c>
      <c r="E2983" t="inlineStr">
        <is>
          <t>SALA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15743-2023</t>
        </is>
      </c>
      <c r="B2984" s="1" t="n">
        <v>45021</v>
      </c>
      <c r="C2984" s="1" t="n">
        <v>45811</v>
      </c>
      <c r="D2984" t="inlineStr">
        <is>
          <t>VÄSTMANLANDS LÄN</t>
        </is>
      </c>
      <c r="E2984" t="inlineStr">
        <is>
          <t>SURAHAMMAR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15739-2023</t>
        </is>
      </c>
      <c r="B2985" s="1" t="n">
        <v>45021</v>
      </c>
      <c r="C2985" s="1" t="n">
        <v>45811</v>
      </c>
      <c r="D2985" t="inlineStr">
        <is>
          <t>VÄSTMANLANDS LÄN</t>
        </is>
      </c>
      <c r="E2985" t="inlineStr">
        <is>
          <t>SURAHAMMAR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15772-2023</t>
        </is>
      </c>
      <c r="B2986" s="1" t="n">
        <v>45021</v>
      </c>
      <c r="C2986" s="1" t="n">
        <v>45811</v>
      </c>
      <c r="D2986" t="inlineStr">
        <is>
          <t>VÄSTMANLANDS LÄN</t>
        </is>
      </c>
      <c r="E2986" t="inlineStr">
        <is>
          <t>VÄSTERÅS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15768-2023</t>
        </is>
      </c>
      <c r="B2987" s="1" t="n">
        <v>45021</v>
      </c>
      <c r="C2987" s="1" t="n">
        <v>45811</v>
      </c>
      <c r="D2987" t="inlineStr">
        <is>
          <t>VÄSTMANLANDS LÄN</t>
        </is>
      </c>
      <c r="E2987" t="inlineStr">
        <is>
          <t>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15811-2023</t>
        </is>
      </c>
      <c r="B2988" s="1" t="n">
        <v>45021</v>
      </c>
      <c r="C2988" s="1" t="n">
        <v>45811</v>
      </c>
      <c r="D2988" t="inlineStr">
        <is>
          <t>VÄSTMANLANDS LÄN</t>
        </is>
      </c>
      <c r="E2988" t="inlineStr">
        <is>
          <t>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15657-2023</t>
        </is>
      </c>
      <c r="B2989" s="1" t="n">
        <v>45021</v>
      </c>
      <c r="C2989" s="1" t="n">
        <v>45811</v>
      </c>
      <c r="D2989" t="inlineStr">
        <is>
          <t>VÄSTMANLANDS LÄN</t>
        </is>
      </c>
      <c r="E2989" t="inlineStr">
        <is>
          <t>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15766-2023</t>
        </is>
      </c>
      <c r="B2990" s="1" t="n">
        <v>45021</v>
      </c>
      <c r="C2990" s="1" t="n">
        <v>45811</v>
      </c>
      <c r="D2990" t="inlineStr">
        <is>
          <t>VÄSTMANLANDS LÄN</t>
        </is>
      </c>
      <c r="E2990" t="inlineStr">
        <is>
          <t>VÄSTERÅS</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16103-2023</t>
        </is>
      </c>
      <c r="B2991" s="1" t="n">
        <v>45021</v>
      </c>
      <c r="C2991" s="1" t="n">
        <v>45811</v>
      </c>
      <c r="D2991" t="inlineStr">
        <is>
          <t>VÄSTMANLANDS LÄN</t>
        </is>
      </c>
      <c r="E2991" t="inlineStr">
        <is>
          <t>NORBERG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16105-2023</t>
        </is>
      </c>
      <c r="B2992" s="1" t="n">
        <v>45021</v>
      </c>
      <c r="C2992" s="1" t="n">
        <v>45811</v>
      </c>
      <c r="D2992" t="inlineStr">
        <is>
          <t>VÄSTMANLANDS LÄN</t>
        </is>
      </c>
      <c r="E2992" t="inlineStr">
        <is>
          <t>NORBERG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15945-2023</t>
        </is>
      </c>
      <c r="B2993" s="1" t="n">
        <v>45022</v>
      </c>
      <c r="C2993" s="1" t="n">
        <v>45811</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16003-2023</t>
        </is>
      </c>
      <c r="B2994" s="1" t="n">
        <v>45024</v>
      </c>
      <c r="C2994" s="1" t="n">
        <v>45811</v>
      </c>
      <c r="D2994" t="inlineStr">
        <is>
          <t>VÄSTMANLANDS LÄN</t>
        </is>
      </c>
      <c r="E2994" t="inlineStr">
        <is>
          <t>SALA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16002-2023</t>
        </is>
      </c>
      <c r="B2995" s="1" t="n">
        <v>45024</v>
      </c>
      <c r="C2995" s="1" t="n">
        <v>45811</v>
      </c>
      <c r="D2995" t="inlineStr">
        <is>
          <t>VÄSTMANLANDS LÄN</t>
        </is>
      </c>
      <c r="E2995" t="inlineStr">
        <is>
          <t>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16013-2023</t>
        </is>
      </c>
      <c r="B2996" s="1" t="n">
        <v>45026</v>
      </c>
      <c r="C2996" s="1" t="n">
        <v>45811</v>
      </c>
      <c r="D2996" t="inlineStr">
        <is>
          <t>VÄSTMANLANDS LÄN</t>
        </is>
      </c>
      <c r="E2996" t="inlineStr">
        <is>
          <t>SURAHAMMAR</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16039-2023</t>
        </is>
      </c>
      <c r="B2997" s="1" t="n">
        <v>45027</v>
      </c>
      <c r="C2997" s="1" t="n">
        <v>45811</v>
      </c>
      <c r="D2997" t="inlineStr">
        <is>
          <t>VÄSTMANLANDS LÄN</t>
        </is>
      </c>
      <c r="E2997" t="inlineStr">
        <is>
          <t>VÄSTERÅS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16035-2023</t>
        </is>
      </c>
      <c r="B2998" s="1" t="n">
        <v>45027</v>
      </c>
      <c r="C2998" s="1" t="n">
        <v>45811</v>
      </c>
      <c r="D2998" t="inlineStr">
        <is>
          <t>VÄSTMANLANDS LÄN</t>
        </is>
      </c>
      <c r="E2998" t="inlineStr">
        <is>
          <t>VÄSTERÅS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16037-2023</t>
        </is>
      </c>
      <c r="B2999" s="1" t="n">
        <v>45027</v>
      </c>
      <c r="C2999" s="1" t="n">
        <v>45811</v>
      </c>
      <c r="D2999" t="inlineStr">
        <is>
          <t>VÄSTMANLANDS LÄN</t>
        </is>
      </c>
      <c r="E2999" t="inlineStr">
        <is>
          <t>VÄSTERÅS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16041-2023</t>
        </is>
      </c>
      <c r="B3000" s="1" t="n">
        <v>45027</v>
      </c>
      <c r="C3000" s="1" t="n">
        <v>45811</v>
      </c>
      <c r="D3000" t="inlineStr">
        <is>
          <t>VÄSTMANLANDS LÄN</t>
        </is>
      </c>
      <c r="E3000" t="inlineStr">
        <is>
          <t>SALA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16033-2023</t>
        </is>
      </c>
      <c r="B3001" s="1" t="n">
        <v>45027</v>
      </c>
      <c r="C3001" s="1" t="n">
        <v>45811</v>
      </c>
      <c r="D3001" t="inlineStr">
        <is>
          <t>VÄSTMANLANDS LÄN</t>
        </is>
      </c>
      <c r="E3001" t="inlineStr">
        <is>
          <t>VÄSTERÅS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16142-2023</t>
        </is>
      </c>
      <c r="B3002" s="1" t="n">
        <v>45027</v>
      </c>
      <c r="C3002" s="1" t="n">
        <v>45811</v>
      </c>
      <c r="D3002" t="inlineStr">
        <is>
          <t>VÄSTMANLANDS LÄN</t>
        </is>
      </c>
      <c r="E3002" t="inlineStr">
        <is>
          <t>SALA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16083-2023</t>
        </is>
      </c>
      <c r="B3003" s="1" t="n">
        <v>45027</v>
      </c>
      <c r="C3003" s="1" t="n">
        <v>45811</v>
      </c>
      <c r="D3003" t="inlineStr">
        <is>
          <t>VÄSTMANLANDS LÄN</t>
        </is>
      </c>
      <c r="E3003" t="inlineStr">
        <is>
          <t>SALA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16172-2023</t>
        </is>
      </c>
      <c r="B3004" s="1" t="n">
        <v>45027</v>
      </c>
      <c r="C3004" s="1" t="n">
        <v>45811</v>
      </c>
      <c r="D3004" t="inlineStr">
        <is>
          <t>VÄSTMANLANDS LÄN</t>
        </is>
      </c>
      <c r="E3004" t="inlineStr">
        <is>
          <t>VÄSTERÅS</t>
        </is>
      </c>
      <c r="F3004" t="inlineStr">
        <is>
          <t>Kommuner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16638-2023</t>
        </is>
      </c>
      <c r="B3005" s="1" t="n">
        <v>45027</v>
      </c>
      <c r="C3005" s="1" t="n">
        <v>45811</v>
      </c>
      <c r="D3005" t="inlineStr">
        <is>
          <t>VÄSTMANLANDS LÄN</t>
        </is>
      </c>
      <c r="E3005" t="inlineStr">
        <is>
          <t>SALA</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16355-2023</t>
        </is>
      </c>
      <c r="B3006" s="1" t="n">
        <v>45028</v>
      </c>
      <c r="C3006" s="1" t="n">
        <v>45811</v>
      </c>
      <c r="D3006" t="inlineStr">
        <is>
          <t>VÄSTMANLANDS LÄN</t>
        </is>
      </c>
      <c r="E3006" t="inlineStr">
        <is>
          <t>VÄSTERÅS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16225-2023</t>
        </is>
      </c>
      <c r="B3007" s="1" t="n">
        <v>45028</v>
      </c>
      <c r="C3007" s="1" t="n">
        <v>45811</v>
      </c>
      <c r="D3007" t="inlineStr">
        <is>
          <t>VÄSTMANLANDS LÄN</t>
        </is>
      </c>
      <c r="E3007" t="inlineStr">
        <is>
          <t>NORBERG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16214-2023</t>
        </is>
      </c>
      <c r="B3008" s="1" t="n">
        <v>45028</v>
      </c>
      <c r="C3008" s="1" t="n">
        <v>45811</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16262-2023</t>
        </is>
      </c>
      <c r="B3009" s="1" t="n">
        <v>45028</v>
      </c>
      <c r="C3009" s="1" t="n">
        <v>45811</v>
      </c>
      <c r="D3009" t="inlineStr">
        <is>
          <t>VÄSTMANLANDS LÄN</t>
        </is>
      </c>
      <c r="E3009" t="inlineStr">
        <is>
          <t>VÄSTERÅS</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16351-2023</t>
        </is>
      </c>
      <c r="B3010" s="1" t="n">
        <v>45028</v>
      </c>
      <c r="C3010" s="1" t="n">
        <v>45811</v>
      </c>
      <c r="D3010" t="inlineStr">
        <is>
          <t>VÄSTMANLANDS LÄN</t>
        </is>
      </c>
      <c r="E3010" t="inlineStr">
        <is>
          <t>KUNGSÖR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16356-2023</t>
        </is>
      </c>
      <c r="B3011" s="1" t="n">
        <v>45028</v>
      </c>
      <c r="C3011" s="1" t="n">
        <v>45811</v>
      </c>
      <c r="D3011" t="inlineStr">
        <is>
          <t>VÄSTMANLANDS LÄN</t>
        </is>
      </c>
      <c r="E3011" t="inlineStr">
        <is>
          <t>VÄSTERÅS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16693-2023</t>
        </is>
      </c>
      <c r="B3012" s="1" t="n">
        <v>45028</v>
      </c>
      <c r="C3012" s="1" t="n">
        <v>45811</v>
      </c>
      <c r="D3012" t="inlineStr">
        <is>
          <t>VÄSTMANLANDS LÄN</t>
        </is>
      </c>
      <c r="E3012" t="inlineStr">
        <is>
          <t>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16396-2023</t>
        </is>
      </c>
      <c r="B3013" s="1" t="n">
        <v>45029</v>
      </c>
      <c r="C3013" s="1" t="n">
        <v>45811</v>
      </c>
      <c r="D3013" t="inlineStr">
        <is>
          <t>VÄSTMANLANDS LÄN</t>
        </is>
      </c>
      <c r="E3013" t="inlineStr">
        <is>
          <t>NORBERG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16546-2023</t>
        </is>
      </c>
      <c r="B3014" s="1" t="n">
        <v>45029</v>
      </c>
      <c r="C3014" s="1" t="n">
        <v>45811</v>
      </c>
      <c r="D3014" t="inlineStr">
        <is>
          <t>VÄSTMANLANDS LÄN</t>
        </is>
      </c>
      <c r="E3014" t="inlineStr">
        <is>
          <t>SALA</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16543-2023</t>
        </is>
      </c>
      <c r="B3015" s="1" t="n">
        <v>45029</v>
      </c>
      <c r="C3015" s="1" t="n">
        <v>45811</v>
      </c>
      <c r="D3015" t="inlineStr">
        <is>
          <t>VÄSTMANLANDS LÄN</t>
        </is>
      </c>
      <c r="E3015" t="inlineStr">
        <is>
          <t>SALA</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16953-2023</t>
        </is>
      </c>
      <c r="B3016" s="1" t="n">
        <v>45029</v>
      </c>
      <c r="C3016" s="1" t="n">
        <v>45811</v>
      </c>
      <c r="D3016" t="inlineStr">
        <is>
          <t>VÄSTMANLANDS LÄN</t>
        </is>
      </c>
      <c r="E3016" t="inlineStr">
        <is>
          <t>NORBERG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16544-2023</t>
        </is>
      </c>
      <c r="B3017" s="1" t="n">
        <v>45029</v>
      </c>
      <c r="C3017" s="1" t="n">
        <v>45811</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16547-2023</t>
        </is>
      </c>
      <c r="B3018" s="1" t="n">
        <v>45029</v>
      </c>
      <c r="C3018" s="1" t="n">
        <v>45811</v>
      </c>
      <c r="D3018" t="inlineStr">
        <is>
          <t>VÄSTMANLANDS LÄN</t>
        </is>
      </c>
      <c r="E3018" t="inlineStr">
        <is>
          <t>SALA</t>
        </is>
      </c>
      <c r="F3018" t="inlineStr">
        <is>
          <t>Sveaskog</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16955-2023</t>
        </is>
      </c>
      <c r="B3019" s="1" t="n">
        <v>45029</v>
      </c>
      <c r="C3019" s="1" t="n">
        <v>45811</v>
      </c>
      <c r="D3019" t="inlineStr">
        <is>
          <t>VÄSTMANLANDS LÄN</t>
        </is>
      </c>
      <c r="E3019" t="inlineStr">
        <is>
          <t>NORBERG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16545-2023</t>
        </is>
      </c>
      <c r="B3020" s="1" t="n">
        <v>45029</v>
      </c>
      <c r="C3020" s="1" t="n">
        <v>45811</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16735-2023</t>
        </is>
      </c>
      <c r="B3021" s="1" t="n">
        <v>45030</v>
      </c>
      <c r="C3021" s="1" t="n">
        <v>45811</v>
      </c>
      <c r="D3021" t="inlineStr">
        <is>
          <t>VÄSTMANLANDS LÄN</t>
        </is>
      </c>
      <c r="E3021" t="inlineStr">
        <is>
          <t>KUNGSÖR</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16603-2023</t>
        </is>
      </c>
      <c r="B3022" s="1" t="n">
        <v>45030</v>
      </c>
      <c r="C3022" s="1" t="n">
        <v>45811</v>
      </c>
      <c r="D3022" t="inlineStr">
        <is>
          <t>VÄSTMANLANDS LÄN</t>
        </is>
      </c>
      <c r="E3022" t="inlineStr">
        <is>
          <t>ARBOGA</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16801-2023</t>
        </is>
      </c>
      <c r="B3023" s="1" t="n">
        <v>45033</v>
      </c>
      <c r="C3023" s="1" t="n">
        <v>45811</v>
      </c>
      <c r="D3023" t="inlineStr">
        <is>
          <t>VÄSTMANLANDS LÄN</t>
        </is>
      </c>
      <c r="E3023" t="inlineStr">
        <is>
          <t>SKINNSKATTEBERG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16844-2023</t>
        </is>
      </c>
      <c r="B3024" s="1" t="n">
        <v>45033</v>
      </c>
      <c r="C3024" s="1" t="n">
        <v>45811</v>
      </c>
      <c r="D3024" t="inlineStr">
        <is>
          <t>VÄSTMANLANDS LÄN</t>
        </is>
      </c>
      <c r="E3024" t="inlineStr">
        <is>
          <t>VÄSTERÅS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16794-2023</t>
        </is>
      </c>
      <c r="B3025" s="1" t="n">
        <v>45033</v>
      </c>
      <c r="C3025" s="1" t="n">
        <v>45811</v>
      </c>
      <c r="D3025" t="inlineStr">
        <is>
          <t>VÄSTMANLANDS LÄN</t>
        </is>
      </c>
      <c r="E3025" t="inlineStr">
        <is>
          <t>SKINNSKATTEBERG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16798-2023</t>
        </is>
      </c>
      <c r="B3026" s="1" t="n">
        <v>45033</v>
      </c>
      <c r="C3026" s="1" t="n">
        <v>45811</v>
      </c>
      <c r="D3026" t="inlineStr">
        <is>
          <t>VÄSTMANLANDS LÄN</t>
        </is>
      </c>
      <c r="E3026" t="inlineStr">
        <is>
          <t>SKINNSKATTEBERG</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16894-2023</t>
        </is>
      </c>
      <c r="B3027" s="1" t="n">
        <v>45033</v>
      </c>
      <c r="C3027" s="1" t="n">
        <v>45811</v>
      </c>
      <c r="D3027" t="inlineStr">
        <is>
          <t>VÄSTMANLANDS LÄN</t>
        </is>
      </c>
      <c r="E3027" t="inlineStr">
        <is>
          <t>VÄSTERÅS</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16795-2023</t>
        </is>
      </c>
      <c r="B3028" s="1" t="n">
        <v>45033</v>
      </c>
      <c r="C3028" s="1" t="n">
        <v>45811</v>
      </c>
      <c r="D3028" t="inlineStr">
        <is>
          <t>VÄSTMANLANDS LÄN</t>
        </is>
      </c>
      <c r="E3028" t="inlineStr">
        <is>
          <t>SKINNSKATTEBERG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16800-2023</t>
        </is>
      </c>
      <c r="B3029" s="1" t="n">
        <v>45033</v>
      </c>
      <c r="C3029" s="1" t="n">
        <v>45811</v>
      </c>
      <c r="D3029" t="inlineStr">
        <is>
          <t>VÄSTMANLANDS LÄN</t>
        </is>
      </c>
      <c r="E3029" t="inlineStr">
        <is>
          <t>SKINNSKATTEBERG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16806-2023</t>
        </is>
      </c>
      <c r="B3030" s="1" t="n">
        <v>45033</v>
      </c>
      <c r="C3030" s="1" t="n">
        <v>45811</v>
      </c>
      <c r="D3030" t="inlineStr">
        <is>
          <t>VÄSTMANLANDS LÄN</t>
        </is>
      </c>
      <c r="E3030" t="inlineStr">
        <is>
          <t>SKINNSKATTEBERG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16984-2023</t>
        </is>
      </c>
      <c r="B3031" s="1" t="n">
        <v>45033</v>
      </c>
      <c r="C3031" s="1" t="n">
        <v>45811</v>
      </c>
      <c r="D3031" t="inlineStr">
        <is>
          <t>VÄSTMANLANDS LÄN</t>
        </is>
      </c>
      <c r="E3031" t="inlineStr">
        <is>
          <t>SALA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16855-2023</t>
        </is>
      </c>
      <c r="B3032" s="1" t="n">
        <v>45033</v>
      </c>
      <c r="C3032" s="1" t="n">
        <v>45811</v>
      </c>
      <c r="D3032" t="inlineStr">
        <is>
          <t>VÄSTMANLANDS LÄN</t>
        </is>
      </c>
      <c r="E3032" t="inlineStr">
        <is>
          <t>VÄSTERÅS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16859-2023</t>
        </is>
      </c>
      <c r="B3033" s="1" t="n">
        <v>45033</v>
      </c>
      <c r="C3033" s="1" t="n">
        <v>45811</v>
      </c>
      <c r="D3033" t="inlineStr">
        <is>
          <t>VÄSTMANLANDS LÄN</t>
        </is>
      </c>
      <c r="E3033" t="inlineStr">
        <is>
          <t>VÄSTERÅS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17038-2023</t>
        </is>
      </c>
      <c r="B3034" s="1" t="n">
        <v>45034</v>
      </c>
      <c r="C3034" s="1" t="n">
        <v>45811</v>
      </c>
      <c r="D3034" t="inlineStr">
        <is>
          <t>VÄSTMANLANDS LÄN</t>
        </is>
      </c>
      <c r="E3034" t="inlineStr">
        <is>
          <t>NORBERG</t>
        </is>
      </c>
      <c r="F3034" t="inlineStr">
        <is>
          <t>Bergvik skog väst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17075-2023</t>
        </is>
      </c>
      <c r="B3035" s="1" t="n">
        <v>45034</v>
      </c>
      <c r="C3035" s="1" t="n">
        <v>45811</v>
      </c>
      <c r="D3035" t="inlineStr">
        <is>
          <t>VÄSTMANLANDS LÄN</t>
        </is>
      </c>
      <c r="E3035" t="inlineStr">
        <is>
          <t>NORBERG</t>
        </is>
      </c>
      <c r="F3035" t="inlineStr">
        <is>
          <t>Bergvik skog väst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17079-2023</t>
        </is>
      </c>
      <c r="B3036" s="1" t="n">
        <v>45034</v>
      </c>
      <c r="C3036" s="1" t="n">
        <v>45811</v>
      </c>
      <c r="D3036" t="inlineStr">
        <is>
          <t>VÄSTMANLANDS LÄN</t>
        </is>
      </c>
      <c r="E3036" t="inlineStr">
        <is>
          <t>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17117-2023</t>
        </is>
      </c>
      <c r="B3037" s="1" t="n">
        <v>45034</v>
      </c>
      <c r="C3037" s="1" t="n">
        <v>45811</v>
      </c>
      <c r="D3037" t="inlineStr">
        <is>
          <t>VÄSTMANLANDS LÄN</t>
        </is>
      </c>
      <c r="E3037" t="inlineStr">
        <is>
          <t>SALA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17011-2023</t>
        </is>
      </c>
      <c r="B3038" s="1" t="n">
        <v>45034</v>
      </c>
      <c r="C3038" s="1" t="n">
        <v>45811</v>
      </c>
      <c r="D3038" t="inlineStr">
        <is>
          <t>VÄSTMANLANDS LÄN</t>
        </is>
      </c>
      <c r="E3038" t="inlineStr">
        <is>
          <t>ARBOGA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17109-2023</t>
        </is>
      </c>
      <c r="B3039" s="1" t="n">
        <v>45034</v>
      </c>
      <c r="C3039" s="1" t="n">
        <v>45811</v>
      </c>
      <c r="D3039" t="inlineStr">
        <is>
          <t>VÄSTMANLANDS LÄN</t>
        </is>
      </c>
      <c r="E3039" t="inlineStr">
        <is>
          <t>SALA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17120-2023</t>
        </is>
      </c>
      <c r="B3040" s="1" t="n">
        <v>45034</v>
      </c>
      <c r="C3040" s="1" t="n">
        <v>45811</v>
      </c>
      <c r="D3040" t="inlineStr">
        <is>
          <t>VÄSTMANLANDS LÄN</t>
        </is>
      </c>
      <c r="E3040" t="inlineStr">
        <is>
          <t>SALA</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17204-2023</t>
        </is>
      </c>
      <c r="B3041" s="1" t="n">
        <v>45034</v>
      </c>
      <c r="C3041" s="1" t="n">
        <v>45811</v>
      </c>
      <c r="D3041" t="inlineStr">
        <is>
          <t>VÄSTMANLANDS LÄN</t>
        </is>
      </c>
      <c r="E3041" t="inlineStr">
        <is>
          <t>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17189-2023</t>
        </is>
      </c>
      <c r="B3042" s="1" t="n">
        <v>45034</v>
      </c>
      <c r="C3042" s="1" t="n">
        <v>45811</v>
      </c>
      <c r="D3042" t="inlineStr">
        <is>
          <t>VÄSTMANLANDS LÄN</t>
        </is>
      </c>
      <c r="E3042" t="inlineStr">
        <is>
          <t>VÄSTERÅS</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17302-2023</t>
        </is>
      </c>
      <c r="B3043" s="1" t="n">
        <v>45035</v>
      </c>
      <c r="C3043" s="1" t="n">
        <v>45811</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17264-2023</t>
        </is>
      </c>
      <c r="B3044" s="1" t="n">
        <v>45035</v>
      </c>
      <c r="C3044" s="1" t="n">
        <v>45811</v>
      </c>
      <c r="D3044" t="inlineStr">
        <is>
          <t>VÄSTMANLANDS LÄN</t>
        </is>
      </c>
      <c r="E3044" t="inlineStr">
        <is>
          <t>SKINNSKATTEBERG</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17295-2023</t>
        </is>
      </c>
      <c r="B3045" s="1" t="n">
        <v>45035</v>
      </c>
      <c r="C3045" s="1" t="n">
        <v>45811</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17402-2023</t>
        </is>
      </c>
      <c r="B3046" s="1" t="n">
        <v>45035</v>
      </c>
      <c r="C3046" s="1" t="n">
        <v>45811</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17239-2023</t>
        </is>
      </c>
      <c r="B3047" s="1" t="n">
        <v>45035</v>
      </c>
      <c r="C3047" s="1" t="n">
        <v>45811</v>
      </c>
      <c r="D3047" t="inlineStr">
        <is>
          <t>VÄSTMANLANDS LÄN</t>
        </is>
      </c>
      <c r="E3047" t="inlineStr">
        <is>
          <t>SKINNSKATTEBERG</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17263-2023</t>
        </is>
      </c>
      <c r="B3048" s="1" t="n">
        <v>45035</v>
      </c>
      <c r="C3048" s="1" t="n">
        <v>45811</v>
      </c>
      <c r="D3048" t="inlineStr">
        <is>
          <t>VÄSTMANLANDS LÄN</t>
        </is>
      </c>
      <c r="E3048" t="inlineStr">
        <is>
          <t>SKINNSKATTEBERG</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17265-2023</t>
        </is>
      </c>
      <c r="B3049" s="1" t="n">
        <v>45035</v>
      </c>
      <c r="C3049" s="1" t="n">
        <v>45811</v>
      </c>
      <c r="D3049" t="inlineStr">
        <is>
          <t>VÄSTMANLANDS LÄN</t>
        </is>
      </c>
      <c r="E3049" t="inlineStr">
        <is>
          <t>SKINNSKATTEBERG</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17380-2023</t>
        </is>
      </c>
      <c r="B3050" s="1" t="n">
        <v>45035</v>
      </c>
      <c r="C3050" s="1" t="n">
        <v>45811</v>
      </c>
      <c r="D3050" t="inlineStr">
        <is>
          <t>VÄSTMANLANDS LÄN</t>
        </is>
      </c>
      <c r="E3050" t="inlineStr">
        <is>
          <t>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17738-2023</t>
        </is>
      </c>
      <c r="B3051" s="1" t="n">
        <v>45037</v>
      </c>
      <c r="C3051" s="1" t="n">
        <v>45811</v>
      </c>
      <c r="D3051" t="inlineStr">
        <is>
          <t>VÄSTMANLANDS LÄN</t>
        </is>
      </c>
      <c r="E3051" t="inlineStr">
        <is>
          <t>SKINNSKATTEBERG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17752-2023</t>
        </is>
      </c>
      <c r="B3052" s="1" t="n">
        <v>45037</v>
      </c>
      <c r="C3052" s="1" t="n">
        <v>45811</v>
      </c>
      <c r="D3052" t="inlineStr">
        <is>
          <t>VÄSTMANLANDS LÄN</t>
        </is>
      </c>
      <c r="E3052" t="inlineStr">
        <is>
          <t>SKINNSKATTEBERG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17808-2023</t>
        </is>
      </c>
      <c r="B3053" s="1" t="n">
        <v>45037</v>
      </c>
      <c r="C3053" s="1" t="n">
        <v>45811</v>
      </c>
      <c r="D3053" t="inlineStr">
        <is>
          <t>VÄSTMANLANDS LÄN</t>
        </is>
      </c>
      <c r="E3053" t="inlineStr">
        <is>
          <t>VÄSTERÅS</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17809-2023</t>
        </is>
      </c>
      <c r="B3054" s="1" t="n">
        <v>45037</v>
      </c>
      <c r="C3054" s="1" t="n">
        <v>45811</v>
      </c>
      <c r="D3054" t="inlineStr">
        <is>
          <t>VÄSTMANLANDS LÄN</t>
        </is>
      </c>
      <c r="E3054" t="inlineStr">
        <is>
          <t>VÄSTERÅS</t>
        </is>
      </c>
      <c r="F3054" t="inlineStr">
        <is>
          <t>Sveaskog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18077-2023</t>
        </is>
      </c>
      <c r="B3055" s="1" t="n">
        <v>45040</v>
      </c>
      <c r="C3055" s="1" t="n">
        <v>45811</v>
      </c>
      <c r="D3055" t="inlineStr">
        <is>
          <t>VÄSTMANLANDS LÄN</t>
        </is>
      </c>
      <c r="E3055" t="inlineStr">
        <is>
          <t>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18100-2023</t>
        </is>
      </c>
      <c r="B3056" s="1" t="n">
        <v>45040</v>
      </c>
      <c r="C3056" s="1" t="n">
        <v>45811</v>
      </c>
      <c r="D3056" t="inlineStr">
        <is>
          <t>VÄSTMANLANDS LÄN</t>
        </is>
      </c>
      <c r="E3056" t="inlineStr">
        <is>
          <t>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18109-2023</t>
        </is>
      </c>
      <c r="B3057" s="1" t="n">
        <v>45040</v>
      </c>
      <c r="C3057" s="1" t="n">
        <v>45811</v>
      </c>
      <c r="D3057" t="inlineStr">
        <is>
          <t>VÄSTMANLANDS LÄN</t>
        </is>
      </c>
      <c r="E3057" t="inlineStr">
        <is>
          <t>SKINNSKATTEBERG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17990-2023</t>
        </is>
      </c>
      <c r="B3058" s="1" t="n">
        <v>45040</v>
      </c>
      <c r="C3058" s="1" t="n">
        <v>45811</v>
      </c>
      <c r="D3058" t="inlineStr">
        <is>
          <t>VÄSTMANLANDS LÄN</t>
        </is>
      </c>
      <c r="E3058" t="inlineStr">
        <is>
          <t>NORBERG</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18065-2023</t>
        </is>
      </c>
      <c r="B3059" s="1" t="n">
        <v>45040</v>
      </c>
      <c r="C3059" s="1" t="n">
        <v>45811</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18187-2023</t>
        </is>
      </c>
      <c r="B3060" s="1" t="n">
        <v>45041</v>
      </c>
      <c r="C3060" s="1" t="n">
        <v>45811</v>
      </c>
      <c r="D3060" t="inlineStr">
        <is>
          <t>VÄSTMANLANDS LÄN</t>
        </is>
      </c>
      <c r="E3060" t="inlineStr">
        <is>
          <t>FAGERSTA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18223-2023</t>
        </is>
      </c>
      <c r="B3061" s="1" t="n">
        <v>45041</v>
      </c>
      <c r="C3061" s="1" t="n">
        <v>45811</v>
      </c>
      <c r="D3061" t="inlineStr">
        <is>
          <t>VÄSTMANLANDS LÄN</t>
        </is>
      </c>
      <c r="E3061" t="inlineStr">
        <is>
          <t>SURAHAMMAR</t>
        </is>
      </c>
      <c r="F3061" t="inlineStr">
        <is>
          <t>Övriga Aktiebolag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18186-2023</t>
        </is>
      </c>
      <c r="B3062" s="1" t="n">
        <v>45041</v>
      </c>
      <c r="C3062" s="1" t="n">
        <v>45811</v>
      </c>
      <c r="D3062" t="inlineStr">
        <is>
          <t>VÄSTMANLANDS LÄN</t>
        </is>
      </c>
      <c r="E3062" t="inlineStr">
        <is>
          <t>FAGERSTA</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18194-2023</t>
        </is>
      </c>
      <c r="B3063" s="1" t="n">
        <v>45041</v>
      </c>
      <c r="C3063" s="1" t="n">
        <v>45811</v>
      </c>
      <c r="D3063" t="inlineStr">
        <is>
          <t>VÄSTMANLANDS LÄN</t>
        </is>
      </c>
      <c r="E3063" t="inlineStr">
        <is>
          <t>NORBERG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18184-2023</t>
        </is>
      </c>
      <c r="B3064" s="1" t="n">
        <v>45041</v>
      </c>
      <c r="C3064" s="1" t="n">
        <v>45811</v>
      </c>
      <c r="D3064" t="inlineStr">
        <is>
          <t>VÄSTMANLANDS LÄN</t>
        </is>
      </c>
      <c r="E3064" t="inlineStr">
        <is>
          <t>FAGERSTA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18188-2023</t>
        </is>
      </c>
      <c r="B3065" s="1" t="n">
        <v>45041</v>
      </c>
      <c r="C3065" s="1" t="n">
        <v>45811</v>
      </c>
      <c r="D3065" t="inlineStr">
        <is>
          <t>VÄSTMANLANDS LÄN</t>
        </is>
      </c>
      <c r="E3065" t="inlineStr">
        <is>
          <t>FAGERSTA</t>
        </is>
      </c>
      <c r="F3065" t="inlineStr">
        <is>
          <t>Sveaskog</t>
        </is>
      </c>
      <c r="G3065" t="n">
        <v>13.2</v>
      </c>
      <c r="H3065" t="n">
        <v>0</v>
      </c>
      <c r="I3065" t="n">
        <v>0</v>
      </c>
      <c r="J3065" t="n">
        <v>0</v>
      </c>
      <c r="K3065" t="n">
        <v>0</v>
      </c>
      <c r="L3065" t="n">
        <v>0</v>
      </c>
      <c r="M3065" t="n">
        <v>0</v>
      </c>
      <c r="N3065" t="n">
        <v>0</v>
      </c>
      <c r="O3065" t="n">
        <v>0</v>
      </c>
      <c r="P3065" t="n">
        <v>0</v>
      </c>
      <c r="Q3065" t="n">
        <v>0</v>
      </c>
      <c r="R3065" s="2" t="inlineStr"/>
    </row>
    <row r="3066" ht="15" customHeight="1">
      <c r="A3066" t="inlineStr">
        <is>
          <t>A 18454-2023</t>
        </is>
      </c>
      <c r="B3066" s="1" t="n">
        <v>45042</v>
      </c>
      <c r="C3066" s="1" t="n">
        <v>45811</v>
      </c>
      <c r="D3066" t="inlineStr">
        <is>
          <t>VÄSTMANLANDS LÄN</t>
        </is>
      </c>
      <c r="E3066" t="inlineStr">
        <is>
          <t>VÄSTERÅS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18467-2023</t>
        </is>
      </c>
      <c r="B3067" s="1" t="n">
        <v>45042</v>
      </c>
      <c r="C3067" s="1" t="n">
        <v>45811</v>
      </c>
      <c r="D3067" t="inlineStr">
        <is>
          <t>VÄSTMANLANDS LÄN</t>
        </is>
      </c>
      <c r="E3067" t="inlineStr">
        <is>
          <t>VÄSTERÅS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18431-2023</t>
        </is>
      </c>
      <c r="B3068" s="1" t="n">
        <v>45042</v>
      </c>
      <c r="C3068" s="1" t="n">
        <v>45811</v>
      </c>
      <c r="D3068" t="inlineStr">
        <is>
          <t>VÄSTMANLANDS LÄN</t>
        </is>
      </c>
      <c r="E3068" t="inlineStr">
        <is>
          <t>SALA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18452-2023</t>
        </is>
      </c>
      <c r="B3069" s="1" t="n">
        <v>45042</v>
      </c>
      <c r="C3069" s="1" t="n">
        <v>45811</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18465-2023</t>
        </is>
      </c>
      <c r="B3070" s="1" t="n">
        <v>45042</v>
      </c>
      <c r="C3070" s="1" t="n">
        <v>45811</v>
      </c>
      <c r="D3070" t="inlineStr">
        <is>
          <t>VÄSTMANLANDS LÄN</t>
        </is>
      </c>
      <c r="E3070" t="inlineStr">
        <is>
          <t>VÄSTERÅS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18483-2023</t>
        </is>
      </c>
      <c r="B3071" s="1" t="n">
        <v>45042</v>
      </c>
      <c r="C3071" s="1" t="n">
        <v>45811</v>
      </c>
      <c r="D3071" t="inlineStr">
        <is>
          <t>VÄSTMANLANDS LÄN</t>
        </is>
      </c>
      <c r="E3071" t="inlineStr">
        <is>
          <t>VÄSTERÅS</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18384-2023</t>
        </is>
      </c>
      <c r="B3072" s="1" t="n">
        <v>45042</v>
      </c>
      <c r="C3072" s="1" t="n">
        <v>45811</v>
      </c>
      <c r="D3072" t="inlineStr">
        <is>
          <t>VÄSTMANLANDS LÄN</t>
        </is>
      </c>
      <c r="E3072" t="inlineStr">
        <is>
          <t>NORBERG</t>
        </is>
      </c>
      <c r="F3072" t="inlineStr">
        <is>
          <t>Övriga Aktiebolag</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18451-2023</t>
        </is>
      </c>
      <c r="B3073" s="1" t="n">
        <v>45042</v>
      </c>
      <c r="C3073" s="1" t="n">
        <v>45811</v>
      </c>
      <c r="D3073" t="inlineStr">
        <is>
          <t>VÄSTMANLANDS LÄN</t>
        </is>
      </c>
      <c r="E3073" t="inlineStr">
        <is>
          <t>VÄSTERÅS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18482-2023</t>
        </is>
      </c>
      <c r="B3074" s="1" t="n">
        <v>45042</v>
      </c>
      <c r="C3074" s="1" t="n">
        <v>45811</v>
      </c>
      <c r="D3074" t="inlineStr">
        <is>
          <t>VÄSTMANLANDS LÄN</t>
        </is>
      </c>
      <c r="E3074" t="inlineStr">
        <is>
          <t>VÄSTERÅS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18457-2023</t>
        </is>
      </c>
      <c r="B3075" s="1" t="n">
        <v>45042</v>
      </c>
      <c r="C3075" s="1" t="n">
        <v>45811</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18468-2023</t>
        </is>
      </c>
      <c r="B3076" s="1" t="n">
        <v>45042</v>
      </c>
      <c r="C3076" s="1" t="n">
        <v>45811</v>
      </c>
      <c r="D3076" t="inlineStr">
        <is>
          <t>VÄSTMANLANDS LÄN</t>
        </is>
      </c>
      <c r="E3076" t="inlineStr">
        <is>
          <t>VÄSTERÅS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18721-2023</t>
        </is>
      </c>
      <c r="B3077" s="1" t="n">
        <v>45043</v>
      </c>
      <c r="C3077" s="1" t="n">
        <v>45811</v>
      </c>
      <c r="D3077" t="inlineStr">
        <is>
          <t>VÄSTMANLANDS LÄN</t>
        </is>
      </c>
      <c r="E3077" t="inlineStr">
        <is>
          <t>KUNGSÖR</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18745-2023</t>
        </is>
      </c>
      <c r="B3078" s="1" t="n">
        <v>45043</v>
      </c>
      <c r="C3078" s="1" t="n">
        <v>45811</v>
      </c>
      <c r="D3078" t="inlineStr">
        <is>
          <t>VÄSTMANLANDS LÄN</t>
        </is>
      </c>
      <c r="E3078" t="inlineStr">
        <is>
          <t>NORBERG</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18744-2023</t>
        </is>
      </c>
      <c r="B3079" s="1" t="n">
        <v>45043</v>
      </c>
      <c r="C3079" s="1" t="n">
        <v>45811</v>
      </c>
      <c r="D3079" t="inlineStr">
        <is>
          <t>VÄSTMANLANDS LÄN</t>
        </is>
      </c>
      <c r="E3079" t="inlineStr">
        <is>
          <t>NORBERG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18649-2023</t>
        </is>
      </c>
      <c r="B3080" s="1" t="n">
        <v>45043</v>
      </c>
      <c r="C3080" s="1" t="n">
        <v>45811</v>
      </c>
      <c r="D3080" t="inlineStr">
        <is>
          <t>VÄSTMANLANDS LÄN</t>
        </is>
      </c>
      <c r="E3080" t="inlineStr">
        <is>
          <t>SKINNSKATTEBERG</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18877-2023</t>
        </is>
      </c>
      <c r="B3081" s="1" t="n">
        <v>45044</v>
      </c>
      <c r="C3081" s="1" t="n">
        <v>45811</v>
      </c>
      <c r="D3081" t="inlineStr">
        <is>
          <t>VÄSTMANLANDS LÄN</t>
        </is>
      </c>
      <c r="E3081" t="inlineStr">
        <is>
          <t>SALA</t>
        </is>
      </c>
      <c r="F3081" t="inlineStr">
        <is>
          <t>Kommuner</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19019-2023</t>
        </is>
      </c>
      <c r="B3082" s="1" t="n">
        <v>45047</v>
      </c>
      <c r="C3082" s="1" t="n">
        <v>45811</v>
      </c>
      <c r="D3082" t="inlineStr">
        <is>
          <t>VÄSTMANLANDS LÄN</t>
        </is>
      </c>
      <c r="E3082" t="inlineStr">
        <is>
          <t>NORBERG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19020-2023</t>
        </is>
      </c>
      <c r="B3083" s="1" t="n">
        <v>45047</v>
      </c>
      <c r="C3083" s="1" t="n">
        <v>45811</v>
      </c>
      <c r="D3083" t="inlineStr">
        <is>
          <t>VÄSTMANLANDS LÄN</t>
        </is>
      </c>
      <c r="E3083" t="inlineStr">
        <is>
          <t>NORBERG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19081-2023</t>
        </is>
      </c>
      <c r="B3084" s="1" t="n">
        <v>45048</v>
      </c>
      <c r="C3084" s="1" t="n">
        <v>45811</v>
      </c>
      <c r="D3084" t="inlineStr">
        <is>
          <t>VÄSTMANLANDS LÄN</t>
        </is>
      </c>
      <c r="E3084" t="inlineStr">
        <is>
          <t>SKINNSKATTEBERG</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19086-2023</t>
        </is>
      </c>
      <c r="B3085" s="1" t="n">
        <v>45048</v>
      </c>
      <c r="C3085" s="1" t="n">
        <v>45811</v>
      </c>
      <c r="D3085" t="inlineStr">
        <is>
          <t>VÄSTMANLANDS LÄN</t>
        </is>
      </c>
      <c r="E3085" t="inlineStr">
        <is>
          <t>SKINNSKATTEBERG</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19082-2023</t>
        </is>
      </c>
      <c r="B3086" s="1" t="n">
        <v>45048</v>
      </c>
      <c r="C3086" s="1" t="n">
        <v>45811</v>
      </c>
      <c r="D3086" t="inlineStr">
        <is>
          <t>VÄSTMANLANDS LÄN</t>
        </is>
      </c>
      <c r="E3086" t="inlineStr">
        <is>
          <t>KUNGSÖR</t>
        </is>
      </c>
      <c r="F3086" t="inlineStr">
        <is>
          <t>Allmännings- och besparingsskogar</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19093-2023</t>
        </is>
      </c>
      <c r="B3087" s="1" t="n">
        <v>45048</v>
      </c>
      <c r="C3087" s="1" t="n">
        <v>45811</v>
      </c>
      <c r="D3087" t="inlineStr">
        <is>
          <t>VÄSTMANLANDS LÄN</t>
        </is>
      </c>
      <c r="E3087" t="inlineStr">
        <is>
          <t>SKINNSKATTEBERG</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19254-2023</t>
        </is>
      </c>
      <c r="B3088" s="1" t="n">
        <v>45049</v>
      </c>
      <c r="C3088" s="1" t="n">
        <v>45811</v>
      </c>
      <c r="D3088" t="inlineStr">
        <is>
          <t>VÄSTMANLANDS LÄN</t>
        </is>
      </c>
      <c r="E3088" t="inlineStr">
        <is>
          <t>NORBERG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19253-2023</t>
        </is>
      </c>
      <c r="B3089" s="1" t="n">
        <v>45049</v>
      </c>
      <c r="C3089" s="1" t="n">
        <v>45811</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19576-2023</t>
        </is>
      </c>
      <c r="B3090" s="1" t="n">
        <v>45050</v>
      </c>
      <c r="C3090" s="1" t="n">
        <v>45811</v>
      </c>
      <c r="D3090" t="inlineStr">
        <is>
          <t>VÄSTMANLANDS LÄN</t>
        </is>
      </c>
      <c r="E3090" t="inlineStr">
        <is>
          <t>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19543-2023</t>
        </is>
      </c>
      <c r="B3091" s="1" t="n">
        <v>45050</v>
      </c>
      <c r="C3091" s="1" t="n">
        <v>45811</v>
      </c>
      <c r="D3091" t="inlineStr">
        <is>
          <t>VÄSTMANLANDS LÄN</t>
        </is>
      </c>
      <c r="E3091" t="inlineStr">
        <is>
          <t>ARBOGA</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19563-2023</t>
        </is>
      </c>
      <c r="B3092" s="1" t="n">
        <v>45050</v>
      </c>
      <c r="C3092" s="1" t="n">
        <v>45811</v>
      </c>
      <c r="D3092" t="inlineStr">
        <is>
          <t>VÄSTMANLANDS LÄN</t>
        </is>
      </c>
      <c r="E3092" t="inlineStr">
        <is>
          <t>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19568-2023</t>
        </is>
      </c>
      <c r="B3093" s="1" t="n">
        <v>45050</v>
      </c>
      <c r="C3093" s="1" t="n">
        <v>45811</v>
      </c>
      <c r="D3093" t="inlineStr">
        <is>
          <t>VÄSTMANLANDS LÄN</t>
        </is>
      </c>
      <c r="E3093" t="inlineStr">
        <is>
          <t>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19575-2023</t>
        </is>
      </c>
      <c r="B3094" s="1" t="n">
        <v>45050</v>
      </c>
      <c r="C3094" s="1" t="n">
        <v>45811</v>
      </c>
      <c r="D3094" t="inlineStr">
        <is>
          <t>VÄSTMANLANDS LÄN</t>
        </is>
      </c>
      <c r="E3094" t="inlineStr">
        <is>
          <t>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19477-2023</t>
        </is>
      </c>
      <c r="B3095" s="1" t="n">
        <v>45050</v>
      </c>
      <c r="C3095" s="1" t="n">
        <v>45811</v>
      </c>
      <c r="D3095" t="inlineStr">
        <is>
          <t>VÄSTMANLANDS LÄN</t>
        </is>
      </c>
      <c r="E3095" t="inlineStr">
        <is>
          <t>KÖPING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19778-2023</t>
        </is>
      </c>
      <c r="B3096" s="1" t="n">
        <v>45050</v>
      </c>
      <c r="C3096" s="1" t="n">
        <v>45811</v>
      </c>
      <c r="D3096" t="inlineStr">
        <is>
          <t>VÄSTMANLANDS LÄN</t>
        </is>
      </c>
      <c r="E3096" t="inlineStr">
        <is>
          <t>SURAHAMMAR</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19779-2023</t>
        </is>
      </c>
      <c r="B3097" s="1" t="n">
        <v>45050</v>
      </c>
      <c r="C3097" s="1" t="n">
        <v>45811</v>
      </c>
      <c r="D3097" t="inlineStr">
        <is>
          <t>VÄSTMANLANDS LÄN</t>
        </is>
      </c>
      <c r="E3097" t="inlineStr">
        <is>
          <t>SURAHAMMAR</t>
        </is>
      </c>
      <c r="F3097" t="inlineStr">
        <is>
          <t>Bergvik skog väst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19786-2023</t>
        </is>
      </c>
      <c r="B3098" s="1" t="n">
        <v>45050</v>
      </c>
      <c r="C3098" s="1" t="n">
        <v>45811</v>
      </c>
      <c r="D3098" t="inlineStr">
        <is>
          <t>VÄSTMANLANDS LÄN</t>
        </is>
      </c>
      <c r="E3098" t="inlineStr">
        <is>
          <t>SURAHAMMAR</t>
        </is>
      </c>
      <c r="F3098" t="inlineStr">
        <is>
          <t>Bergvik skog väst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19782-2023</t>
        </is>
      </c>
      <c r="B3099" s="1" t="n">
        <v>45050</v>
      </c>
      <c r="C3099" s="1" t="n">
        <v>45811</v>
      </c>
      <c r="D3099" t="inlineStr">
        <is>
          <t>VÄSTMANLANDS LÄN</t>
        </is>
      </c>
      <c r="E3099" t="inlineStr">
        <is>
          <t>SURAHAMMAR</t>
        </is>
      </c>
      <c r="F3099" t="inlineStr">
        <is>
          <t>Bergvik skog väst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19740-2023</t>
        </is>
      </c>
      <c r="B3100" s="1" t="n">
        <v>45051</v>
      </c>
      <c r="C3100" s="1" t="n">
        <v>45811</v>
      </c>
      <c r="D3100" t="inlineStr">
        <is>
          <t>VÄSTMANLANDS LÄN</t>
        </is>
      </c>
      <c r="E3100" t="inlineStr">
        <is>
          <t>VÄSTERÅS</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20148-2023</t>
        </is>
      </c>
      <c r="B3101" s="1" t="n">
        <v>45051</v>
      </c>
      <c r="C3101" s="1" t="n">
        <v>45811</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20158-2023</t>
        </is>
      </c>
      <c r="B3102" s="1" t="n">
        <v>45051</v>
      </c>
      <c r="C3102" s="1" t="n">
        <v>45811</v>
      </c>
      <c r="D3102" t="inlineStr">
        <is>
          <t>VÄSTMANLANDS LÄN</t>
        </is>
      </c>
      <c r="E3102" t="inlineStr">
        <is>
          <t>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20151-2023</t>
        </is>
      </c>
      <c r="B3103" s="1" t="n">
        <v>45051</v>
      </c>
      <c r="C3103" s="1" t="n">
        <v>45811</v>
      </c>
      <c r="D3103" t="inlineStr">
        <is>
          <t>VÄSTMANLANDS LÄN</t>
        </is>
      </c>
      <c r="E3103" t="inlineStr">
        <is>
          <t>KÖPING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20155-2023</t>
        </is>
      </c>
      <c r="B3104" s="1" t="n">
        <v>45051</v>
      </c>
      <c r="C3104" s="1" t="n">
        <v>45811</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19916-2023</t>
        </is>
      </c>
      <c r="B3105" s="1" t="n">
        <v>45054</v>
      </c>
      <c r="C3105" s="1" t="n">
        <v>45811</v>
      </c>
      <c r="D3105" t="inlineStr">
        <is>
          <t>VÄSTMANLANDS LÄN</t>
        </is>
      </c>
      <c r="E3105" t="inlineStr">
        <is>
          <t>SALA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19991-2023</t>
        </is>
      </c>
      <c r="B3106" s="1" t="n">
        <v>45054</v>
      </c>
      <c r="C3106" s="1" t="n">
        <v>45811</v>
      </c>
      <c r="D3106" t="inlineStr">
        <is>
          <t>VÄSTMANLANDS LÄN</t>
        </is>
      </c>
      <c r="E3106" t="inlineStr">
        <is>
          <t>FAGERSTA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20020-2023</t>
        </is>
      </c>
      <c r="B3107" s="1" t="n">
        <v>45054</v>
      </c>
      <c r="C3107" s="1" t="n">
        <v>45811</v>
      </c>
      <c r="D3107" t="inlineStr">
        <is>
          <t>VÄSTMANLANDS LÄN</t>
        </is>
      </c>
      <c r="E3107" t="inlineStr">
        <is>
          <t>SURAHAMMAR</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20018-2023</t>
        </is>
      </c>
      <c r="B3108" s="1" t="n">
        <v>45054</v>
      </c>
      <c r="C3108" s="1" t="n">
        <v>45811</v>
      </c>
      <c r="D3108" t="inlineStr">
        <is>
          <t>VÄSTMANLANDS LÄN</t>
        </is>
      </c>
      <c r="E3108" t="inlineStr">
        <is>
          <t>SURAHAMMAR</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20073-2023</t>
        </is>
      </c>
      <c r="B3109" s="1" t="n">
        <v>45054</v>
      </c>
      <c r="C3109" s="1" t="n">
        <v>45811</v>
      </c>
      <c r="D3109" t="inlineStr">
        <is>
          <t>VÄSTMANLANDS LÄN</t>
        </is>
      </c>
      <c r="E3109" t="inlineStr">
        <is>
          <t>SKINNSKATTEBERG</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20071-2023</t>
        </is>
      </c>
      <c r="B3110" s="1" t="n">
        <v>45054</v>
      </c>
      <c r="C3110" s="1" t="n">
        <v>45811</v>
      </c>
      <c r="D3110" t="inlineStr">
        <is>
          <t>VÄSTMANLANDS LÄN</t>
        </is>
      </c>
      <c r="E3110" t="inlineStr">
        <is>
          <t>FAGERSTA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20072-2023</t>
        </is>
      </c>
      <c r="B3111" s="1" t="n">
        <v>45054</v>
      </c>
      <c r="C3111" s="1" t="n">
        <v>45811</v>
      </c>
      <c r="D3111" t="inlineStr">
        <is>
          <t>VÄSTMANLANDS LÄN</t>
        </is>
      </c>
      <c r="E3111" t="inlineStr">
        <is>
          <t>SKINNSKATTEBERG</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20019-2023</t>
        </is>
      </c>
      <c r="B3112" s="1" t="n">
        <v>45054</v>
      </c>
      <c r="C3112" s="1" t="n">
        <v>45811</v>
      </c>
      <c r="D3112" t="inlineStr">
        <is>
          <t>VÄSTMANLANDS LÄN</t>
        </is>
      </c>
      <c r="E3112" t="inlineStr">
        <is>
          <t>SURAHAMMAR</t>
        </is>
      </c>
      <c r="F3112" t="inlineStr">
        <is>
          <t>Sveaskog</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20023-2023</t>
        </is>
      </c>
      <c r="B3113" s="1" t="n">
        <v>45054</v>
      </c>
      <c r="C3113" s="1" t="n">
        <v>45811</v>
      </c>
      <c r="D3113" t="inlineStr">
        <is>
          <t>VÄSTMANLANDS LÄN</t>
        </is>
      </c>
      <c r="E3113" t="inlineStr">
        <is>
          <t>SURAHAMMAR</t>
        </is>
      </c>
      <c r="F3113" t="inlineStr">
        <is>
          <t>Sveaskog</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20074-2023</t>
        </is>
      </c>
      <c r="B3114" s="1" t="n">
        <v>45054</v>
      </c>
      <c r="C3114" s="1" t="n">
        <v>45811</v>
      </c>
      <c r="D3114" t="inlineStr">
        <is>
          <t>VÄSTMANLANDS LÄN</t>
        </is>
      </c>
      <c r="E3114" t="inlineStr">
        <is>
          <t>SKINNSKATTEBERG</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20197-2023</t>
        </is>
      </c>
      <c r="B3115" s="1" t="n">
        <v>45055</v>
      </c>
      <c r="C3115" s="1" t="n">
        <v>45811</v>
      </c>
      <c r="D3115" t="inlineStr">
        <is>
          <t>VÄSTMANLANDS LÄN</t>
        </is>
      </c>
      <c r="E3115" t="inlineStr">
        <is>
          <t>KUNGSÖR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20568-2023</t>
        </is>
      </c>
      <c r="B3116" s="1" t="n">
        <v>45055</v>
      </c>
      <c r="C3116" s="1" t="n">
        <v>45811</v>
      </c>
      <c r="D3116" t="inlineStr">
        <is>
          <t>VÄSTMANLANDS LÄN</t>
        </is>
      </c>
      <c r="E3116" t="inlineStr">
        <is>
          <t>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20567-2023</t>
        </is>
      </c>
      <c r="B3117" s="1" t="n">
        <v>45055</v>
      </c>
      <c r="C3117" s="1" t="n">
        <v>45811</v>
      </c>
      <c r="D3117" t="inlineStr">
        <is>
          <t>VÄSTMANLANDS LÄN</t>
        </is>
      </c>
      <c r="E3117" t="inlineStr">
        <is>
          <t>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20381-2023</t>
        </is>
      </c>
      <c r="B3118" s="1" t="n">
        <v>45056</v>
      </c>
      <c r="C3118" s="1" t="n">
        <v>45811</v>
      </c>
      <c r="D3118" t="inlineStr">
        <is>
          <t>VÄSTMANLANDS LÄN</t>
        </is>
      </c>
      <c r="E3118" t="inlineStr">
        <is>
          <t>NORBERG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20405-2023</t>
        </is>
      </c>
      <c r="B3119" s="1" t="n">
        <v>45056</v>
      </c>
      <c r="C3119" s="1" t="n">
        <v>45811</v>
      </c>
      <c r="D3119" t="inlineStr">
        <is>
          <t>VÄSTMANLANDS LÄN</t>
        </is>
      </c>
      <c r="E3119" t="inlineStr">
        <is>
          <t>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20429-2023</t>
        </is>
      </c>
      <c r="B3120" s="1" t="n">
        <v>45056</v>
      </c>
      <c r="C3120" s="1" t="n">
        <v>45811</v>
      </c>
      <c r="D3120" t="inlineStr">
        <is>
          <t>VÄSTMANLANDS LÄN</t>
        </is>
      </c>
      <c r="E3120" t="inlineStr">
        <is>
          <t>SURAHAMMAR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20378-2023</t>
        </is>
      </c>
      <c r="B3121" s="1" t="n">
        <v>45056</v>
      </c>
      <c r="C3121" s="1" t="n">
        <v>45811</v>
      </c>
      <c r="D3121" t="inlineStr">
        <is>
          <t>VÄSTMANLANDS LÄN</t>
        </is>
      </c>
      <c r="E3121" t="inlineStr">
        <is>
          <t>NORBERG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20430-2023</t>
        </is>
      </c>
      <c r="B3122" s="1" t="n">
        <v>45056</v>
      </c>
      <c r="C3122" s="1" t="n">
        <v>45811</v>
      </c>
      <c r="D3122" t="inlineStr">
        <is>
          <t>VÄSTMANLANDS LÄN</t>
        </is>
      </c>
      <c r="E3122" t="inlineStr">
        <is>
          <t>SKINNSKATTEBERG</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20587-2023</t>
        </is>
      </c>
      <c r="B3123" s="1" t="n">
        <v>45057</v>
      </c>
      <c r="C3123" s="1" t="n">
        <v>45811</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20816-2023</t>
        </is>
      </c>
      <c r="B3124" s="1" t="n">
        <v>45058</v>
      </c>
      <c r="C3124" s="1" t="n">
        <v>45811</v>
      </c>
      <c r="D3124" t="inlineStr">
        <is>
          <t>VÄSTMANLANDS LÄN</t>
        </is>
      </c>
      <c r="E3124" t="inlineStr">
        <is>
          <t>SKINNSKATTEBERG</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20833-2023</t>
        </is>
      </c>
      <c r="B3125" s="1" t="n">
        <v>45058</v>
      </c>
      <c r="C3125" s="1" t="n">
        <v>45811</v>
      </c>
      <c r="D3125" t="inlineStr">
        <is>
          <t>VÄSTMANLANDS LÄN</t>
        </is>
      </c>
      <c r="E3125" t="inlineStr">
        <is>
          <t>SKINNSKATTEBERG</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20789-2023</t>
        </is>
      </c>
      <c r="B3126" s="1" t="n">
        <v>45058</v>
      </c>
      <c r="C3126" s="1" t="n">
        <v>45811</v>
      </c>
      <c r="D3126" t="inlineStr">
        <is>
          <t>VÄSTMANLANDS LÄN</t>
        </is>
      </c>
      <c r="E3126" t="inlineStr">
        <is>
          <t>ARBOGA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20812-2023</t>
        </is>
      </c>
      <c r="B3127" s="1" t="n">
        <v>45058</v>
      </c>
      <c r="C3127" s="1" t="n">
        <v>45811</v>
      </c>
      <c r="D3127" t="inlineStr">
        <is>
          <t>VÄSTMANLANDS LÄN</t>
        </is>
      </c>
      <c r="E3127" t="inlineStr">
        <is>
          <t>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21455-2023</t>
        </is>
      </c>
      <c r="B3128" s="1" t="n">
        <v>45058</v>
      </c>
      <c r="C3128" s="1" t="n">
        <v>45811</v>
      </c>
      <c r="D3128" t="inlineStr">
        <is>
          <t>VÄSTMANLANDS LÄN</t>
        </is>
      </c>
      <c r="E3128" t="inlineStr">
        <is>
          <t>SALA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20904-2023</t>
        </is>
      </c>
      <c r="B3129" s="1" t="n">
        <v>45060</v>
      </c>
      <c r="C3129" s="1" t="n">
        <v>45811</v>
      </c>
      <c r="D3129" t="inlineStr">
        <is>
          <t>VÄSTMANLANDS LÄN</t>
        </is>
      </c>
      <c r="E3129" t="inlineStr">
        <is>
          <t>SURAHAMMAR</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21497-2023</t>
        </is>
      </c>
      <c r="B3130" s="1" t="n">
        <v>45063</v>
      </c>
      <c r="C3130" s="1" t="n">
        <v>45811</v>
      </c>
      <c r="D3130" t="inlineStr">
        <is>
          <t>VÄSTMANLANDS LÄN</t>
        </is>
      </c>
      <c r="E3130" t="inlineStr">
        <is>
          <t>SKINNSKATTEBERG</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21558-2023</t>
        </is>
      </c>
      <c r="B3131" s="1" t="n">
        <v>45063</v>
      </c>
      <c r="C3131" s="1" t="n">
        <v>45811</v>
      </c>
      <c r="D3131" t="inlineStr">
        <is>
          <t>VÄSTMANLANDS LÄN</t>
        </is>
      </c>
      <c r="E3131" t="inlineStr">
        <is>
          <t>SKINNSKATTEBERG</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21528-2023</t>
        </is>
      </c>
      <c r="B3132" s="1" t="n">
        <v>45063</v>
      </c>
      <c r="C3132" s="1" t="n">
        <v>45811</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21543-2023</t>
        </is>
      </c>
      <c r="B3133" s="1" t="n">
        <v>45063</v>
      </c>
      <c r="C3133" s="1" t="n">
        <v>45811</v>
      </c>
      <c r="D3133" t="inlineStr">
        <is>
          <t>VÄSTMANLANDS LÄN</t>
        </is>
      </c>
      <c r="E3133" t="inlineStr">
        <is>
          <t>NORBERG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21566-2023</t>
        </is>
      </c>
      <c r="B3134" s="1" t="n">
        <v>45063</v>
      </c>
      <c r="C3134" s="1" t="n">
        <v>45811</v>
      </c>
      <c r="D3134" t="inlineStr">
        <is>
          <t>VÄSTMANLANDS LÄN</t>
        </is>
      </c>
      <c r="E3134" t="inlineStr">
        <is>
          <t>SKINNSKATTEBERG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21571-2023</t>
        </is>
      </c>
      <c r="B3135" s="1" t="n">
        <v>45063</v>
      </c>
      <c r="C3135" s="1" t="n">
        <v>45811</v>
      </c>
      <c r="D3135" t="inlineStr">
        <is>
          <t>VÄSTMANLANDS LÄN</t>
        </is>
      </c>
      <c r="E3135" t="inlineStr">
        <is>
          <t>SKINNSKATTEBERG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21579-2023</t>
        </is>
      </c>
      <c r="B3136" s="1" t="n">
        <v>45063</v>
      </c>
      <c r="C3136" s="1" t="n">
        <v>45811</v>
      </c>
      <c r="D3136" t="inlineStr">
        <is>
          <t>VÄSTMANLANDS LÄN</t>
        </is>
      </c>
      <c r="E3136" t="inlineStr">
        <is>
          <t>SKINNSKATTEBERG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21576-2023</t>
        </is>
      </c>
      <c r="B3137" s="1" t="n">
        <v>45063</v>
      </c>
      <c r="C3137" s="1" t="n">
        <v>45811</v>
      </c>
      <c r="D3137" t="inlineStr">
        <is>
          <t>VÄSTMANLANDS LÄN</t>
        </is>
      </c>
      <c r="E3137" t="inlineStr">
        <is>
          <t>SKINNSKATTEBERG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22097-2023</t>
        </is>
      </c>
      <c r="B3138" s="1" t="n">
        <v>45065</v>
      </c>
      <c r="C3138" s="1" t="n">
        <v>45811</v>
      </c>
      <c r="D3138" t="inlineStr">
        <is>
          <t>VÄSTMANLANDS LÄN</t>
        </is>
      </c>
      <c r="E3138" t="inlineStr">
        <is>
          <t>SALA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21902-2023</t>
        </is>
      </c>
      <c r="B3139" s="1" t="n">
        <v>45068</v>
      </c>
      <c r="C3139" s="1" t="n">
        <v>45811</v>
      </c>
      <c r="D3139" t="inlineStr">
        <is>
          <t>VÄSTMANLANDS LÄN</t>
        </is>
      </c>
      <c r="E3139" t="inlineStr">
        <is>
          <t>SKINNSKATTEBERG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21906-2023</t>
        </is>
      </c>
      <c r="B3140" s="1" t="n">
        <v>45068</v>
      </c>
      <c r="C3140" s="1" t="n">
        <v>45811</v>
      </c>
      <c r="D3140" t="inlineStr">
        <is>
          <t>VÄSTMANLANDS LÄN</t>
        </is>
      </c>
      <c r="E3140" t="inlineStr">
        <is>
          <t>SURAHAMMAR</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21972-2023</t>
        </is>
      </c>
      <c r="B3141" s="1" t="n">
        <v>45068</v>
      </c>
      <c r="C3141" s="1" t="n">
        <v>45811</v>
      </c>
      <c r="D3141" t="inlineStr">
        <is>
          <t>VÄSTMANLANDS LÄN</t>
        </is>
      </c>
      <c r="E3141" t="inlineStr">
        <is>
          <t>HALLSTAHAMMAR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21905-2023</t>
        </is>
      </c>
      <c r="B3142" s="1" t="n">
        <v>45068</v>
      </c>
      <c r="C3142" s="1" t="n">
        <v>45811</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21971-2023</t>
        </is>
      </c>
      <c r="B3143" s="1" t="n">
        <v>45068</v>
      </c>
      <c r="C3143" s="1" t="n">
        <v>45811</v>
      </c>
      <c r="D3143" t="inlineStr">
        <is>
          <t>VÄSTMANLANDS LÄN</t>
        </is>
      </c>
      <c r="E3143" t="inlineStr">
        <is>
          <t>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21984-2023</t>
        </is>
      </c>
      <c r="B3144" s="1" t="n">
        <v>45068</v>
      </c>
      <c r="C3144" s="1" t="n">
        <v>45811</v>
      </c>
      <c r="D3144" t="inlineStr">
        <is>
          <t>VÄSTMANLANDS LÄN</t>
        </is>
      </c>
      <c r="E3144" t="inlineStr">
        <is>
          <t>ARBOGA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21904-2023</t>
        </is>
      </c>
      <c r="B3145" s="1" t="n">
        <v>45068</v>
      </c>
      <c r="C3145" s="1" t="n">
        <v>45811</v>
      </c>
      <c r="D3145" t="inlineStr">
        <is>
          <t>VÄSTMANLANDS LÄN</t>
        </is>
      </c>
      <c r="E3145" t="inlineStr">
        <is>
          <t>SURAHAMMAR</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21908-2023</t>
        </is>
      </c>
      <c r="B3146" s="1" t="n">
        <v>45068</v>
      </c>
      <c r="C3146" s="1" t="n">
        <v>45811</v>
      </c>
      <c r="D3146" t="inlineStr">
        <is>
          <t>VÄSTMANLANDS LÄN</t>
        </is>
      </c>
      <c r="E3146" t="inlineStr">
        <is>
          <t>SKINNSKATTEBERG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21903-2023</t>
        </is>
      </c>
      <c r="B3147" s="1" t="n">
        <v>45068</v>
      </c>
      <c r="C3147" s="1" t="n">
        <v>45811</v>
      </c>
      <c r="D3147" t="inlineStr">
        <is>
          <t>VÄSTMANLANDS LÄN</t>
        </is>
      </c>
      <c r="E3147" t="inlineStr">
        <is>
          <t>KÖPING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22076-2023</t>
        </is>
      </c>
      <c r="B3148" s="1" t="n">
        <v>45069</v>
      </c>
      <c r="C3148" s="1" t="n">
        <v>45811</v>
      </c>
      <c r="D3148" t="inlineStr">
        <is>
          <t>VÄSTMANLANDS LÄN</t>
        </is>
      </c>
      <c r="E3148" t="inlineStr">
        <is>
          <t>SALA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22115-2023</t>
        </is>
      </c>
      <c r="B3149" s="1" t="n">
        <v>45069</v>
      </c>
      <c r="C3149" s="1" t="n">
        <v>45811</v>
      </c>
      <c r="D3149" t="inlineStr">
        <is>
          <t>VÄSTMANLANDS LÄN</t>
        </is>
      </c>
      <c r="E3149" t="inlineStr">
        <is>
          <t>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22146-2023</t>
        </is>
      </c>
      <c r="B3150" s="1" t="n">
        <v>45069</v>
      </c>
      <c r="C3150" s="1" t="n">
        <v>45811</v>
      </c>
      <c r="D3150" t="inlineStr">
        <is>
          <t>VÄSTMANLANDS LÄN</t>
        </is>
      </c>
      <c r="E3150" t="inlineStr">
        <is>
          <t>SALA</t>
        </is>
      </c>
      <c r="F3150" t="inlineStr">
        <is>
          <t>Kommuner</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22091-2023</t>
        </is>
      </c>
      <c r="B3151" s="1" t="n">
        <v>45069</v>
      </c>
      <c r="C3151" s="1" t="n">
        <v>45811</v>
      </c>
      <c r="D3151" t="inlineStr">
        <is>
          <t>VÄSTMANLANDS LÄN</t>
        </is>
      </c>
      <c r="E3151" t="inlineStr">
        <is>
          <t>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22118-2023</t>
        </is>
      </c>
      <c r="B3152" s="1" t="n">
        <v>45069</v>
      </c>
      <c r="C3152" s="1" t="n">
        <v>45811</v>
      </c>
      <c r="D3152" t="inlineStr">
        <is>
          <t>VÄSTMANLANDS LÄN</t>
        </is>
      </c>
      <c r="E3152" t="inlineStr">
        <is>
          <t>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22072-2023</t>
        </is>
      </c>
      <c r="B3153" s="1" t="n">
        <v>45069</v>
      </c>
      <c r="C3153" s="1" t="n">
        <v>45811</v>
      </c>
      <c r="D3153" t="inlineStr">
        <is>
          <t>VÄSTMANLANDS LÄN</t>
        </is>
      </c>
      <c r="E3153" t="inlineStr">
        <is>
          <t>HALLSTAHAMMAR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22082-2023</t>
        </is>
      </c>
      <c r="B3154" s="1" t="n">
        <v>45069</v>
      </c>
      <c r="C3154" s="1" t="n">
        <v>45811</v>
      </c>
      <c r="D3154" t="inlineStr">
        <is>
          <t>VÄSTMANLANDS LÄN</t>
        </is>
      </c>
      <c r="E3154" t="inlineStr">
        <is>
          <t>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22391-2023</t>
        </is>
      </c>
      <c r="B3155" s="1" t="n">
        <v>45069</v>
      </c>
      <c r="C3155" s="1" t="n">
        <v>45811</v>
      </c>
      <c r="D3155" t="inlineStr">
        <is>
          <t>VÄSTMANLANDS LÄN</t>
        </is>
      </c>
      <c r="E3155" t="inlineStr">
        <is>
          <t>FAGERSTA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22523-2023</t>
        </is>
      </c>
      <c r="B3156" s="1" t="n">
        <v>45069</v>
      </c>
      <c r="C3156" s="1" t="n">
        <v>45811</v>
      </c>
      <c r="D3156" t="inlineStr">
        <is>
          <t>VÄSTMANLANDS LÄN</t>
        </is>
      </c>
      <c r="E3156" t="inlineStr">
        <is>
          <t>SALA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22921-2023</t>
        </is>
      </c>
      <c r="B3157" s="1" t="n">
        <v>45070</v>
      </c>
      <c r="C3157" s="1" t="n">
        <v>45811</v>
      </c>
      <c r="D3157" t="inlineStr">
        <is>
          <t>VÄSTMANLANDS LÄN</t>
        </is>
      </c>
      <c r="E3157" t="inlineStr">
        <is>
          <t>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22915-2023</t>
        </is>
      </c>
      <c r="B3158" s="1" t="n">
        <v>45070</v>
      </c>
      <c r="C3158" s="1" t="n">
        <v>45811</v>
      </c>
      <c r="D3158" t="inlineStr">
        <is>
          <t>VÄSTMANLANDS LÄN</t>
        </is>
      </c>
      <c r="E3158" t="inlineStr">
        <is>
          <t>SURAHAMMAR</t>
        </is>
      </c>
      <c r="F3158" t="inlineStr">
        <is>
          <t>Bergvik skog väst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22482-2023</t>
        </is>
      </c>
      <c r="B3159" s="1" t="n">
        <v>45071</v>
      </c>
      <c r="C3159" s="1" t="n">
        <v>45811</v>
      </c>
      <c r="D3159" t="inlineStr">
        <is>
          <t>VÄSTMANLANDS LÄN</t>
        </is>
      </c>
      <c r="E3159" t="inlineStr">
        <is>
          <t>FAGERSTA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22484-2023</t>
        </is>
      </c>
      <c r="B3160" s="1" t="n">
        <v>45071</v>
      </c>
      <c r="C3160" s="1" t="n">
        <v>45811</v>
      </c>
      <c r="D3160" t="inlineStr">
        <is>
          <t>VÄSTMANLANDS LÄN</t>
        </is>
      </c>
      <c r="E3160" t="inlineStr">
        <is>
          <t>FAGERSTA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22660-2023</t>
        </is>
      </c>
      <c r="B3161" s="1" t="n">
        <v>45071</v>
      </c>
      <c r="C3161" s="1" t="n">
        <v>45811</v>
      </c>
      <c r="D3161" t="inlineStr">
        <is>
          <t>VÄSTMANLANDS LÄN</t>
        </is>
      </c>
      <c r="E3161" t="inlineStr">
        <is>
          <t>SURAHAMMAR</t>
        </is>
      </c>
      <c r="F3161" t="inlineStr">
        <is>
          <t>Sveaskog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22485-2023</t>
        </is>
      </c>
      <c r="B3162" s="1" t="n">
        <v>45071</v>
      </c>
      <c r="C3162" s="1" t="n">
        <v>45811</v>
      </c>
      <c r="D3162" t="inlineStr">
        <is>
          <t>VÄSTMANLANDS LÄN</t>
        </is>
      </c>
      <c r="E3162" t="inlineStr">
        <is>
          <t>FAGERSTA</t>
        </is>
      </c>
      <c r="F3162" t="inlineStr">
        <is>
          <t>Sveaskog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22483-2023</t>
        </is>
      </c>
      <c r="B3163" s="1" t="n">
        <v>45071</v>
      </c>
      <c r="C3163" s="1" t="n">
        <v>45811</v>
      </c>
      <c r="D3163" t="inlineStr">
        <is>
          <t>VÄSTMANLANDS LÄN</t>
        </is>
      </c>
      <c r="E3163" t="inlineStr">
        <is>
          <t>FAGERSTA</t>
        </is>
      </c>
      <c r="F3163" t="inlineStr">
        <is>
          <t>Sveaskog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22662-2023</t>
        </is>
      </c>
      <c r="B3164" s="1" t="n">
        <v>45071</v>
      </c>
      <c r="C3164" s="1" t="n">
        <v>45811</v>
      </c>
      <c r="D3164" t="inlineStr">
        <is>
          <t>VÄSTMANLANDS LÄN</t>
        </is>
      </c>
      <c r="E3164" t="inlineStr">
        <is>
          <t>SURAHAMMAR</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22661-2023</t>
        </is>
      </c>
      <c r="B3165" s="1" t="n">
        <v>45071</v>
      </c>
      <c r="C3165" s="1" t="n">
        <v>45811</v>
      </c>
      <c r="D3165" t="inlineStr">
        <is>
          <t>VÄSTMANLANDS LÄN</t>
        </is>
      </c>
      <c r="E3165" t="inlineStr">
        <is>
          <t>SURAHAMMAR</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22659-2023</t>
        </is>
      </c>
      <c r="B3166" s="1" t="n">
        <v>45071</v>
      </c>
      <c r="C3166" s="1" t="n">
        <v>45811</v>
      </c>
      <c r="D3166" t="inlineStr">
        <is>
          <t>VÄSTMANLANDS LÄN</t>
        </is>
      </c>
      <c r="E3166" t="inlineStr">
        <is>
          <t>SURAHAMMAR</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22817-2023</t>
        </is>
      </c>
      <c r="B3167" s="1" t="n">
        <v>45072</v>
      </c>
      <c r="C3167" s="1" t="n">
        <v>45811</v>
      </c>
      <c r="D3167" t="inlineStr">
        <is>
          <t>VÄSTMANLANDS LÄN</t>
        </is>
      </c>
      <c r="E3167" t="inlineStr">
        <is>
          <t>FAGERSTA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22832-2023</t>
        </is>
      </c>
      <c r="B3168" s="1" t="n">
        <v>45072</v>
      </c>
      <c r="C3168" s="1" t="n">
        <v>45811</v>
      </c>
      <c r="D3168" t="inlineStr">
        <is>
          <t>VÄSTMANLANDS LÄN</t>
        </is>
      </c>
      <c r="E3168" t="inlineStr">
        <is>
          <t>VÄSTERÅS</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22933-2023</t>
        </is>
      </c>
      <c r="B3169" s="1" t="n">
        <v>45072</v>
      </c>
      <c r="C3169" s="1" t="n">
        <v>45811</v>
      </c>
      <c r="D3169" t="inlineStr">
        <is>
          <t>VÄSTMANLANDS LÄN</t>
        </is>
      </c>
      <c r="E3169" t="inlineStr">
        <is>
          <t>SKINNSKATTEBERG</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22937-2023</t>
        </is>
      </c>
      <c r="B3170" s="1" t="n">
        <v>45072</v>
      </c>
      <c r="C3170" s="1" t="n">
        <v>45811</v>
      </c>
      <c r="D3170" t="inlineStr">
        <is>
          <t>VÄSTMANLANDS LÄN</t>
        </is>
      </c>
      <c r="E3170" t="inlineStr">
        <is>
          <t>SKINNSKATTEBERG</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22963-2023</t>
        </is>
      </c>
      <c r="B3171" s="1" t="n">
        <v>45072</v>
      </c>
      <c r="C3171" s="1" t="n">
        <v>45811</v>
      </c>
      <c r="D3171" t="inlineStr">
        <is>
          <t>VÄSTMANLANDS LÄN</t>
        </is>
      </c>
      <c r="E3171" t="inlineStr">
        <is>
          <t>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22961-2023</t>
        </is>
      </c>
      <c r="B3172" s="1" t="n">
        <v>45072</v>
      </c>
      <c r="C3172" s="1" t="n">
        <v>45811</v>
      </c>
      <c r="D3172" t="inlineStr">
        <is>
          <t>VÄSTMANLANDS LÄN</t>
        </is>
      </c>
      <c r="E3172" t="inlineStr">
        <is>
          <t>SALA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22940-2023</t>
        </is>
      </c>
      <c r="B3173" s="1" t="n">
        <v>45072</v>
      </c>
      <c r="C3173" s="1" t="n">
        <v>45811</v>
      </c>
      <c r="D3173" t="inlineStr">
        <is>
          <t>VÄSTMANLANDS LÄN</t>
        </is>
      </c>
      <c r="E3173" t="inlineStr">
        <is>
          <t>SKINNSKATTEBERG</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23145-2023</t>
        </is>
      </c>
      <c r="B3174" s="1" t="n">
        <v>45075</v>
      </c>
      <c r="C3174" s="1" t="n">
        <v>45811</v>
      </c>
      <c r="D3174" t="inlineStr">
        <is>
          <t>VÄSTMANLANDS LÄN</t>
        </is>
      </c>
      <c r="E3174" t="inlineStr">
        <is>
          <t>SALA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23209-2023</t>
        </is>
      </c>
      <c r="B3175" s="1" t="n">
        <v>45075</v>
      </c>
      <c r="C3175" s="1" t="n">
        <v>45811</v>
      </c>
      <c r="D3175" t="inlineStr">
        <is>
          <t>VÄSTMANLANDS LÄN</t>
        </is>
      </c>
      <c r="E3175" t="inlineStr">
        <is>
          <t>SKINNSKATTEBERG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23256-2023</t>
        </is>
      </c>
      <c r="B3176" s="1" t="n">
        <v>45075</v>
      </c>
      <c r="C3176" s="1" t="n">
        <v>45811</v>
      </c>
      <c r="D3176" t="inlineStr">
        <is>
          <t>VÄSTMANLANDS LÄN</t>
        </is>
      </c>
      <c r="E3176" t="inlineStr">
        <is>
          <t>VÄSTERÅS</t>
        </is>
      </c>
      <c r="F3176" t="inlineStr">
        <is>
          <t>Kommuner</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23146-2023</t>
        </is>
      </c>
      <c r="B3177" s="1" t="n">
        <v>45075</v>
      </c>
      <c r="C3177" s="1" t="n">
        <v>45811</v>
      </c>
      <c r="D3177" t="inlineStr">
        <is>
          <t>VÄSTMANLANDS LÄN</t>
        </is>
      </c>
      <c r="E3177" t="inlineStr">
        <is>
          <t>SALA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23224-2023</t>
        </is>
      </c>
      <c r="B3178" s="1" t="n">
        <v>45075</v>
      </c>
      <c r="C3178" s="1" t="n">
        <v>45811</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23222-2023</t>
        </is>
      </c>
      <c r="B3179" s="1" t="n">
        <v>45075</v>
      </c>
      <c r="C3179" s="1" t="n">
        <v>45811</v>
      </c>
      <c r="D3179" t="inlineStr">
        <is>
          <t>VÄSTMANLANDS LÄN</t>
        </is>
      </c>
      <c r="E3179" t="inlineStr">
        <is>
          <t>SALA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23232-2023</t>
        </is>
      </c>
      <c r="B3180" s="1" t="n">
        <v>45075</v>
      </c>
      <c r="C3180" s="1" t="n">
        <v>45811</v>
      </c>
      <c r="D3180" t="inlineStr">
        <is>
          <t>VÄSTMANLANDS LÄN</t>
        </is>
      </c>
      <c r="E3180" t="inlineStr">
        <is>
          <t>SALA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23386-2023</t>
        </is>
      </c>
      <c r="B3181" s="1" t="n">
        <v>45076</v>
      </c>
      <c r="C3181" s="1" t="n">
        <v>45811</v>
      </c>
      <c r="D3181" t="inlineStr">
        <is>
          <t>VÄSTMANLANDS LÄN</t>
        </is>
      </c>
      <c r="E3181" t="inlineStr">
        <is>
          <t>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23390-2023</t>
        </is>
      </c>
      <c r="B3182" s="1" t="n">
        <v>45076</v>
      </c>
      <c r="C3182" s="1" t="n">
        <v>45811</v>
      </c>
      <c r="D3182" t="inlineStr">
        <is>
          <t>VÄSTMANLANDS LÄN</t>
        </is>
      </c>
      <c r="E3182" t="inlineStr">
        <is>
          <t>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23374-2023</t>
        </is>
      </c>
      <c r="B3183" s="1" t="n">
        <v>45076</v>
      </c>
      <c r="C3183" s="1" t="n">
        <v>45811</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23387-2023</t>
        </is>
      </c>
      <c r="B3184" s="1" t="n">
        <v>45076</v>
      </c>
      <c r="C3184" s="1" t="n">
        <v>45811</v>
      </c>
      <c r="D3184" t="inlineStr">
        <is>
          <t>VÄSTMANLANDS LÄN</t>
        </is>
      </c>
      <c r="E3184" t="inlineStr">
        <is>
          <t>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23372-2023</t>
        </is>
      </c>
      <c r="B3185" s="1" t="n">
        <v>45076</v>
      </c>
      <c r="C3185" s="1" t="n">
        <v>45811</v>
      </c>
      <c r="D3185" t="inlineStr">
        <is>
          <t>VÄSTMANLANDS LÄN</t>
        </is>
      </c>
      <c r="E3185" t="inlineStr">
        <is>
          <t>SALA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23389-2023</t>
        </is>
      </c>
      <c r="B3186" s="1" t="n">
        <v>45076</v>
      </c>
      <c r="C3186" s="1" t="n">
        <v>45811</v>
      </c>
      <c r="D3186" t="inlineStr">
        <is>
          <t>VÄSTMANLANDS LÄN</t>
        </is>
      </c>
      <c r="E3186" t="inlineStr">
        <is>
          <t>KÖPING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23631-2023</t>
        </is>
      </c>
      <c r="B3187" s="1" t="n">
        <v>45077</v>
      </c>
      <c r="C3187" s="1" t="n">
        <v>45811</v>
      </c>
      <c r="D3187" t="inlineStr">
        <is>
          <t>VÄSTMANLANDS LÄN</t>
        </is>
      </c>
      <c r="E3187" t="inlineStr">
        <is>
          <t>VÄSTERÅS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23661-2023</t>
        </is>
      </c>
      <c r="B3188" s="1" t="n">
        <v>45077</v>
      </c>
      <c r="C3188" s="1" t="n">
        <v>45811</v>
      </c>
      <c r="D3188" t="inlineStr">
        <is>
          <t>VÄSTMANLANDS LÄN</t>
        </is>
      </c>
      <c r="E3188" t="inlineStr">
        <is>
          <t>SKINNSKATTEBERG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23665-2023</t>
        </is>
      </c>
      <c r="B3189" s="1" t="n">
        <v>45077</v>
      </c>
      <c r="C3189" s="1" t="n">
        <v>45811</v>
      </c>
      <c r="D3189" t="inlineStr">
        <is>
          <t>VÄSTMANLANDS LÄN</t>
        </is>
      </c>
      <c r="E3189" t="inlineStr">
        <is>
          <t>SKINNSKATTEBERG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23542-2023</t>
        </is>
      </c>
      <c r="B3190" s="1" t="n">
        <v>45077</v>
      </c>
      <c r="C3190" s="1" t="n">
        <v>45811</v>
      </c>
      <c r="D3190" t="inlineStr">
        <is>
          <t>VÄSTMANLANDS LÄN</t>
        </is>
      </c>
      <c r="E3190" t="inlineStr">
        <is>
          <t>NORBERG</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23658-2023</t>
        </is>
      </c>
      <c r="B3191" s="1" t="n">
        <v>45077</v>
      </c>
      <c r="C3191" s="1" t="n">
        <v>45811</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23659-2023</t>
        </is>
      </c>
      <c r="B3192" s="1" t="n">
        <v>45077</v>
      </c>
      <c r="C3192" s="1" t="n">
        <v>45811</v>
      </c>
      <c r="D3192" t="inlineStr">
        <is>
          <t>VÄSTMANLANDS LÄN</t>
        </is>
      </c>
      <c r="E3192" t="inlineStr">
        <is>
          <t>SALA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23731-2023</t>
        </is>
      </c>
      <c r="B3193" s="1" t="n">
        <v>45077</v>
      </c>
      <c r="C3193" s="1" t="n">
        <v>45811</v>
      </c>
      <c r="D3193" t="inlineStr">
        <is>
          <t>VÄSTMANLANDS LÄN</t>
        </is>
      </c>
      <c r="E3193" t="inlineStr">
        <is>
          <t>SURAHAMMAR</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23574-2023</t>
        </is>
      </c>
      <c r="B3194" s="1" t="n">
        <v>45077</v>
      </c>
      <c r="C3194" s="1" t="n">
        <v>45811</v>
      </c>
      <c r="D3194" t="inlineStr">
        <is>
          <t>VÄSTMANLANDS LÄN</t>
        </is>
      </c>
      <c r="E3194" t="inlineStr">
        <is>
          <t>KUNGSÖR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23616-2023</t>
        </is>
      </c>
      <c r="B3195" s="1" t="n">
        <v>45077</v>
      </c>
      <c r="C3195" s="1" t="n">
        <v>45811</v>
      </c>
      <c r="D3195" t="inlineStr">
        <is>
          <t>VÄSTMANLANDS LÄN</t>
        </is>
      </c>
      <c r="E3195" t="inlineStr">
        <is>
          <t>NORBERG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23641-2023</t>
        </is>
      </c>
      <c r="B3196" s="1" t="n">
        <v>45077</v>
      </c>
      <c r="C3196" s="1" t="n">
        <v>45811</v>
      </c>
      <c r="D3196" t="inlineStr">
        <is>
          <t>VÄSTMANLANDS LÄN</t>
        </is>
      </c>
      <c r="E3196" t="inlineStr">
        <is>
          <t>VÄSTERÅS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23656-2023</t>
        </is>
      </c>
      <c r="B3197" s="1" t="n">
        <v>45077</v>
      </c>
      <c r="C3197" s="1" t="n">
        <v>45811</v>
      </c>
      <c r="D3197" t="inlineStr">
        <is>
          <t>VÄSTMANLANDS LÄN</t>
        </is>
      </c>
      <c r="E3197" t="inlineStr">
        <is>
          <t>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23875-2023</t>
        </is>
      </c>
      <c r="B3198" s="1" t="n">
        <v>45078</v>
      </c>
      <c r="C3198" s="1" t="n">
        <v>45811</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23905-2023</t>
        </is>
      </c>
      <c r="B3199" s="1" t="n">
        <v>45078</v>
      </c>
      <c r="C3199" s="1" t="n">
        <v>45811</v>
      </c>
      <c r="D3199" t="inlineStr">
        <is>
          <t>VÄSTMANLANDS LÄN</t>
        </is>
      </c>
      <c r="E3199" t="inlineStr">
        <is>
          <t>VÄSTERÅS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23927-2023</t>
        </is>
      </c>
      <c r="B3200" s="1" t="n">
        <v>45078</v>
      </c>
      <c r="C3200" s="1" t="n">
        <v>45811</v>
      </c>
      <c r="D3200" t="inlineStr">
        <is>
          <t>VÄSTMANLANDS LÄN</t>
        </is>
      </c>
      <c r="E3200" t="inlineStr">
        <is>
          <t>KUNGSÖR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23932-2023</t>
        </is>
      </c>
      <c r="B3201" s="1" t="n">
        <v>45078</v>
      </c>
      <c r="C3201" s="1" t="n">
        <v>45811</v>
      </c>
      <c r="D3201" t="inlineStr">
        <is>
          <t>VÄSTMANLANDS LÄN</t>
        </is>
      </c>
      <c r="E3201" t="inlineStr">
        <is>
          <t>KUNGSÖR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23791-2023</t>
        </is>
      </c>
      <c r="B3202" s="1" t="n">
        <v>45078</v>
      </c>
      <c r="C3202" s="1" t="n">
        <v>45811</v>
      </c>
      <c r="D3202" t="inlineStr">
        <is>
          <t>VÄSTMANLANDS LÄN</t>
        </is>
      </c>
      <c r="E3202" t="inlineStr">
        <is>
          <t>NORBERG</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23825-2023</t>
        </is>
      </c>
      <c r="B3203" s="1" t="n">
        <v>45078</v>
      </c>
      <c r="C3203" s="1" t="n">
        <v>45811</v>
      </c>
      <c r="D3203" t="inlineStr">
        <is>
          <t>VÄSTMANLANDS LÄN</t>
        </is>
      </c>
      <c r="E3203" t="inlineStr">
        <is>
          <t>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23917-2023</t>
        </is>
      </c>
      <c r="B3204" s="1" t="n">
        <v>45078</v>
      </c>
      <c r="C3204" s="1" t="n">
        <v>45811</v>
      </c>
      <c r="D3204" t="inlineStr">
        <is>
          <t>VÄSTMANLANDS LÄN</t>
        </is>
      </c>
      <c r="E3204" t="inlineStr">
        <is>
          <t>NORBERG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23920-2023</t>
        </is>
      </c>
      <c r="B3205" s="1" t="n">
        <v>45078</v>
      </c>
      <c r="C3205" s="1" t="n">
        <v>45811</v>
      </c>
      <c r="D3205" t="inlineStr">
        <is>
          <t>VÄSTMANLANDS LÄN</t>
        </is>
      </c>
      <c r="E3205" t="inlineStr">
        <is>
          <t>VÄSTERÅS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24098-2023</t>
        </is>
      </c>
      <c r="B3206" s="1" t="n">
        <v>45079</v>
      </c>
      <c r="C3206" s="1" t="n">
        <v>45811</v>
      </c>
      <c r="D3206" t="inlineStr">
        <is>
          <t>VÄSTMANLANDS LÄN</t>
        </is>
      </c>
      <c r="E3206" t="inlineStr">
        <is>
          <t>SKINNSKATTEBERG</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24156-2023</t>
        </is>
      </c>
      <c r="B3207" s="1" t="n">
        <v>45079</v>
      </c>
      <c r="C3207" s="1" t="n">
        <v>45811</v>
      </c>
      <c r="D3207" t="inlineStr">
        <is>
          <t>VÄSTMANLANDS LÄN</t>
        </is>
      </c>
      <c r="E3207" t="inlineStr">
        <is>
          <t>SURAHAMMAR</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24248-2023</t>
        </is>
      </c>
      <c r="B3208" s="1" t="n">
        <v>45079</v>
      </c>
      <c r="C3208" s="1" t="n">
        <v>45811</v>
      </c>
      <c r="D3208" t="inlineStr">
        <is>
          <t>VÄSTMANLANDS LÄN</t>
        </is>
      </c>
      <c r="E3208" t="inlineStr">
        <is>
          <t>SALA</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24091-2023</t>
        </is>
      </c>
      <c r="B3209" s="1" t="n">
        <v>45079</v>
      </c>
      <c r="C3209" s="1" t="n">
        <v>45811</v>
      </c>
      <c r="D3209" t="inlineStr">
        <is>
          <t>VÄSTMANLANDS LÄN</t>
        </is>
      </c>
      <c r="E3209" t="inlineStr">
        <is>
          <t>SKINNSKATTEBERG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24158-2023</t>
        </is>
      </c>
      <c r="B3210" s="1" t="n">
        <v>45079</v>
      </c>
      <c r="C3210" s="1" t="n">
        <v>45811</v>
      </c>
      <c r="D3210" t="inlineStr">
        <is>
          <t>VÄSTMANLANDS LÄN</t>
        </is>
      </c>
      <c r="E3210" t="inlineStr">
        <is>
          <t>SURAHAMMAR</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24197-2023</t>
        </is>
      </c>
      <c r="B3211" s="1" t="n">
        <v>45079</v>
      </c>
      <c r="C3211" s="1" t="n">
        <v>45811</v>
      </c>
      <c r="D3211" t="inlineStr">
        <is>
          <t>VÄSTMANLANDS LÄN</t>
        </is>
      </c>
      <c r="E3211" t="inlineStr">
        <is>
          <t>SURAHAMMAR</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24180-2023</t>
        </is>
      </c>
      <c r="B3212" s="1" t="n">
        <v>45079</v>
      </c>
      <c r="C3212" s="1" t="n">
        <v>45811</v>
      </c>
      <c r="D3212" t="inlineStr">
        <is>
          <t>VÄSTMANLANDS LÄN</t>
        </is>
      </c>
      <c r="E3212" t="inlineStr">
        <is>
          <t>SURAHAMMAR</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24099-2023</t>
        </is>
      </c>
      <c r="B3213" s="1" t="n">
        <v>45079</v>
      </c>
      <c r="C3213" s="1" t="n">
        <v>45811</v>
      </c>
      <c r="D3213" t="inlineStr">
        <is>
          <t>VÄSTMANLANDS LÄN</t>
        </is>
      </c>
      <c r="E3213" t="inlineStr">
        <is>
          <t>SKINNSKATTEBERG</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24137-2023</t>
        </is>
      </c>
      <c r="B3214" s="1" t="n">
        <v>45079</v>
      </c>
      <c r="C3214" s="1" t="n">
        <v>45811</v>
      </c>
      <c r="D3214" t="inlineStr">
        <is>
          <t>VÄSTMANLANDS LÄN</t>
        </is>
      </c>
      <c r="E3214" t="inlineStr">
        <is>
          <t>SKINNSKATTEBERG</t>
        </is>
      </c>
      <c r="F3214" t="inlineStr">
        <is>
          <t>Sveaskog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24504-2023</t>
        </is>
      </c>
      <c r="B3215" s="1" t="n">
        <v>45082</v>
      </c>
      <c r="C3215" s="1" t="n">
        <v>45811</v>
      </c>
      <c r="D3215" t="inlineStr">
        <is>
          <t>VÄSTMANLANDS LÄN</t>
        </is>
      </c>
      <c r="E3215" t="inlineStr">
        <is>
          <t>SKINNSKATTEBERG</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24427-2023</t>
        </is>
      </c>
      <c r="B3216" s="1" t="n">
        <v>45082</v>
      </c>
      <c r="C3216" s="1" t="n">
        <v>45811</v>
      </c>
      <c r="D3216" t="inlineStr">
        <is>
          <t>VÄSTMANLANDS LÄN</t>
        </is>
      </c>
      <c r="E3216" t="inlineStr">
        <is>
          <t>SKINNSKATTEBERG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24495-2023</t>
        </is>
      </c>
      <c r="B3217" s="1" t="n">
        <v>45082</v>
      </c>
      <c r="C3217" s="1" t="n">
        <v>45811</v>
      </c>
      <c r="D3217" t="inlineStr">
        <is>
          <t>VÄSTMANLANDS LÄN</t>
        </is>
      </c>
      <c r="E3217" t="inlineStr">
        <is>
          <t>SALA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24572-2023</t>
        </is>
      </c>
      <c r="B3218" s="1" t="n">
        <v>45083</v>
      </c>
      <c r="C3218" s="1" t="n">
        <v>45811</v>
      </c>
      <c r="D3218" t="inlineStr">
        <is>
          <t>VÄSTMANLANDS LÄN</t>
        </is>
      </c>
      <c r="E3218" t="inlineStr">
        <is>
          <t>VÄSTERÅS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24585-2023</t>
        </is>
      </c>
      <c r="B3219" s="1" t="n">
        <v>45083</v>
      </c>
      <c r="C3219" s="1" t="n">
        <v>45811</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24584-2023</t>
        </is>
      </c>
      <c r="B3220" s="1" t="n">
        <v>45083</v>
      </c>
      <c r="C3220" s="1" t="n">
        <v>45811</v>
      </c>
      <c r="D3220" t="inlineStr">
        <is>
          <t>VÄSTMANLANDS LÄN</t>
        </is>
      </c>
      <c r="E3220" t="inlineStr">
        <is>
          <t>SALA</t>
        </is>
      </c>
      <c r="F3220" t="inlineStr">
        <is>
          <t>Sveaskog</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24573-2023</t>
        </is>
      </c>
      <c r="B3221" s="1" t="n">
        <v>45083</v>
      </c>
      <c r="C3221" s="1" t="n">
        <v>45811</v>
      </c>
      <c r="D3221" t="inlineStr">
        <is>
          <t>VÄSTMANLANDS LÄN</t>
        </is>
      </c>
      <c r="E3221" t="inlineStr">
        <is>
          <t>VÄSTERÅS</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24586-2023</t>
        </is>
      </c>
      <c r="B3222" s="1" t="n">
        <v>45083</v>
      </c>
      <c r="C3222" s="1" t="n">
        <v>45811</v>
      </c>
      <c r="D3222" t="inlineStr">
        <is>
          <t>VÄSTMANLANDS LÄN</t>
        </is>
      </c>
      <c r="E3222" t="inlineStr">
        <is>
          <t>SALA</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24665-2023</t>
        </is>
      </c>
      <c r="B3223" s="1" t="n">
        <v>45084</v>
      </c>
      <c r="C3223" s="1" t="n">
        <v>45811</v>
      </c>
      <c r="D3223" t="inlineStr">
        <is>
          <t>VÄSTMANLANDS LÄN</t>
        </is>
      </c>
      <c r="E3223" t="inlineStr">
        <is>
          <t>SURAHAMMAR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24606-2023</t>
        </is>
      </c>
      <c r="B3224" s="1" t="n">
        <v>45084</v>
      </c>
      <c r="C3224" s="1" t="n">
        <v>45811</v>
      </c>
      <c r="D3224" t="inlineStr">
        <is>
          <t>VÄSTMANLANDS LÄN</t>
        </is>
      </c>
      <c r="E3224" t="inlineStr">
        <is>
          <t>NORBERG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24773-2023</t>
        </is>
      </c>
      <c r="B3225" s="1" t="n">
        <v>45084</v>
      </c>
      <c r="C3225" s="1" t="n">
        <v>45811</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24777-2023</t>
        </is>
      </c>
      <c r="B3226" s="1" t="n">
        <v>45084</v>
      </c>
      <c r="C3226" s="1" t="n">
        <v>45811</v>
      </c>
      <c r="D3226" t="inlineStr">
        <is>
          <t>VÄSTMANLANDS LÄN</t>
        </is>
      </c>
      <c r="E3226" t="inlineStr">
        <is>
          <t>SALA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25761-2023</t>
        </is>
      </c>
      <c r="B3227" s="1" t="n">
        <v>45084</v>
      </c>
      <c r="C3227" s="1" t="n">
        <v>45811</v>
      </c>
      <c r="D3227" t="inlineStr">
        <is>
          <t>VÄSTMANLANDS LÄN</t>
        </is>
      </c>
      <c r="E3227" t="inlineStr">
        <is>
          <t>NORBERG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24883-2023</t>
        </is>
      </c>
      <c r="B3228" s="1" t="n">
        <v>45085</v>
      </c>
      <c r="C3228" s="1" t="n">
        <v>45811</v>
      </c>
      <c r="D3228" t="inlineStr">
        <is>
          <t>VÄSTMANLANDS LÄN</t>
        </is>
      </c>
      <c r="E3228" t="inlineStr">
        <is>
          <t>SKINNSKATTEBERG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24884-2023</t>
        </is>
      </c>
      <c r="B3229" s="1" t="n">
        <v>45085</v>
      </c>
      <c r="C3229" s="1" t="n">
        <v>45811</v>
      </c>
      <c r="D3229" t="inlineStr">
        <is>
          <t>VÄSTMANLANDS LÄN</t>
        </is>
      </c>
      <c r="E3229" t="inlineStr">
        <is>
          <t>SKINNSKATTEBERG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24944-2023</t>
        </is>
      </c>
      <c r="B3230" s="1" t="n">
        <v>45085</v>
      </c>
      <c r="C3230" s="1" t="n">
        <v>45811</v>
      </c>
      <c r="D3230" t="inlineStr">
        <is>
          <t>VÄSTMANLANDS LÄN</t>
        </is>
      </c>
      <c r="E3230" t="inlineStr">
        <is>
          <t>SALA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25260-2023</t>
        </is>
      </c>
      <c r="B3231" s="1" t="n">
        <v>45086</v>
      </c>
      <c r="C3231" s="1" t="n">
        <v>45811</v>
      </c>
      <c r="D3231" t="inlineStr">
        <is>
          <t>VÄSTMANLANDS LÄN</t>
        </is>
      </c>
      <c r="E3231" t="inlineStr">
        <is>
          <t>SALA</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25233-2023</t>
        </is>
      </c>
      <c r="B3232" s="1" t="n">
        <v>45086</v>
      </c>
      <c r="C3232" s="1" t="n">
        <v>45811</v>
      </c>
      <c r="D3232" t="inlineStr">
        <is>
          <t>VÄSTMANLANDS LÄN</t>
        </is>
      </c>
      <c r="E3232" t="inlineStr">
        <is>
          <t>SALA</t>
        </is>
      </c>
      <c r="F3232" t="inlineStr">
        <is>
          <t>Kommuner</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26229-2023</t>
        </is>
      </c>
      <c r="B3233" s="1" t="n">
        <v>45086</v>
      </c>
      <c r="C3233" s="1" t="n">
        <v>45811</v>
      </c>
      <c r="D3233" t="inlineStr">
        <is>
          <t>VÄSTMANLANDS LÄN</t>
        </is>
      </c>
      <c r="E3233" t="inlineStr">
        <is>
          <t>SALA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25412-2023</t>
        </is>
      </c>
      <c r="B3234" s="1" t="n">
        <v>45089</v>
      </c>
      <c r="C3234" s="1" t="n">
        <v>45811</v>
      </c>
      <c r="D3234" t="inlineStr">
        <is>
          <t>VÄSTMANLANDS LÄN</t>
        </is>
      </c>
      <c r="E3234" t="inlineStr">
        <is>
          <t>HALLSTAHAMMAR</t>
        </is>
      </c>
      <c r="F3234" t="inlineStr">
        <is>
          <t>Allmännings- och besparingsskogar</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25420-2023</t>
        </is>
      </c>
      <c r="B3235" s="1" t="n">
        <v>45089</v>
      </c>
      <c r="C3235" s="1" t="n">
        <v>45811</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25477-2023</t>
        </is>
      </c>
      <c r="B3236" s="1" t="n">
        <v>45089</v>
      </c>
      <c r="C3236" s="1" t="n">
        <v>45811</v>
      </c>
      <c r="D3236" t="inlineStr">
        <is>
          <t>VÄSTMANLANDS LÄN</t>
        </is>
      </c>
      <c r="E3236" t="inlineStr">
        <is>
          <t>NORBERG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25540-2023</t>
        </is>
      </c>
      <c r="B3237" s="1" t="n">
        <v>45089</v>
      </c>
      <c r="C3237" s="1" t="n">
        <v>45811</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25566-2023</t>
        </is>
      </c>
      <c r="B3238" s="1" t="n">
        <v>45089</v>
      </c>
      <c r="C3238" s="1" t="n">
        <v>45811</v>
      </c>
      <c r="D3238" t="inlineStr">
        <is>
          <t>VÄSTMANLANDS LÄN</t>
        </is>
      </c>
      <c r="E3238" t="inlineStr">
        <is>
          <t>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25571-2023</t>
        </is>
      </c>
      <c r="B3239" s="1" t="n">
        <v>45089</v>
      </c>
      <c r="C3239" s="1" t="n">
        <v>45811</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25576-2023</t>
        </is>
      </c>
      <c r="B3240" s="1" t="n">
        <v>45089</v>
      </c>
      <c r="C3240" s="1" t="n">
        <v>45811</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25580-2023</t>
        </is>
      </c>
      <c r="B3241" s="1" t="n">
        <v>45089</v>
      </c>
      <c r="C3241" s="1" t="n">
        <v>45811</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25804-2023</t>
        </is>
      </c>
      <c r="B3242" s="1" t="n">
        <v>45090</v>
      </c>
      <c r="C3242" s="1" t="n">
        <v>45811</v>
      </c>
      <c r="D3242" t="inlineStr">
        <is>
          <t>VÄSTMANLANDS LÄN</t>
        </is>
      </c>
      <c r="E3242" t="inlineStr">
        <is>
          <t>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25775-2023</t>
        </is>
      </c>
      <c r="B3243" s="1" t="n">
        <v>45090</v>
      </c>
      <c r="C3243" s="1" t="n">
        <v>45811</v>
      </c>
      <c r="D3243" t="inlineStr">
        <is>
          <t>VÄSTMANLANDS LÄN</t>
        </is>
      </c>
      <c r="E3243" t="inlineStr">
        <is>
          <t>SURAHAMMAR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25780-2023</t>
        </is>
      </c>
      <c r="B3244" s="1" t="n">
        <v>45090</v>
      </c>
      <c r="C3244" s="1" t="n">
        <v>45811</v>
      </c>
      <c r="D3244" t="inlineStr">
        <is>
          <t>VÄSTMANLANDS LÄN</t>
        </is>
      </c>
      <c r="E3244" t="inlineStr">
        <is>
          <t>SURAHAMMAR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25843-2023</t>
        </is>
      </c>
      <c r="B3245" s="1" t="n">
        <v>45090</v>
      </c>
      <c r="C3245" s="1" t="n">
        <v>45811</v>
      </c>
      <c r="D3245" t="inlineStr">
        <is>
          <t>VÄSTMANLANDS LÄN</t>
        </is>
      </c>
      <c r="E3245" t="inlineStr">
        <is>
          <t>SKINNSKATTEBERG</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25894-2023</t>
        </is>
      </c>
      <c r="B3246" s="1" t="n">
        <v>45090</v>
      </c>
      <c r="C3246" s="1" t="n">
        <v>45811</v>
      </c>
      <c r="D3246" t="inlineStr">
        <is>
          <t>VÄSTMANLANDS LÄN</t>
        </is>
      </c>
      <c r="E3246" t="inlineStr">
        <is>
          <t>SALA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25904-2023</t>
        </is>
      </c>
      <c r="B3247" s="1" t="n">
        <v>45090</v>
      </c>
      <c r="C3247" s="1" t="n">
        <v>45811</v>
      </c>
      <c r="D3247" t="inlineStr">
        <is>
          <t>VÄSTMANLANDS LÄN</t>
        </is>
      </c>
      <c r="E3247" t="inlineStr">
        <is>
          <t>VÄSTERÅS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26607-2023</t>
        </is>
      </c>
      <c r="B3248" s="1" t="n">
        <v>45090</v>
      </c>
      <c r="C3248" s="1" t="n">
        <v>45811</v>
      </c>
      <c r="D3248" t="inlineStr">
        <is>
          <t>VÄSTMANLANDS LÄN</t>
        </is>
      </c>
      <c r="E3248" t="inlineStr">
        <is>
          <t>SALA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26238-2023</t>
        </is>
      </c>
      <c r="B3249" s="1" t="n">
        <v>45091</v>
      </c>
      <c r="C3249" s="1" t="n">
        <v>45811</v>
      </c>
      <c r="D3249" t="inlineStr">
        <is>
          <t>VÄSTMANLANDS LÄN</t>
        </is>
      </c>
      <c r="E3249" t="inlineStr">
        <is>
          <t>VÄSTERÅS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26069-2023</t>
        </is>
      </c>
      <c r="B3250" s="1" t="n">
        <v>45091</v>
      </c>
      <c r="C3250" s="1" t="n">
        <v>45811</v>
      </c>
      <c r="D3250" t="inlineStr">
        <is>
          <t>VÄSTMANLANDS LÄN</t>
        </is>
      </c>
      <c r="E3250" t="inlineStr">
        <is>
          <t>NORBERG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26068-2023</t>
        </is>
      </c>
      <c r="B3251" s="1" t="n">
        <v>45091</v>
      </c>
      <c r="C3251" s="1" t="n">
        <v>45811</v>
      </c>
      <c r="D3251" t="inlineStr">
        <is>
          <t>VÄSTMANLANDS LÄN</t>
        </is>
      </c>
      <c r="E3251" t="inlineStr">
        <is>
          <t>NORBERG</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26072-2023</t>
        </is>
      </c>
      <c r="B3252" s="1" t="n">
        <v>45091</v>
      </c>
      <c r="C3252" s="1" t="n">
        <v>45811</v>
      </c>
      <c r="D3252" t="inlineStr">
        <is>
          <t>VÄSTMANLANDS LÄN</t>
        </is>
      </c>
      <c r="E3252" t="inlineStr">
        <is>
          <t>NORBERG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26066-2023</t>
        </is>
      </c>
      <c r="B3253" s="1" t="n">
        <v>45091</v>
      </c>
      <c r="C3253" s="1" t="n">
        <v>45811</v>
      </c>
      <c r="D3253" t="inlineStr">
        <is>
          <t>VÄSTMANLANDS LÄN</t>
        </is>
      </c>
      <c r="E3253" t="inlineStr">
        <is>
          <t>NORBERG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26505-2023</t>
        </is>
      </c>
      <c r="B3254" s="1" t="n">
        <v>45092</v>
      </c>
      <c r="C3254" s="1" t="n">
        <v>45811</v>
      </c>
      <c r="D3254" t="inlineStr">
        <is>
          <t>VÄSTMANLANDS LÄN</t>
        </is>
      </c>
      <c r="E3254" t="inlineStr">
        <is>
          <t>SALA</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26509-2023</t>
        </is>
      </c>
      <c r="B3255" s="1" t="n">
        <v>45092</v>
      </c>
      <c r="C3255" s="1" t="n">
        <v>45811</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26382-2023</t>
        </is>
      </c>
      <c r="B3256" s="1" t="n">
        <v>45092</v>
      </c>
      <c r="C3256" s="1" t="n">
        <v>45811</v>
      </c>
      <c r="D3256" t="inlineStr">
        <is>
          <t>VÄSTMANLANDS LÄN</t>
        </is>
      </c>
      <c r="E3256" t="inlineStr">
        <is>
          <t>KUNGSÖR</t>
        </is>
      </c>
      <c r="F3256" t="inlineStr">
        <is>
          <t>Allmännings- och besparingsskogar</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26584-2023</t>
        </is>
      </c>
      <c r="B3257" s="1" t="n">
        <v>45092</v>
      </c>
      <c r="C3257" s="1" t="n">
        <v>45811</v>
      </c>
      <c r="D3257" t="inlineStr">
        <is>
          <t>VÄSTMANLANDS LÄN</t>
        </is>
      </c>
      <c r="E3257" t="inlineStr">
        <is>
          <t>SKINNSKATTEBERG</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26508-2023</t>
        </is>
      </c>
      <c r="B3258" s="1" t="n">
        <v>45092</v>
      </c>
      <c r="C3258" s="1" t="n">
        <v>45811</v>
      </c>
      <c r="D3258" t="inlineStr">
        <is>
          <t>VÄSTMANLANDS LÄN</t>
        </is>
      </c>
      <c r="E3258" t="inlineStr">
        <is>
          <t>SALA</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26416-2023</t>
        </is>
      </c>
      <c r="B3259" s="1" t="n">
        <v>45092</v>
      </c>
      <c r="C3259" s="1" t="n">
        <v>45811</v>
      </c>
      <c r="D3259" t="inlineStr">
        <is>
          <t>VÄSTMANLANDS LÄN</t>
        </is>
      </c>
      <c r="E3259" t="inlineStr">
        <is>
          <t>SALA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26507-2023</t>
        </is>
      </c>
      <c r="B3260" s="1" t="n">
        <v>45092</v>
      </c>
      <c r="C3260" s="1" t="n">
        <v>45811</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26580-2023</t>
        </is>
      </c>
      <c r="B3261" s="1" t="n">
        <v>45092</v>
      </c>
      <c r="C3261" s="1" t="n">
        <v>45811</v>
      </c>
      <c r="D3261" t="inlineStr">
        <is>
          <t>VÄSTMANLANDS LÄN</t>
        </is>
      </c>
      <c r="E3261" t="inlineStr">
        <is>
          <t>SKINNSKATTEBERG</t>
        </is>
      </c>
      <c r="F3261" t="inlineStr">
        <is>
          <t>Sveaskog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26581-2023</t>
        </is>
      </c>
      <c r="B3262" s="1" t="n">
        <v>45092</v>
      </c>
      <c r="C3262" s="1" t="n">
        <v>45811</v>
      </c>
      <c r="D3262" t="inlineStr">
        <is>
          <t>VÄSTMANLANDS LÄN</t>
        </is>
      </c>
      <c r="E3262" t="inlineStr">
        <is>
          <t>SKINNSKATTEBERG</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26633-2023</t>
        </is>
      </c>
      <c r="B3263" s="1" t="n">
        <v>45092</v>
      </c>
      <c r="C3263" s="1" t="n">
        <v>45811</v>
      </c>
      <c r="D3263" t="inlineStr">
        <is>
          <t>VÄSTMANLANDS LÄN</t>
        </is>
      </c>
      <c r="E3263" t="inlineStr">
        <is>
          <t>ARBOGA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26727-2023</t>
        </is>
      </c>
      <c r="B3264" s="1" t="n">
        <v>45093</v>
      </c>
      <c r="C3264" s="1" t="n">
        <v>45811</v>
      </c>
      <c r="D3264" t="inlineStr">
        <is>
          <t>VÄSTMANLANDS LÄN</t>
        </is>
      </c>
      <c r="E3264" t="inlineStr">
        <is>
          <t>VÄSTERÅS</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26692-2023</t>
        </is>
      </c>
      <c r="B3265" s="1" t="n">
        <v>45093</v>
      </c>
      <c r="C3265" s="1" t="n">
        <v>45811</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26802-2023</t>
        </is>
      </c>
      <c r="B3266" s="1" t="n">
        <v>45093</v>
      </c>
      <c r="C3266" s="1" t="n">
        <v>45811</v>
      </c>
      <c r="D3266" t="inlineStr">
        <is>
          <t>VÄSTMANLANDS LÄN</t>
        </is>
      </c>
      <c r="E3266" t="inlineStr">
        <is>
          <t>NORBERG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26761-2023</t>
        </is>
      </c>
      <c r="B3267" s="1" t="n">
        <v>45093</v>
      </c>
      <c r="C3267" s="1" t="n">
        <v>45811</v>
      </c>
      <c r="D3267" t="inlineStr">
        <is>
          <t>VÄSTMANLANDS LÄN</t>
        </is>
      </c>
      <c r="E3267" t="inlineStr">
        <is>
          <t>SALA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27635-2023</t>
        </is>
      </c>
      <c r="B3268" s="1" t="n">
        <v>45093</v>
      </c>
      <c r="C3268" s="1" t="n">
        <v>45811</v>
      </c>
      <c r="D3268" t="inlineStr">
        <is>
          <t>VÄSTMANLANDS LÄN</t>
        </is>
      </c>
      <c r="E3268" t="inlineStr">
        <is>
          <t>NORBERG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27023-2023</t>
        </is>
      </c>
      <c r="B3269" s="1" t="n">
        <v>45094</v>
      </c>
      <c r="C3269" s="1" t="n">
        <v>45811</v>
      </c>
      <c r="D3269" t="inlineStr">
        <is>
          <t>VÄSTMANLANDS LÄN</t>
        </is>
      </c>
      <c r="E3269" t="inlineStr">
        <is>
          <t>SALA</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27038-2023</t>
        </is>
      </c>
      <c r="B3270" s="1" t="n">
        <v>45095</v>
      </c>
      <c r="C3270" s="1" t="n">
        <v>45811</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27140-2023</t>
        </is>
      </c>
      <c r="B3271" s="1" t="n">
        <v>45096</v>
      </c>
      <c r="C3271" s="1" t="n">
        <v>45811</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27156-2023</t>
        </is>
      </c>
      <c r="B3272" s="1" t="n">
        <v>45096</v>
      </c>
      <c r="C3272" s="1" t="n">
        <v>45811</v>
      </c>
      <c r="D3272" t="inlineStr">
        <is>
          <t>VÄSTMANLANDS LÄN</t>
        </is>
      </c>
      <c r="E3272" t="inlineStr">
        <is>
          <t>SURAHAMMAR</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27142-2023</t>
        </is>
      </c>
      <c r="B3273" s="1" t="n">
        <v>45096</v>
      </c>
      <c r="C3273" s="1" t="n">
        <v>45811</v>
      </c>
      <c r="D3273" t="inlineStr">
        <is>
          <t>VÄSTMANLANDS LÄN</t>
        </is>
      </c>
      <c r="E3273" t="inlineStr">
        <is>
          <t>SURAHAMMAR</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27171-2023</t>
        </is>
      </c>
      <c r="B3274" s="1" t="n">
        <v>45096</v>
      </c>
      <c r="C3274" s="1" t="n">
        <v>45811</v>
      </c>
      <c r="D3274" t="inlineStr">
        <is>
          <t>VÄSTMANLANDS LÄN</t>
        </is>
      </c>
      <c r="E3274" t="inlineStr">
        <is>
          <t>SURAHAMMAR</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27201-2023</t>
        </is>
      </c>
      <c r="B3275" s="1" t="n">
        <v>45096</v>
      </c>
      <c r="C3275" s="1" t="n">
        <v>45811</v>
      </c>
      <c r="D3275" t="inlineStr">
        <is>
          <t>VÄSTMANLANDS LÄN</t>
        </is>
      </c>
      <c r="E3275" t="inlineStr">
        <is>
          <t>FAGERSTA</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27228-2023</t>
        </is>
      </c>
      <c r="B3276" s="1" t="n">
        <v>45096</v>
      </c>
      <c r="C3276" s="1" t="n">
        <v>45811</v>
      </c>
      <c r="D3276" t="inlineStr">
        <is>
          <t>VÄSTMANLANDS LÄN</t>
        </is>
      </c>
      <c r="E3276" t="inlineStr">
        <is>
          <t>SALA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27255-2023</t>
        </is>
      </c>
      <c r="B3277" s="1" t="n">
        <v>45096</v>
      </c>
      <c r="C3277" s="1" t="n">
        <v>45811</v>
      </c>
      <c r="D3277" t="inlineStr">
        <is>
          <t>VÄSTMANLANDS LÄN</t>
        </is>
      </c>
      <c r="E3277" t="inlineStr">
        <is>
          <t>SALA</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27230-2023</t>
        </is>
      </c>
      <c r="B3278" s="1" t="n">
        <v>45096</v>
      </c>
      <c r="C3278" s="1" t="n">
        <v>45811</v>
      </c>
      <c r="D3278" t="inlineStr">
        <is>
          <t>VÄSTMANLANDS LÄN</t>
        </is>
      </c>
      <c r="E3278" t="inlineStr">
        <is>
          <t>KÖPING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27329-2023</t>
        </is>
      </c>
      <c r="B3279" s="1" t="n">
        <v>45096</v>
      </c>
      <c r="C3279" s="1" t="n">
        <v>45811</v>
      </c>
      <c r="D3279" t="inlineStr">
        <is>
          <t>VÄSTMANLANDS LÄN</t>
        </is>
      </c>
      <c r="E3279" t="inlineStr">
        <is>
          <t>SKINNSKATTEBERG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27309-2023</t>
        </is>
      </c>
      <c r="B3280" s="1" t="n">
        <v>45096</v>
      </c>
      <c r="C3280" s="1" t="n">
        <v>45811</v>
      </c>
      <c r="D3280" t="inlineStr">
        <is>
          <t>VÄSTMANLANDS LÄN</t>
        </is>
      </c>
      <c r="E3280" t="inlineStr">
        <is>
          <t>VÄSTERÅS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27328-2023</t>
        </is>
      </c>
      <c r="B3281" s="1" t="n">
        <v>45096</v>
      </c>
      <c r="C3281" s="1" t="n">
        <v>45811</v>
      </c>
      <c r="D3281" t="inlineStr">
        <is>
          <t>VÄSTMANLANDS LÄN</t>
        </is>
      </c>
      <c r="E3281" t="inlineStr">
        <is>
          <t>SKINNSKATTEBERG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27326-2023</t>
        </is>
      </c>
      <c r="B3282" s="1" t="n">
        <v>45096</v>
      </c>
      <c r="C3282" s="1" t="n">
        <v>45811</v>
      </c>
      <c r="D3282" t="inlineStr">
        <is>
          <t>VÄSTMANLANDS LÄN</t>
        </is>
      </c>
      <c r="E3282" t="inlineStr">
        <is>
          <t>SKINNSKATTEBERG</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27424-2023</t>
        </is>
      </c>
      <c r="B3283" s="1" t="n">
        <v>45097</v>
      </c>
      <c r="C3283" s="1" t="n">
        <v>45811</v>
      </c>
      <c r="D3283" t="inlineStr">
        <is>
          <t>VÄSTMANLANDS LÄN</t>
        </is>
      </c>
      <c r="E3283" t="inlineStr">
        <is>
          <t>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27638-2023</t>
        </is>
      </c>
      <c r="B3284" s="1" t="n">
        <v>45097</v>
      </c>
      <c r="C3284" s="1" t="n">
        <v>45811</v>
      </c>
      <c r="D3284" t="inlineStr">
        <is>
          <t>VÄSTMANLANDS LÄN</t>
        </is>
      </c>
      <c r="E3284" t="inlineStr">
        <is>
          <t>SALA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27657-2023</t>
        </is>
      </c>
      <c r="B3285" s="1" t="n">
        <v>45097</v>
      </c>
      <c r="C3285" s="1" t="n">
        <v>45811</v>
      </c>
      <c r="D3285" t="inlineStr">
        <is>
          <t>VÄSTMANLANDS LÄN</t>
        </is>
      </c>
      <c r="E3285" t="inlineStr">
        <is>
          <t>SALA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27653-2023</t>
        </is>
      </c>
      <c r="B3286" s="1" t="n">
        <v>45097</v>
      </c>
      <c r="C3286" s="1" t="n">
        <v>45811</v>
      </c>
      <c r="D3286" t="inlineStr">
        <is>
          <t>VÄSTMANLANDS LÄN</t>
        </is>
      </c>
      <c r="E3286" t="inlineStr">
        <is>
          <t>SKINNSKATTEBERG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27747-2023</t>
        </is>
      </c>
      <c r="B3287" s="1" t="n">
        <v>45098</v>
      </c>
      <c r="C3287" s="1" t="n">
        <v>45811</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27731-2023</t>
        </is>
      </c>
      <c r="B3288" s="1" t="n">
        <v>45098</v>
      </c>
      <c r="C3288" s="1" t="n">
        <v>45811</v>
      </c>
      <c r="D3288" t="inlineStr">
        <is>
          <t>VÄSTMANLANDS LÄN</t>
        </is>
      </c>
      <c r="E3288" t="inlineStr">
        <is>
          <t>FAGERSTA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27744-2023</t>
        </is>
      </c>
      <c r="B3289" s="1" t="n">
        <v>45098</v>
      </c>
      <c r="C3289" s="1" t="n">
        <v>45811</v>
      </c>
      <c r="D3289" t="inlineStr">
        <is>
          <t>VÄSTMANLANDS LÄN</t>
        </is>
      </c>
      <c r="E3289" t="inlineStr">
        <is>
          <t>SALA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27783-2023</t>
        </is>
      </c>
      <c r="B3290" s="1" t="n">
        <v>45098</v>
      </c>
      <c r="C3290" s="1" t="n">
        <v>45811</v>
      </c>
      <c r="D3290" t="inlineStr">
        <is>
          <t>VÄSTMANLANDS LÄN</t>
        </is>
      </c>
      <c r="E3290" t="inlineStr">
        <is>
          <t>SKINNSKATTEBERG</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27834-2023</t>
        </is>
      </c>
      <c r="B3291" s="1" t="n">
        <v>45098</v>
      </c>
      <c r="C3291" s="1" t="n">
        <v>45811</v>
      </c>
      <c r="D3291" t="inlineStr">
        <is>
          <t>VÄSTMANLANDS LÄN</t>
        </is>
      </c>
      <c r="E3291" t="inlineStr">
        <is>
          <t>SALA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27824-2023</t>
        </is>
      </c>
      <c r="B3292" s="1" t="n">
        <v>45098</v>
      </c>
      <c r="C3292" s="1" t="n">
        <v>45811</v>
      </c>
      <c r="D3292" t="inlineStr">
        <is>
          <t>VÄSTMANLANDS LÄN</t>
        </is>
      </c>
      <c r="E3292" t="inlineStr">
        <is>
          <t>SALA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27891-2023</t>
        </is>
      </c>
      <c r="B3293" s="1" t="n">
        <v>45098</v>
      </c>
      <c r="C3293" s="1" t="n">
        <v>45811</v>
      </c>
      <c r="D3293" t="inlineStr">
        <is>
          <t>VÄSTMANLANDS LÄN</t>
        </is>
      </c>
      <c r="E3293" t="inlineStr">
        <is>
          <t>KÖPING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27737-2023</t>
        </is>
      </c>
      <c r="B3294" s="1" t="n">
        <v>45098</v>
      </c>
      <c r="C3294" s="1" t="n">
        <v>45811</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27741-2023</t>
        </is>
      </c>
      <c r="B3295" s="1" t="n">
        <v>45098</v>
      </c>
      <c r="C3295" s="1" t="n">
        <v>45811</v>
      </c>
      <c r="D3295" t="inlineStr">
        <is>
          <t>VÄSTMANLANDS LÄN</t>
        </is>
      </c>
      <c r="E3295" t="inlineStr">
        <is>
          <t>VÄSTERÅS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27749-2023</t>
        </is>
      </c>
      <c r="B3296" s="1" t="n">
        <v>45098</v>
      </c>
      <c r="C3296" s="1" t="n">
        <v>45811</v>
      </c>
      <c r="D3296" t="inlineStr">
        <is>
          <t>VÄSTMANLANDS LÄN</t>
        </is>
      </c>
      <c r="E3296" t="inlineStr">
        <is>
          <t>SALA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29542-2023</t>
        </is>
      </c>
      <c r="B3297" s="1" t="n">
        <v>45098</v>
      </c>
      <c r="C3297" s="1" t="n">
        <v>45811</v>
      </c>
      <c r="D3297" t="inlineStr">
        <is>
          <t>VÄSTMANLANDS LÄN</t>
        </is>
      </c>
      <c r="E3297" t="inlineStr">
        <is>
          <t>SALA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28051-2023</t>
        </is>
      </c>
      <c r="B3298" s="1" t="n">
        <v>45099</v>
      </c>
      <c r="C3298" s="1" t="n">
        <v>45811</v>
      </c>
      <c r="D3298" t="inlineStr">
        <is>
          <t>VÄSTMANLANDS LÄN</t>
        </is>
      </c>
      <c r="E3298" t="inlineStr">
        <is>
          <t>SURAHAMMAR</t>
        </is>
      </c>
      <c r="F3298" t="inlineStr">
        <is>
          <t>Allmännings- och besparingsskogar</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28230-2023</t>
        </is>
      </c>
      <c r="B3299" s="1" t="n">
        <v>45099</v>
      </c>
      <c r="C3299" s="1" t="n">
        <v>45811</v>
      </c>
      <c r="D3299" t="inlineStr">
        <is>
          <t>VÄSTMANLANDS LÄN</t>
        </is>
      </c>
      <c r="E3299" t="inlineStr">
        <is>
          <t>KÖPING</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28237-2023</t>
        </is>
      </c>
      <c r="B3300" s="1" t="n">
        <v>45099</v>
      </c>
      <c r="C3300" s="1" t="n">
        <v>45811</v>
      </c>
      <c r="D3300" t="inlineStr">
        <is>
          <t>VÄSTMANLANDS LÄN</t>
        </is>
      </c>
      <c r="E3300" t="inlineStr">
        <is>
          <t>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28324-2023</t>
        </is>
      </c>
      <c r="B3301" s="1" t="n">
        <v>45099</v>
      </c>
      <c r="C3301" s="1" t="n">
        <v>45811</v>
      </c>
      <c r="D3301" t="inlineStr">
        <is>
          <t>VÄSTMANLANDS LÄN</t>
        </is>
      </c>
      <c r="E3301" t="inlineStr">
        <is>
          <t>VÄSTERÅS</t>
        </is>
      </c>
      <c r="F3301" t="inlineStr">
        <is>
          <t>Sveaskog</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28312-2023</t>
        </is>
      </c>
      <c r="B3302" s="1" t="n">
        <v>45099</v>
      </c>
      <c r="C3302" s="1" t="n">
        <v>45811</v>
      </c>
      <c r="D3302" t="inlineStr">
        <is>
          <t>VÄSTMANLANDS LÄN</t>
        </is>
      </c>
      <c r="E3302" t="inlineStr">
        <is>
          <t>SKINNSKATTEBERG</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28325-2023</t>
        </is>
      </c>
      <c r="B3303" s="1" t="n">
        <v>45099</v>
      </c>
      <c r="C3303" s="1" t="n">
        <v>45811</v>
      </c>
      <c r="D3303" t="inlineStr">
        <is>
          <t>VÄSTMANLANDS LÄN</t>
        </is>
      </c>
      <c r="E3303" t="inlineStr">
        <is>
          <t>VÄSTERÅS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28328-2023</t>
        </is>
      </c>
      <c r="B3304" s="1" t="n">
        <v>45099</v>
      </c>
      <c r="C3304" s="1" t="n">
        <v>45811</v>
      </c>
      <c r="D3304" t="inlineStr">
        <is>
          <t>VÄSTMANLANDS LÄN</t>
        </is>
      </c>
      <c r="E3304" t="inlineStr">
        <is>
          <t>SALA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28308-2023</t>
        </is>
      </c>
      <c r="B3305" s="1" t="n">
        <v>45099</v>
      </c>
      <c r="C3305" s="1" t="n">
        <v>45811</v>
      </c>
      <c r="D3305" t="inlineStr">
        <is>
          <t>VÄSTMANLANDS LÄN</t>
        </is>
      </c>
      <c r="E3305" t="inlineStr">
        <is>
          <t>SKINNSKATTEBERG</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28326-2023</t>
        </is>
      </c>
      <c r="B3306" s="1" t="n">
        <v>45099</v>
      </c>
      <c r="C3306" s="1" t="n">
        <v>45811</v>
      </c>
      <c r="D3306" t="inlineStr">
        <is>
          <t>VÄSTMANLANDS LÄN</t>
        </is>
      </c>
      <c r="E3306" t="inlineStr">
        <is>
          <t>VÄSTERÅS</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28534-2023</t>
        </is>
      </c>
      <c r="B3307" s="1" t="n">
        <v>45103</v>
      </c>
      <c r="C3307" s="1" t="n">
        <v>45811</v>
      </c>
      <c r="D3307" t="inlineStr">
        <is>
          <t>VÄSTMANLANDS LÄN</t>
        </is>
      </c>
      <c r="E3307" t="inlineStr">
        <is>
          <t>SKINNSKATTEBERG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28589-2023</t>
        </is>
      </c>
      <c r="B3308" s="1" t="n">
        <v>45103</v>
      </c>
      <c r="C3308" s="1" t="n">
        <v>45811</v>
      </c>
      <c r="D3308" t="inlineStr">
        <is>
          <t>VÄSTMANLANDS LÄN</t>
        </is>
      </c>
      <c r="E3308" t="inlineStr">
        <is>
          <t>NORBERG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28696-2023</t>
        </is>
      </c>
      <c r="B3309" s="1" t="n">
        <v>45103</v>
      </c>
      <c r="C3309" s="1" t="n">
        <v>45811</v>
      </c>
      <c r="D3309" t="inlineStr">
        <is>
          <t>VÄSTMANLANDS LÄN</t>
        </is>
      </c>
      <c r="E3309" t="inlineStr">
        <is>
          <t>SALA</t>
        </is>
      </c>
      <c r="F3309" t="inlineStr">
        <is>
          <t>Kommuner</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28521-2023</t>
        </is>
      </c>
      <c r="B3310" s="1" t="n">
        <v>45103</v>
      </c>
      <c r="C3310" s="1" t="n">
        <v>45811</v>
      </c>
      <c r="D3310" t="inlineStr">
        <is>
          <t>VÄSTMANLANDS LÄN</t>
        </is>
      </c>
      <c r="E3310" t="inlineStr">
        <is>
          <t>VÄSTERÅS</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28811-2023</t>
        </is>
      </c>
      <c r="B3311" s="1" t="n">
        <v>45104</v>
      </c>
      <c r="C3311" s="1" t="n">
        <v>45811</v>
      </c>
      <c r="D3311" t="inlineStr">
        <is>
          <t>VÄSTMANLANDS LÄN</t>
        </is>
      </c>
      <c r="E3311" t="inlineStr">
        <is>
          <t>HALLSTAHAMMAR</t>
        </is>
      </c>
      <c r="F3311" t="inlineStr">
        <is>
          <t>Allmännings- och besparingsskogar</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29175-2023</t>
        </is>
      </c>
      <c r="B3312" s="1" t="n">
        <v>45105</v>
      </c>
      <c r="C3312" s="1" t="n">
        <v>45811</v>
      </c>
      <c r="D3312" t="inlineStr">
        <is>
          <t>VÄSTMANLANDS LÄN</t>
        </is>
      </c>
      <c r="E3312" t="inlineStr">
        <is>
          <t>SKINNSKATTEBERG</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29241-2023</t>
        </is>
      </c>
      <c r="B3313" s="1" t="n">
        <v>45105</v>
      </c>
      <c r="C3313" s="1" t="n">
        <v>45811</v>
      </c>
      <c r="D3313" t="inlineStr">
        <is>
          <t>VÄSTMANLANDS LÄN</t>
        </is>
      </c>
      <c r="E3313" t="inlineStr">
        <is>
          <t>SALA</t>
        </is>
      </c>
      <c r="F3313" t="inlineStr">
        <is>
          <t>Kommuner</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29456-2023</t>
        </is>
      </c>
      <c r="B3314" s="1" t="n">
        <v>45106</v>
      </c>
      <c r="C3314" s="1" t="n">
        <v>45811</v>
      </c>
      <c r="D3314" t="inlineStr">
        <is>
          <t>VÄSTMANLANDS LÄN</t>
        </is>
      </c>
      <c r="E3314" t="inlineStr">
        <is>
          <t>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29496-2023</t>
        </is>
      </c>
      <c r="B3315" s="1" t="n">
        <v>45106</v>
      </c>
      <c r="C3315" s="1" t="n">
        <v>45811</v>
      </c>
      <c r="D3315" t="inlineStr">
        <is>
          <t>VÄSTMANLANDS LÄN</t>
        </is>
      </c>
      <c r="E3315" t="inlineStr">
        <is>
          <t>SKINNSKATTEBERG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29789-2023</t>
        </is>
      </c>
      <c r="B3316" s="1" t="n">
        <v>45107</v>
      </c>
      <c r="C3316" s="1" t="n">
        <v>45811</v>
      </c>
      <c r="D3316" t="inlineStr">
        <is>
          <t>VÄSTMANLANDS LÄN</t>
        </is>
      </c>
      <c r="E3316" t="inlineStr">
        <is>
          <t>VÄSTERÅS</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31945-2023</t>
        </is>
      </c>
      <c r="B3317" s="1" t="n">
        <v>45107</v>
      </c>
      <c r="C3317" s="1" t="n">
        <v>45811</v>
      </c>
      <c r="D3317" t="inlineStr">
        <is>
          <t>VÄSTMANLANDS LÄN</t>
        </is>
      </c>
      <c r="E3317" t="inlineStr">
        <is>
          <t>SALA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31950-2023</t>
        </is>
      </c>
      <c r="B3318" s="1" t="n">
        <v>45107</v>
      </c>
      <c r="C3318" s="1" t="n">
        <v>45811</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31953-2023</t>
        </is>
      </c>
      <c r="B3319" s="1" t="n">
        <v>45107</v>
      </c>
      <c r="C3319" s="1" t="n">
        <v>45811</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29999-2023</t>
        </is>
      </c>
      <c r="B3320" s="1" t="n">
        <v>45109</v>
      </c>
      <c r="C3320" s="1" t="n">
        <v>45811</v>
      </c>
      <c r="D3320" t="inlineStr">
        <is>
          <t>VÄSTMANLANDS LÄN</t>
        </is>
      </c>
      <c r="E3320" t="inlineStr">
        <is>
          <t>ARBOGA</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30096-2023</t>
        </is>
      </c>
      <c r="B3321" s="1" t="n">
        <v>45110</v>
      </c>
      <c r="C3321" s="1" t="n">
        <v>45811</v>
      </c>
      <c r="D3321" t="inlineStr">
        <is>
          <t>VÄSTMANLANDS LÄN</t>
        </is>
      </c>
      <c r="E3321" t="inlineStr">
        <is>
          <t>VÄSTERÅS</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30081-2023</t>
        </is>
      </c>
      <c r="B3322" s="1" t="n">
        <v>45110</v>
      </c>
      <c r="C3322" s="1" t="n">
        <v>45811</v>
      </c>
      <c r="D3322" t="inlineStr">
        <is>
          <t>VÄSTMANLANDS LÄN</t>
        </is>
      </c>
      <c r="E3322" t="inlineStr">
        <is>
          <t>VÄSTERÅS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30204-2023</t>
        </is>
      </c>
      <c r="B3323" s="1" t="n">
        <v>45110</v>
      </c>
      <c r="C3323" s="1" t="n">
        <v>45811</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30076-2023</t>
        </is>
      </c>
      <c r="B3324" s="1" t="n">
        <v>45110</v>
      </c>
      <c r="C3324" s="1" t="n">
        <v>45811</v>
      </c>
      <c r="D3324" t="inlineStr">
        <is>
          <t>VÄSTMANLANDS LÄN</t>
        </is>
      </c>
      <c r="E3324" t="inlineStr">
        <is>
          <t>SURAHAMMAR</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32350-2023</t>
        </is>
      </c>
      <c r="B3325" s="1" t="n">
        <v>45110</v>
      </c>
      <c r="C3325" s="1" t="n">
        <v>45811</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30219-2023</t>
        </is>
      </c>
      <c r="B3326" s="1" t="n">
        <v>45110</v>
      </c>
      <c r="C3326" s="1" t="n">
        <v>45811</v>
      </c>
      <c r="D3326" t="inlineStr">
        <is>
          <t>VÄSTMANLANDS LÄN</t>
        </is>
      </c>
      <c r="E3326" t="inlineStr">
        <is>
          <t>ARBOGA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32341-2023</t>
        </is>
      </c>
      <c r="B3327" s="1" t="n">
        <v>45110</v>
      </c>
      <c r="C3327" s="1" t="n">
        <v>45811</v>
      </c>
      <c r="D3327" t="inlineStr">
        <is>
          <t>VÄSTMANLANDS LÄN</t>
        </is>
      </c>
      <c r="E3327" t="inlineStr">
        <is>
          <t>VÄSTERÅS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32345-2023</t>
        </is>
      </c>
      <c r="B3328" s="1" t="n">
        <v>45110</v>
      </c>
      <c r="C3328" s="1" t="n">
        <v>45811</v>
      </c>
      <c r="D3328" t="inlineStr">
        <is>
          <t>VÄSTMANLANDS LÄN</t>
        </is>
      </c>
      <c r="E3328" t="inlineStr">
        <is>
          <t>VÄSTERÅS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30462-2023</t>
        </is>
      </c>
      <c r="B3329" s="1" t="n">
        <v>45111</v>
      </c>
      <c r="C3329" s="1" t="n">
        <v>45811</v>
      </c>
      <c r="D3329" t="inlineStr">
        <is>
          <t>VÄSTMANLANDS LÄN</t>
        </is>
      </c>
      <c r="E3329" t="inlineStr">
        <is>
          <t>KUNGSÖR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30323-2023</t>
        </is>
      </c>
      <c r="B3330" s="1" t="n">
        <v>45111</v>
      </c>
      <c r="C3330" s="1" t="n">
        <v>45811</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30353-2023</t>
        </is>
      </c>
      <c r="B3331" s="1" t="n">
        <v>45111</v>
      </c>
      <c r="C3331" s="1" t="n">
        <v>45811</v>
      </c>
      <c r="D3331" t="inlineStr">
        <is>
          <t>VÄSTMANLANDS LÄN</t>
        </is>
      </c>
      <c r="E3331" t="inlineStr">
        <is>
          <t>SKINNSKATTEBERG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30361-2023</t>
        </is>
      </c>
      <c r="B3332" s="1" t="n">
        <v>45111</v>
      </c>
      <c r="C3332" s="1" t="n">
        <v>45811</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30623-2023</t>
        </is>
      </c>
      <c r="B3333" s="1" t="n">
        <v>45112</v>
      </c>
      <c r="C3333" s="1" t="n">
        <v>45811</v>
      </c>
      <c r="D3333" t="inlineStr">
        <is>
          <t>VÄSTMANLANDS LÄN</t>
        </is>
      </c>
      <c r="E3333" t="inlineStr">
        <is>
          <t>KUNGSÖR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30634-2023</t>
        </is>
      </c>
      <c r="B3334" s="1" t="n">
        <v>45112</v>
      </c>
      <c r="C3334" s="1" t="n">
        <v>45811</v>
      </c>
      <c r="D3334" t="inlineStr">
        <is>
          <t>VÄSTMANLANDS LÄN</t>
        </is>
      </c>
      <c r="E3334" t="inlineStr">
        <is>
          <t>KUNGSÖR</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30621-2023</t>
        </is>
      </c>
      <c r="B3335" s="1" t="n">
        <v>45112</v>
      </c>
      <c r="C3335" s="1" t="n">
        <v>45811</v>
      </c>
      <c r="D3335" t="inlineStr">
        <is>
          <t>VÄSTMANLANDS LÄN</t>
        </is>
      </c>
      <c r="E3335" t="inlineStr">
        <is>
          <t>KUNGSÖR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30630-2023</t>
        </is>
      </c>
      <c r="B3336" s="1" t="n">
        <v>45112</v>
      </c>
      <c r="C3336" s="1" t="n">
        <v>45811</v>
      </c>
      <c r="D3336" t="inlineStr">
        <is>
          <t>VÄSTMANLANDS LÄN</t>
        </is>
      </c>
      <c r="E3336" t="inlineStr">
        <is>
          <t>FAGERSTA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32686-2023</t>
        </is>
      </c>
      <c r="B3337" s="1" t="n">
        <v>45112</v>
      </c>
      <c r="C3337" s="1" t="n">
        <v>45811</v>
      </c>
      <c r="D3337" t="inlineStr">
        <is>
          <t>VÄSTMANLANDS LÄN</t>
        </is>
      </c>
      <c r="E3337" t="inlineStr">
        <is>
          <t>NORBERG</t>
        </is>
      </c>
      <c r="F3337" t="inlineStr">
        <is>
          <t>Bergvik skog väst AB</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31169-2023</t>
        </is>
      </c>
      <c r="B3338" s="1" t="n">
        <v>45113</v>
      </c>
      <c r="C3338" s="1" t="n">
        <v>45811</v>
      </c>
      <c r="D3338" t="inlineStr">
        <is>
          <t>VÄSTMANLANDS LÄN</t>
        </is>
      </c>
      <c r="E3338" t="inlineStr">
        <is>
          <t>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31298-2023</t>
        </is>
      </c>
      <c r="B3339" s="1" t="n">
        <v>45114</v>
      </c>
      <c r="C3339" s="1" t="n">
        <v>45811</v>
      </c>
      <c r="D3339" t="inlineStr">
        <is>
          <t>VÄSTMANLANDS LÄN</t>
        </is>
      </c>
      <c r="E3339" t="inlineStr">
        <is>
          <t>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31227-2023</t>
        </is>
      </c>
      <c r="B3340" s="1" t="n">
        <v>45114</v>
      </c>
      <c r="C3340" s="1" t="n">
        <v>45811</v>
      </c>
      <c r="D3340" t="inlineStr">
        <is>
          <t>VÄSTMANLANDS LÄN</t>
        </is>
      </c>
      <c r="E3340" t="inlineStr">
        <is>
          <t>KÖPING</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31239-2023</t>
        </is>
      </c>
      <c r="B3341" s="1" t="n">
        <v>45114</v>
      </c>
      <c r="C3341" s="1" t="n">
        <v>45811</v>
      </c>
      <c r="D3341" t="inlineStr">
        <is>
          <t>VÄSTMANLANDS LÄN</t>
        </is>
      </c>
      <c r="E3341" t="inlineStr">
        <is>
          <t>KUNGSÖR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31231-2023</t>
        </is>
      </c>
      <c r="B3342" s="1" t="n">
        <v>45114</v>
      </c>
      <c r="C3342" s="1" t="n">
        <v>45811</v>
      </c>
      <c r="D3342" t="inlineStr">
        <is>
          <t>VÄSTMANLANDS LÄN</t>
        </is>
      </c>
      <c r="E3342" t="inlineStr">
        <is>
          <t>KÖPING</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31262-2023</t>
        </is>
      </c>
      <c r="B3343" s="1" t="n">
        <v>45114</v>
      </c>
      <c r="C3343" s="1" t="n">
        <v>45811</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31245-2023</t>
        </is>
      </c>
      <c r="B3344" s="1" t="n">
        <v>45114</v>
      </c>
      <c r="C3344" s="1" t="n">
        <v>45811</v>
      </c>
      <c r="D3344" t="inlineStr">
        <is>
          <t>VÄSTMANLANDS LÄN</t>
        </is>
      </c>
      <c r="E3344" t="inlineStr">
        <is>
          <t>KUNGSÖR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31357-2023</t>
        </is>
      </c>
      <c r="B3345" s="1" t="n">
        <v>45114</v>
      </c>
      <c r="C3345" s="1" t="n">
        <v>45811</v>
      </c>
      <c r="D3345" t="inlineStr">
        <is>
          <t>VÄSTMANLANDS LÄN</t>
        </is>
      </c>
      <c r="E3345" t="inlineStr">
        <is>
          <t>VÄSTERÅS</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31356-2023</t>
        </is>
      </c>
      <c r="B3346" s="1" t="n">
        <v>45114</v>
      </c>
      <c r="C3346" s="1" t="n">
        <v>45811</v>
      </c>
      <c r="D3346" t="inlineStr">
        <is>
          <t>VÄSTMANLANDS LÄN</t>
        </is>
      </c>
      <c r="E3346" t="inlineStr">
        <is>
          <t>VÄSTERÅS</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31260-2023</t>
        </is>
      </c>
      <c r="B3347" s="1" t="n">
        <v>45114</v>
      </c>
      <c r="C3347" s="1" t="n">
        <v>45811</v>
      </c>
      <c r="D3347" t="inlineStr">
        <is>
          <t>VÄSTMANLANDS LÄN</t>
        </is>
      </c>
      <c r="E3347" t="inlineStr">
        <is>
          <t>SKINNSKATTEBERG</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31264-2023</t>
        </is>
      </c>
      <c r="B3348" s="1" t="n">
        <v>45114</v>
      </c>
      <c r="C3348" s="1" t="n">
        <v>45811</v>
      </c>
      <c r="D3348" t="inlineStr">
        <is>
          <t>VÄSTMANLANDS LÄN</t>
        </is>
      </c>
      <c r="E3348" t="inlineStr">
        <is>
          <t>SKINNSKATTEBERG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31268-2023</t>
        </is>
      </c>
      <c r="B3349" s="1" t="n">
        <v>45114</v>
      </c>
      <c r="C3349" s="1" t="n">
        <v>45811</v>
      </c>
      <c r="D3349" t="inlineStr">
        <is>
          <t>VÄSTMANLANDS LÄN</t>
        </is>
      </c>
      <c r="E3349" t="inlineStr">
        <is>
          <t>SKINNSKATTEBERG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31315-2023</t>
        </is>
      </c>
      <c r="B3350" s="1" t="n">
        <v>45114</v>
      </c>
      <c r="C3350" s="1" t="n">
        <v>45811</v>
      </c>
      <c r="D3350" t="inlineStr">
        <is>
          <t>VÄSTMANLANDS LÄN</t>
        </is>
      </c>
      <c r="E3350" t="inlineStr">
        <is>
          <t>SALA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31646-2023</t>
        </is>
      </c>
      <c r="B3351" s="1" t="n">
        <v>45117</v>
      </c>
      <c r="C3351" s="1" t="n">
        <v>45811</v>
      </c>
      <c r="D3351" t="inlineStr">
        <is>
          <t>VÄSTMANLANDS LÄN</t>
        </is>
      </c>
      <c r="E3351" t="inlineStr">
        <is>
          <t>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31859-2023</t>
        </is>
      </c>
      <c r="B3352" s="1" t="n">
        <v>45118</v>
      </c>
      <c r="C3352" s="1" t="n">
        <v>45811</v>
      </c>
      <c r="D3352" t="inlineStr">
        <is>
          <t>VÄSTMANLANDS LÄN</t>
        </is>
      </c>
      <c r="E3352" t="inlineStr">
        <is>
          <t>SALA</t>
        </is>
      </c>
      <c r="G3352" t="n">
        <v>0.5</v>
      </c>
      <c r="H3352" t="n">
        <v>0</v>
      </c>
      <c r="I3352" t="n">
        <v>0</v>
      </c>
      <c r="J3352" t="n">
        <v>0</v>
      </c>
      <c r="K3352" t="n">
        <v>0</v>
      </c>
      <c r="L3352" t="n">
        <v>0</v>
      </c>
      <c r="M3352" t="n">
        <v>0</v>
      </c>
      <c r="N3352" t="n">
        <v>0</v>
      </c>
      <c r="O3352" t="n">
        <v>0</v>
      </c>
      <c r="P3352" t="n">
        <v>0</v>
      </c>
      <c r="Q3352" t="n">
        <v>0</v>
      </c>
      <c r="R3352" s="2" t="inlineStr"/>
      <c r="U3352">
        <f>HYPERLINK("https://klasma.github.io/Logging_1981/knärot/A 31859-2023 karta knärot.png", "A 31859-2023")</f>
        <v/>
      </c>
      <c r="V3352">
        <f>HYPERLINK("https://klasma.github.io/Logging_1981/klagomål/A 31859-2023 FSC-klagomål.docx", "A 31859-2023")</f>
        <v/>
      </c>
      <c r="W3352">
        <f>HYPERLINK("https://klasma.github.io/Logging_1981/klagomålsmail/A 31859-2023 FSC-klagomål mail.docx", "A 31859-2023")</f>
        <v/>
      </c>
      <c r="X3352">
        <f>HYPERLINK("https://klasma.github.io/Logging_1981/tillsyn/A 31859-2023 tillsynsbegäran.docx", "A 31859-2023")</f>
        <v/>
      </c>
      <c r="Y3352">
        <f>HYPERLINK("https://klasma.github.io/Logging_1981/tillsynsmail/A 31859-2023 tillsynsbegäran mail.docx", "A 31859-2023")</f>
        <v/>
      </c>
    </row>
    <row r="3353" ht="15" customHeight="1">
      <c r="A3353" t="inlineStr">
        <is>
          <t>A 32052-2023</t>
        </is>
      </c>
      <c r="B3353" s="1" t="n">
        <v>45119</v>
      </c>
      <c r="C3353" s="1" t="n">
        <v>45811</v>
      </c>
      <c r="D3353" t="inlineStr">
        <is>
          <t>VÄSTMANLANDS LÄN</t>
        </is>
      </c>
      <c r="E3353" t="inlineStr">
        <is>
          <t>VÄSTERÅS</t>
        </is>
      </c>
      <c r="F3353" t="inlineStr">
        <is>
          <t>Sveaskog</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32057-2023</t>
        </is>
      </c>
      <c r="B3354" s="1" t="n">
        <v>45119</v>
      </c>
      <c r="C3354" s="1" t="n">
        <v>45811</v>
      </c>
      <c r="D3354" t="inlineStr">
        <is>
          <t>VÄSTMANLANDS LÄN</t>
        </is>
      </c>
      <c r="E3354" t="inlineStr">
        <is>
          <t>VÄSTERÅS</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32093-2023</t>
        </is>
      </c>
      <c r="B3355" s="1" t="n">
        <v>45119</v>
      </c>
      <c r="C3355" s="1" t="n">
        <v>45811</v>
      </c>
      <c r="D3355" t="inlineStr">
        <is>
          <t>VÄSTMANLANDS LÄN</t>
        </is>
      </c>
      <c r="E3355" t="inlineStr">
        <is>
          <t>NORBERG</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32053-2023</t>
        </is>
      </c>
      <c r="B3356" s="1" t="n">
        <v>45119</v>
      </c>
      <c r="C3356" s="1" t="n">
        <v>45811</v>
      </c>
      <c r="D3356" t="inlineStr">
        <is>
          <t>VÄSTMANLANDS LÄN</t>
        </is>
      </c>
      <c r="E3356" t="inlineStr">
        <is>
          <t>VÄSTERÅS</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32524-2023</t>
        </is>
      </c>
      <c r="B3357" s="1" t="n">
        <v>45121</v>
      </c>
      <c r="C3357" s="1" t="n">
        <v>45811</v>
      </c>
      <c r="D3357" t="inlineStr">
        <is>
          <t>VÄSTMANLANDS LÄN</t>
        </is>
      </c>
      <c r="E3357" t="inlineStr">
        <is>
          <t>NORBERG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32529-2023</t>
        </is>
      </c>
      <c r="B3358" s="1" t="n">
        <v>45121</v>
      </c>
      <c r="C3358" s="1" t="n">
        <v>45811</v>
      </c>
      <c r="D3358" t="inlineStr">
        <is>
          <t>VÄSTMANLANDS LÄN</t>
        </is>
      </c>
      <c r="E3358" t="inlineStr">
        <is>
          <t>NORBERG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32606-2023</t>
        </is>
      </c>
      <c r="B3359" s="1" t="n">
        <v>45121</v>
      </c>
      <c r="C3359" s="1" t="n">
        <v>45811</v>
      </c>
      <c r="D3359" t="inlineStr">
        <is>
          <t>VÄSTMANLANDS LÄN</t>
        </is>
      </c>
      <c r="E3359" t="inlineStr">
        <is>
          <t>VÄSTERÅS</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32513-2023</t>
        </is>
      </c>
      <c r="B3360" s="1" t="n">
        <v>45121</v>
      </c>
      <c r="C3360" s="1" t="n">
        <v>45811</v>
      </c>
      <c r="D3360" t="inlineStr">
        <is>
          <t>VÄSTMANLANDS LÄN</t>
        </is>
      </c>
      <c r="E3360" t="inlineStr">
        <is>
          <t>NORBERG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32604-2023</t>
        </is>
      </c>
      <c r="B3361" s="1" t="n">
        <v>45121</v>
      </c>
      <c r="C3361" s="1" t="n">
        <v>45811</v>
      </c>
      <c r="D3361" t="inlineStr">
        <is>
          <t>VÄSTMANLANDS LÄN</t>
        </is>
      </c>
      <c r="E3361" t="inlineStr">
        <is>
          <t>VÄSTERÅS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32516-2023</t>
        </is>
      </c>
      <c r="B3362" s="1" t="n">
        <v>45121</v>
      </c>
      <c r="C3362" s="1" t="n">
        <v>45811</v>
      </c>
      <c r="D3362" t="inlineStr">
        <is>
          <t>VÄSTMANLANDS LÄN</t>
        </is>
      </c>
      <c r="E3362" t="inlineStr">
        <is>
          <t>NORBERG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32637-2023</t>
        </is>
      </c>
      <c r="B3363" s="1" t="n">
        <v>45121</v>
      </c>
      <c r="C3363" s="1" t="n">
        <v>45811</v>
      </c>
      <c r="D3363" t="inlineStr">
        <is>
          <t>VÄSTMANLANDS LÄN</t>
        </is>
      </c>
      <c r="E3363" t="inlineStr">
        <is>
          <t>VÄSTERÅS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32635-2023</t>
        </is>
      </c>
      <c r="B3364" s="1" t="n">
        <v>45121</v>
      </c>
      <c r="C3364" s="1" t="n">
        <v>45811</v>
      </c>
      <c r="D3364" t="inlineStr">
        <is>
          <t>VÄSTMANLANDS LÄN</t>
        </is>
      </c>
      <c r="E3364" t="inlineStr">
        <is>
          <t>VÄSTERÅS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33909-2023</t>
        </is>
      </c>
      <c r="B3365" s="1" t="n">
        <v>45122</v>
      </c>
      <c r="C3365" s="1" t="n">
        <v>45811</v>
      </c>
      <c r="D3365" t="inlineStr">
        <is>
          <t>VÄSTMANLANDS LÄN</t>
        </is>
      </c>
      <c r="E3365" t="inlineStr">
        <is>
          <t>NORBERG</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32998-2023</t>
        </is>
      </c>
      <c r="B3366" s="1" t="n">
        <v>45125</v>
      </c>
      <c r="C3366" s="1" t="n">
        <v>45811</v>
      </c>
      <c r="D3366" t="inlineStr">
        <is>
          <t>VÄSTMANLANDS LÄN</t>
        </is>
      </c>
      <c r="E3366" t="inlineStr">
        <is>
          <t>VÄSTERÅS</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32945-2023</t>
        </is>
      </c>
      <c r="B3367" s="1" t="n">
        <v>45125</v>
      </c>
      <c r="C3367" s="1" t="n">
        <v>45811</v>
      </c>
      <c r="D3367" t="inlineStr">
        <is>
          <t>VÄSTMANLANDS LÄN</t>
        </is>
      </c>
      <c r="E3367" t="inlineStr">
        <is>
          <t>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33007-2023</t>
        </is>
      </c>
      <c r="B3368" s="1" t="n">
        <v>45125</v>
      </c>
      <c r="C3368" s="1" t="n">
        <v>45811</v>
      </c>
      <c r="D3368" t="inlineStr">
        <is>
          <t>VÄSTMANLANDS LÄN</t>
        </is>
      </c>
      <c r="E3368" t="inlineStr">
        <is>
          <t>FAGERSTA</t>
        </is>
      </c>
      <c r="F3368" t="inlineStr">
        <is>
          <t>Sveaskog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32997-2023</t>
        </is>
      </c>
      <c r="B3369" s="1" t="n">
        <v>45125</v>
      </c>
      <c r="C3369" s="1" t="n">
        <v>45811</v>
      </c>
      <c r="D3369" t="inlineStr">
        <is>
          <t>VÄSTMANLANDS LÄN</t>
        </is>
      </c>
      <c r="E3369" t="inlineStr">
        <is>
          <t>VÄSTERÅS</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33086-2023</t>
        </is>
      </c>
      <c r="B3370" s="1" t="n">
        <v>45126</v>
      </c>
      <c r="C3370" s="1" t="n">
        <v>45811</v>
      </c>
      <c r="D3370" t="inlineStr">
        <is>
          <t>VÄSTMANLANDS LÄN</t>
        </is>
      </c>
      <c r="E3370" t="inlineStr">
        <is>
          <t>SKINNSKATTEBERG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33152-2023</t>
        </is>
      </c>
      <c r="B3371" s="1" t="n">
        <v>45126</v>
      </c>
      <c r="C3371" s="1" t="n">
        <v>45811</v>
      </c>
      <c r="D3371" t="inlineStr">
        <is>
          <t>VÄSTMANLANDS LÄN</t>
        </is>
      </c>
      <c r="E3371" t="inlineStr">
        <is>
          <t>SALA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33151-2023</t>
        </is>
      </c>
      <c r="B3372" s="1" t="n">
        <v>45126</v>
      </c>
      <c r="C3372" s="1" t="n">
        <v>45811</v>
      </c>
      <c r="D3372" t="inlineStr">
        <is>
          <t>VÄSTMANLANDS LÄN</t>
        </is>
      </c>
      <c r="E3372" t="inlineStr">
        <is>
          <t>SALA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33180-2023</t>
        </is>
      </c>
      <c r="B3373" s="1" t="n">
        <v>45127</v>
      </c>
      <c r="C3373" s="1" t="n">
        <v>45811</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33273-2023</t>
        </is>
      </c>
      <c r="B3374" s="1" t="n">
        <v>45127</v>
      </c>
      <c r="C3374" s="1" t="n">
        <v>45811</v>
      </c>
      <c r="D3374" t="inlineStr">
        <is>
          <t>VÄSTMANLANDS LÄN</t>
        </is>
      </c>
      <c r="E3374" t="inlineStr">
        <is>
          <t>SALA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33357-2023</t>
        </is>
      </c>
      <c r="B3375" s="1" t="n">
        <v>45128</v>
      </c>
      <c r="C3375" s="1" t="n">
        <v>45811</v>
      </c>
      <c r="D3375" t="inlineStr">
        <is>
          <t>VÄSTMANLANDS LÄN</t>
        </is>
      </c>
      <c r="E3375" t="inlineStr">
        <is>
          <t>FAGERSTA</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33406-2023</t>
        </is>
      </c>
      <c r="B3376" s="1" t="n">
        <v>45128</v>
      </c>
      <c r="C3376" s="1" t="n">
        <v>45811</v>
      </c>
      <c r="D3376" t="inlineStr">
        <is>
          <t>VÄSTMANLANDS LÄN</t>
        </is>
      </c>
      <c r="E3376" t="inlineStr">
        <is>
          <t>SKINNSKATTEBERG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33378-2023</t>
        </is>
      </c>
      <c r="B3377" s="1" t="n">
        <v>45128</v>
      </c>
      <c r="C3377" s="1" t="n">
        <v>45811</v>
      </c>
      <c r="D3377" t="inlineStr">
        <is>
          <t>VÄSTMANLANDS LÄN</t>
        </is>
      </c>
      <c r="E3377" t="inlineStr">
        <is>
          <t>NORBERG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33379-2023</t>
        </is>
      </c>
      <c r="B3378" s="1" t="n">
        <v>45128</v>
      </c>
      <c r="C3378" s="1" t="n">
        <v>45811</v>
      </c>
      <c r="D3378" t="inlineStr">
        <is>
          <t>VÄSTMANLANDS LÄN</t>
        </is>
      </c>
      <c r="E3378" t="inlineStr">
        <is>
          <t>NORBERG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33396-2023</t>
        </is>
      </c>
      <c r="B3379" s="1" t="n">
        <v>45128</v>
      </c>
      <c r="C3379" s="1" t="n">
        <v>45811</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33356-2023</t>
        </is>
      </c>
      <c r="B3380" s="1" t="n">
        <v>45128</v>
      </c>
      <c r="C3380" s="1" t="n">
        <v>45811</v>
      </c>
      <c r="D3380" t="inlineStr">
        <is>
          <t>VÄSTMANLANDS LÄN</t>
        </is>
      </c>
      <c r="E3380" t="inlineStr">
        <is>
          <t>FAGERSTA</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33376-2023</t>
        </is>
      </c>
      <c r="B3381" s="1" t="n">
        <v>45128</v>
      </c>
      <c r="C3381" s="1" t="n">
        <v>45811</v>
      </c>
      <c r="D3381" t="inlineStr">
        <is>
          <t>VÄSTMANLANDS LÄN</t>
        </is>
      </c>
      <c r="E3381" t="inlineStr">
        <is>
          <t>NORBERG</t>
        </is>
      </c>
      <c r="F3381" t="inlineStr">
        <is>
          <t>Sveaskog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33527-2023</t>
        </is>
      </c>
      <c r="B3382" s="1" t="n">
        <v>45131</v>
      </c>
      <c r="C3382" s="1" t="n">
        <v>45811</v>
      </c>
      <c r="D3382" t="inlineStr">
        <is>
          <t>VÄSTMANLANDS LÄN</t>
        </is>
      </c>
      <c r="E3382" t="inlineStr">
        <is>
          <t>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33785-2023</t>
        </is>
      </c>
      <c r="B3383" s="1" t="n">
        <v>45131</v>
      </c>
      <c r="C3383" s="1" t="n">
        <v>45811</v>
      </c>
      <c r="D3383" t="inlineStr">
        <is>
          <t>VÄSTMANLANDS LÄN</t>
        </is>
      </c>
      <c r="E3383" t="inlineStr">
        <is>
          <t>FAGERSTA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34361-2023</t>
        </is>
      </c>
      <c r="B3384" s="1" t="n">
        <v>45131</v>
      </c>
      <c r="C3384" s="1" t="n">
        <v>45811</v>
      </c>
      <c r="D3384" t="inlineStr">
        <is>
          <t>VÄSTMANLANDS LÄN</t>
        </is>
      </c>
      <c r="E3384" t="inlineStr">
        <is>
          <t>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33732-2023</t>
        </is>
      </c>
      <c r="B3385" s="1" t="n">
        <v>45133</v>
      </c>
      <c r="C3385" s="1" t="n">
        <v>45811</v>
      </c>
      <c r="D3385" t="inlineStr">
        <is>
          <t>VÄSTMANLANDS LÄN</t>
        </is>
      </c>
      <c r="E3385" t="inlineStr">
        <is>
          <t>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33743-2023</t>
        </is>
      </c>
      <c r="B3386" s="1" t="n">
        <v>45133</v>
      </c>
      <c r="C3386" s="1" t="n">
        <v>45811</v>
      </c>
      <c r="D3386" t="inlineStr">
        <is>
          <t>VÄSTMANLANDS LÄN</t>
        </is>
      </c>
      <c r="E3386" t="inlineStr">
        <is>
          <t>SALA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34494-2023</t>
        </is>
      </c>
      <c r="B3387" s="1" t="n">
        <v>45133</v>
      </c>
      <c r="C3387" s="1" t="n">
        <v>45811</v>
      </c>
      <c r="D3387" t="inlineStr">
        <is>
          <t>VÄSTMANLANDS LÄN</t>
        </is>
      </c>
      <c r="E3387" t="inlineStr">
        <is>
          <t>SALA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33900-2023</t>
        </is>
      </c>
      <c r="B3388" s="1" t="n">
        <v>45134</v>
      </c>
      <c r="C3388" s="1" t="n">
        <v>45811</v>
      </c>
      <c r="D3388" t="inlineStr">
        <is>
          <t>VÄSTMANLANDS LÄN</t>
        </is>
      </c>
      <c r="E3388" t="inlineStr">
        <is>
          <t>SKINNSKATTEBERG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33896-2023</t>
        </is>
      </c>
      <c r="B3389" s="1" t="n">
        <v>45134</v>
      </c>
      <c r="C3389" s="1" t="n">
        <v>45811</v>
      </c>
      <c r="D3389" t="inlineStr">
        <is>
          <t>VÄSTMANLANDS LÄN</t>
        </is>
      </c>
      <c r="E3389" t="inlineStr">
        <is>
          <t>SKINNSKATTEBERG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34215-2023</t>
        </is>
      </c>
      <c r="B3390" s="1" t="n">
        <v>45138</v>
      </c>
      <c r="C3390" s="1" t="n">
        <v>45811</v>
      </c>
      <c r="D3390" t="inlineStr">
        <is>
          <t>VÄSTMANLANDS LÄN</t>
        </is>
      </c>
      <c r="E3390" t="inlineStr">
        <is>
          <t>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34290-2023</t>
        </is>
      </c>
      <c r="B3391" s="1" t="n">
        <v>45138</v>
      </c>
      <c r="C3391" s="1" t="n">
        <v>45811</v>
      </c>
      <c r="D3391" t="inlineStr">
        <is>
          <t>VÄSTMANLANDS LÄN</t>
        </is>
      </c>
      <c r="E3391" t="inlineStr">
        <is>
          <t>KÖPING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34291-2023</t>
        </is>
      </c>
      <c r="B3392" s="1" t="n">
        <v>45138</v>
      </c>
      <c r="C3392" s="1" t="n">
        <v>45811</v>
      </c>
      <c r="D3392" t="inlineStr">
        <is>
          <t>VÄSTMANLANDS LÄN</t>
        </is>
      </c>
      <c r="E3392" t="inlineStr">
        <is>
          <t>KÖPING</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34602-2023</t>
        </is>
      </c>
      <c r="B3393" s="1" t="n">
        <v>45140</v>
      </c>
      <c r="C3393" s="1" t="n">
        <v>45811</v>
      </c>
      <c r="D3393" t="inlineStr">
        <is>
          <t>VÄSTMANLANDS LÄN</t>
        </is>
      </c>
      <c r="E3393" t="inlineStr">
        <is>
          <t>FAGERSTA</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34606-2023</t>
        </is>
      </c>
      <c r="B3394" s="1" t="n">
        <v>45140</v>
      </c>
      <c r="C3394" s="1" t="n">
        <v>45811</v>
      </c>
      <c r="D3394" t="inlineStr">
        <is>
          <t>VÄSTMANLANDS LÄN</t>
        </is>
      </c>
      <c r="E3394" t="inlineStr">
        <is>
          <t>SKINNSKATTEBERG</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34600-2023</t>
        </is>
      </c>
      <c r="B3395" s="1" t="n">
        <v>45140</v>
      </c>
      <c r="C3395" s="1" t="n">
        <v>45811</v>
      </c>
      <c r="D3395" t="inlineStr">
        <is>
          <t>VÄSTMANLANDS LÄN</t>
        </is>
      </c>
      <c r="E3395" t="inlineStr">
        <is>
          <t>FAGERSTA</t>
        </is>
      </c>
      <c r="F3395" t="inlineStr">
        <is>
          <t>Sveaskog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34604-2023</t>
        </is>
      </c>
      <c r="B3396" s="1" t="n">
        <v>45140</v>
      </c>
      <c r="C3396" s="1" t="n">
        <v>45811</v>
      </c>
      <c r="D3396" t="inlineStr">
        <is>
          <t>VÄSTMANLANDS LÄN</t>
        </is>
      </c>
      <c r="E3396" t="inlineStr">
        <is>
          <t>FAGERSTA</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34599-2023</t>
        </is>
      </c>
      <c r="B3397" s="1" t="n">
        <v>45140</v>
      </c>
      <c r="C3397" s="1" t="n">
        <v>45811</v>
      </c>
      <c r="D3397" t="inlineStr">
        <is>
          <t>VÄSTMANLANDS LÄN</t>
        </is>
      </c>
      <c r="E3397" t="inlineStr">
        <is>
          <t>FAGERSTA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34603-2023</t>
        </is>
      </c>
      <c r="B3398" s="1" t="n">
        <v>45140</v>
      </c>
      <c r="C3398" s="1" t="n">
        <v>45811</v>
      </c>
      <c r="D3398" t="inlineStr">
        <is>
          <t>VÄSTMANLANDS LÄN</t>
        </is>
      </c>
      <c r="E3398" t="inlineStr">
        <is>
          <t>FAGERSTA</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34605-2023</t>
        </is>
      </c>
      <c r="B3399" s="1" t="n">
        <v>45140</v>
      </c>
      <c r="C3399" s="1" t="n">
        <v>45811</v>
      </c>
      <c r="D3399" t="inlineStr">
        <is>
          <t>VÄSTMANLANDS LÄN</t>
        </is>
      </c>
      <c r="E3399" t="inlineStr">
        <is>
          <t>FAGERSTA</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34867-2023</t>
        </is>
      </c>
      <c r="B3400" s="1" t="n">
        <v>45142</v>
      </c>
      <c r="C3400" s="1" t="n">
        <v>45811</v>
      </c>
      <c r="D3400" t="inlineStr">
        <is>
          <t>VÄSTMANLANDS LÄN</t>
        </is>
      </c>
      <c r="E3400" t="inlineStr">
        <is>
          <t>SALA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34942-2023</t>
        </is>
      </c>
      <c r="B3401" s="1" t="n">
        <v>45142</v>
      </c>
      <c r="C3401" s="1" t="n">
        <v>45811</v>
      </c>
      <c r="D3401" t="inlineStr">
        <is>
          <t>VÄSTMANLANDS LÄN</t>
        </is>
      </c>
      <c r="E3401" t="inlineStr">
        <is>
          <t>FAGERSTA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34967-2023</t>
        </is>
      </c>
      <c r="B3402" s="1" t="n">
        <v>45142</v>
      </c>
      <c r="C3402" s="1" t="n">
        <v>45811</v>
      </c>
      <c r="D3402" t="inlineStr">
        <is>
          <t>VÄSTMANLANDS LÄN</t>
        </is>
      </c>
      <c r="E3402" t="inlineStr">
        <is>
          <t>NORBERG</t>
        </is>
      </c>
      <c r="F3402" t="inlineStr">
        <is>
          <t>Kyrkan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35312-2023</t>
        </is>
      </c>
      <c r="B3403" s="1" t="n">
        <v>45145</v>
      </c>
      <c r="C3403" s="1" t="n">
        <v>45811</v>
      </c>
      <c r="D3403" t="inlineStr">
        <is>
          <t>VÄSTMANLANDS LÄN</t>
        </is>
      </c>
      <c r="E3403" t="inlineStr">
        <is>
          <t>ARBOGA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35315-2023</t>
        </is>
      </c>
      <c r="B3404" s="1" t="n">
        <v>45145</v>
      </c>
      <c r="C3404" s="1" t="n">
        <v>45811</v>
      </c>
      <c r="D3404" t="inlineStr">
        <is>
          <t>VÄSTMANLANDS LÄN</t>
        </is>
      </c>
      <c r="E3404" t="inlineStr">
        <is>
          <t>ARBOGA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35314-2023</t>
        </is>
      </c>
      <c r="B3405" s="1" t="n">
        <v>45145</v>
      </c>
      <c r="C3405" s="1" t="n">
        <v>45811</v>
      </c>
      <c r="D3405" t="inlineStr">
        <is>
          <t>VÄSTMANLANDS LÄN</t>
        </is>
      </c>
      <c r="E3405" t="inlineStr">
        <is>
          <t>ARBOGA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35434-2023</t>
        </is>
      </c>
      <c r="B3406" s="1" t="n">
        <v>45146</v>
      </c>
      <c r="C3406" s="1" t="n">
        <v>45811</v>
      </c>
      <c r="D3406" t="inlineStr">
        <is>
          <t>VÄSTMANLANDS LÄN</t>
        </is>
      </c>
      <c r="E3406" t="inlineStr">
        <is>
          <t>SALA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35577-2023</t>
        </is>
      </c>
      <c r="B3407" s="1" t="n">
        <v>45147</v>
      </c>
      <c r="C3407" s="1" t="n">
        <v>45811</v>
      </c>
      <c r="D3407" t="inlineStr">
        <is>
          <t>VÄSTMANLANDS LÄN</t>
        </is>
      </c>
      <c r="E3407" t="inlineStr">
        <is>
          <t>VÄSTERÅS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35716-2023</t>
        </is>
      </c>
      <c r="B3408" s="1" t="n">
        <v>45147</v>
      </c>
      <c r="C3408" s="1" t="n">
        <v>45811</v>
      </c>
      <c r="D3408" t="inlineStr">
        <is>
          <t>VÄSTMANLANDS LÄN</t>
        </is>
      </c>
      <c r="E3408" t="inlineStr">
        <is>
          <t>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35582-2023</t>
        </is>
      </c>
      <c r="B3409" s="1" t="n">
        <v>45147</v>
      </c>
      <c r="C3409" s="1" t="n">
        <v>45811</v>
      </c>
      <c r="D3409" t="inlineStr">
        <is>
          <t>VÄSTMANLANDS LÄN</t>
        </is>
      </c>
      <c r="E3409" t="inlineStr">
        <is>
          <t>VÄSTERÅS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35796-2023</t>
        </is>
      </c>
      <c r="B3410" s="1" t="n">
        <v>45147</v>
      </c>
      <c r="C3410" s="1" t="n">
        <v>45811</v>
      </c>
      <c r="D3410" t="inlineStr">
        <is>
          <t>VÄSTMANLANDS LÄN</t>
        </is>
      </c>
      <c r="E3410" t="inlineStr">
        <is>
          <t>ARBOGA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36161-2023</t>
        </is>
      </c>
      <c r="B3411" s="1" t="n">
        <v>45149</v>
      </c>
      <c r="C3411" s="1" t="n">
        <v>45811</v>
      </c>
      <c r="D3411" t="inlineStr">
        <is>
          <t>VÄSTMANLANDS LÄN</t>
        </is>
      </c>
      <c r="E3411" t="inlineStr">
        <is>
          <t>KÖPING</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36165-2023</t>
        </is>
      </c>
      <c r="B3412" s="1" t="n">
        <v>45149</v>
      </c>
      <c r="C3412" s="1" t="n">
        <v>45811</v>
      </c>
      <c r="D3412" t="inlineStr">
        <is>
          <t>VÄSTMANLANDS LÄN</t>
        </is>
      </c>
      <c r="E3412" t="inlineStr">
        <is>
          <t>KÖPING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36393-2023</t>
        </is>
      </c>
      <c r="B3413" s="1" t="n">
        <v>45152</v>
      </c>
      <c r="C3413" s="1" t="n">
        <v>45811</v>
      </c>
      <c r="D3413" t="inlineStr">
        <is>
          <t>VÄSTMANLANDS LÄN</t>
        </is>
      </c>
      <c r="E3413" t="inlineStr">
        <is>
          <t>SALA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36279-2023</t>
        </is>
      </c>
      <c r="B3414" s="1" t="n">
        <v>45152</v>
      </c>
      <c r="C3414" s="1" t="n">
        <v>45811</v>
      </c>
      <c r="D3414" t="inlineStr">
        <is>
          <t>VÄSTMANLANDS LÄN</t>
        </is>
      </c>
      <c r="E3414" t="inlineStr">
        <is>
          <t>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36405-2023</t>
        </is>
      </c>
      <c r="B3415" s="1" t="n">
        <v>45152</v>
      </c>
      <c r="C3415" s="1" t="n">
        <v>45811</v>
      </c>
      <c r="D3415" t="inlineStr">
        <is>
          <t>VÄSTMANLANDS LÄN</t>
        </is>
      </c>
      <c r="E3415" t="inlineStr">
        <is>
          <t>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36471-2023</t>
        </is>
      </c>
      <c r="B3416" s="1" t="n">
        <v>45152</v>
      </c>
      <c r="C3416" s="1" t="n">
        <v>45811</v>
      </c>
      <c r="D3416" t="inlineStr">
        <is>
          <t>VÄSTMANLANDS LÄN</t>
        </is>
      </c>
      <c r="E3416" t="inlineStr">
        <is>
          <t>SKINNSKATTEBERG</t>
        </is>
      </c>
      <c r="F3416" t="inlineStr">
        <is>
          <t>Sveaskog</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36475-2023</t>
        </is>
      </c>
      <c r="B3417" s="1" t="n">
        <v>45152</v>
      </c>
      <c r="C3417" s="1" t="n">
        <v>45811</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36409-2023</t>
        </is>
      </c>
      <c r="B3418" s="1" t="n">
        <v>45152</v>
      </c>
      <c r="C3418" s="1" t="n">
        <v>45811</v>
      </c>
      <c r="D3418" t="inlineStr">
        <is>
          <t>VÄSTMANLANDS LÄN</t>
        </is>
      </c>
      <c r="E3418" t="inlineStr">
        <is>
          <t>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36476-2023</t>
        </is>
      </c>
      <c r="B3419" s="1" t="n">
        <v>45152</v>
      </c>
      <c r="C3419" s="1" t="n">
        <v>45811</v>
      </c>
      <c r="D3419" t="inlineStr">
        <is>
          <t>VÄSTMANLANDS LÄN</t>
        </is>
      </c>
      <c r="E3419" t="inlineStr">
        <is>
          <t>SKINNSKATTEBERG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36473-2023</t>
        </is>
      </c>
      <c r="B3420" s="1" t="n">
        <v>45152</v>
      </c>
      <c r="C3420" s="1" t="n">
        <v>45811</v>
      </c>
      <c r="D3420" t="inlineStr">
        <is>
          <t>VÄSTMANLANDS LÄN</t>
        </is>
      </c>
      <c r="E3420" t="inlineStr">
        <is>
          <t>SKINNSKATTEBERG</t>
        </is>
      </c>
      <c r="F3420" t="inlineStr">
        <is>
          <t>Sveaskog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36529-2023</t>
        </is>
      </c>
      <c r="B3421" s="1" t="n">
        <v>45153</v>
      </c>
      <c r="C3421" s="1" t="n">
        <v>45811</v>
      </c>
      <c r="D3421" t="inlineStr">
        <is>
          <t>VÄSTMANLANDS LÄN</t>
        </is>
      </c>
      <c r="E3421" t="inlineStr">
        <is>
          <t>ARBOGA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36530-2023</t>
        </is>
      </c>
      <c r="B3422" s="1" t="n">
        <v>45153</v>
      </c>
      <c r="C3422" s="1" t="n">
        <v>45811</v>
      </c>
      <c r="D3422" t="inlineStr">
        <is>
          <t>VÄSTMANLANDS LÄN</t>
        </is>
      </c>
      <c r="E3422" t="inlineStr">
        <is>
          <t>ARBOGA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36641-2023</t>
        </is>
      </c>
      <c r="B3423" s="1" t="n">
        <v>45153</v>
      </c>
      <c r="C3423" s="1" t="n">
        <v>45811</v>
      </c>
      <c r="D3423" t="inlineStr">
        <is>
          <t>VÄSTMANLANDS LÄN</t>
        </is>
      </c>
      <c r="E3423" t="inlineStr">
        <is>
          <t>VÄSTERÅS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36658-2023</t>
        </is>
      </c>
      <c r="B3424" s="1" t="n">
        <v>45153</v>
      </c>
      <c r="C3424" s="1" t="n">
        <v>45811</v>
      </c>
      <c r="D3424" t="inlineStr">
        <is>
          <t>VÄSTMANLANDS LÄN</t>
        </is>
      </c>
      <c r="E3424" t="inlineStr">
        <is>
          <t>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36712-2023</t>
        </is>
      </c>
      <c r="B3425" s="1" t="n">
        <v>45153</v>
      </c>
      <c r="C3425" s="1" t="n">
        <v>45811</v>
      </c>
      <c r="D3425" t="inlineStr">
        <is>
          <t>VÄSTMANLANDS LÄN</t>
        </is>
      </c>
      <c r="E3425" t="inlineStr">
        <is>
          <t>KÖPING</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36702-2023</t>
        </is>
      </c>
      <c r="B3426" s="1" t="n">
        <v>45153</v>
      </c>
      <c r="C3426" s="1" t="n">
        <v>45811</v>
      </c>
      <c r="D3426" t="inlineStr">
        <is>
          <t>VÄSTMANLANDS LÄN</t>
        </is>
      </c>
      <c r="E3426" t="inlineStr">
        <is>
          <t>VÄSTERÅS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36704-2023</t>
        </is>
      </c>
      <c r="B3427" s="1" t="n">
        <v>45153</v>
      </c>
      <c r="C3427" s="1" t="n">
        <v>45811</v>
      </c>
      <c r="D3427" t="inlineStr">
        <is>
          <t>VÄSTMANLANDS LÄN</t>
        </is>
      </c>
      <c r="E3427" t="inlineStr">
        <is>
          <t>KÖPING</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36709-2023</t>
        </is>
      </c>
      <c r="B3428" s="1" t="n">
        <v>45153</v>
      </c>
      <c r="C3428" s="1" t="n">
        <v>45811</v>
      </c>
      <c r="D3428" t="inlineStr">
        <is>
          <t>VÄSTMANLANDS LÄN</t>
        </is>
      </c>
      <c r="E3428" t="inlineStr">
        <is>
          <t>KÖPING</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36858-2023</t>
        </is>
      </c>
      <c r="B3429" s="1" t="n">
        <v>45154</v>
      </c>
      <c r="C3429" s="1" t="n">
        <v>45811</v>
      </c>
      <c r="D3429" t="inlineStr">
        <is>
          <t>VÄSTMANLANDS LÄN</t>
        </is>
      </c>
      <c r="E3429" t="inlineStr">
        <is>
          <t>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36905-2023</t>
        </is>
      </c>
      <c r="B3430" s="1" t="n">
        <v>45154</v>
      </c>
      <c r="C3430" s="1" t="n">
        <v>45811</v>
      </c>
      <c r="D3430" t="inlineStr">
        <is>
          <t>VÄSTMANLANDS LÄN</t>
        </is>
      </c>
      <c r="E3430" t="inlineStr">
        <is>
          <t>NORBERG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37196-2023</t>
        </is>
      </c>
      <c r="B3431" s="1" t="n">
        <v>45154</v>
      </c>
      <c r="C3431" s="1" t="n">
        <v>45811</v>
      </c>
      <c r="D3431" t="inlineStr">
        <is>
          <t>VÄSTMANLANDS LÄN</t>
        </is>
      </c>
      <c r="E3431" t="inlineStr">
        <is>
          <t>SKINNSKATTEBERG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37017-2023</t>
        </is>
      </c>
      <c r="B3432" s="1" t="n">
        <v>45155</v>
      </c>
      <c r="C3432" s="1" t="n">
        <v>45811</v>
      </c>
      <c r="D3432" t="inlineStr">
        <is>
          <t>VÄSTMANLANDS LÄN</t>
        </is>
      </c>
      <c r="E3432" t="inlineStr">
        <is>
          <t>NORBERG</t>
        </is>
      </c>
      <c r="F3432" t="inlineStr">
        <is>
          <t>Övriga Aktiebolag</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37007-2023</t>
        </is>
      </c>
      <c r="B3433" s="1" t="n">
        <v>45155</v>
      </c>
      <c r="C3433" s="1" t="n">
        <v>45811</v>
      </c>
      <c r="D3433" t="inlineStr">
        <is>
          <t>VÄSTMANLANDS LÄN</t>
        </is>
      </c>
      <c r="E3433" t="inlineStr">
        <is>
          <t>SKINNSKATTEBERG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37011-2023</t>
        </is>
      </c>
      <c r="B3434" s="1" t="n">
        <v>45155</v>
      </c>
      <c r="C3434" s="1" t="n">
        <v>45811</v>
      </c>
      <c r="D3434" t="inlineStr">
        <is>
          <t>VÄSTMANLANDS LÄN</t>
        </is>
      </c>
      <c r="E3434" t="inlineStr">
        <is>
          <t>NORBERG</t>
        </is>
      </c>
      <c r="F3434" t="inlineStr">
        <is>
          <t>Övriga Aktiebolag</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37006-2023</t>
        </is>
      </c>
      <c r="B3435" s="1" t="n">
        <v>45155</v>
      </c>
      <c r="C3435" s="1" t="n">
        <v>45811</v>
      </c>
      <c r="D3435" t="inlineStr">
        <is>
          <t>VÄSTMANLANDS LÄN</t>
        </is>
      </c>
      <c r="E3435" t="inlineStr">
        <is>
          <t>SKINNSKATTEBERG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37138-2023</t>
        </is>
      </c>
      <c r="B3436" s="1" t="n">
        <v>45155</v>
      </c>
      <c r="C3436" s="1" t="n">
        <v>45811</v>
      </c>
      <c r="D3436" t="inlineStr">
        <is>
          <t>VÄSTMANLANDS LÄN</t>
        </is>
      </c>
      <c r="E3436" t="inlineStr">
        <is>
          <t>SURAHAMMAR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37200-2023</t>
        </is>
      </c>
      <c r="B3437" s="1" t="n">
        <v>45155</v>
      </c>
      <c r="C3437" s="1" t="n">
        <v>45811</v>
      </c>
      <c r="D3437" t="inlineStr">
        <is>
          <t>VÄSTMANLANDS LÄN</t>
        </is>
      </c>
      <c r="E3437" t="inlineStr">
        <is>
          <t>NORBERG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37198-2023</t>
        </is>
      </c>
      <c r="B3438" s="1" t="n">
        <v>45155</v>
      </c>
      <c r="C3438" s="1" t="n">
        <v>45811</v>
      </c>
      <c r="D3438" t="inlineStr">
        <is>
          <t>VÄSTMANLANDS LÄN</t>
        </is>
      </c>
      <c r="E3438" t="inlineStr">
        <is>
          <t>NORBERG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37287-2023</t>
        </is>
      </c>
      <c r="B3439" s="1" t="n">
        <v>45156</v>
      </c>
      <c r="C3439" s="1" t="n">
        <v>45811</v>
      </c>
      <c r="D3439" t="inlineStr">
        <is>
          <t>VÄSTMANLANDS LÄN</t>
        </is>
      </c>
      <c r="E3439" t="inlineStr">
        <is>
          <t>SURAHAMMAR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37342-2023</t>
        </is>
      </c>
      <c r="B3440" s="1" t="n">
        <v>45156</v>
      </c>
      <c r="C3440" s="1" t="n">
        <v>45811</v>
      </c>
      <c r="D3440" t="inlineStr">
        <is>
          <t>VÄSTMANLANDS LÄN</t>
        </is>
      </c>
      <c r="E3440" t="inlineStr">
        <is>
          <t>SKINNSKATTEBERG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37411-2023</t>
        </is>
      </c>
      <c r="B3441" s="1" t="n">
        <v>45156</v>
      </c>
      <c r="C3441" s="1" t="n">
        <v>45811</v>
      </c>
      <c r="D3441" t="inlineStr">
        <is>
          <t>VÄSTMANLANDS LÄN</t>
        </is>
      </c>
      <c r="E3441" t="inlineStr">
        <is>
          <t>FAGERSTA</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37432-2023</t>
        </is>
      </c>
      <c r="B3442" s="1" t="n">
        <v>45156</v>
      </c>
      <c r="C3442" s="1" t="n">
        <v>45811</v>
      </c>
      <c r="D3442" t="inlineStr">
        <is>
          <t>VÄSTMANLANDS LÄN</t>
        </is>
      </c>
      <c r="E3442" t="inlineStr">
        <is>
          <t>SKINNSKATTEBERG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37407-2023</t>
        </is>
      </c>
      <c r="B3443" s="1" t="n">
        <v>45156</v>
      </c>
      <c r="C3443" s="1" t="n">
        <v>45811</v>
      </c>
      <c r="D3443" t="inlineStr">
        <is>
          <t>VÄSTMANLANDS LÄN</t>
        </is>
      </c>
      <c r="E3443" t="inlineStr">
        <is>
          <t>HALLSTAHAMMAR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37437-2023</t>
        </is>
      </c>
      <c r="B3444" s="1" t="n">
        <v>45156</v>
      </c>
      <c r="C3444" s="1" t="n">
        <v>45811</v>
      </c>
      <c r="D3444" t="inlineStr">
        <is>
          <t>VÄSTMANLANDS LÄN</t>
        </is>
      </c>
      <c r="E3444" t="inlineStr">
        <is>
          <t>SKINNSKATTEBERG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37635-2023</t>
        </is>
      </c>
      <c r="B3445" s="1" t="n">
        <v>45159</v>
      </c>
      <c r="C3445" s="1" t="n">
        <v>45811</v>
      </c>
      <c r="D3445" t="inlineStr">
        <is>
          <t>VÄSTMANLANDS LÄN</t>
        </is>
      </c>
      <c r="E3445" t="inlineStr">
        <is>
          <t>SURAHAMMAR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37639-2023</t>
        </is>
      </c>
      <c r="B3446" s="1" t="n">
        <v>45159</v>
      </c>
      <c r="C3446" s="1" t="n">
        <v>45811</v>
      </c>
      <c r="D3446" t="inlineStr">
        <is>
          <t>VÄSTMANLANDS LÄN</t>
        </is>
      </c>
      <c r="E3446" t="inlineStr">
        <is>
          <t>SURAHAMMAR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37601-2023</t>
        </is>
      </c>
      <c r="B3447" s="1" t="n">
        <v>45159</v>
      </c>
      <c r="C3447" s="1" t="n">
        <v>45811</v>
      </c>
      <c r="D3447" t="inlineStr">
        <is>
          <t>VÄSTMANLANDS LÄN</t>
        </is>
      </c>
      <c r="E3447" t="inlineStr">
        <is>
          <t>ARBOGA</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37669-2023</t>
        </is>
      </c>
      <c r="B3448" s="1" t="n">
        <v>45159</v>
      </c>
      <c r="C3448" s="1" t="n">
        <v>45811</v>
      </c>
      <c r="D3448" t="inlineStr">
        <is>
          <t>VÄSTMANLANDS LÄN</t>
        </is>
      </c>
      <c r="E3448" t="inlineStr">
        <is>
          <t>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37752-2023</t>
        </is>
      </c>
      <c r="B3449" s="1" t="n">
        <v>45159</v>
      </c>
      <c r="C3449" s="1" t="n">
        <v>45811</v>
      </c>
      <c r="D3449" t="inlineStr">
        <is>
          <t>VÄSTMANLANDS LÄN</t>
        </is>
      </c>
      <c r="E3449" t="inlineStr">
        <is>
          <t>KÖPING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38055-2023</t>
        </is>
      </c>
      <c r="B3450" s="1" t="n">
        <v>45160</v>
      </c>
      <c r="C3450" s="1" t="n">
        <v>45811</v>
      </c>
      <c r="D3450" t="inlineStr">
        <is>
          <t>VÄSTMANLANDS LÄN</t>
        </is>
      </c>
      <c r="E3450" t="inlineStr">
        <is>
          <t>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37880-2023</t>
        </is>
      </c>
      <c r="B3451" s="1" t="n">
        <v>45160</v>
      </c>
      <c r="C3451" s="1" t="n">
        <v>45811</v>
      </c>
      <c r="D3451" t="inlineStr">
        <is>
          <t>VÄSTMANLANDS LÄN</t>
        </is>
      </c>
      <c r="E3451" t="inlineStr">
        <is>
          <t>SKINNSKATTEBERG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37955-2023</t>
        </is>
      </c>
      <c r="B3452" s="1" t="n">
        <v>45160</v>
      </c>
      <c r="C3452" s="1" t="n">
        <v>45811</v>
      </c>
      <c r="D3452" t="inlineStr">
        <is>
          <t>VÄSTMANLANDS LÄN</t>
        </is>
      </c>
      <c r="E3452" t="inlineStr">
        <is>
          <t>FAGERSTA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38436-2023</t>
        </is>
      </c>
      <c r="B3453" s="1" t="n">
        <v>45160</v>
      </c>
      <c r="C3453" s="1" t="n">
        <v>45811</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38432-2023</t>
        </is>
      </c>
      <c r="B3454" s="1" t="n">
        <v>45160</v>
      </c>
      <c r="C3454" s="1" t="n">
        <v>45811</v>
      </c>
      <c r="D3454" t="inlineStr">
        <is>
          <t>VÄSTMANLANDS LÄN</t>
        </is>
      </c>
      <c r="E3454" t="inlineStr">
        <is>
          <t>VÄSTERÅS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38308-2023</t>
        </is>
      </c>
      <c r="B3455" s="1" t="n">
        <v>45161</v>
      </c>
      <c r="C3455" s="1" t="n">
        <v>45811</v>
      </c>
      <c r="D3455" t="inlineStr">
        <is>
          <t>VÄSTMANLANDS LÄN</t>
        </is>
      </c>
      <c r="E3455" t="inlineStr">
        <is>
          <t>KUNGSÖR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38773-2023</t>
        </is>
      </c>
      <c r="B3456" s="1" t="n">
        <v>45161</v>
      </c>
      <c r="C3456" s="1" t="n">
        <v>45811</v>
      </c>
      <c r="D3456" t="inlineStr">
        <is>
          <t>VÄSTMANLANDS LÄN</t>
        </is>
      </c>
      <c r="E3456" t="inlineStr">
        <is>
          <t>SALA</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38561-2023</t>
        </is>
      </c>
      <c r="B3457" s="1" t="n">
        <v>45162</v>
      </c>
      <c r="C3457" s="1" t="n">
        <v>45811</v>
      </c>
      <c r="D3457" t="inlineStr">
        <is>
          <t>VÄSTMANLANDS LÄN</t>
        </is>
      </c>
      <c r="E3457" t="inlineStr">
        <is>
          <t>SALA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38581-2023</t>
        </is>
      </c>
      <c r="B3458" s="1" t="n">
        <v>45162</v>
      </c>
      <c r="C3458" s="1" t="n">
        <v>45811</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39011-2023</t>
        </is>
      </c>
      <c r="B3459" s="1" t="n">
        <v>45162</v>
      </c>
      <c r="C3459" s="1" t="n">
        <v>45811</v>
      </c>
      <c r="D3459" t="inlineStr">
        <is>
          <t>VÄSTMANLANDS LÄN</t>
        </is>
      </c>
      <c r="E3459" t="inlineStr">
        <is>
          <t>SALA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38521-2023</t>
        </is>
      </c>
      <c r="B3460" s="1" t="n">
        <v>45162</v>
      </c>
      <c r="C3460" s="1" t="n">
        <v>45811</v>
      </c>
      <c r="D3460" t="inlineStr">
        <is>
          <t>VÄSTMANLANDS LÄN</t>
        </is>
      </c>
      <c r="E3460" t="inlineStr">
        <is>
          <t>SKINNSKATTEBERG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38538-2023</t>
        </is>
      </c>
      <c r="B3461" s="1" t="n">
        <v>45162</v>
      </c>
      <c r="C3461" s="1" t="n">
        <v>45811</v>
      </c>
      <c r="D3461" t="inlineStr">
        <is>
          <t>VÄSTMANLANDS LÄN</t>
        </is>
      </c>
      <c r="E3461" t="inlineStr">
        <is>
          <t>VÄSTERÅS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38714-2023</t>
        </is>
      </c>
      <c r="B3462" s="1" t="n">
        <v>45163</v>
      </c>
      <c r="C3462" s="1" t="n">
        <v>45811</v>
      </c>
      <c r="D3462" t="inlineStr">
        <is>
          <t>VÄSTMANLANDS LÄN</t>
        </is>
      </c>
      <c r="E3462" t="inlineStr">
        <is>
          <t>SKINNSKATTEBERG</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38739-2023</t>
        </is>
      </c>
      <c r="B3463" s="1" t="n">
        <v>45163</v>
      </c>
      <c r="C3463" s="1" t="n">
        <v>45811</v>
      </c>
      <c r="D3463" t="inlineStr">
        <is>
          <t>VÄSTMANLANDS LÄN</t>
        </is>
      </c>
      <c r="E3463" t="inlineStr">
        <is>
          <t>SKINNSKATTEBERG</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38731-2023</t>
        </is>
      </c>
      <c r="B3464" s="1" t="n">
        <v>45163</v>
      </c>
      <c r="C3464" s="1" t="n">
        <v>45811</v>
      </c>
      <c r="D3464" t="inlineStr">
        <is>
          <t>VÄSTMANLANDS LÄN</t>
        </is>
      </c>
      <c r="E3464" t="inlineStr">
        <is>
          <t>SKINNSKATTEBERG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38748-2023</t>
        </is>
      </c>
      <c r="B3465" s="1" t="n">
        <v>45163</v>
      </c>
      <c r="C3465" s="1" t="n">
        <v>45811</v>
      </c>
      <c r="D3465" t="inlineStr">
        <is>
          <t>VÄSTMANLANDS LÄN</t>
        </is>
      </c>
      <c r="E3465" t="inlineStr">
        <is>
          <t>VÄSTERÅS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38802-2023</t>
        </is>
      </c>
      <c r="B3466" s="1" t="n">
        <v>45163</v>
      </c>
      <c r="C3466" s="1" t="n">
        <v>45811</v>
      </c>
      <c r="D3466" t="inlineStr">
        <is>
          <t>VÄSTMANLANDS LÄN</t>
        </is>
      </c>
      <c r="E3466" t="inlineStr">
        <is>
          <t>VÄSTERÅS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38709-2023</t>
        </is>
      </c>
      <c r="B3467" s="1" t="n">
        <v>45163</v>
      </c>
      <c r="C3467" s="1" t="n">
        <v>45811</v>
      </c>
      <c r="D3467" t="inlineStr">
        <is>
          <t>VÄSTMANLANDS LÄN</t>
        </is>
      </c>
      <c r="E3467" t="inlineStr">
        <is>
          <t>VÄSTERÅS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39604-2023</t>
        </is>
      </c>
      <c r="B3468" s="1" t="n">
        <v>45163</v>
      </c>
      <c r="C3468" s="1" t="n">
        <v>45811</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39269-2023</t>
        </is>
      </c>
      <c r="B3469" s="1" t="n">
        <v>45166</v>
      </c>
      <c r="C3469" s="1" t="n">
        <v>45811</v>
      </c>
      <c r="D3469" t="inlineStr">
        <is>
          <t>VÄSTMANLANDS LÄN</t>
        </is>
      </c>
      <c r="E3469" t="inlineStr">
        <is>
          <t>KUNGSÖR</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39267-2023</t>
        </is>
      </c>
      <c r="B3470" s="1" t="n">
        <v>45166</v>
      </c>
      <c r="C3470" s="1" t="n">
        <v>45811</v>
      </c>
      <c r="D3470" t="inlineStr">
        <is>
          <t>VÄSTMANLANDS LÄN</t>
        </is>
      </c>
      <c r="E3470" t="inlineStr">
        <is>
          <t>HALLSTAHAMMAR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39646-2023</t>
        </is>
      </c>
      <c r="B3471" s="1" t="n">
        <v>45166</v>
      </c>
      <c r="C3471" s="1" t="n">
        <v>45811</v>
      </c>
      <c r="D3471" t="inlineStr">
        <is>
          <t>VÄSTMANLANDS LÄN</t>
        </is>
      </c>
      <c r="E3471" t="inlineStr">
        <is>
          <t>KÖPING</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39717-2023</t>
        </is>
      </c>
      <c r="B3472" s="1" t="n">
        <v>45167</v>
      </c>
      <c r="C3472" s="1" t="n">
        <v>45811</v>
      </c>
      <c r="D3472" t="inlineStr">
        <is>
          <t>VÄSTMANLANDS LÄN</t>
        </is>
      </c>
      <c r="E3472" t="inlineStr">
        <is>
          <t>KUNGSÖR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39682-2023</t>
        </is>
      </c>
      <c r="B3473" s="1" t="n">
        <v>45167</v>
      </c>
      <c r="C3473" s="1" t="n">
        <v>45811</v>
      </c>
      <c r="D3473" t="inlineStr">
        <is>
          <t>VÄSTMANLANDS LÄN</t>
        </is>
      </c>
      <c r="E3473" t="inlineStr">
        <is>
          <t>KUNGSÖR</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39714-2023</t>
        </is>
      </c>
      <c r="B3474" s="1" t="n">
        <v>45167</v>
      </c>
      <c r="C3474" s="1" t="n">
        <v>45811</v>
      </c>
      <c r="D3474" t="inlineStr">
        <is>
          <t>VÄSTMANLANDS LÄN</t>
        </is>
      </c>
      <c r="E3474" t="inlineStr">
        <is>
          <t>SALA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39708-2023</t>
        </is>
      </c>
      <c r="B3475" s="1" t="n">
        <v>45167</v>
      </c>
      <c r="C3475" s="1" t="n">
        <v>45811</v>
      </c>
      <c r="D3475" t="inlineStr">
        <is>
          <t>VÄSTMANLANDS LÄN</t>
        </is>
      </c>
      <c r="E3475" t="inlineStr">
        <is>
          <t>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39713-2023</t>
        </is>
      </c>
      <c r="B3476" s="1" t="n">
        <v>45167</v>
      </c>
      <c r="C3476" s="1" t="n">
        <v>45811</v>
      </c>
      <c r="D3476" t="inlineStr">
        <is>
          <t>VÄSTMANLANDS LÄN</t>
        </is>
      </c>
      <c r="E3476" t="inlineStr">
        <is>
          <t>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39780-2023</t>
        </is>
      </c>
      <c r="B3477" s="1" t="n">
        <v>45167</v>
      </c>
      <c r="C3477" s="1" t="n">
        <v>45811</v>
      </c>
      <c r="D3477" t="inlineStr">
        <is>
          <t>VÄSTMANLANDS LÄN</t>
        </is>
      </c>
      <c r="E3477" t="inlineStr">
        <is>
          <t>ARBOGA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39720-2023</t>
        </is>
      </c>
      <c r="B3478" s="1" t="n">
        <v>45167</v>
      </c>
      <c r="C3478" s="1" t="n">
        <v>45811</v>
      </c>
      <c r="D3478" t="inlineStr">
        <is>
          <t>VÄSTMANLANDS LÄN</t>
        </is>
      </c>
      <c r="E3478" t="inlineStr">
        <is>
          <t>KUNGSÖR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40138-2023</t>
        </is>
      </c>
      <c r="B3479" s="1" t="n">
        <v>45169</v>
      </c>
      <c r="C3479" s="1" t="n">
        <v>45811</v>
      </c>
      <c r="D3479" t="inlineStr">
        <is>
          <t>VÄSTMANLANDS LÄN</t>
        </is>
      </c>
      <c r="E3479" t="inlineStr">
        <is>
          <t>NORBERG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40144-2023</t>
        </is>
      </c>
      <c r="B3480" s="1" t="n">
        <v>45169</v>
      </c>
      <c r="C3480" s="1" t="n">
        <v>45811</v>
      </c>
      <c r="D3480" t="inlineStr">
        <is>
          <t>VÄSTMANLANDS LÄN</t>
        </is>
      </c>
      <c r="E3480" t="inlineStr">
        <is>
          <t>NORBERG</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40301-2023</t>
        </is>
      </c>
      <c r="B3481" s="1" t="n">
        <v>45169</v>
      </c>
      <c r="C3481" s="1" t="n">
        <v>45811</v>
      </c>
      <c r="D3481" t="inlineStr">
        <is>
          <t>VÄSTMANLANDS LÄN</t>
        </is>
      </c>
      <c r="E3481" t="inlineStr">
        <is>
          <t>SKINNSKATTEBERG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40238-2023</t>
        </is>
      </c>
      <c r="B3482" s="1" t="n">
        <v>45169</v>
      </c>
      <c r="C3482" s="1" t="n">
        <v>45811</v>
      </c>
      <c r="D3482" t="inlineStr">
        <is>
          <t>VÄSTMANLANDS LÄN</t>
        </is>
      </c>
      <c r="E3482" t="inlineStr">
        <is>
          <t>ARBOGA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40304-2023</t>
        </is>
      </c>
      <c r="B3483" s="1" t="n">
        <v>45169</v>
      </c>
      <c r="C3483" s="1" t="n">
        <v>45811</v>
      </c>
      <c r="D3483" t="inlineStr">
        <is>
          <t>VÄSTMANLANDS LÄN</t>
        </is>
      </c>
      <c r="E3483" t="inlineStr">
        <is>
          <t>VÄSTERÅS</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40140-2023</t>
        </is>
      </c>
      <c r="B3484" s="1" t="n">
        <v>45169</v>
      </c>
      <c r="C3484" s="1" t="n">
        <v>45811</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40145-2023</t>
        </is>
      </c>
      <c r="B3485" s="1" t="n">
        <v>45169</v>
      </c>
      <c r="C3485" s="1" t="n">
        <v>45811</v>
      </c>
      <c r="D3485" t="inlineStr">
        <is>
          <t>VÄSTMANLANDS LÄN</t>
        </is>
      </c>
      <c r="E3485" t="inlineStr">
        <is>
          <t>NORBERG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40141-2023</t>
        </is>
      </c>
      <c r="B3486" s="1" t="n">
        <v>45169</v>
      </c>
      <c r="C3486" s="1" t="n">
        <v>45811</v>
      </c>
      <c r="D3486" t="inlineStr">
        <is>
          <t>VÄSTMANLANDS LÄN</t>
        </is>
      </c>
      <c r="E3486" t="inlineStr">
        <is>
          <t>NORBERG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40153-2023</t>
        </is>
      </c>
      <c r="B3487" s="1" t="n">
        <v>45169</v>
      </c>
      <c r="C3487" s="1" t="n">
        <v>45811</v>
      </c>
      <c r="D3487" t="inlineStr">
        <is>
          <t>VÄSTMANLANDS LÄN</t>
        </is>
      </c>
      <c r="E3487" t="inlineStr">
        <is>
          <t>NORBERG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40254-2023</t>
        </is>
      </c>
      <c r="B3488" s="1" t="n">
        <v>45169</v>
      </c>
      <c r="C3488" s="1" t="n">
        <v>45811</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40262-2023</t>
        </is>
      </c>
      <c r="B3489" s="1" t="n">
        <v>45169</v>
      </c>
      <c r="C3489" s="1" t="n">
        <v>45811</v>
      </c>
      <c r="D3489" t="inlineStr">
        <is>
          <t>VÄSTMANLANDS LÄN</t>
        </is>
      </c>
      <c r="E3489" t="inlineStr">
        <is>
          <t>ARBOGA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40150-2023</t>
        </is>
      </c>
      <c r="B3490" s="1" t="n">
        <v>45169</v>
      </c>
      <c r="C3490" s="1" t="n">
        <v>45811</v>
      </c>
      <c r="D3490" t="inlineStr">
        <is>
          <t>VÄSTMANLANDS LÄN</t>
        </is>
      </c>
      <c r="E3490" t="inlineStr">
        <is>
          <t>NORBERG</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40154-2023</t>
        </is>
      </c>
      <c r="B3491" s="1" t="n">
        <v>45169</v>
      </c>
      <c r="C3491" s="1" t="n">
        <v>45811</v>
      </c>
      <c r="D3491" t="inlineStr">
        <is>
          <t>VÄSTMANLANDS LÄN</t>
        </is>
      </c>
      <c r="E3491" t="inlineStr">
        <is>
          <t>NORBERG</t>
        </is>
      </c>
      <c r="F3491" t="inlineStr">
        <is>
          <t>Sveaskog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40956-2023</t>
        </is>
      </c>
      <c r="B3492" s="1" t="n">
        <v>45169</v>
      </c>
      <c r="C3492" s="1" t="n">
        <v>45811</v>
      </c>
      <c r="D3492" t="inlineStr">
        <is>
          <t>VÄSTMANLANDS LÄN</t>
        </is>
      </c>
      <c r="E3492" t="inlineStr">
        <is>
          <t>SURAHAMMAR</t>
        </is>
      </c>
      <c r="F3492" t="inlineStr">
        <is>
          <t>Bergvik skog väst AB</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40214-2023</t>
        </is>
      </c>
      <c r="B3493" s="1" t="n">
        <v>45169</v>
      </c>
      <c r="C3493" s="1" t="n">
        <v>45811</v>
      </c>
      <c r="D3493" t="inlineStr">
        <is>
          <t>VÄSTMANLANDS LÄN</t>
        </is>
      </c>
      <c r="E3493" t="inlineStr">
        <is>
          <t>SALA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40320-2023</t>
        </is>
      </c>
      <c r="B3494" s="1" t="n">
        <v>45169</v>
      </c>
      <c r="C3494" s="1" t="n">
        <v>45811</v>
      </c>
      <c r="D3494" t="inlineStr">
        <is>
          <t>VÄSTMANLANDS LÄN</t>
        </is>
      </c>
      <c r="E3494" t="inlineStr">
        <is>
          <t>SKINNSKATTEBERG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40517-2023</t>
        </is>
      </c>
      <c r="B3495" s="1" t="n">
        <v>45170</v>
      </c>
      <c r="C3495" s="1" t="n">
        <v>45811</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40545-2023</t>
        </is>
      </c>
      <c r="B3496" s="1" t="n">
        <v>45170</v>
      </c>
      <c r="C3496" s="1" t="n">
        <v>45811</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40445-2023</t>
        </is>
      </c>
      <c r="B3497" s="1" t="n">
        <v>45170</v>
      </c>
      <c r="C3497" s="1" t="n">
        <v>45811</v>
      </c>
      <c r="D3497" t="inlineStr">
        <is>
          <t>VÄSTMANLANDS LÄN</t>
        </is>
      </c>
      <c r="E3497" t="inlineStr">
        <is>
          <t>SURAHAMMAR</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40495-2023</t>
        </is>
      </c>
      <c r="B3498" s="1" t="n">
        <v>45170</v>
      </c>
      <c r="C3498" s="1" t="n">
        <v>45811</v>
      </c>
      <c r="D3498" t="inlineStr">
        <is>
          <t>VÄSTMANLANDS LÄN</t>
        </is>
      </c>
      <c r="E3498" t="inlineStr">
        <is>
          <t>SKINNSKATTEBERG</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40521-2023</t>
        </is>
      </c>
      <c r="B3499" s="1" t="n">
        <v>45170</v>
      </c>
      <c r="C3499" s="1" t="n">
        <v>45811</v>
      </c>
      <c r="D3499" t="inlineStr">
        <is>
          <t>VÄSTMANLANDS LÄN</t>
        </is>
      </c>
      <c r="E3499" t="inlineStr">
        <is>
          <t>SKINNSKATTEBERG</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40539-2023</t>
        </is>
      </c>
      <c r="B3500" s="1" t="n">
        <v>45170</v>
      </c>
      <c r="C3500" s="1" t="n">
        <v>45811</v>
      </c>
      <c r="D3500" t="inlineStr">
        <is>
          <t>VÄSTMANLANDS LÄN</t>
        </is>
      </c>
      <c r="E3500" t="inlineStr">
        <is>
          <t>SKINNSKATTEBERG</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40690-2023</t>
        </is>
      </c>
      <c r="B3501" s="1" t="n">
        <v>45170</v>
      </c>
      <c r="C3501" s="1" t="n">
        <v>45811</v>
      </c>
      <c r="D3501" t="inlineStr">
        <is>
          <t>VÄSTMANLANDS LÄN</t>
        </is>
      </c>
      <c r="E3501" t="inlineStr">
        <is>
          <t>KÖPING</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40497-2023</t>
        </is>
      </c>
      <c r="B3502" s="1" t="n">
        <v>45170</v>
      </c>
      <c r="C3502" s="1" t="n">
        <v>45811</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40519-2023</t>
        </is>
      </c>
      <c r="B3503" s="1" t="n">
        <v>45170</v>
      </c>
      <c r="C3503" s="1" t="n">
        <v>45811</v>
      </c>
      <c r="D3503" t="inlineStr">
        <is>
          <t>VÄSTMANLANDS LÄN</t>
        </is>
      </c>
      <c r="E3503" t="inlineStr">
        <is>
          <t>SKINNSKATTEBERG</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40546-2023</t>
        </is>
      </c>
      <c r="B3504" s="1" t="n">
        <v>45170</v>
      </c>
      <c r="C3504" s="1" t="n">
        <v>45811</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40693-2023</t>
        </is>
      </c>
      <c r="B3505" s="1" t="n">
        <v>45170</v>
      </c>
      <c r="C3505" s="1" t="n">
        <v>45811</v>
      </c>
      <c r="D3505" t="inlineStr">
        <is>
          <t>VÄSTMANLANDS LÄN</t>
        </is>
      </c>
      <c r="E3505" t="inlineStr">
        <is>
          <t>KÖPING</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40893-2023</t>
        </is>
      </c>
      <c r="B3506" s="1" t="n">
        <v>45173</v>
      </c>
      <c r="C3506" s="1" t="n">
        <v>45811</v>
      </c>
      <c r="D3506" t="inlineStr">
        <is>
          <t>VÄSTMANLANDS LÄN</t>
        </is>
      </c>
      <c r="E3506" t="inlineStr">
        <is>
          <t>NORBERG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41613-2023</t>
        </is>
      </c>
      <c r="B3507" s="1" t="n">
        <v>45173</v>
      </c>
      <c r="C3507" s="1" t="n">
        <v>45811</v>
      </c>
      <c r="D3507" t="inlineStr">
        <is>
          <t>VÄSTMANLANDS LÄN</t>
        </is>
      </c>
      <c r="E3507" t="inlineStr">
        <is>
          <t>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41619-2023</t>
        </is>
      </c>
      <c r="B3508" s="1" t="n">
        <v>45173</v>
      </c>
      <c r="C3508" s="1" t="n">
        <v>45811</v>
      </c>
      <c r="D3508" t="inlineStr">
        <is>
          <t>VÄSTMANLANDS LÄN</t>
        </is>
      </c>
      <c r="E3508" t="inlineStr">
        <is>
          <t>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41333-2023</t>
        </is>
      </c>
      <c r="B3509" s="1" t="n">
        <v>45174</v>
      </c>
      <c r="C3509" s="1" t="n">
        <v>45811</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41341-2023</t>
        </is>
      </c>
      <c r="B3510" s="1" t="n">
        <v>45174</v>
      </c>
      <c r="C3510" s="1" t="n">
        <v>45811</v>
      </c>
      <c r="D3510" t="inlineStr">
        <is>
          <t>VÄSTMANLANDS LÄN</t>
        </is>
      </c>
      <c r="E3510" t="inlineStr">
        <is>
          <t>VÄSTERÅS</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41334-2023</t>
        </is>
      </c>
      <c r="B3511" s="1" t="n">
        <v>45174</v>
      </c>
      <c r="C3511" s="1" t="n">
        <v>45811</v>
      </c>
      <c r="D3511" t="inlineStr">
        <is>
          <t>VÄSTMANLANDS LÄN</t>
        </is>
      </c>
      <c r="E3511" t="inlineStr">
        <is>
          <t>SKINNSKATTEBERG</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41332-2023</t>
        </is>
      </c>
      <c r="B3512" s="1" t="n">
        <v>45174</v>
      </c>
      <c r="C3512" s="1" t="n">
        <v>45811</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41340-2023</t>
        </is>
      </c>
      <c r="B3513" s="1" t="n">
        <v>45174</v>
      </c>
      <c r="C3513" s="1" t="n">
        <v>45811</v>
      </c>
      <c r="D3513" t="inlineStr">
        <is>
          <t>VÄSTMANLANDS LÄN</t>
        </is>
      </c>
      <c r="E3513" t="inlineStr">
        <is>
          <t>VÄSTERÅS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41344-2023</t>
        </is>
      </c>
      <c r="B3514" s="1" t="n">
        <v>45174</v>
      </c>
      <c r="C3514" s="1" t="n">
        <v>45811</v>
      </c>
      <c r="D3514" t="inlineStr">
        <is>
          <t>VÄSTMANLANDS LÄN</t>
        </is>
      </c>
      <c r="E3514" t="inlineStr">
        <is>
          <t>VÄSTERÅS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41343-2023</t>
        </is>
      </c>
      <c r="B3515" s="1" t="n">
        <v>45174</v>
      </c>
      <c r="C3515" s="1" t="n">
        <v>45811</v>
      </c>
      <c r="D3515" t="inlineStr">
        <is>
          <t>VÄSTMANLANDS LÄN</t>
        </is>
      </c>
      <c r="E3515" t="inlineStr">
        <is>
          <t>VÄSTERÅS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41562-2023</t>
        </is>
      </c>
      <c r="B3516" s="1" t="n">
        <v>45175</v>
      </c>
      <c r="C3516" s="1" t="n">
        <v>45811</v>
      </c>
      <c r="D3516" t="inlineStr">
        <is>
          <t>VÄSTMANLANDS LÄN</t>
        </is>
      </c>
      <c r="E3516" t="inlineStr">
        <is>
          <t>SKINNSKATTEBERG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41443-2023</t>
        </is>
      </c>
      <c r="B3517" s="1" t="n">
        <v>45175</v>
      </c>
      <c r="C3517" s="1" t="n">
        <v>45811</v>
      </c>
      <c r="D3517" t="inlineStr">
        <is>
          <t>VÄSTMANLANDS LÄN</t>
        </is>
      </c>
      <c r="E3517" t="inlineStr">
        <is>
          <t>KUNGSÖR</t>
        </is>
      </c>
      <c r="F3517" t="inlineStr">
        <is>
          <t>Allmännings- och besparingsskogar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41491-2023</t>
        </is>
      </c>
      <c r="B3518" s="1" t="n">
        <v>45175</v>
      </c>
      <c r="C3518" s="1" t="n">
        <v>45811</v>
      </c>
      <c r="D3518" t="inlineStr">
        <is>
          <t>VÄSTMANLANDS LÄN</t>
        </is>
      </c>
      <c r="E3518" t="inlineStr">
        <is>
          <t>FAGERSTA</t>
        </is>
      </c>
      <c r="F3518" t="inlineStr">
        <is>
          <t>Kommuner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41446-2023</t>
        </is>
      </c>
      <c r="B3519" s="1" t="n">
        <v>45175</v>
      </c>
      <c r="C3519" s="1" t="n">
        <v>45811</v>
      </c>
      <c r="D3519" t="inlineStr">
        <is>
          <t>VÄSTMANLANDS LÄN</t>
        </is>
      </c>
      <c r="E3519" t="inlineStr">
        <is>
          <t>KUNGSÖR</t>
        </is>
      </c>
      <c r="F3519" t="inlineStr">
        <is>
          <t>Allmännings- och besparingsskogar</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41452-2023</t>
        </is>
      </c>
      <c r="B3520" s="1" t="n">
        <v>45175</v>
      </c>
      <c r="C3520" s="1" t="n">
        <v>45811</v>
      </c>
      <c r="D3520" t="inlineStr">
        <is>
          <t>VÄSTMANLANDS LÄN</t>
        </is>
      </c>
      <c r="E3520" t="inlineStr">
        <is>
          <t>ARBOGA</t>
        </is>
      </c>
      <c r="F3520" t="inlineStr">
        <is>
          <t>Allmännings- och besparingsskogar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42312-2023</t>
        </is>
      </c>
      <c r="B3521" s="1" t="n">
        <v>45175</v>
      </c>
      <c r="C3521" s="1" t="n">
        <v>45811</v>
      </c>
      <c r="D3521" t="inlineStr">
        <is>
          <t>VÄSTMANLANDS LÄN</t>
        </is>
      </c>
      <c r="E3521" t="inlineStr">
        <is>
          <t>SALA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41797-2023</t>
        </is>
      </c>
      <c r="B3522" s="1" t="n">
        <v>45176</v>
      </c>
      <c r="C3522" s="1" t="n">
        <v>45811</v>
      </c>
      <c r="D3522" t="inlineStr">
        <is>
          <t>VÄSTMANLANDS LÄN</t>
        </is>
      </c>
      <c r="E3522" t="inlineStr">
        <is>
          <t>SKINNSKATTEBERG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41812-2023</t>
        </is>
      </c>
      <c r="B3523" s="1" t="n">
        <v>45176</v>
      </c>
      <c r="C3523" s="1" t="n">
        <v>45811</v>
      </c>
      <c r="D3523" t="inlineStr">
        <is>
          <t>VÄSTMANLANDS LÄN</t>
        </is>
      </c>
      <c r="E3523" t="inlineStr">
        <is>
          <t>KÖPING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41866-2023</t>
        </is>
      </c>
      <c r="B3524" s="1" t="n">
        <v>45176</v>
      </c>
      <c r="C3524" s="1" t="n">
        <v>45811</v>
      </c>
      <c r="D3524" t="inlineStr">
        <is>
          <t>VÄSTMANLANDS LÄN</t>
        </is>
      </c>
      <c r="E3524" t="inlineStr">
        <is>
          <t>SKINNSKATTEBERG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41815-2023</t>
        </is>
      </c>
      <c r="B3525" s="1" t="n">
        <v>45176</v>
      </c>
      <c r="C3525" s="1" t="n">
        <v>45811</v>
      </c>
      <c r="D3525" t="inlineStr">
        <is>
          <t>VÄSTMANLANDS LÄN</t>
        </is>
      </c>
      <c r="E3525" t="inlineStr">
        <is>
          <t>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41818-2023</t>
        </is>
      </c>
      <c r="B3526" s="1" t="n">
        <v>45176</v>
      </c>
      <c r="C3526" s="1" t="n">
        <v>45811</v>
      </c>
      <c r="D3526" t="inlineStr">
        <is>
          <t>VÄSTMANLANDS LÄN</t>
        </is>
      </c>
      <c r="E3526" t="inlineStr">
        <is>
          <t>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42476-2023</t>
        </is>
      </c>
      <c r="B3527" s="1" t="n">
        <v>45176</v>
      </c>
      <c r="C3527" s="1" t="n">
        <v>45811</v>
      </c>
      <c r="D3527" t="inlineStr">
        <is>
          <t>VÄSTMANLANDS LÄN</t>
        </is>
      </c>
      <c r="E3527" t="inlineStr">
        <is>
          <t>VÄSTERÅS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42090-2023</t>
        </is>
      </c>
      <c r="B3528" s="1" t="n">
        <v>45177</v>
      </c>
      <c r="C3528" s="1" t="n">
        <v>45811</v>
      </c>
      <c r="D3528" t="inlineStr">
        <is>
          <t>VÄSTMANLANDS LÄN</t>
        </is>
      </c>
      <c r="E3528" t="inlineStr">
        <is>
          <t>VÄSTERÅS</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42082-2023</t>
        </is>
      </c>
      <c r="B3529" s="1" t="n">
        <v>45177</v>
      </c>
      <c r="C3529" s="1" t="n">
        <v>45811</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42092-2023</t>
        </is>
      </c>
      <c r="B3530" s="1" t="n">
        <v>45177</v>
      </c>
      <c r="C3530" s="1" t="n">
        <v>45811</v>
      </c>
      <c r="D3530" t="inlineStr">
        <is>
          <t>VÄSTMANLANDS LÄN</t>
        </is>
      </c>
      <c r="E3530" t="inlineStr">
        <is>
          <t>SKINNSKATTEBERG</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42087-2023</t>
        </is>
      </c>
      <c r="B3531" s="1" t="n">
        <v>45177</v>
      </c>
      <c r="C3531" s="1" t="n">
        <v>45811</v>
      </c>
      <c r="D3531" t="inlineStr">
        <is>
          <t>VÄSTMANLANDS LÄN</t>
        </is>
      </c>
      <c r="E3531" t="inlineStr">
        <is>
          <t>SKINNSKATTEBERG</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42091-2023</t>
        </is>
      </c>
      <c r="B3532" s="1" t="n">
        <v>45177</v>
      </c>
      <c r="C3532" s="1" t="n">
        <v>45811</v>
      </c>
      <c r="D3532" t="inlineStr">
        <is>
          <t>VÄSTMANLANDS LÄN</t>
        </is>
      </c>
      <c r="E3532" t="inlineStr">
        <is>
          <t>VÄSTERÅS</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42093-2023</t>
        </is>
      </c>
      <c r="B3533" s="1" t="n">
        <v>45177</v>
      </c>
      <c r="C3533" s="1" t="n">
        <v>45811</v>
      </c>
      <c r="D3533" t="inlineStr">
        <is>
          <t>VÄSTMANLANDS LÄN</t>
        </is>
      </c>
      <c r="E3533" t="inlineStr">
        <is>
          <t>SKINNSKATTEBERG</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42195-2023</t>
        </is>
      </c>
      <c r="B3534" s="1" t="n">
        <v>45179</v>
      </c>
      <c r="C3534" s="1" t="n">
        <v>45811</v>
      </c>
      <c r="D3534" t="inlineStr">
        <is>
          <t>VÄSTMANLANDS LÄN</t>
        </is>
      </c>
      <c r="E3534" t="inlineStr">
        <is>
          <t>NORBERG</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42197-2023</t>
        </is>
      </c>
      <c r="B3535" s="1" t="n">
        <v>45179</v>
      </c>
      <c r="C3535" s="1" t="n">
        <v>45811</v>
      </c>
      <c r="D3535" t="inlineStr">
        <is>
          <t>VÄSTMANLANDS LÄN</t>
        </is>
      </c>
      <c r="E3535" t="inlineStr">
        <is>
          <t>NORBERG</t>
        </is>
      </c>
      <c r="F3535" t="inlineStr">
        <is>
          <t>Sveaskog</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42198-2023</t>
        </is>
      </c>
      <c r="B3536" s="1" t="n">
        <v>45179</v>
      </c>
      <c r="C3536" s="1" t="n">
        <v>45811</v>
      </c>
      <c r="D3536" t="inlineStr">
        <is>
          <t>VÄSTMANLANDS LÄN</t>
        </is>
      </c>
      <c r="E3536" t="inlineStr">
        <is>
          <t>NORBERG</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42938-2023</t>
        </is>
      </c>
      <c r="B3537" s="1" t="n">
        <v>45179</v>
      </c>
      <c r="C3537" s="1" t="n">
        <v>45811</v>
      </c>
      <c r="D3537" t="inlineStr">
        <is>
          <t>VÄSTMANLANDS LÄN</t>
        </is>
      </c>
      <c r="E3537" t="inlineStr">
        <is>
          <t>SALA</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42984-2023</t>
        </is>
      </c>
      <c r="B3538" s="1" t="n">
        <v>45179</v>
      </c>
      <c r="C3538" s="1" t="n">
        <v>45811</v>
      </c>
      <c r="D3538" t="inlineStr">
        <is>
          <t>VÄSTMANLANDS LÄN</t>
        </is>
      </c>
      <c r="E3538" t="inlineStr">
        <is>
          <t>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42991-2023</t>
        </is>
      </c>
      <c r="B3539" s="1" t="n">
        <v>45179</v>
      </c>
      <c r="C3539" s="1" t="n">
        <v>45811</v>
      </c>
      <c r="D3539" t="inlineStr">
        <is>
          <t>VÄSTMANLANDS LÄN</t>
        </is>
      </c>
      <c r="E3539" t="inlineStr">
        <is>
          <t>SALA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42253-2023</t>
        </is>
      </c>
      <c r="B3540" s="1" t="n">
        <v>45180</v>
      </c>
      <c r="C3540" s="1" t="n">
        <v>45811</v>
      </c>
      <c r="D3540" t="inlineStr">
        <is>
          <t>VÄSTMANLANDS LÄN</t>
        </is>
      </c>
      <c r="E3540" t="inlineStr">
        <is>
          <t>VÄSTERÅS</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42257-2023</t>
        </is>
      </c>
      <c r="B3541" s="1" t="n">
        <v>45180</v>
      </c>
      <c r="C3541" s="1" t="n">
        <v>45811</v>
      </c>
      <c r="D3541" t="inlineStr">
        <is>
          <t>VÄSTMANLANDS LÄN</t>
        </is>
      </c>
      <c r="E3541" t="inlineStr">
        <is>
          <t>VÄSTERÅS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42425-2023</t>
        </is>
      </c>
      <c r="B3542" s="1" t="n">
        <v>45180</v>
      </c>
      <c r="C3542" s="1" t="n">
        <v>45811</v>
      </c>
      <c r="D3542" t="inlineStr">
        <is>
          <t>VÄSTMANLANDS LÄN</t>
        </is>
      </c>
      <c r="E3542" t="inlineStr">
        <is>
          <t>SKINNSKATTEBERG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42262-2023</t>
        </is>
      </c>
      <c r="B3543" s="1" t="n">
        <v>45180</v>
      </c>
      <c r="C3543" s="1" t="n">
        <v>45811</v>
      </c>
      <c r="D3543" t="inlineStr">
        <is>
          <t>VÄSTMANLANDS LÄN</t>
        </is>
      </c>
      <c r="E3543" t="inlineStr">
        <is>
          <t>VÄSTERÅS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42976-2023</t>
        </is>
      </c>
      <c r="B3544" s="1" t="n">
        <v>45182</v>
      </c>
      <c r="C3544" s="1" t="n">
        <v>45811</v>
      </c>
      <c r="D3544" t="inlineStr">
        <is>
          <t>VÄSTMANLANDS LÄN</t>
        </is>
      </c>
      <c r="E3544" t="inlineStr">
        <is>
          <t>SKINNSKATTEBERG</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42973-2023</t>
        </is>
      </c>
      <c r="B3545" s="1" t="n">
        <v>45182</v>
      </c>
      <c r="C3545" s="1" t="n">
        <v>45811</v>
      </c>
      <c r="D3545" t="inlineStr">
        <is>
          <t>VÄSTMANLANDS LÄN</t>
        </is>
      </c>
      <c r="E3545" t="inlineStr">
        <is>
          <t>SKINNSKATTEBERG</t>
        </is>
      </c>
      <c r="F3545" t="inlineStr">
        <is>
          <t>Sveaskog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43025-2023</t>
        </is>
      </c>
      <c r="B3546" s="1" t="n">
        <v>45182</v>
      </c>
      <c r="C3546" s="1" t="n">
        <v>45811</v>
      </c>
      <c r="D3546" t="inlineStr">
        <is>
          <t>VÄSTMANLANDS LÄN</t>
        </is>
      </c>
      <c r="E3546" t="inlineStr">
        <is>
          <t>VÄSTERÅS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44247-2023</t>
        </is>
      </c>
      <c r="B3547" s="1" t="n">
        <v>45182</v>
      </c>
      <c r="C3547" s="1" t="n">
        <v>45811</v>
      </c>
      <c r="D3547" t="inlineStr">
        <is>
          <t>VÄSTMANLANDS LÄN</t>
        </is>
      </c>
      <c r="E3547" t="inlineStr">
        <is>
          <t>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43188-2023</t>
        </is>
      </c>
      <c r="B3548" s="1" t="n">
        <v>45183</v>
      </c>
      <c r="C3548" s="1" t="n">
        <v>45811</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43184-2023</t>
        </is>
      </c>
      <c r="B3549" s="1" t="n">
        <v>45183</v>
      </c>
      <c r="C3549" s="1" t="n">
        <v>45811</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43205-2023</t>
        </is>
      </c>
      <c r="B3550" s="1" t="n">
        <v>45183</v>
      </c>
      <c r="C3550" s="1" t="n">
        <v>45811</v>
      </c>
      <c r="D3550" t="inlineStr">
        <is>
          <t>VÄSTMANLANDS LÄN</t>
        </is>
      </c>
      <c r="E3550" t="inlineStr">
        <is>
          <t>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43176-2023</t>
        </is>
      </c>
      <c r="B3551" s="1" t="n">
        <v>45183</v>
      </c>
      <c r="C3551" s="1" t="n">
        <v>45811</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43187-2023</t>
        </is>
      </c>
      <c r="B3552" s="1" t="n">
        <v>45183</v>
      </c>
      <c r="C3552" s="1" t="n">
        <v>45811</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43363-2023</t>
        </is>
      </c>
      <c r="B3553" s="1" t="n">
        <v>45183</v>
      </c>
      <c r="C3553" s="1" t="n">
        <v>45811</v>
      </c>
      <c r="D3553" t="inlineStr">
        <is>
          <t>VÄSTMANLANDS LÄN</t>
        </is>
      </c>
      <c r="E3553" t="inlineStr">
        <is>
          <t>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43332-2023</t>
        </is>
      </c>
      <c r="B3554" s="1" t="n">
        <v>45183</v>
      </c>
      <c r="C3554" s="1" t="n">
        <v>45811</v>
      </c>
      <c r="D3554" t="inlineStr">
        <is>
          <t>VÄSTMANLANDS LÄN</t>
        </is>
      </c>
      <c r="E3554" t="inlineStr">
        <is>
          <t>VÄSTERÅS</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43362-2023</t>
        </is>
      </c>
      <c r="B3555" s="1" t="n">
        <v>45183</v>
      </c>
      <c r="C3555" s="1" t="n">
        <v>45811</v>
      </c>
      <c r="D3555" t="inlineStr">
        <is>
          <t>VÄSTMANLANDS LÄN</t>
        </is>
      </c>
      <c r="E3555" t="inlineStr">
        <is>
          <t>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43564-2023</t>
        </is>
      </c>
      <c r="B3556" s="1" t="n">
        <v>45184</v>
      </c>
      <c r="C3556" s="1" t="n">
        <v>45811</v>
      </c>
      <c r="D3556" t="inlineStr">
        <is>
          <t>VÄSTMANLANDS LÄN</t>
        </is>
      </c>
      <c r="E3556" t="inlineStr">
        <is>
          <t>ARBOGA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44713-2023</t>
        </is>
      </c>
      <c r="B3557" s="1" t="n">
        <v>45184</v>
      </c>
      <c r="C3557" s="1" t="n">
        <v>45811</v>
      </c>
      <c r="D3557" t="inlineStr">
        <is>
          <t>VÄSTMANLANDS LÄN</t>
        </is>
      </c>
      <c r="E3557" t="inlineStr">
        <is>
          <t>SALA</t>
        </is>
      </c>
      <c r="F3557" t="inlineStr">
        <is>
          <t>Kyrkan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43602-2023</t>
        </is>
      </c>
      <c r="B3558" s="1" t="n">
        <v>45184</v>
      </c>
      <c r="C3558" s="1" t="n">
        <v>45811</v>
      </c>
      <c r="D3558" t="inlineStr">
        <is>
          <t>VÄSTMANLANDS LÄN</t>
        </is>
      </c>
      <c r="E3558" t="inlineStr">
        <is>
          <t>ARBOGA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44720-2023</t>
        </is>
      </c>
      <c r="B3559" s="1" t="n">
        <v>45184</v>
      </c>
      <c r="C3559" s="1" t="n">
        <v>45811</v>
      </c>
      <c r="D3559" t="inlineStr">
        <is>
          <t>VÄSTMANLANDS LÄN</t>
        </is>
      </c>
      <c r="E3559" t="inlineStr">
        <is>
          <t>SALA</t>
        </is>
      </c>
      <c r="F3559" t="inlineStr">
        <is>
          <t>Kyrkan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43806-2023</t>
        </is>
      </c>
      <c r="B3560" s="1" t="n">
        <v>45187</v>
      </c>
      <c r="C3560" s="1" t="n">
        <v>45811</v>
      </c>
      <c r="D3560" t="inlineStr">
        <is>
          <t>VÄSTMANLANDS LÄN</t>
        </is>
      </c>
      <c r="E3560" t="inlineStr">
        <is>
          <t>ARBOGA</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43812-2023</t>
        </is>
      </c>
      <c r="B3561" s="1" t="n">
        <v>45187</v>
      </c>
      <c r="C3561" s="1" t="n">
        <v>45811</v>
      </c>
      <c r="D3561" t="inlineStr">
        <is>
          <t>VÄSTMANLANDS LÄN</t>
        </is>
      </c>
      <c r="E3561" t="inlineStr">
        <is>
          <t>ARBOGA</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43813-2023</t>
        </is>
      </c>
      <c r="B3562" s="1" t="n">
        <v>45187</v>
      </c>
      <c r="C3562" s="1" t="n">
        <v>45811</v>
      </c>
      <c r="D3562" t="inlineStr">
        <is>
          <t>VÄSTMANLANDS LÄN</t>
        </is>
      </c>
      <c r="E3562" t="inlineStr">
        <is>
          <t>ARBOGA</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43753-2023</t>
        </is>
      </c>
      <c r="B3563" s="1" t="n">
        <v>45187</v>
      </c>
      <c r="C3563" s="1" t="n">
        <v>45811</v>
      </c>
      <c r="D3563" t="inlineStr">
        <is>
          <t>VÄSTMANLANDS LÄN</t>
        </is>
      </c>
      <c r="E3563" t="inlineStr">
        <is>
          <t>VÄSTERÅS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44297-2023</t>
        </is>
      </c>
      <c r="B3564" s="1" t="n">
        <v>45188</v>
      </c>
      <c r="C3564" s="1" t="n">
        <v>45811</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44586-2023</t>
        </is>
      </c>
      <c r="B3565" s="1" t="n">
        <v>45189</v>
      </c>
      <c r="C3565" s="1" t="n">
        <v>45811</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44604-2023</t>
        </is>
      </c>
      <c r="B3566" s="1" t="n">
        <v>45189</v>
      </c>
      <c r="C3566" s="1" t="n">
        <v>45811</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44621-2023</t>
        </is>
      </c>
      <c r="B3567" s="1" t="n">
        <v>45189</v>
      </c>
      <c r="C3567" s="1" t="n">
        <v>45811</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44616-2023</t>
        </is>
      </c>
      <c r="B3568" s="1" t="n">
        <v>45189</v>
      </c>
      <c r="C3568" s="1" t="n">
        <v>45811</v>
      </c>
      <c r="D3568" t="inlineStr">
        <is>
          <t>VÄSTMANLANDS LÄN</t>
        </is>
      </c>
      <c r="E3568" t="inlineStr">
        <is>
          <t>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44582-2023</t>
        </is>
      </c>
      <c r="B3569" s="1" t="n">
        <v>45189</v>
      </c>
      <c r="C3569" s="1" t="n">
        <v>45811</v>
      </c>
      <c r="D3569" t="inlineStr">
        <is>
          <t>VÄSTMANLANDS LÄN</t>
        </is>
      </c>
      <c r="E3569" t="inlineStr">
        <is>
          <t>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46006-2023</t>
        </is>
      </c>
      <c r="B3570" s="1" t="n">
        <v>45189</v>
      </c>
      <c r="C3570" s="1" t="n">
        <v>45811</v>
      </c>
      <c r="D3570" t="inlineStr">
        <is>
          <t>VÄSTMANLANDS LÄN</t>
        </is>
      </c>
      <c r="E3570" t="inlineStr">
        <is>
          <t>FAGERSTA</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44846-2023</t>
        </is>
      </c>
      <c r="B3571" s="1" t="n">
        <v>45190</v>
      </c>
      <c r="C3571" s="1" t="n">
        <v>45811</v>
      </c>
      <c r="D3571" t="inlineStr">
        <is>
          <t>VÄSTMANLANDS LÄN</t>
        </is>
      </c>
      <c r="E3571" t="inlineStr">
        <is>
          <t>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44857-2023</t>
        </is>
      </c>
      <c r="B3572" s="1" t="n">
        <v>45190</v>
      </c>
      <c r="C3572" s="1" t="n">
        <v>45811</v>
      </c>
      <c r="D3572" t="inlineStr">
        <is>
          <t>VÄSTMANLANDS LÄN</t>
        </is>
      </c>
      <c r="E3572" t="inlineStr">
        <is>
          <t>SALA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44906-2023</t>
        </is>
      </c>
      <c r="B3573" s="1" t="n">
        <v>45190</v>
      </c>
      <c r="C3573" s="1" t="n">
        <v>45811</v>
      </c>
      <c r="D3573" t="inlineStr">
        <is>
          <t>VÄSTMANLANDS LÄN</t>
        </is>
      </c>
      <c r="E3573" t="inlineStr">
        <is>
          <t>SKINNSKATTEBERG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44814-2023</t>
        </is>
      </c>
      <c r="B3574" s="1" t="n">
        <v>45190</v>
      </c>
      <c r="C3574" s="1" t="n">
        <v>45811</v>
      </c>
      <c r="D3574" t="inlineStr">
        <is>
          <t>VÄSTMANLANDS LÄN</t>
        </is>
      </c>
      <c r="E3574" t="inlineStr">
        <is>
          <t>KÖPING</t>
        </is>
      </c>
      <c r="G3574" t="n">
        <v>24.2</v>
      </c>
      <c r="H3574" t="n">
        <v>0</v>
      </c>
      <c r="I3574" t="n">
        <v>0</v>
      </c>
      <c r="J3574" t="n">
        <v>0</v>
      </c>
      <c r="K3574" t="n">
        <v>0</v>
      </c>
      <c r="L3574" t="n">
        <v>0</v>
      </c>
      <c r="M3574" t="n">
        <v>0</v>
      </c>
      <c r="N3574" t="n">
        <v>0</v>
      </c>
      <c r="O3574" t="n">
        <v>0</v>
      </c>
      <c r="P3574" t="n">
        <v>0</v>
      </c>
      <c r="Q3574" t="n">
        <v>0</v>
      </c>
      <c r="R3574" s="2" t="inlineStr"/>
    </row>
    <row r="3575" ht="15" customHeight="1">
      <c r="A3575" t="inlineStr">
        <is>
          <t>A 44914-2023</t>
        </is>
      </c>
      <c r="B3575" s="1" t="n">
        <v>45190</v>
      </c>
      <c r="C3575" s="1" t="n">
        <v>45811</v>
      </c>
      <c r="D3575" t="inlineStr">
        <is>
          <t>VÄSTMANLANDS LÄN</t>
        </is>
      </c>
      <c r="E3575" t="inlineStr">
        <is>
          <t>SKINNSKATTEBERG</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44903-2023</t>
        </is>
      </c>
      <c r="B3576" s="1" t="n">
        <v>45190</v>
      </c>
      <c r="C3576" s="1" t="n">
        <v>45811</v>
      </c>
      <c r="D3576" t="inlineStr">
        <is>
          <t>VÄSTMANLANDS LÄN</t>
        </is>
      </c>
      <c r="E3576" t="inlineStr">
        <is>
          <t>SKINNSKATTEBERG</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45051-2023</t>
        </is>
      </c>
      <c r="B3577" s="1" t="n">
        <v>45191</v>
      </c>
      <c r="C3577" s="1" t="n">
        <v>45811</v>
      </c>
      <c r="D3577" t="inlineStr">
        <is>
          <t>VÄSTMANLANDS LÄN</t>
        </is>
      </c>
      <c r="E3577" t="inlineStr">
        <is>
          <t>NORBERG</t>
        </is>
      </c>
      <c r="F3577" t="inlineStr">
        <is>
          <t>Bergvik skog väst AB</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45065-2023</t>
        </is>
      </c>
      <c r="B3578" s="1" t="n">
        <v>45191</v>
      </c>
      <c r="C3578" s="1" t="n">
        <v>45811</v>
      </c>
      <c r="D3578" t="inlineStr">
        <is>
          <t>VÄSTMANLANDS LÄN</t>
        </is>
      </c>
      <c r="E3578" t="inlineStr">
        <is>
          <t>NORBERG</t>
        </is>
      </c>
      <c r="F3578" t="inlineStr">
        <is>
          <t>Bergvik skog väst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45240-2023</t>
        </is>
      </c>
      <c r="B3579" s="1" t="n">
        <v>45191</v>
      </c>
      <c r="C3579" s="1" t="n">
        <v>45811</v>
      </c>
      <c r="D3579" t="inlineStr">
        <is>
          <t>VÄSTMANLANDS LÄN</t>
        </is>
      </c>
      <c r="E3579" t="inlineStr">
        <is>
          <t>HALLSTAHAMMAR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45308-2023</t>
        </is>
      </c>
      <c r="B3580" s="1" t="n">
        <v>45191</v>
      </c>
      <c r="C3580" s="1" t="n">
        <v>45811</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45066-2023</t>
        </is>
      </c>
      <c r="B3581" s="1" t="n">
        <v>45191</v>
      </c>
      <c r="C3581" s="1" t="n">
        <v>45811</v>
      </c>
      <c r="D3581" t="inlineStr">
        <is>
          <t>VÄSTMANLANDS LÄN</t>
        </is>
      </c>
      <c r="E3581" t="inlineStr">
        <is>
          <t>NORBERG</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45294-2023</t>
        </is>
      </c>
      <c r="B3582" s="1" t="n">
        <v>45191</v>
      </c>
      <c r="C3582" s="1" t="n">
        <v>45811</v>
      </c>
      <c r="D3582" t="inlineStr">
        <is>
          <t>VÄSTMANLANDS LÄN</t>
        </is>
      </c>
      <c r="E3582" t="inlineStr">
        <is>
          <t>VÄSTERÅS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46352-2023</t>
        </is>
      </c>
      <c r="B3583" s="1" t="n">
        <v>45192</v>
      </c>
      <c r="C3583" s="1" t="n">
        <v>45811</v>
      </c>
      <c r="D3583" t="inlineStr">
        <is>
          <t>VÄSTMANLANDS LÄN</t>
        </is>
      </c>
      <c r="E3583" t="inlineStr">
        <is>
          <t>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46355-2023</t>
        </is>
      </c>
      <c r="B3584" s="1" t="n">
        <v>45192</v>
      </c>
      <c r="C3584" s="1" t="n">
        <v>45811</v>
      </c>
      <c r="D3584" t="inlineStr">
        <is>
          <t>VÄSTMANLANDS LÄN</t>
        </is>
      </c>
      <c r="E3584" t="inlineStr">
        <is>
          <t>SALA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46350-2023</t>
        </is>
      </c>
      <c r="B3585" s="1" t="n">
        <v>45192</v>
      </c>
      <c r="C3585" s="1" t="n">
        <v>45811</v>
      </c>
      <c r="D3585" t="inlineStr">
        <is>
          <t>VÄSTMANLANDS LÄN</t>
        </is>
      </c>
      <c r="E3585" t="inlineStr">
        <is>
          <t>SALA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45376-2023</t>
        </is>
      </c>
      <c r="B3586" s="1" t="n">
        <v>45193</v>
      </c>
      <c r="C3586" s="1" t="n">
        <v>45811</v>
      </c>
      <c r="D3586" t="inlineStr">
        <is>
          <t>VÄSTMANLANDS LÄN</t>
        </is>
      </c>
      <c r="E3586" t="inlineStr">
        <is>
          <t>SKINNSKATTEBERG</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45390-2023</t>
        </is>
      </c>
      <c r="B3587" s="1" t="n">
        <v>45194</v>
      </c>
      <c r="C3587" s="1" t="n">
        <v>45811</v>
      </c>
      <c r="D3587" t="inlineStr">
        <is>
          <t>VÄSTMANLANDS LÄN</t>
        </is>
      </c>
      <c r="E3587" t="inlineStr">
        <is>
          <t>FAGERSTA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45375-2023</t>
        </is>
      </c>
      <c r="B3588" s="1" t="n">
        <v>45193</v>
      </c>
      <c r="C3588" s="1" t="n">
        <v>45811</v>
      </c>
      <c r="D3588" t="inlineStr">
        <is>
          <t>VÄSTMANLANDS LÄN</t>
        </is>
      </c>
      <c r="E3588" t="inlineStr">
        <is>
          <t>SKINNSKATTEBERG</t>
        </is>
      </c>
      <c r="F3588" t="inlineStr">
        <is>
          <t>Sveaskog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45511-2023</t>
        </is>
      </c>
      <c r="B3589" s="1" t="n">
        <v>45194</v>
      </c>
      <c r="C3589" s="1" t="n">
        <v>45811</v>
      </c>
      <c r="D3589" t="inlineStr">
        <is>
          <t>VÄSTMANLANDS LÄN</t>
        </is>
      </c>
      <c r="E3589" t="inlineStr">
        <is>
          <t>SKINNSKATTEBERG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45492-2023</t>
        </is>
      </c>
      <c r="B3590" s="1" t="n">
        <v>45194</v>
      </c>
      <c r="C3590" s="1" t="n">
        <v>45811</v>
      </c>
      <c r="D3590" t="inlineStr">
        <is>
          <t>VÄSTMANLANDS LÄN</t>
        </is>
      </c>
      <c r="E3590" t="inlineStr">
        <is>
          <t>ARBOGA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45531-2023</t>
        </is>
      </c>
      <c r="B3591" s="1" t="n">
        <v>45194</v>
      </c>
      <c r="C3591" s="1" t="n">
        <v>45811</v>
      </c>
      <c r="D3591" t="inlineStr">
        <is>
          <t>VÄSTMANLANDS LÄN</t>
        </is>
      </c>
      <c r="E3591" t="inlineStr">
        <is>
          <t>SALA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45602-2023</t>
        </is>
      </c>
      <c r="B3592" s="1" t="n">
        <v>45194</v>
      </c>
      <c r="C3592" s="1" t="n">
        <v>45811</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46599-2023</t>
        </is>
      </c>
      <c r="B3593" s="1" t="n">
        <v>45194</v>
      </c>
      <c r="C3593" s="1" t="n">
        <v>45811</v>
      </c>
      <c r="D3593" t="inlineStr">
        <is>
          <t>VÄSTMANLANDS LÄN</t>
        </is>
      </c>
      <c r="E3593" t="inlineStr">
        <is>
          <t>KÖPING</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45790-2023</t>
        </is>
      </c>
      <c r="B3594" s="1" t="n">
        <v>45195</v>
      </c>
      <c r="C3594" s="1" t="n">
        <v>45811</v>
      </c>
      <c r="D3594" t="inlineStr">
        <is>
          <t>VÄSTMANLANDS LÄN</t>
        </is>
      </c>
      <c r="E3594" t="inlineStr">
        <is>
          <t>SALA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45901-2023</t>
        </is>
      </c>
      <c r="B3595" s="1" t="n">
        <v>45195</v>
      </c>
      <c r="C3595" s="1" t="n">
        <v>45811</v>
      </c>
      <c r="D3595" t="inlineStr">
        <is>
          <t>VÄSTMANLANDS LÄN</t>
        </is>
      </c>
      <c r="E3595" t="inlineStr">
        <is>
          <t>KÖPING</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45905-2023</t>
        </is>
      </c>
      <c r="B3596" s="1" t="n">
        <v>45195</v>
      </c>
      <c r="C3596" s="1" t="n">
        <v>45811</v>
      </c>
      <c r="D3596" t="inlineStr">
        <is>
          <t>VÄSTMANLANDS LÄN</t>
        </is>
      </c>
      <c r="E3596" t="inlineStr">
        <is>
          <t>KÖPING</t>
        </is>
      </c>
      <c r="F3596" t="inlineStr">
        <is>
          <t>Sveaskog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45902-2023</t>
        </is>
      </c>
      <c r="B3597" s="1" t="n">
        <v>45195</v>
      </c>
      <c r="C3597" s="1" t="n">
        <v>45811</v>
      </c>
      <c r="D3597" t="inlineStr">
        <is>
          <t>VÄSTMANLANDS LÄN</t>
        </is>
      </c>
      <c r="E3597" t="inlineStr">
        <is>
          <t>KÖPING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45867-2023</t>
        </is>
      </c>
      <c r="B3598" s="1" t="n">
        <v>45195</v>
      </c>
      <c r="C3598" s="1" t="n">
        <v>45811</v>
      </c>
      <c r="D3598" t="inlineStr">
        <is>
          <t>VÄSTMANLANDS LÄN</t>
        </is>
      </c>
      <c r="E3598" t="inlineStr">
        <is>
          <t>SKINNSKATTEBERG</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46041-2023</t>
        </is>
      </c>
      <c r="B3599" s="1" t="n">
        <v>45196</v>
      </c>
      <c r="C3599" s="1" t="n">
        <v>45811</v>
      </c>
      <c r="D3599" t="inlineStr">
        <is>
          <t>VÄSTMANLANDS LÄN</t>
        </is>
      </c>
      <c r="E3599" t="inlineStr">
        <is>
          <t>NORBERG</t>
        </is>
      </c>
      <c r="F3599" t="inlineStr">
        <is>
          <t>Bergvik skog väst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46036-2023</t>
        </is>
      </c>
      <c r="B3600" s="1" t="n">
        <v>45196</v>
      </c>
      <c r="C3600" s="1" t="n">
        <v>45811</v>
      </c>
      <c r="D3600" t="inlineStr">
        <is>
          <t>VÄSTMANLANDS LÄN</t>
        </is>
      </c>
      <c r="E3600" t="inlineStr">
        <is>
          <t>NORBERG</t>
        </is>
      </c>
      <c r="F3600" t="inlineStr">
        <is>
          <t>Bergvik skog väst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46045-2023</t>
        </is>
      </c>
      <c r="B3601" s="1" t="n">
        <v>45196</v>
      </c>
      <c r="C3601" s="1" t="n">
        <v>45811</v>
      </c>
      <c r="D3601" t="inlineStr">
        <is>
          <t>VÄSTMANLANDS LÄN</t>
        </is>
      </c>
      <c r="E3601" t="inlineStr">
        <is>
          <t>NORBERG</t>
        </is>
      </c>
      <c r="F3601" t="inlineStr">
        <is>
          <t>Bergvik skog väst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46189-2023</t>
        </is>
      </c>
      <c r="B3602" s="1" t="n">
        <v>45196</v>
      </c>
      <c r="C3602" s="1" t="n">
        <v>45811</v>
      </c>
      <c r="D3602" t="inlineStr">
        <is>
          <t>VÄSTMANLANDS LÄN</t>
        </is>
      </c>
      <c r="E3602" t="inlineStr">
        <is>
          <t>VÄSTERÅS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46226-2023</t>
        </is>
      </c>
      <c r="B3603" s="1" t="n">
        <v>45196</v>
      </c>
      <c r="C3603" s="1" t="n">
        <v>45811</v>
      </c>
      <c r="D3603" t="inlineStr">
        <is>
          <t>VÄSTMANLANDS LÄN</t>
        </is>
      </c>
      <c r="E3603" t="inlineStr">
        <is>
          <t>SALA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46664-2023</t>
        </is>
      </c>
      <c r="B3604" s="1" t="n">
        <v>45198</v>
      </c>
      <c r="C3604" s="1" t="n">
        <v>45811</v>
      </c>
      <c r="D3604" t="inlineStr">
        <is>
          <t>VÄSTMANLANDS LÄN</t>
        </is>
      </c>
      <c r="E3604" t="inlineStr">
        <is>
          <t>NORBERG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46674-2023</t>
        </is>
      </c>
      <c r="B3605" s="1" t="n">
        <v>45198</v>
      </c>
      <c r="C3605" s="1" t="n">
        <v>45811</v>
      </c>
      <c r="D3605" t="inlineStr">
        <is>
          <t>VÄSTMANLANDS LÄN</t>
        </is>
      </c>
      <c r="E3605" t="inlineStr">
        <is>
          <t>ARBOGA</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46760-2023</t>
        </is>
      </c>
      <c r="B3606" s="1" t="n">
        <v>45198</v>
      </c>
      <c r="C3606" s="1" t="n">
        <v>45811</v>
      </c>
      <c r="D3606" t="inlineStr">
        <is>
          <t>VÄSTMANLANDS LÄN</t>
        </is>
      </c>
      <c r="E3606" t="inlineStr">
        <is>
          <t>SKINNSKATTEBERG</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47693-2023</t>
        </is>
      </c>
      <c r="B3607" s="1" t="n">
        <v>45198</v>
      </c>
      <c r="C3607" s="1" t="n">
        <v>45811</v>
      </c>
      <c r="D3607" t="inlineStr">
        <is>
          <t>VÄSTMANLANDS LÄN</t>
        </is>
      </c>
      <c r="E3607" t="inlineStr">
        <is>
          <t>SKINNSKATTEBERG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47689-2023</t>
        </is>
      </c>
      <c r="B3608" s="1" t="n">
        <v>45198</v>
      </c>
      <c r="C3608" s="1" t="n">
        <v>45811</v>
      </c>
      <c r="D3608" t="inlineStr">
        <is>
          <t>VÄSTMANLANDS LÄN</t>
        </is>
      </c>
      <c r="E3608" t="inlineStr">
        <is>
          <t>SKINNSKATTEBERG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47681-2023</t>
        </is>
      </c>
      <c r="B3609" s="1" t="n">
        <v>45198</v>
      </c>
      <c r="C3609" s="1" t="n">
        <v>45811</v>
      </c>
      <c r="D3609" t="inlineStr">
        <is>
          <t>VÄSTMANLANDS LÄN</t>
        </is>
      </c>
      <c r="E3609" t="inlineStr">
        <is>
          <t>SKINNSKATTEBERG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46864-2023</t>
        </is>
      </c>
      <c r="B3610" s="1" t="n">
        <v>45200</v>
      </c>
      <c r="C3610" s="1" t="n">
        <v>45811</v>
      </c>
      <c r="D3610" t="inlineStr">
        <is>
          <t>VÄSTMANLANDS LÄN</t>
        </is>
      </c>
      <c r="E3610" t="inlineStr">
        <is>
          <t>NORBERG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46865-2023</t>
        </is>
      </c>
      <c r="B3611" s="1" t="n">
        <v>45200</v>
      </c>
      <c r="C3611" s="1" t="n">
        <v>45811</v>
      </c>
      <c r="D3611" t="inlineStr">
        <is>
          <t>VÄSTMANLANDS LÄN</t>
        </is>
      </c>
      <c r="E3611" t="inlineStr">
        <is>
          <t>NORBERG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47282-2023</t>
        </is>
      </c>
      <c r="B3612" s="1" t="n">
        <v>45202</v>
      </c>
      <c r="C3612" s="1" t="n">
        <v>45811</v>
      </c>
      <c r="D3612" t="inlineStr">
        <is>
          <t>VÄSTMANLANDS LÄN</t>
        </is>
      </c>
      <c r="E3612" t="inlineStr">
        <is>
          <t>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47501-2023</t>
        </is>
      </c>
      <c r="B3613" s="1" t="n">
        <v>45202</v>
      </c>
      <c r="C3613" s="1" t="n">
        <v>45811</v>
      </c>
      <c r="D3613" t="inlineStr">
        <is>
          <t>VÄSTMANLANDS LÄN</t>
        </is>
      </c>
      <c r="E3613" t="inlineStr">
        <is>
          <t>SALA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48906-2023</t>
        </is>
      </c>
      <c r="B3614" s="1" t="n">
        <v>45203</v>
      </c>
      <c r="C3614" s="1" t="n">
        <v>45811</v>
      </c>
      <c r="D3614" t="inlineStr">
        <is>
          <t>VÄSTMANLANDS LÄN</t>
        </is>
      </c>
      <c r="E3614" t="inlineStr">
        <is>
          <t>SURAHAMMAR</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c r="U3614">
        <f>HYPERLINK("https://klasma.github.io/Logging_1907/knärot/A 48906-2023 karta knärot.png", "A 48906-2023")</f>
        <v/>
      </c>
      <c r="V3614">
        <f>HYPERLINK("https://klasma.github.io/Logging_1907/klagomål/A 48906-2023 FSC-klagomål.docx", "A 48906-2023")</f>
        <v/>
      </c>
      <c r="W3614">
        <f>HYPERLINK("https://klasma.github.io/Logging_1907/klagomålsmail/A 48906-2023 FSC-klagomål mail.docx", "A 48906-2023")</f>
        <v/>
      </c>
      <c r="X3614">
        <f>HYPERLINK("https://klasma.github.io/Logging_1907/tillsyn/A 48906-2023 tillsynsbegäran.docx", "A 48906-2023")</f>
        <v/>
      </c>
      <c r="Y3614">
        <f>HYPERLINK("https://klasma.github.io/Logging_1907/tillsynsmail/A 48906-2023 tillsynsbegäran mail.docx", "A 48906-2023")</f>
        <v/>
      </c>
    </row>
    <row r="3615" ht="15" customHeight="1">
      <c r="A3615" t="inlineStr">
        <is>
          <t>A 48037-2023</t>
        </is>
      </c>
      <c r="B3615" s="1" t="n">
        <v>45204</v>
      </c>
      <c r="C3615" s="1" t="n">
        <v>45811</v>
      </c>
      <c r="D3615" t="inlineStr">
        <is>
          <t>VÄSTMANLANDS LÄN</t>
        </is>
      </c>
      <c r="E3615" t="inlineStr">
        <is>
          <t>SKINNSKATTEBERG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48205-2023</t>
        </is>
      </c>
      <c r="B3616" s="1" t="n">
        <v>45205</v>
      </c>
      <c r="C3616" s="1" t="n">
        <v>45811</v>
      </c>
      <c r="D3616" t="inlineStr">
        <is>
          <t>VÄSTMANLANDS LÄN</t>
        </is>
      </c>
      <c r="E3616" t="inlineStr">
        <is>
          <t>SURAHAMMAR</t>
        </is>
      </c>
      <c r="F3616" t="inlineStr">
        <is>
          <t>Allmännings- och besparingsskogar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48245-2023</t>
        </is>
      </c>
      <c r="B3617" s="1" t="n">
        <v>45205</v>
      </c>
      <c r="C3617" s="1" t="n">
        <v>45811</v>
      </c>
      <c r="D3617" t="inlineStr">
        <is>
          <t>VÄSTMANLANDS LÄN</t>
        </is>
      </c>
      <c r="E3617" t="inlineStr">
        <is>
          <t>HALLSTAHAMMAR</t>
        </is>
      </c>
      <c r="F3617" t="inlineStr">
        <is>
          <t>Allmännings- och besparingsskogar</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48367-2023</t>
        </is>
      </c>
      <c r="B3618" s="1" t="n">
        <v>45205</v>
      </c>
      <c r="C3618" s="1" t="n">
        <v>45811</v>
      </c>
      <c r="D3618" t="inlineStr">
        <is>
          <t>VÄSTMANLANDS LÄN</t>
        </is>
      </c>
      <c r="E3618" t="inlineStr">
        <is>
          <t>VÄSTERÅS</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48399-2023</t>
        </is>
      </c>
      <c r="B3619" s="1" t="n">
        <v>45205</v>
      </c>
      <c r="C3619" s="1" t="n">
        <v>45811</v>
      </c>
      <c r="D3619" t="inlineStr">
        <is>
          <t>VÄSTMANLANDS LÄN</t>
        </is>
      </c>
      <c r="E3619" t="inlineStr">
        <is>
          <t>NORBERG</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48398-2023</t>
        </is>
      </c>
      <c r="B3620" s="1" t="n">
        <v>45205</v>
      </c>
      <c r="C3620" s="1" t="n">
        <v>45811</v>
      </c>
      <c r="D3620" t="inlineStr">
        <is>
          <t>VÄSTMANLANDS LÄN</t>
        </is>
      </c>
      <c r="E3620" t="inlineStr">
        <is>
          <t>NORBERG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48177-2023</t>
        </is>
      </c>
      <c r="B3621" s="1" t="n">
        <v>45205</v>
      </c>
      <c r="C3621" s="1" t="n">
        <v>45811</v>
      </c>
      <c r="D3621" t="inlineStr">
        <is>
          <t>VÄSTMANLANDS LÄN</t>
        </is>
      </c>
      <c r="E3621" t="inlineStr">
        <is>
          <t>NORBERG</t>
        </is>
      </c>
      <c r="F3621" t="inlineStr">
        <is>
          <t>Övriga Aktiebolag</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48325-2023</t>
        </is>
      </c>
      <c r="B3622" s="1" t="n">
        <v>45205</v>
      </c>
      <c r="C3622" s="1" t="n">
        <v>45811</v>
      </c>
      <c r="D3622" t="inlineStr">
        <is>
          <t>VÄSTMANLANDS LÄN</t>
        </is>
      </c>
      <c r="E3622" t="inlineStr">
        <is>
          <t>VÄSTERÅS</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48396-2023</t>
        </is>
      </c>
      <c r="B3623" s="1" t="n">
        <v>45205</v>
      </c>
      <c r="C3623" s="1" t="n">
        <v>45811</v>
      </c>
      <c r="D3623" t="inlineStr">
        <is>
          <t>VÄSTMANLANDS LÄN</t>
        </is>
      </c>
      <c r="E3623" t="inlineStr">
        <is>
          <t>NORBERG</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48737-2023</t>
        </is>
      </c>
      <c r="B3624" s="1" t="n">
        <v>45208</v>
      </c>
      <c r="C3624" s="1" t="n">
        <v>45811</v>
      </c>
      <c r="D3624" t="inlineStr">
        <is>
          <t>VÄSTMANLANDS LÄN</t>
        </is>
      </c>
      <c r="E3624" t="inlineStr">
        <is>
          <t>FAGERSTA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48807-2023</t>
        </is>
      </c>
      <c r="B3625" s="1" t="n">
        <v>45209</v>
      </c>
      <c r="C3625" s="1" t="n">
        <v>45811</v>
      </c>
      <c r="D3625" t="inlineStr">
        <is>
          <t>VÄSTMANLANDS LÄN</t>
        </is>
      </c>
      <c r="E3625" t="inlineStr">
        <is>
          <t>KÖPING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48809-2023</t>
        </is>
      </c>
      <c r="B3626" s="1" t="n">
        <v>45209</v>
      </c>
      <c r="C3626" s="1" t="n">
        <v>45811</v>
      </c>
      <c r="D3626" t="inlineStr">
        <is>
          <t>VÄSTMANLANDS LÄN</t>
        </is>
      </c>
      <c r="E3626" t="inlineStr">
        <is>
          <t>KÖPING</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48810-2023</t>
        </is>
      </c>
      <c r="B3627" s="1" t="n">
        <v>45209</v>
      </c>
      <c r="C3627" s="1" t="n">
        <v>45811</v>
      </c>
      <c r="D3627" t="inlineStr">
        <is>
          <t>VÄSTMANLANDS LÄN</t>
        </is>
      </c>
      <c r="E3627" t="inlineStr">
        <is>
          <t>KÖPING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49005-2023</t>
        </is>
      </c>
      <c r="B3628" s="1" t="n">
        <v>45209</v>
      </c>
      <c r="C3628" s="1" t="n">
        <v>45811</v>
      </c>
      <c r="D3628" t="inlineStr">
        <is>
          <t>VÄSTMANLANDS LÄN</t>
        </is>
      </c>
      <c r="E3628" t="inlineStr">
        <is>
          <t>ARBOGA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49110-2023</t>
        </is>
      </c>
      <c r="B3629" s="1" t="n">
        <v>45210</v>
      </c>
      <c r="C3629" s="1" t="n">
        <v>45811</v>
      </c>
      <c r="D3629" t="inlineStr">
        <is>
          <t>VÄSTMANLANDS LÄN</t>
        </is>
      </c>
      <c r="E3629" t="inlineStr">
        <is>
          <t>NORBERG</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49101-2023</t>
        </is>
      </c>
      <c r="B3630" s="1" t="n">
        <v>45210</v>
      </c>
      <c r="C3630" s="1" t="n">
        <v>45811</v>
      </c>
      <c r="D3630" t="inlineStr">
        <is>
          <t>VÄSTMANLANDS LÄN</t>
        </is>
      </c>
      <c r="E3630" t="inlineStr">
        <is>
          <t>NORBERG</t>
        </is>
      </c>
      <c r="F3630" t="inlineStr">
        <is>
          <t>Övriga Aktiebolag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50876-2023</t>
        </is>
      </c>
      <c r="B3631" s="1" t="n">
        <v>45211</v>
      </c>
      <c r="C3631" s="1" t="n">
        <v>45811</v>
      </c>
      <c r="D3631" t="inlineStr">
        <is>
          <t>VÄSTMANLANDS LÄN</t>
        </is>
      </c>
      <c r="E3631" t="inlineStr">
        <is>
          <t>SALA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49822-2023</t>
        </is>
      </c>
      <c r="B3632" s="1" t="n">
        <v>45212</v>
      </c>
      <c r="C3632" s="1" t="n">
        <v>45811</v>
      </c>
      <c r="D3632" t="inlineStr">
        <is>
          <t>VÄSTMANLANDS LÄN</t>
        </is>
      </c>
      <c r="E3632" t="inlineStr">
        <is>
          <t>KÖPING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49826-2023</t>
        </is>
      </c>
      <c r="B3633" s="1" t="n">
        <v>45212</v>
      </c>
      <c r="C3633" s="1" t="n">
        <v>45811</v>
      </c>
      <c r="D3633" t="inlineStr">
        <is>
          <t>VÄSTMANLANDS LÄN</t>
        </is>
      </c>
      <c r="E3633" t="inlineStr">
        <is>
          <t>KÖPING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49828-2023</t>
        </is>
      </c>
      <c r="B3634" s="1" t="n">
        <v>45212</v>
      </c>
      <c r="C3634" s="1" t="n">
        <v>45811</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49827-2023</t>
        </is>
      </c>
      <c r="B3635" s="1" t="n">
        <v>45212</v>
      </c>
      <c r="C3635" s="1" t="n">
        <v>45811</v>
      </c>
      <c r="D3635" t="inlineStr">
        <is>
          <t>VÄSTMANLANDS LÄN</t>
        </is>
      </c>
      <c r="E3635" t="inlineStr">
        <is>
          <t>KÖPING</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49933-2023</t>
        </is>
      </c>
      <c r="B3636" s="1" t="n">
        <v>45215</v>
      </c>
      <c r="C3636" s="1" t="n">
        <v>45811</v>
      </c>
      <c r="D3636" t="inlineStr">
        <is>
          <t>VÄSTMANLANDS LÄN</t>
        </is>
      </c>
      <c r="E3636" t="inlineStr">
        <is>
          <t>NORBERG</t>
        </is>
      </c>
      <c r="F3636" t="inlineStr">
        <is>
          <t>Bergvik skog väst AB</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50198-2023</t>
        </is>
      </c>
      <c r="B3637" s="1" t="n">
        <v>45215</v>
      </c>
      <c r="C3637" s="1" t="n">
        <v>45811</v>
      </c>
      <c r="D3637" t="inlineStr">
        <is>
          <t>VÄSTMANLANDS LÄN</t>
        </is>
      </c>
      <c r="E3637" t="inlineStr">
        <is>
          <t>NORBERG</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50422-2023</t>
        </is>
      </c>
      <c r="B3638" s="1" t="n">
        <v>45216</v>
      </c>
      <c r="C3638" s="1" t="n">
        <v>45811</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50241-2023</t>
        </is>
      </c>
      <c r="B3639" s="1" t="n">
        <v>45216</v>
      </c>
      <c r="C3639" s="1" t="n">
        <v>45811</v>
      </c>
      <c r="D3639" t="inlineStr">
        <is>
          <t>VÄSTMANLANDS LÄN</t>
        </is>
      </c>
      <c r="E3639" t="inlineStr">
        <is>
          <t>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50457-2023</t>
        </is>
      </c>
      <c r="B3640" s="1" t="n">
        <v>45216</v>
      </c>
      <c r="C3640" s="1" t="n">
        <v>45811</v>
      </c>
      <c r="D3640" t="inlineStr">
        <is>
          <t>VÄSTMANLANDS LÄN</t>
        </is>
      </c>
      <c r="E3640" t="inlineStr">
        <is>
          <t>ARBOGA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50409-2023</t>
        </is>
      </c>
      <c r="B3641" s="1" t="n">
        <v>45216</v>
      </c>
      <c r="C3641" s="1" t="n">
        <v>45811</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50415-2023</t>
        </is>
      </c>
      <c r="B3642" s="1" t="n">
        <v>45216</v>
      </c>
      <c r="C3642" s="1" t="n">
        <v>45811</v>
      </c>
      <c r="D3642" t="inlineStr">
        <is>
          <t>VÄSTMANLANDS LÄN</t>
        </is>
      </c>
      <c r="E3642" t="inlineStr">
        <is>
          <t>SKINNSKATTEBERG</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50407-2023</t>
        </is>
      </c>
      <c r="B3643" s="1" t="n">
        <v>45216</v>
      </c>
      <c r="C3643" s="1" t="n">
        <v>45811</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50452-2023</t>
        </is>
      </c>
      <c r="B3644" s="1" t="n">
        <v>45216</v>
      </c>
      <c r="C3644" s="1" t="n">
        <v>45811</v>
      </c>
      <c r="D3644" t="inlineStr">
        <is>
          <t>VÄSTMANLANDS LÄN</t>
        </is>
      </c>
      <c r="E3644" t="inlineStr">
        <is>
          <t>NORBERG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50416-2023</t>
        </is>
      </c>
      <c r="B3645" s="1" t="n">
        <v>45216</v>
      </c>
      <c r="C3645" s="1" t="n">
        <v>45811</v>
      </c>
      <c r="D3645" t="inlineStr">
        <is>
          <t>VÄSTMANLANDS LÄN</t>
        </is>
      </c>
      <c r="E3645" t="inlineStr">
        <is>
          <t>SKINNSKATTEBERG</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50408-2023</t>
        </is>
      </c>
      <c r="B3646" s="1" t="n">
        <v>45216</v>
      </c>
      <c r="C3646" s="1" t="n">
        <v>45811</v>
      </c>
      <c r="D3646" t="inlineStr">
        <is>
          <t>VÄSTMANLANDS LÄN</t>
        </is>
      </c>
      <c r="E3646" t="inlineStr">
        <is>
          <t>SKINNSKATTEBERG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50793-2023</t>
        </is>
      </c>
      <c r="B3647" s="1" t="n">
        <v>45217</v>
      </c>
      <c r="C3647" s="1" t="n">
        <v>45811</v>
      </c>
      <c r="D3647" t="inlineStr">
        <is>
          <t>VÄSTMANLANDS LÄN</t>
        </is>
      </c>
      <c r="E3647" t="inlineStr">
        <is>
          <t>VÄSTERÅS</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50641-2023</t>
        </is>
      </c>
      <c r="B3648" s="1" t="n">
        <v>45217</v>
      </c>
      <c r="C3648" s="1" t="n">
        <v>45811</v>
      </c>
      <c r="D3648" t="inlineStr">
        <is>
          <t>VÄSTMANLANDS LÄN</t>
        </is>
      </c>
      <c r="E3648" t="inlineStr">
        <is>
          <t>SKINNSKATTEBERG</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50948-2023</t>
        </is>
      </c>
      <c r="B3649" s="1" t="n">
        <v>45218</v>
      </c>
      <c r="C3649" s="1" t="n">
        <v>45811</v>
      </c>
      <c r="D3649" t="inlineStr">
        <is>
          <t>VÄSTMANLANDS LÄN</t>
        </is>
      </c>
      <c r="E3649" t="inlineStr">
        <is>
          <t>VÄSTERÅS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51176-2023</t>
        </is>
      </c>
      <c r="B3650" s="1" t="n">
        <v>45219</v>
      </c>
      <c r="C3650" s="1" t="n">
        <v>45811</v>
      </c>
      <c r="D3650" t="inlineStr">
        <is>
          <t>VÄSTMANLANDS LÄN</t>
        </is>
      </c>
      <c r="E3650" t="inlineStr">
        <is>
          <t>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51219-2023</t>
        </is>
      </c>
      <c r="B3651" s="1" t="n">
        <v>45219</v>
      </c>
      <c r="C3651" s="1" t="n">
        <v>45811</v>
      </c>
      <c r="D3651" t="inlineStr">
        <is>
          <t>VÄSTMANLANDS LÄN</t>
        </is>
      </c>
      <c r="E3651" t="inlineStr">
        <is>
          <t>VÄSTERÅS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51223-2023</t>
        </is>
      </c>
      <c r="B3652" s="1" t="n">
        <v>45219</v>
      </c>
      <c r="C3652" s="1" t="n">
        <v>45811</v>
      </c>
      <c r="D3652" t="inlineStr">
        <is>
          <t>VÄSTMANLANDS LÄN</t>
        </is>
      </c>
      <c r="E3652" t="inlineStr">
        <is>
          <t>VÄSTERÅS</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51360-2023</t>
        </is>
      </c>
      <c r="B3653" s="1" t="n">
        <v>45219</v>
      </c>
      <c r="C3653" s="1" t="n">
        <v>45811</v>
      </c>
      <c r="D3653" t="inlineStr">
        <is>
          <t>VÄSTMANLANDS LÄN</t>
        </is>
      </c>
      <c r="E3653" t="inlineStr">
        <is>
          <t>KÖPING</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51363-2023</t>
        </is>
      </c>
      <c r="B3654" s="1" t="n">
        <v>45219</v>
      </c>
      <c r="C3654" s="1" t="n">
        <v>45811</v>
      </c>
      <c r="D3654" t="inlineStr">
        <is>
          <t>VÄSTMANLANDS LÄN</t>
        </is>
      </c>
      <c r="E3654" t="inlineStr">
        <is>
          <t>KÖPING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51142-2023</t>
        </is>
      </c>
      <c r="B3655" s="1" t="n">
        <v>45219</v>
      </c>
      <c r="C3655" s="1" t="n">
        <v>45811</v>
      </c>
      <c r="D3655" t="inlineStr">
        <is>
          <t>VÄSTMANLANDS LÄN</t>
        </is>
      </c>
      <c r="E3655" t="inlineStr">
        <is>
          <t>VÄSTERÅS</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51407-2023</t>
        </is>
      </c>
      <c r="B3656" s="1" t="n">
        <v>45219</v>
      </c>
      <c r="C3656" s="1" t="n">
        <v>45811</v>
      </c>
      <c r="D3656" t="inlineStr">
        <is>
          <t>VÄSTMANLANDS LÄN</t>
        </is>
      </c>
      <c r="E3656" t="inlineStr">
        <is>
          <t>KÖPING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51409-2023</t>
        </is>
      </c>
      <c r="B3657" s="1" t="n">
        <v>45219</v>
      </c>
      <c r="C3657" s="1" t="n">
        <v>45811</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51147-2023</t>
        </is>
      </c>
      <c r="B3658" s="1" t="n">
        <v>45219</v>
      </c>
      <c r="C3658" s="1" t="n">
        <v>45811</v>
      </c>
      <c r="D3658" t="inlineStr">
        <is>
          <t>VÄSTMANLANDS LÄN</t>
        </is>
      </c>
      <c r="E3658" t="inlineStr">
        <is>
          <t>VÄSTERÅS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51362-2023</t>
        </is>
      </c>
      <c r="B3659" s="1" t="n">
        <v>45219</v>
      </c>
      <c r="C3659" s="1" t="n">
        <v>45811</v>
      </c>
      <c r="D3659" t="inlineStr">
        <is>
          <t>VÄSTMANLANDS LÄN</t>
        </is>
      </c>
      <c r="E3659" t="inlineStr">
        <is>
          <t>KÖPING</t>
        </is>
      </c>
      <c r="F3659" t="inlineStr">
        <is>
          <t>Sveaskog</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51412-2023</t>
        </is>
      </c>
      <c r="B3660" s="1" t="n">
        <v>45219</v>
      </c>
      <c r="C3660" s="1" t="n">
        <v>45811</v>
      </c>
      <c r="D3660" t="inlineStr">
        <is>
          <t>VÄSTMANLANDS LÄN</t>
        </is>
      </c>
      <c r="E3660" t="inlineStr">
        <is>
          <t>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51388-2023</t>
        </is>
      </c>
      <c r="B3661" s="1" t="n">
        <v>45219</v>
      </c>
      <c r="C3661" s="1" t="n">
        <v>45811</v>
      </c>
      <c r="D3661" t="inlineStr">
        <is>
          <t>VÄSTMANLANDS LÄN</t>
        </is>
      </c>
      <c r="E3661" t="inlineStr">
        <is>
          <t>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51365-2023</t>
        </is>
      </c>
      <c r="B3662" s="1" t="n">
        <v>45219</v>
      </c>
      <c r="C3662" s="1" t="n">
        <v>45811</v>
      </c>
      <c r="D3662" t="inlineStr">
        <is>
          <t>VÄSTMANLANDS LÄN</t>
        </is>
      </c>
      <c r="E3662" t="inlineStr">
        <is>
          <t>KÖPING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51132-2023</t>
        </is>
      </c>
      <c r="B3663" s="1" t="n">
        <v>45219</v>
      </c>
      <c r="C3663" s="1" t="n">
        <v>45811</v>
      </c>
      <c r="D3663" t="inlineStr">
        <is>
          <t>VÄSTMANLANDS LÄN</t>
        </is>
      </c>
      <c r="E3663" t="inlineStr">
        <is>
          <t>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51203-2023</t>
        </is>
      </c>
      <c r="B3664" s="1" t="n">
        <v>45219</v>
      </c>
      <c r="C3664" s="1" t="n">
        <v>45811</v>
      </c>
      <c r="D3664" t="inlineStr">
        <is>
          <t>VÄSTMANLANDS LÄN</t>
        </is>
      </c>
      <c r="E3664" t="inlineStr">
        <is>
          <t>SALA</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51119-2023</t>
        </is>
      </c>
      <c r="B3665" s="1" t="n">
        <v>45219</v>
      </c>
      <c r="C3665" s="1" t="n">
        <v>45811</v>
      </c>
      <c r="D3665" t="inlineStr">
        <is>
          <t>VÄSTMANLANDS LÄN</t>
        </is>
      </c>
      <c r="E3665" t="inlineStr">
        <is>
          <t>KÖPING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51123-2023</t>
        </is>
      </c>
      <c r="B3666" s="1" t="n">
        <v>45219</v>
      </c>
      <c r="C3666" s="1" t="n">
        <v>45811</v>
      </c>
      <c r="D3666" t="inlineStr">
        <is>
          <t>VÄSTMANLANDS LÄN</t>
        </is>
      </c>
      <c r="E3666" t="inlineStr">
        <is>
          <t>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51230-2023</t>
        </is>
      </c>
      <c r="B3667" s="1" t="n">
        <v>45219</v>
      </c>
      <c r="C3667" s="1" t="n">
        <v>45811</v>
      </c>
      <c r="D3667" t="inlineStr">
        <is>
          <t>VÄSTMANLANDS LÄN</t>
        </is>
      </c>
      <c r="E3667" t="inlineStr">
        <is>
          <t>VÄSTERÅS</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51562-2023</t>
        </is>
      </c>
      <c r="B3668" s="1" t="n">
        <v>45222</v>
      </c>
      <c r="C3668" s="1" t="n">
        <v>45811</v>
      </c>
      <c r="D3668" t="inlineStr">
        <is>
          <t>VÄSTMANLANDS LÄN</t>
        </is>
      </c>
      <c r="E3668" t="inlineStr">
        <is>
          <t>VÄSTERÅS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51579-2023</t>
        </is>
      </c>
      <c r="B3669" s="1" t="n">
        <v>45222</v>
      </c>
      <c r="C3669" s="1" t="n">
        <v>45811</v>
      </c>
      <c r="D3669" t="inlineStr">
        <is>
          <t>VÄSTMANLANDS LÄN</t>
        </is>
      </c>
      <c r="E3669" t="inlineStr">
        <is>
          <t>FAGERSTA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51680-2023</t>
        </is>
      </c>
      <c r="B3670" s="1" t="n">
        <v>45222</v>
      </c>
      <c r="C3670" s="1" t="n">
        <v>45811</v>
      </c>
      <c r="D3670" t="inlineStr">
        <is>
          <t>VÄSTMANLANDS LÄN</t>
        </is>
      </c>
      <c r="E3670" t="inlineStr">
        <is>
          <t>SKINNSKATTEBERG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51572-2023</t>
        </is>
      </c>
      <c r="B3671" s="1" t="n">
        <v>45222</v>
      </c>
      <c r="C3671" s="1" t="n">
        <v>45811</v>
      </c>
      <c r="D3671" t="inlineStr">
        <is>
          <t>VÄSTMANLANDS LÄN</t>
        </is>
      </c>
      <c r="E3671" t="inlineStr">
        <is>
          <t>VÄSTERÅS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51586-2023</t>
        </is>
      </c>
      <c r="B3672" s="1" t="n">
        <v>45222</v>
      </c>
      <c r="C3672" s="1" t="n">
        <v>45811</v>
      </c>
      <c r="D3672" t="inlineStr">
        <is>
          <t>VÄSTMANLANDS LÄN</t>
        </is>
      </c>
      <c r="E3672" t="inlineStr">
        <is>
          <t>FAGERSTA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51875-2023</t>
        </is>
      </c>
      <c r="B3673" s="1" t="n">
        <v>45223</v>
      </c>
      <c r="C3673" s="1" t="n">
        <v>45811</v>
      </c>
      <c r="D3673" t="inlineStr">
        <is>
          <t>VÄSTMANLANDS LÄN</t>
        </is>
      </c>
      <c r="E3673" t="inlineStr">
        <is>
          <t>VÄSTERÅS</t>
        </is>
      </c>
      <c r="F3673" t="inlineStr">
        <is>
          <t>Kommuner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51933-2023</t>
        </is>
      </c>
      <c r="B3674" s="1" t="n">
        <v>45223</v>
      </c>
      <c r="C3674" s="1" t="n">
        <v>45811</v>
      </c>
      <c r="D3674" t="inlineStr">
        <is>
          <t>VÄSTMANLANDS LÄN</t>
        </is>
      </c>
      <c r="E3674" t="inlineStr">
        <is>
          <t>VÄSTERÅS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51951-2023</t>
        </is>
      </c>
      <c r="B3675" s="1" t="n">
        <v>45223</v>
      </c>
      <c r="C3675" s="1" t="n">
        <v>45811</v>
      </c>
      <c r="D3675" t="inlineStr">
        <is>
          <t>VÄSTMANLANDS LÄN</t>
        </is>
      </c>
      <c r="E3675" t="inlineStr">
        <is>
          <t>VÄSTERÅS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51848-2023</t>
        </is>
      </c>
      <c r="B3676" s="1" t="n">
        <v>45223</v>
      </c>
      <c r="C3676" s="1" t="n">
        <v>45811</v>
      </c>
      <c r="D3676" t="inlineStr">
        <is>
          <t>VÄSTMANLANDS LÄN</t>
        </is>
      </c>
      <c r="E3676" t="inlineStr">
        <is>
          <t>SALA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51954-2023</t>
        </is>
      </c>
      <c r="B3677" s="1" t="n">
        <v>45223</v>
      </c>
      <c r="C3677" s="1" t="n">
        <v>45811</v>
      </c>
      <c r="D3677" t="inlineStr">
        <is>
          <t>VÄSTMANLANDS LÄN</t>
        </is>
      </c>
      <c r="E3677" t="inlineStr">
        <is>
          <t>VÄSTERÅS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52475-2023</t>
        </is>
      </c>
      <c r="B3678" s="1" t="n">
        <v>45225</v>
      </c>
      <c r="C3678" s="1" t="n">
        <v>45811</v>
      </c>
      <c r="D3678" t="inlineStr">
        <is>
          <t>VÄSTMANLANDS LÄN</t>
        </is>
      </c>
      <c r="E3678" t="inlineStr">
        <is>
          <t>KÖPING</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52654-2023</t>
        </is>
      </c>
      <c r="B3679" s="1" t="n">
        <v>45225</v>
      </c>
      <c r="C3679" s="1" t="n">
        <v>45811</v>
      </c>
      <c r="D3679" t="inlineStr">
        <is>
          <t>VÄSTMANLANDS LÄN</t>
        </is>
      </c>
      <c r="E3679" t="inlineStr">
        <is>
          <t>SALA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53030-2023</t>
        </is>
      </c>
      <c r="B3680" s="1" t="n">
        <v>45226</v>
      </c>
      <c r="C3680" s="1" t="n">
        <v>45811</v>
      </c>
      <c r="D3680" t="inlineStr">
        <is>
          <t>VÄSTMANLANDS LÄN</t>
        </is>
      </c>
      <c r="E3680" t="inlineStr">
        <is>
          <t>NORBERG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52795-2023</t>
        </is>
      </c>
      <c r="B3681" s="1" t="n">
        <v>45226</v>
      </c>
      <c r="C3681" s="1" t="n">
        <v>45811</v>
      </c>
      <c r="D3681" t="inlineStr">
        <is>
          <t>VÄSTMANLANDS LÄN</t>
        </is>
      </c>
      <c r="E3681" t="inlineStr">
        <is>
          <t>KUNGSÖR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53061-2023</t>
        </is>
      </c>
      <c r="B3682" s="1" t="n">
        <v>45227</v>
      </c>
      <c r="C3682" s="1" t="n">
        <v>45811</v>
      </c>
      <c r="D3682" t="inlineStr">
        <is>
          <t>VÄSTMANLANDS LÄN</t>
        </is>
      </c>
      <c r="E3682" t="inlineStr">
        <is>
          <t>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53267-2023</t>
        </is>
      </c>
      <c r="B3683" s="1" t="n">
        <v>45229</v>
      </c>
      <c r="C3683" s="1" t="n">
        <v>45811</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54910-2023</t>
        </is>
      </c>
      <c r="B3684" s="1" t="n">
        <v>45229</v>
      </c>
      <c r="C3684" s="1" t="n">
        <v>45811</v>
      </c>
      <c r="D3684" t="inlineStr">
        <is>
          <t>VÄSTMANLANDS LÄN</t>
        </is>
      </c>
      <c r="E3684" t="inlineStr">
        <is>
          <t>SALA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55024-2023</t>
        </is>
      </c>
      <c r="B3685" s="1" t="n">
        <v>45229</v>
      </c>
      <c r="C3685" s="1" t="n">
        <v>45811</v>
      </c>
      <c r="D3685" t="inlineStr">
        <is>
          <t>VÄSTMANLANDS LÄN</t>
        </is>
      </c>
      <c r="E3685" t="inlineStr">
        <is>
          <t>SALA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55032-2023</t>
        </is>
      </c>
      <c r="B3686" s="1" t="n">
        <v>45229</v>
      </c>
      <c r="C3686" s="1" t="n">
        <v>45811</v>
      </c>
      <c r="D3686" t="inlineStr">
        <is>
          <t>VÄSTMANLANDS LÄN</t>
        </is>
      </c>
      <c r="E3686" t="inlineStr">
        <is>
          <t>SALA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55035-2023</t>
        </is>
      </c>
      <c r="B3687" s="1" t="n">
        <v>45229</v>
      </c>
      <c r="C3687" s="1" t="n">
        <v>45811</v>
      </c>
      <c r="D3687" t="inlineStr">
        <is>
          <t>VÄSTMANLANDS LÄN</t>
        </is>
      </c>
      <c r="E3687" t="inlineStr">
        <is>
          <t>SALA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55040-2023</t>
        </is>
      </c>
      <c r="B3688" s="1" t="n">
        <v>45229</v>
      </c>
      <c r="C3688" s="1" t="n">
        <v>45811</v>
      </c>
      <c r="D3688" t="inlineStr">
        <is>
          <t>VÄSTMANLANDS LÄN</t>
        </is>
      </c>
      <c r="E3688" t="inlineStr">
        <is>
          <t>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53653-2023</t>
        </is>
      </c>
      <c r="B3689" s="1" t="n">
        <v>45230</v>
      </c>
      <c r="C3689" s="1" t="n">
        <v>45811</v>
      </c>
      <c r="D3689" t="inlineStr">
        <is>
          <t>VÄSTMANLANDS LÄN</t>
        </is>
      </c>
      <c r="E3689" t="inlineStr">
        <is>
          <t>ARBOGA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53629-2023</t>
        </is>
      </c>
      <c r="B3690" s="1" t="n">
        <v>45230</v>
      </c>
      <c r="C3690" s="1" t="n">
        <v>45811</v>
      </c>
      <c r="D3690" t="inlineStr">
        <is>
          <t>VÄSTMANLANDS LÄN</t>
        </is>
      </c>
      <c r="E3690" t="inlineStr">
        <is>
          <t>ARBOGA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55149-2023</t>
        </is>
      </c>
      <c r="B3691" s="1" t="n">
        <v>45230</v>
      </c>
      <c r="C3691" s="1" t="n">
        <v>45811</v>
      </c>
      <c r="D3691" t="inlineStr">
        <is>
          <t>VÄSTMANLANDS LÄN</t>
        </is>
      </c>
      <c r="E3691" t="inlineStr">
        <is>
          <t>ARBOGA</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53877-2023</t>
        </is>
      </c>
      <c r="B3692" s="1" t="n">
        <v>45231</v>
      </c>
      <c r="C3692" s="1" t="n">
        <v>45811</v>
      </c>
      <c r="D3692" t="inlineStr">
        <is>
          <t>VÄSTMANLANDS LÄN</t>
        </is>
      </c>
      <c r="E3692" t="inlineStr">
        <is>
          <t>SALA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53929-2023</t>
        </is>
      </c>
      <c r="B3693" s="1" t="n">
        <v>45231</v>
      </c>
      <c r="C3693" s="1" t="n">
        <v>45811</v>
      </c>
      <c r="D3693" t="inlineStr">
        <is>
          <t>VÄSTMANLANDS LÄN</t>
        </is>
      </c>
      <c r="E3693" t="inlineStr">
        <is>
          <t>ARBOGA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53951-2023</t>
        </is>
      </c>
      <c r="B3694" s="1" t="n">
        <v>45231</v>
      </c>
      <c r="C3694" s="1" t="n">
        <v>45811</v>
      </c>
      <c r="D3694" t="inlineStr">
        <is>
          <t>VÄSTMANLANDS LÄN</t>
        </is>
      </c>
      <c r="E3694" t="inlineStr">
        <is>
          <t>SALA</t>
        </is>
      </c>
      <c r="F3694" t="inlineStr">
        <is>
          <t>Kommuner</t>
        </is>
      </c>
      <c r="G3694" t="n">
        <v>8.4</v>
      </c>
      <c r="H3694" t="n">
        <v>0</v>
      </c>
      <c r="I3694" t="n">
        <v>0</v>
      </c>
      <c r="J3694" t="n">
        <v>0</v>
      </c>
      <c r="K3694" t="n">
        <v>0</v>
      </c>
      <c r="L3694" t="n">
        <v>0</v>
      </c>
      <c r="M3694" t="n">
        <v>0</v>
      </c>
      <c r="N3694" t="n">
        <v>0</v>
      </c>
      <c r="O3694" t="n">
        <v>0</v>
      </c>
      <c r="P3694" t="n">
        <v>0</v>
      </c>
      <c r="Q3694" t="n">
        <v>0</v>
      </c>
      <c r="R3694" s="2" t="inlineStr"/>
      <c r="U3694">
        <f>HYPERLINK("https://klasma.github.io/Logging_1981/knärot/A 53951-2023 karta knärot.png", "A 53951-2023")</f>
        <v/>
      </c>
      <c r="V3694">
        <f>HYPERLINK("https://klasma.github.io/Logging_1981/klagomål/A 53951-2023 FSC-klagomål.docx", "A 53951-2023")</f>
        <v/>
      </c>
      <c r="W3694">
        <f>HYPERLINK("https://klasma.github.io/Logging_1981/klagomålsmail/A 53951-2023 FSC-klagomål mail.docx", "A 53951-2023")</f>
        <v/>
      </c>
      <c r="X3694">
        <f>HYPERLINK("https://klasma.github.io/Logging_1981/tillsyn/A 53951-2023 tillsynsbegäran.docx", "A 53951-2023")</f>
        <v/>
      </c>
      <c r="Y3694">
        <f>HYPERLINK("https://klasma.github.io/Logging_1981/tillsynsmail/A 53951-2023 tillsynsbegäran mail.docx", "A 53951-2023")</f>
        <v/>
      </c>
    </row>
    <row r="3695" ht="15" customHeight="1">
      <c r="A3695" t="inlineStr">
        <is>
          <t>A 54125-2023</t>
        </is>
      </c>
      <c r="B3695" s="1" t="n">
        <v>45232</v>
      </c>
      <c r="C3695" s="1" t="n">
        <v>45811</v>
      </c>
      <c r="D3695" t="inlineStr">
        <is>
          <t>VÄSTMANLANDS LÄN</t>
        </is>
      </c>
      <c r="E3695" t="inlineStr">
        <is>
          <t>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54094-2023</t>
        </is>
      </c>
      <c r="B3696" s="1" t="n">
        <v>45232</v>
      </c>
      <c r="C3696" s="1" t="n">
        <v>45811</v>
      </c>
      <c r="D3696" t="inlineStr">
        <is>
          <t>VÄSTMANLANDS LÄN</t>
        </is>
      </c>
      <c r="E3696" t="inlineStr">
        <is>
          <t>ARBOGA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54114-2023</t>
        </is>
      </c>
      <c r="B3697" s="1" t="n">
        <v>45232</v>
      </c>
      <c r="C3697" s="1" t="n">
        <v>45811</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54118-2023</t>
        </is>
      </c>
      <c r="B3698" s="1" t="n">
        <v>45232</v>
      </c>
      <c r="C3698" s="1" t="n">
        <v>45811</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54296-2023</t>
        </is>
      </c>
      <c r="B3699" s="1" t="n">
        <v>45232</v>
      </c>
      <c r="C3699" s="1" t="n">
        <v>45811</v>
      </c>
      <c r="D3699" t="inlineStr">
        <is>
          <t>VÄSTMANLANDS LÄN</t>
        </is>
      </c>
      <c r="E3699" t="inlineStr">
        <is>
          <t>SKINNSKATTEBERG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55556-2023</t>
        </is>
      </c>
      <c r="B3700" s="1" t="n">
        <v>45232</v>
      </c>
      <c r="C3700" s="1" t="n">
        <v>45811</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54306-2023</t>
        </is>
      </c>
      <c r="B3701" s="1" t="n">
        <v>45232</v>
      </c>
      <c r="C3701" s="1" t="n">
        <v>45811</v>
      </c>
      <c r="D3701" t="inlineStr">
        <is>
          <t>VÄSTMANLANDS LÄN</t>
        </is>
      </c>
      <c r="E3701" t="inlineStr">
        <is>
          <t>NORBERG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55676-2023</t>
        </is>
      </c>
      <c r="B3702" s="1" t="n">
        <v>45232</v>
      </c>
      <c r="C3702" s="1" t="n">
        <v>45811</v>
      </c>
      <c r="D3702" t="inlineStr">
        <is>
          <t>VÄSTMANLANDS LÄN</t>
        </is>
      </c>
      <c r="E3702" t="inlineStr">
        <is>
          <t>VÄSTERÅS</t>
        </is>
      </c>
      <c r="F3702" t="inlineStr">
        <is>
          <t>Övriga Aktiebolag</t>
        </is>
      </c>
      <c r="G3702" t="n">
        <v>37.9</v>
      </c>
      <c r="H3702" t="n">
        <v>0</v>
      </c>
      <c r="I3702" t="n">
        <v>0</v>
      </c>
      <c r="J3702" t="n">
        <v>0</v>
      </c>
      <c r="K3702" t="n">
        <v>0</v>
      </c>
      <c r="L3702" t="n">
        <v>0</v>
      </c>
      <c r="M3702" t="n">
        <v>0</v>
      </c>
      <c r="N3702" t="n">
        <v>0</v>
      </c>
      <c r="O3702" t="n">
        <v>0</v>
      </c>
      <c r="P3702" t="n">
        <v>0</v>
      </c>
      <c r="Q3702" t="n">
        <v>0</v>
      </c>
      <c r="R3702" s="2" t="inlineStr"/>
    </row>
    <row r="3703" ht="15" customHeight="1">
      <c r="A3703" t="inlineStr">
        <is>
          <t>A 55836-2023</t>
        </is>
      </c>
      <c r="B3703" s="1" t="n">
        <v>45233</v>
      </c>
      <c r="C3703" s="1" t="n">
        <v>45811</v>
      </c>
      <c r="D3703" t="inlineStr">
        <is>
          <t>VÄSTMANLANDS LÄN</t>
        </is>
      </c>
      <c r="E3703" t="inlineStr">
        <is>
          <t>VÄSTERÅS</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56057-2023</t>
        </is>
      </c>
      <c r="B3704" s="1" t="n">
        <v>45233</v>
      </c>
      <c r="C3704" s="1" t="n">
        <v>45811</v>
      </c>
      <c r="D3704" t="inlineStr">
        <is>
          <t>VÄSTMANLANDS LÄN</t>
        </is>
      </c>
      <c r="E3704" t="inlineStr">
        <is>
          <t>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54573-2023</t>
        </is>
      </c>
      <c r="B3705" s="1" t="n">
        <v>45233</v>
      </c>
      <c r="C3705" s="1" t="n">
        <v>45811</v>
      </c>
      <c r="D3705" t="inlineStr">
        <is>
          <t>VÄSTMANLANDS LÄN</t>
        </is>
      </c>
      <c r="E3705" t="inlineStr">
        <is>
          <t>NORBERG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56064-2023</t>
        </is>
      </c>
      <c r="B3706" s="1" t="n">
        <v>45233</v>
      </c>
      <c r="C3706" s="1" t="n">
        <v>45811</v>
      </c>
      <c r="D3706" t="inlineStr">
        <is>
          <t>VÄSTMANLANDS LÄN</t>
        </is>
      </c>
      <c r="E3706" t="inlineStr">
        <is>
          <t>SALA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55892-2023</t>
        </is>
      </c>
      <c r="B3707" s="1" t="n">
        <v>45233</v>
      </c>
      <c r="C3707" s="1" t="n">
        <v>45811</v>
      </c>
      <c r="D3707" t="inlineStr">
        <is>
          <t>VÄSTMANLANDS LÄN</t>
        </is>
      </c>
      <c r="E3707" t="inlineStr">
        <is>
          <t>VÄSTERÅS</t>
        </is>
      </c>
      <c r="F3707" t="inlineStr">
        <is>
          <t>Övriga Aktiebolag</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54657-2023</t>
        </is>
      </c>
      <c r="B3708" s="1" t="n">
        <v>45235</v>
      </c>
      <c r="C3708" s="1" t="n">
        <v>45811</v>
      </c>
      <c r="D3708" t="inlineStr">
        <is>
          <t>VÄSTMANLANDS LÄN</t>
        </is>
      </c>
      <c r="E3708" t="inlineStr">
        <is>
          <t>KÖPING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56081-2023</t>
        </is>
      </c>
      <c r="B3709" s="1" t="n">
        <v>45235</v>
      </c>
      <c r="C3709" s="1" t="n">
        <v>45811</v>
      </c>
      <c r="D3709" t="inlineStr">
        <is>
          <t>VÄSTMANLANDS LÄN</t>
        </is>
      </c>
      <c r="E3709" t="inlineStr">
        <is>
          <t>VÄSTERÅS</t>
        </is>
      </c>
      <c r="F3709" t="inlineStr">
        <is>
          <t>Övriga Aktiebolag</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56076-2023</t>
        </is>
      </c>
      <c r="B3710" s="1" t="n">
        <v>45235</v>
      </c>
      <c r="C3710" s="1" t="n">
        <v>45811</v>
      </c>
      <c r="D3710" t="inlineStr">
        <is>
          <t>VÄSTMANLANDS LÄN</t>
        </is>
      </c>
      <c r="E3710" t="inlineStr">
        <is>
          <t>VÄSTERÅS</t>
        </is>
      </c>
      <c r="F3710" t="inlineStr">
        <is>
          <t>Övriga Aktiebolag</t>
        </is>
      </c>
      <c r="G3710" t="n">
        <v>37.8</v>
      </c>
      <c r="H3710" t="n">
        <v>0</v>
      </c>
      <c r="I3710" t="n">
        <v>0</v>
      </c>
      <c r="J3710" t="n">
        <v>0</v>
      </c>
      <c r="K3710" t="n">
        <v>0</v>
      </c>
      <c r="L3710" t="n">
        <v>0</v>
      </c>
      <c r="M3710" t="n">
        <v>0</v>
      </c>
      <c r="N3710" t="n">
        <v>0</v>
      </c>
      <c r="O3710" t="n">
        <v>0</v>
      </c>
      <c r="P3710" t="n">
        <v>0</v>
      </c>
      <c r="Q3710" t="n">
        <v>0</v>
      </c>
      <c r="R3710" s="2" t="inlineStr"/>
    </row>
    <row r="3711" ht="15" customHeight="1">
      <c r="A3711" t="inlineStr">
        <is>
          <t>A 54804-2023</t>
        </is>
      </c>
      <c r="B3711" s="1" t="n">
        <v>45236</v>
      </c>
      <c r="C3711" s="1" t="n">
        <v>45811</v>
      </c>
      <c r="D3711" t="inlineStr">
        <is>
          <t>VÄSTMANLANDS LÄN</t>
        </is>
      </c>
      <c r="E3711" t="inlineStr">
        <is>
          <t>FAGERSTA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56378-2023</t>
        </is>
      </c>
      <c r="B3712" s="1" t="n">
        <v>45236</v>
      </c>
      <c r="C3712" s="1" t="n">
        <v>45811</v>
      </c>
      <c r="D3712" t="inlineStr">
        <is>
          <t>VÄSTMANLANDS LÄN</t>
        </is>
      </c>
      <c r="E3712" t="inlineStr">
        <is>
          <t>SURAHAMMAR</t>
        </is>
      </c>
      <c r="F3712" t="inlineStr">
        <is>
          <t>Bergvik skog väst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55188-2023</t>
        </is>
      </c>
      <c r="B3713" s="1" t="n">
        <v>45237</v>
      </c>
      <c r="C3713" s="1" t="n">
        <v>45811</v>
      </c>
      <c r="D3713" t="inlineStr">
        <is>
          <t>VÄSTMANLANDS LÄN</t>
        </is>
      </c>
      <c r="E3713" t="inlineStr">
        <is>
          <t>VÄSTERÅS</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55181-2023</t>
        </is>
      </c>
      <c r="B3714" s="1" t="n">
        <v>45237</v>
      </c>
      <c r="C3714" s="1" t="n">
        <v>45811</v>
      </c>
      <c r="D3714" t="inlineStr">
        <is>
          <t>VÄSTMANLANDS LÄN</t>
        </is>
      </c>
      <c r="E3714" t="inlineStr">
        <is>
          <t>SKINNSKATTEBERG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55186-2023</t>
        </is>
      </c>
      <c r="B3715" s="1" t="n">
        <v>45237</v>
      </c>
      <c r="C3715" s="1" t="n">
        <v>45811</v>
      </c>
      <c r="D3715" t="inlineStr">
        <is>
          <t>VÄSTMANLANDS LÄN</t>
        </is>
      </c>
      <c r="E3715" t="inlineStr">
        <is>
          <t>VÄSTERÅS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55229-2023</t>
        </is>
      </c>
      <c r="B3716" s="1" t="n">
        <v>45237</v>
      </c>
      <c r="C3716" s="1" t="n">
        <v>45811</v>
      </c>
      <c r="D3716" t="inlineStr">
        <is>
          <t>VÄSTMANLANDS LÄN</t>
        </is>
      </c>
      <c r="E3716" t="inlineStr">
        <is>
          <t>SKINNSKATTEBERG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55210-2023</t>
        </is>
      </c>
      <c r="B3717" s="1" t="n">
        <v>45237</v>
      </c>
      <c r="C3717" s="1" t="n">
        <v>45811</v>
      </c>
      <c r="D3717" t="inlineStr">
        <is>
          <t>VÄSTMANLANDS LÄN</t>
        </is>
      </c>
      <c r="E3717" t="inlineStr">
        <is>
          <t>SKINNSKATTEBERG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55504-2023</t>
        </is>
      </c>
      <c r="B3718" s="1" t="n">
        <v>45238</v>
      </c>
      <c r="C3718" s="1" t="n">
        <v>45811</v>
      </c>
      <c r="D3718" t="inlineStr">
        <is>
          <t>VÄSTMANLANDS LÄN</t>
        </is>
      </c>
      <c r="E3718" t="inlineStr">
        <is>
          <t>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55569-2023</t>
        </is>
      </c>
      <c r="B3719" s="1" t="n">
        <v>45238</v>
      </c>
      <c r="C3719" s="1" t="n">
        <v>45811</v>
      </c>
      <c r="D3719" t="inlineStr">
        <is>
          <t>VÄSTMANLANDS LÄN</t>
        </is>
      </c>
      <c r="E3719" t="inlineStr">
        <is>
          <t>VÄSTERÅS</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55614-2023</t>
        </is>
      </c>
      <c r="B3720" s="1" t="n">
        <v>45238</v>
      </c>
      <c r="C3720" s="1" t="n">
        <v>45811</v>
      </c>
      <c r="D3720" t="inlineStr">
        <is>
          <t>VÄSTMANLANDS LÄN</t>
        </is>
      </c>
      <c r="E3720" t="inlineStr">
        <is>
          <t>ARBOGA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55474-2023</t>
        </is>
      </c>
      <c r="B3721" s="1" t="n">
        <v>45238</v>
      </c>
      <c r="C3721" s="1" t="n">
        <v>45811</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55677-2023</t>
        </is>
      </c>
      <c r="B3722" s="1" t="n">
        <v>45239</v>
      </c>
      <c r="C3722" s="1" t="n">
        <v>45811</v>
      </c>
      <c r="D3722" t="inlineStr">
        <is>
          <t>VÄSTMANLANDS LÄN</t>
        </is>
      </c>
      <c r="E3722" t="inlineStr">
        <is>
          <t>ARBOGA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55863-2023</t>
        </is>
      </c>
      <c r="B3723" s="1" t="n">
        <v>45239</v>
      </c>
      <c r="C3723" s="1" t="n">
        <v>45811</v>
      </c>
      <c r="D3723" t="inlineStr">
        <is>
          <t>VÄSTMANLANDS LÄN</t>
        </is>
      </c>
      <c r="E3723" t="inlineStr">
        <is>
          <t>VÄSTERÅS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55857-2023</t>
        </is>
      </c>
      <c r="B3724" s="1" t="n">
        <v>45239</v>
      </c>
      <c r="C3724" s="1" t="n">
        <v>45811</v>
      </c>
      <c r="D3724" t="inlineStr">
        <is>
          <t>VÄSTMANLANDS LÄN</t>
        </is>
      </c>
      <c r="E3724" t="inlineStr">
        <is>
          <t>VÄSTERÅS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56183-2023</t>
        </is>
      </c>
      <c r="B3725" s="1" t="n">
        <v>45240</v>
      </c>
      <c r="C3725" s="1" t="n">
        <v>45811</v>
      </c>
      <c r="D3725" t="inlineStr">
        <is>
          <t>VÄSTMANLANDS LÄN</t>
        </is>
      </c>
      <c r="E3725" t="inlineStr">
        <is>
          <t>SURAHAMMAR</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56345-2023</t>
        </is>
      </c>
      <c r="B3726" s="1" t="n">
        <v>45243</v>
      </c>
      <c r="C3726" s="1" t="n">
        <v>45811</v>
      </c>
      <c r="D3726" t="inlineStr">
        <is>
          <t>VÄSTMANLANDS LÄN</t>
        </is>
      </c>
      <c r="E3726" t="inlineStr">
        <is>
          <t>ARBOGA</t>
        </is>
      </c>
      <c r="F3726" t="inlineStr">
        <is>
          <t>Kommuner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56357-2023</t>
        </is>
      </c>
      <c r="B3727" s="1" t="n">
        <v>45243</v>
      </c>
      <c r="C3727" s="1" t="n">
        <v>45811</v>
      </c>
      <c r="D3727" t="inlineStr">
        <is>
          <t>VÄSTMANLANDS LÄN</t>
        </is>
      </c>
      <c r="E3727" t="inlineStr">
        <is>
          <t>SKINNSKATTEBERG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56921-2023</t>
        </is>
      </c>
      <c r="B3728" s="1" t="n">
        <v>45244</v>
      </c>
      <c r="C3728" s="1" t="n">
        <v>45811</v>
      </c>
      <c r="D3728" t="inlineStr">
        <is>
          <t>VÄSTMANLANDS LÄN</t>
        </is>
      </c>
      <c r="E3728" t="inlineStr">
        <is>
          <t>SKINNSKATTEBERG</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56956-2023</t>
        </is>
      </c>
      <c r="B3729" s="1" t="n">
        <v>45244</v>
      </c>
      <c r="C3729" s="1" t="n">
        <v>45811</v>
      </c>
      <c r="D3729" t="inlineStr">
        <is>
          <t>VÄSTMANLANDS LÄN</t>
        </is>
      </c>
      <c r="E3729" t="inlineStr">
        <is>
          <t>SALA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56949-2023</t>
        </is>
      </c>
      <c r="B3730" s="1" t="n">
        <v>45244</v>
      </c>
      <c r="C3730" s="1" t="n">
        <v>45811</v>
      </c>
      <c r="D3730" t="inlineStr">
        <is>
          <t>VÄSTMANLANDS LÄN</t>
        </is>
      </c>
      <c r="E3730" t="inlineStr">
        <is>
          <t>SALA</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56964-2023</t>
        </is>
      </c>
      <c r="B3731" s="1" t="n">
        <v>45244</v>
      </c>
      <c r="C3731" s="1" t="n">
        <v>45811</v>
      </c>
      <c r="D3731" t="inlineStr">
        <is>
          <t>VÄSTMANLANDS LÄN</t>
        </is>
      </c>
      <c r="E3731" t="inlineStr">
        <is>
          <t>SALA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56990-2023</t>
        </is>
      </c>
      <c r="B3732" s="1" t="n">
        <v>45244</v>
      </c>
      <c r="C3732" s="1" t="n">
        <v>45811</v>
      </c>
      <c r="D3732" t="inlineStr">
        <is>
          <t>VÄSTMANLANDS LÄN</t>
        </is>
      </c>
      <c r="E3732" t="inlineStr">
        <is>
          <t>SKINNSKATTEBERG</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56992-2023</t>
        </is>
      </c>
      <c r="B3733" s="1" t="n">
        <v>45244</v>
      </c>
      <c r="C3733" s="1" t="n">
        <v>45811</v>
      </c>
      <c r="D3733" t="inlineStr">
        <is>
          <t>VÄSTMANLANDS LÄN</t>
        </is>
      </c>
      <c r="E3733" t="inlineStr">
        <is>
          <t>SKINNSKATTEBERG</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57343-2023</t>
        </is>
      </c>
      <c r="B3734" s="1" t="n">
        <v>45245</v>
      </c>
      <c r="C3734" s="1" t="n">
        <v>45811</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57372-2023</t>
        </is>
      </c>
      <c r="B3735" s="1" t="n">
        <v>45245</v>
      </c>
      <c r="C3735" s="1" t="n">
        <v>45811</v>
      </c>
      <c r="D3735" t="inlineStr">
        <is>
          <t>VÄSTMANLANDS LÄN</t>
        </is>
      </c>
      <c r="E3735" t="inlineStr">
        <is>
          <t>KÖPING</t>
        </is>
      </c>
      <c r="F3735" t="inlineStr">
        <is>
          <t>Sveaskog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57747-2023</t>
        </is>
      </c>
      <c r="B3736" s="1" t="n">
        <v>45246</v>
      </c>
      <c r="C3736" s="1" t="n">
        <v>45811</v>
      </c>
      <c r="D3736" t="inlineStr">
        <is>
          <t>VÄSTMANLANDS LÄN</t>
        </is>
      </c>
      <c r="E3736" t="inlineStr">
        <is>
          <t>SKINNSKATTEBERG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57855-2023</t>
        </is>
      </c>
      <c r="B3737" s="1" t="n">
        <v>45247</v>
      </c>
      <c r="C3737" s="1" t="n">
        <v>45811</v>
      </c>
      <c r="D3737" t="inlineStr">
        <is>
          <t>VÄSTMANLANDS LÄN</t>
        </is>
      </c>
      <c r="E3737" t="inlineStr">
        <is>
          <t>FAGERSTA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57983-2023</t>
        </is>
      </c>
      <c r="B3738" s="1" t="n">
        <v>45247</v>
      </c>
      <c r="C3738" s="1" t="n">
        <v>45811</v>
      </c>
      <c r="D3738" t="inlineStr">
        <is>
          <t>VÄSTMANLANDS LÄN</t>
        </is>
      </c>
      <c r="E3738" t="inlineStr">
        <is>
          <t>SKINNSKATTEBERG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57981-2023</t>
        </is>
      </c>
      <c r="B3739" s="1" t="n">
        <v>45247</v>
      </c>
      <c r="C3739" s="1" t="n">
        <v>45811</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57986-2023</t>
        </is>
      </c>
      <c r="B3740" s="1" t="n">
        <v>45247</v>
      </c>
      <c r="C3740" s="1" t="n">
        <v>45811</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57984-2023</t>
        </is>
      </c>
      <c r="B3741" s="1" t="n">
        <v>45247</v>
      </c>
      <c r="C3741" s="1" t="n">
        <v>45811</v>
      </c>
      <c r="D3741" t="inlineStr">
        <is>
          <t>VÄSTMANLANDS LÄN</t>
        </is>
      </c>
      <c r="E3741" t="inlineStr">
        <is>
          <t>SKINNSKATTEBERG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58028-2023</t>
        </is>
      </c>
      <c r="B3742" s="1" t="n">
        <v>45247</v>
      </c>
      <c r="C3742" s="1" t="n">
        <v>45811</v>
      </c>
      <c r="D3742" t="inlineStr">
        <is>
          <t>VÄSTMANLANDS LÄN</t>
        </is>
      </c>
      <c r="E3742" t="inlineStr">
        <is>
          <t>SALA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58113-2023</t>
        </is>
      </c>
      <c r="B3743" s="1" t="n">
        <v>45249</v>
      </c>
      <c r="C3743" s="1" t="n">
        <v>45811</v>
      </c>
      <c r="D3743" t="inlineStr">
        <is>
          <t>VÄSTMANLANDS LÄN</t>
        </is>
      </c>
      <c r="E3743" t="inlineStr">
        <is>
          <t>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58233-2023</t>
        </is>
      </c>
      <c r="B3744" s="1" t="n">
        <v>45250</v>
      </c>
      <c r="C3744" s="1" t="n">
        <v>45811</v>
      </c>
      <c r="D3744" t="inlineStr">
        <is>
          <t>VÄSTMANLANDS LÄN</t>
        </is>
      </c>
      <c r="E3744" t="inlineStr">
        <is>
          <t>NORBERG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58238-2023</t>
        </is>
      </c>
      <c r="B3745" s="1" t="n">
        <v>45250</v>
      </c>
      <c r="C3745" s="1" t="n">
        <v>45811</v>
      </c>
      <c r="D3745" t="inlineStr">
        <is>
          <t>VÄSTMANLANDS LÄN</t>
        </is>
      </c>
      <c r="E3745" t="inlineStr">
        <is>
          <t>NORBERG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58317-2023</t>
        </is>
      </c>
      <c r="B3746" s="1" t="n">
        <v>45250</v>
      </c>
      <c r="C3746" s="1" t="n">
        <v>45811</v>
      </c>
      <c r="D3746" t="inlineStr">
        <is>
          <t>VÄSTMANLANDS LÄN</t>
        </is>
      </c>
      <c r="E3746" t="inlineStr">
        <is>
          <t>SKINNSKATTEBERG</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58246-2023</t>
        </is>
      </c>
      <c r="B3747" s="1" t="n">
        <v>45250</v>
      </c>
      <c r="C3747" s="1" t="n">
        <v>45811</v>
      </c>
      <c r="D3747" t="inlineStr">
        <is>
          <t>VÄSTMANLANDS LÄN</t>
        </is>
      </c>
      <c r="E3747" t="inlineStr">
        <is>
          <t>SKINNSKATTEBERG</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58338-2023</t>
        </is>
      </c>
      <c r="B3748" s="1" t="n">
        <v>45250</v>
      </c>
      <c r="C3748" s="1" t="n">
        <v>45811</v>
      </c>
      <c r="D3748" t="inlineStr">
        <is>
          <t>VÄSTMANLANDS LÄN</t>
        </is>
      </c>
      <c r="E3748" t="inlineStr">
        <is>
          <t>SURAHAMMAR</t>
        </is>
      </c>
      <c r="F3748" t="inlineStr">
        <is>
          <t>Allmännings- och besparingsskogar</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58271-2023</t>
        </is>
      </c>
      <c r="B3749" s="1" t="n">
        <v>45250</v>
      </c>
      <c r="C3749" s="1" t="n">
        <v>45811</v>
      </c>
      <c r="D3749" t="inlineStr">
        <is>
          <t>VÄSTMANLANDS LÄN</t>
        </is>
      </c>
      <c r="E3749" t="inlineStr">
        <is>
          <t>SALA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58356-2023</t>
        </is>
      </c>
      <c r="B3750" s="1" t="n">
        <v>45250</v>
      </c>
      <c r="C3750" s="1" t="n">
        <v>45811</v>
      </c>
      <c r="D3750" t="inlineStr">
        <is>
          <t>VÄSTMANLANDS LÄN</t>
        </is>
      </c>
      <c r="E3750" t="inlineStr">
        <is>
          <t>SURAHAMMAR</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58577-2023</t>
        </is>
      </c>
      <c r="B3751" s="1" t="n">
        <v>45251</v>
      </c>
      <c r="C3751" s="1" t="n">
        <v>45811</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58728-2023</t>
        </is>
      </c>
      <c r="B3752" s="1" t="n">
        <v>45251</v>
      </c>
      <c r="C3752" s="1" t="n">
        <v>45811</v>
      </c>
      <c r="D3752" t="inlineStr">
        <is>
          <t>VÄSTMANLANDS LÄN</t>
        </is>
      </c>
      <c r="E3752" t="inlineStr">
        <is>
          <t>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58970-2023</t>
        </is>
      </c>
      <c r="B3753" s="1" t="n">
        <v>45252</v>
      </c>
      <c r="C3753" s="1" t="n">
        <v>45811</v>
      </c>
      <c r="D3753" t="inlineStr">
        <is>
          <t>VÄSTMANLANDS LÄN</t>
        </is>
      </c>
      <c r="E3753" t="inlineStr">
        <is>
          <t>SKINNSKATTEBERG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58975-2023</t>
        </is>
      </c>
      <c r="B3754" s="1" t="n">
        <v>45252</v>
      </c>
      <c r="C3754" s="1" t="n">
        <v>45811</v>
      </c>
      <c r="D3754" t="inlineStr">
        <is>
          <t>VÄSTMANLANDS LÄN</t>
        </is>
      </c>
      <c r="E3754" t="inlineStr">
        <is>
          <t>SKINNSKATTEBERG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58979-2023</t>
        </is>
      </c>
      <c r="B3755" s="1" t="n">
        <v>45252</v>
      </c>
      <c r="C3755" s="1" t="n">
        <v>45811</v>
      </c>
      <c r="D3755" t="inlineStr">
        <is>
          <t>VÄSTMANLANDS LÄN</t>
        </is>
      </c>
      <c r="E3755" t="inlineStr">
        <is>
          <t>SKINNSKATTEBERG</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58920-2023</t>
        </is>
      </c>
      <c r="B3756" s="1" t="n">
        <v>45252</v>
      </c>
      <c r="C3756" s="1" t="n">
        <v>45811</v>
      </c>
      <c r="D3756" t="inlineStr">
        <is>
          <t>VÄSTMANLANDS LÄN</t>
        </is>
      </c>
      <c r="E3756" t="inlineStr">
        <is>
          <t>SALA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58973-2023</t>
        </is>
      </c>
      <c r="B3757" s="1" t="n">
        <v>45252</v>
      </c>
      <c r="C3757" s="1" t="n">
        <v>45811</v>
      </c>
      <c r="D3757" t="inlineStr">
        <is>
          <t>VÄSTMANLANDS LÄN</t>
        </is>
      </c>
      <c r="E3757" t="inlineStr">
        <is>
          <t>SKINNSKATTEBERG</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58978-2023</t>
        </is>
      </c>
      <c r="B3758" s="1" t="n">
        <v>45252</v>
      </c>
      <c r="C3758" s="1" t="n">
        <v>45811</v>
      </c>
      <c r="D3758" t="inlineStr">
        <is>
          <t>VÄSTMANLANDS LÄN</t>
        </is>
      </c>
      <c r="E3758" t="inlineStr">
        <is>
          <t>SKINNSKATTEBERG</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58987-2023</t>
        </is>
      </c>
      <c r="B3759" s="1" t="n">
        <v>45252</v>
      </c>
      <c r="C3759" s="1" t="n">
        <v>45811</v>
      </c>
      <c r="D3759" t="inlineStr">
        <is>
          <t>VÄSTMANLANDS LÄN</t>
        </is>
      </c>
      <c r="E3759" t="inlineStr">
        <is>
          <t>SKINNSKATTEBERG</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58823-2023</t>
        </is>
      </c>
      <c r="B3760" s="1" t="n">
        <v>45252</v>
      </c>
      <c r="C3760" s="1" t="n">
        <v>45811</v>
      </c>
      <c r="D3760" t="inlineStr">
        <is>
          <t>VÄSTMANLANDS LÄN</t>
        </is>
      </c>
      <c r="E3760" t="inlineStr">
        <is>
          <t>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59337-2023</t>
        </is>
      </c>
      <c r="B3761" s="1" t="n">
        <v>45252</v>
      </c>
      <c r="C3761" s="1" t="n">
        <v>45811</v>
      </c>
      <c r="D3761" t="inlineStr">
        <is>
          <t>VÄSTMANLANDS LÄN</t>
        </is>
      </c>
      <c r="E3761" t="inlineStr">
        <is>
          <t>SKINNSKATTEBERG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59270-2023</t>
        </is>
      </c>
      <c r="B3762" s="1" t="n">
        <v>45253</v>
      </c>
      <c r="C3762" s="1" t="n">
        <v>45811</v>
      </c>
      <c r="D3762" t="inlineStr">
        <is>
          <t>VÄSTMANLANDS LÄN</t>
        </is>
      </c>
      <c r="E3762" t="inlineStr">
        <is>
          <t>ARBOGA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59297-2023</t>
        </is>
      </c>
      <c r="B3763" s="1" t="n">
        <v>45253</v>
      </c>
      <c r="C3763" s="1" t="n">
        <v>45811</v>
      </c>
      <c r="D3763" t="inlineStr">
        <is>
          <t>VÄSTMANLANDS LÄN</t>
        </is>
      </c>
      <c r="E3763" t="inlineStr">
        <is>
          <t>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59317-2023</t>
        </is>
      </c>
      <c r="B3764" s="1" t="n">
        <v>45253</v>
      </c>
      <c r="C3764" s="1" t="n">
        <v>45811</v>
      </c>
      <c r="D3764" t="inlineStr">
        <is>
          <t>VÄSTMANLANDS LÄN</t>
        </is>
      </c>
      <c r="E3764" t="inlineStr">
        <is>
          <t>SURAHAMMAR</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59765-2023</t>
        </is>
      </c>
      <c r="B3765" s="1" t="n">
        <v>45257</v>
      </c>
      <c r="C3765" s="1" t="n">
        <v>45811</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59805-2023</t>
        </is>
      </c>
      <c r="B3766" s="1" t="n">
        <v>45257</v>
      </c>
      <c r="C3766" s="1" t="n">
        <v>45811</v>
      </c>
      <c r="D3766" t="inlineStr">
        <is>
          <t>VÄSTMANLANDS LÄN</t>
        </is>
      </c>
      <c r="E3766" t="inlineStr">
        <is>
          <t>FAGERSTA</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59713-2023</t>
        </is>
      </c>
      <c r="B3767" s="1" t="n">
        <v>45257</v>
      </c>
      <c r="C3767" s="1" t="n">
        <v>45811</v>
      </c>
      <c r="D3767" t="inlineStr">
        <is>
          <t>VÄSTMANLANDS LÄN</t>
        </is>
      </c>
      <c r="E3767" t="inlineStr">
        <is>
          <t>SALA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59717-2023</t>
        </is>
      </c>
      <c r="B3768" s="1" t="n">
        <v>45257</v>
      </c>
      <c r="C3768" s="1" t="n">
        <v>45811</v>
      </c>
      <c r="D3768" t="inlineStr">
        <is>
          <t>VÄSTMANLANDS LÄN</t>
        </is>
      </c>
      <c r="E3768" t="inlineStr">
        <is>
          <t>SKINNSKATTEBERG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59785-2023</t>
        </is>
      </c>
      <c r="B3769" s="1" t="n">
        <v>45257</v>
      </c>
      <c r="C3769" s="1" t="n">
        <v>45811</v>
      </c>
      <c r="D3769" t="inlineStr">
        <is>
          <t>VÄSTMANLANDS LÄN</t>
        </is>
      </c>
      <c r="E3769" t="inlineStr">
        <is>
          <t>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60367-2023</t>
        </is>
      </c>
      <c r="B3770" s="1" t="n">
        <v>45257</v>
      </c>
      <c r="C3770" s="1" t="n">
        <v>45811</v>
      </c>
      <c r="D3770" t="inlineStr">
        <is>
          <t>VÄSTMANLANDS LÄN</t>
        </is>
      </c>
      <c r="E3770" t="inlineStr">
        <is>
          <t>KÖPING</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60206-2023</t>
        </is>
      </c>
      <c r="B3771" s="1" t="n">
        <v>45258</v>
      </c>
      <c r="C3771" s="1" t="n">
        <v>45811</v>
      </c>
      <c r="D3771" t="inlineStr">
        <is>
          <t>VÄSTMANLANDS LÄN</t>
        </is>
      </c>
      <c r="E3771" t="inlineStr">
        <is>
          <t>KÖPING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60249-2023</t>
        </is>
      </c>
      <c r="B3772" s="1" t="n">
        <v>45258</v>
      </c>
      <c r="C3772" s="1" t="n">
        <v>45811</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60731-2023</t>
        </is>
      </c>
      <c r="B3773" s="1" t="n">
        <v>45260</v>
      </c>
      <c r="C3773" s="1" t="n">
        <v>45811</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60730-2023</t>
        </is>
      </c>
      <c r="B3774" s="1" t="n">
        <v>45260</v>
      </c>
      <c r="C3774" s="1" t="n">
        <v>45811</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60925-2023</t>
        </is>
      </c>
      <c r="B3775" s="1" t="n">
        <v>45261</v>
      </c>
      <c r="C3775" s="1" t="n">
        <v>45811</v>
      </c>
      <c r="D3775" t="inlineStr">
        <is>
          <t>VÄSTMANLANDS LÄN</t>
        </is>
      </c>
      <c r="E3775" t="inlineStr">
        <is>
          <t>VÄSTERÅS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60991-2023</t>
        </is>
      </c>
      <c r="B3776" s="1" t="n">
        <v>45261</v>
      </c>
      <c r="C3776" s="1" t="n">
        <v>45811</v>
      </c>
      <c r="D3776" t="inlineStr">
        <is>
          <t>VÄSTMANLANDS LÄN</t>
        </is>
      </c>
      <c r="E3776" t="inlineStr">
        <is>
          <t>KÖPING</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61047-2023</t>
        </is>
      </c>
      <c r="B3777" s="1" t="n">
        <v>45261</v>
      </c>
      <c r="C3777" s="1" t="n">
        <v>45811</v>
      </c>
      <c r="D3777" t="inlineStr">
        <is>
          <t>VÄSTMANLANDS LÄN</t>
        </is>
      </c>
      <c r="E3777" t="inlineStr">
        <is>
          <t>KÖPING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61547-2023</t>
        </is>
      </c>
      <c r="B3778" s="1" t="n">
        <v>45261</v>
      </c>
      <c r="C3778" s="1" t="n">
        <v>45811</v>
      </c>
      <c r="D3778" t="inlineStr">
        <is>
          <t>VÄSTMANLANDS LÄN</t>
        </is>
      </c>
      <c r="E3778" t="inlineStr">
        <is>
          <t>VÄSTERÅS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61339-2023</t>
        </is>
      </c>
      <c r="B3779" s="1" t="n">
        <v>45264</v>
      </c>
      <c r="C3779" s="1" t="n">
        <v>45811</v>
      </c>
      <c r="D3779" t="inlineStr">
        <is>
          <t>VÄSTMANLANDS LÄN</t>
        </is>
      </c>
      <c r="E3779" t="inlineStr">
        <is>
          <t>KÖPING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61358-2023</t>
        </is>
      </c>
      <c r="B3780" s="1" t="n">
        <v>45264</v>
      </c>
      <c r="C3780" s="1" t="n">
        <v>45811</v>
      </c>
      <c r="D3780" t="inlineStr">
        <is>
          <t>VÄSTMANLANDS LÄN</t>
        </is>
      </c>
      <c r="E3780" t="inlineStr">
        <is>
          <t>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61322-2023</t>
        </is>
      </c>
      <c r="B3781" s="1" t="n">
        <v>45264</v>
      </c>
      <c r="C3781" s="1" t="n">
        <v>45811</v>
      </c>
      <c r="D3781" t="inlineStr">
        <is>
          <t>VÄSTMANLANDS LÄN</t>
        </is>
      </c>
      <c r="E3781" t="inlineStr">
        <is>
          <t>KÖPING</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61353-2023</t>
        </is>
      </c>
      <c r="B3782" s="1" t="n">
        <v>45264</v>
      </c>
      <c r="C3782" s="1" t="n">
        <v>45811</v>
      </c>
      <c r="D3782" t="inlineStr">
        <is>
          <t>VÄSTMANLANDS LÄN</t>
        </is>
      </c>
      <c r="E3782" t="inlineStr">
        <is>
          <t>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61375-2023</t>
        </is>
      </c>
      <c r="B3783" s="1" t="n">
        <v>45264</v>
      </c>
      <c r="C3783" s="1" t="n">
        <v>45811</v>
      </c>
      <c r="D3783" t="inlineStr">
        <is>
          <t>VÄSTMANLANDS LÄN</t>
        </is>
      </c>
      <c r="E3783" t="inlineStr">
        <is>
          <t>ARBOGA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61300-2023</t>
        </is>
      </c>
      <c r="B3784" s="1" t="n">
        <v>45264</v>
      </c>
      <c r="C3784" s="1" t="n">
        <v>45811</v>
      </c>
      <c r="D3784" t="inlineStr">
        <is>
          <t>VÄSTMANLANDS LÄN</t>
        </is>
      </c>
      <c r="E3784" t="inlineStr">
        <is>
          <t>ARBOGA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61328-2023</t>
        </is>
      </c>
      <c r="B3785" s="1" t="n">
        <v>45264</v>
      </c>
      <c r="C3785" s="1" t="n">
        <v>45811</v>
      </c>
      <c r="D3785" t="inlineStr">
        <is>
          <t>VÄSTMANLANDS LÄN</t>
        </is>
      </c>
      <c r="E3785" t="inlineStr">
        <is>
          <t>ARBOGA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61388-2023</t>
        </is>
      </c>
      <c r="B3786" s="1" t="n">
        <v>45264</v>
      </c>
      <c r="C3786" s="1" t="n">
        <v>45811</v>
      </c>
      <c r="D3786" t="inlineStr">
        <is>
          <t>VÄSTMANLANDS LÄN</t>
        </is>
      </c>
      <c r="E3786" t="inlineStr">
        <is>
          <t>ARBOGA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61394-2023</t>
        </is>
      </c>
      <c r="B3787" s="1" t="n">
        <v>45264</v>
      </c>
      <c r="C3787" s="1" t="n">
        <v>45811</v>
      </c>
      <c r="D3787" t="inlineStr">
        <is>
          <t>VÄSTMANLANDS LÄN</t>
        </is>
      </c>
      <c r="E3787" t="inlineStr">
        <is>
          <t>ARBOGA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61258-2023</t>
        </is>
      </c>
      <c r="B3788" s="1" t="n">
        <v>45264</v>
      </c>
      <c r="C3788" s="1" t="n">
        <v>45811</v>
      </c>
      <c r="D3788" t="inlineStr">
        <is>
          <t>VÄSTMANLANDS LÄN</t>
        </is>
      </c>
      <c r="E3788" t="inlineStr">
        <is>
          <t>VÄSTERÅS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61320-2023</t>
        </is>
      </c>
      <c r="B3789" s="1" t="n">
        <v>45264</v>
      </c>
      <c r="C3789" s="1" t="n">
        <v>45811</v>
      </c>
      <c r="D3789" t="inlineStr">
        <is>
          <t>VÄSTMANLANDS LÄN</t>
        </is>
      </c>
      <c r="E3789" t="inlineStr">
        <is>
          <t>ARBOGA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61424-2023</t>
        </is>
      </c>
      <c r="B3790" s="1" t="n">
        <v>45264</v>
      </c>
      <c r="C3790" s="1" t="n">
        <v>45811</v>
      </c>
      <c r="D3790" t="inlineStr">
        <is>
          <t>VÄSTMANLANDS LÄN</t>
        </is>
      </c>
      <c r="E3790" t="inlineStr">
        <is>
          <t>SKINNSKATTEBERG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61525-2023</t>
        </is>
      </c>
      <c r="B3791" s="1" t="n">
        <v>45265</v>
      </c>
      <c r="C3791" s="1" t="n">
        <v>45811</v>
      </c>
      <c r="D3791" t="inlineStr">
        <is>
          <t>VÄSTMANLANDS LÄN</t>
        </is>
      </c>
      <c r="E3791" t="inlineStr">
        <is>
          <t>SALA</t>
        </is>
      </c>
      <c r="G3791" t="n">
        <v>1.6</v>
      </c>
      <c r="H3791" t="n">
        <v>0</v>
      </c>
      <c r="I3791" t="n">
        <v>0</v>
      </c>
      <c r="J3791" t="n">
        <v>0</v>
      </c>
      <c r="K3791" t="n">
        <v>0</v>
      </c>
      <c r="L3791" t="n">
        <v>0</v>
      </c>
      <c r="M3791" t="n">
        <v>0</v>
      </c>
      <c r="N3791" t="n">
        <v>0</v>
      </c>
      <c r="O3791" t="n">
        <v>0</v>
      </c>
      <c r="P3791" t="n">
        <v>0</v>
      </c>
      <c r="Q3791" t="n">
        <v>0</v>
      </c>
      <c r="R3791" s="2" t="inlineStr"/>
      <c r="U3791">
        <f>HYPERLINK("https://klasma.github.io/Logging_1981/knärot/A 61525-2023 karta knärot.png", "A 61525-2023")</f>
        <v/>
      </c>
      <c r="V3791">
        <f>HYPERLINK("https://klasma.github.io/Logging_1981/klagomål/A 61525-2023 FSC-klagomål.docx", "A 61525-2023")</f>
        <v/>
      </c>
      <c r="W3791">
        <f>HYPERLINK("https://klasma.github.io/Logging_1981/klagomålsmail/A 61525-2023 FSC-klagomål mail.docx", "A 61525-2023")</f>
        <v/>
      </c>
      <c r="X3791">
        <f>HYPERLINK("https://klasma.github.io/Logging_1981/tillsyn/A 61525-2023 tillsynsbegäran.docx", "A 61525-2023")</f>
        <v/>
      </c>
      <c r="Y3791">
        <f>HYPERLINK("https://klasma.github.io/Logging_1981/tillsynsmail/A 61525-2023 tillsynsbegäran mail.docx", "A 61525-2023")</f>
        <v/>
      </c>
    </row>
    <row r="3792" ht="15" customHeight="1">
      <c r="A3792" t="inlineStr">
        <is>
          <t>A 62318-2023</t>
        </is>
      </c>
      <c r="B3792" s="1" t="n">
        <v>45266</v>
      </c>
      <c r="C3792" s="1" t="n">
        <v>45811</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62477-2023</t>
        </is>
      </c>
      <c r="B3793" s="1" t="n">
        <v>45268</v>
      </c>
      <c r="C3793" s="1" t="n">
        <v>45811</v>
      </c>
      <c r="D3793" t="inlineStr">
        <is>
          <t>VÄSTMANLANDS LÄN</t>
        </is>
      </c>
      <c r="E3793" t="inlineStr">
        <is>
          <t>NORBERG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62487-2023</t>
        </is>
      </c>
      <c r="B3794" s="1" t="n">
        <v>45268</v>
      </c>
      <c r="C3794" s="1" t="n">
        <v>45811</v>
      </c>
      <c r="D3794" t="inlineStr">
        <is>
          <t>VÄSTMANLANDS LÄN</t>
        </is>
      </c>
      <c r="E3794" t="inlineStr">
        <is>
          <t>SKINNSKATTEBERG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62449-2023</t>
        </is>
      </c>
      <c r="B3795" s="1" t="n">
        <v>45268</v>
      </c>
      <c r="C3795" s="1" t="n">
        <v>45811</v>
      </c>
      <c r="D3795" t="inlineStr">
        <is>
          <t>VÄSTMANLANDS LÄN</t>
        </is>
      </c>
      <c r="E3795" t="inlineStr">
        <is>
          <t>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62831-2023</t>
        </is>
      </c>
      <c r="B3796" s="1" t="n">
        <v>45270</v>
      </c>
      <c r="C3796" s="1" t="n">
        <v>45811</v>
      </c>
      <c r="D3796" t="inlineStr">
        <is>
          <t>VÄSTMANLANDS LÄN</t>
        </is>
      </c>
      <c r="E3796" t="inlineStr">
        <is>
          <t>HALLSTAHAMMAR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62842-2023</t>
        </is>
      </c>
      <c r="B3797" s="1" t="n">
        <v>45270</v>
      </c>
      <c r="C3797" s="1" t="n">
        <v>45811</v>
      </c>
      <c r="D3797" t="inlineStr">
        <is>
          <t>VÄSTMANLANDS LÄN</t>
        </is>
      </c>
      <c r="E3797" t="inlineStr">
        <is>
          <t>HALLSTAHAMMAR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62630-2023</t>
        </is>
      </c>
      <c r="B3798" s="1" t="n">
        <v>45271</v>
      </c>
      <c r="C3798" s="1" t="n">
        <v>45811</v>
      </c>
      <c r="D3798" t="inlineStr">
        <is>
          <t>VÄSTMANLANDS LÄN</t>
        </is>
      </c>
      <c r="E3798" t="inlineStr">
        <is>
          <t>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62871-2023</t>
        </is>
      </c>
      <c r="B3799" s="1" t="n">
        <v>45272</v>
      </c>
      <c r="C3799" s="1" t="n">
        <v>45811</v>
      </c>
      <c r="D3799" t="inlineStr">
        <is>
          <t>VÄSTMANLANDS LÄN</t>
        </is>
      </c>
      <c r="E3799" t="inlineStr">
        <is>
          <t>VÄSTERÅS</t>
        </is>
      </c>
      <c r="F3799" t="inlineStr">
        <is>
          <t>Allmännings- och besparingsskogar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63109-2023</t>
        </is>
      </c>
      <c r="B3800" s="1" t="n">
        <v>45273</v>
      </c>
      <c r="C3800" s="1" t="n">
        <v>45811</v>
      </c>
      <c r="D3800" t="inlineStr">
        <is>
          <t>VÄSTMANLANDS LÄN</t>
        </is>
      </c>
      <c r="E3800" t="inlineStr">
        <is>
          <t>VÄSTERÅS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63234-2023</t>
        </is>
      </c>
      <c r="B3801" s="1" t="n">
        <v>45273</v>
      </c>
      <c r="C3801" s="1" t="n">
        <v>45811</v>
      </c>
      <c r="D3801" t="inlineStr">
        <is>
          <t>VÄSTMANLANDS LÄN</t>
        </is>
      </c>
      <c r="E3801" t="inlineStr">
        <is>
          <t>SALA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63229-2023</t>
        </is>
      </c>
      <c r="B3802" s="1" t="n">
        <v>45273</v>
      </c>
      <c r="C3802" s="1" t="n">
        <v>45811</v>
      </c>
      <c r="D3802" t="inlineStr">
        <is>
          <t>VÄSTMANLANDS LÄN</t>
        </is>
      </c>
      <c r="E3802" t="inlineStr">
        <is>
          <t>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63274-2023</t>
        </is>
      </c>
      <c r="B3803" s="1" t="n">
        <v>45273</v>
      </c>
      <c r="C3803" s="1" t="n">
        <v>45811</v>
      </c>
      <c r="D3803" t="inlineStr">
        <is>
          <t>VÄSTMANLANDS LÄN</t>
        </is>
      </c>
      <c r="E3803" t="inlineStr">
        <is>
          <t>SALA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63236-2023</t>
        </is>
      </c>
      <c r="B3804" s="1" t="n">
        <v>45273</v>
      </c>
      <c r="C3804" s="1" t="n">
        <v>45811</v>
      </c>
      <c r="D3804" t="inlineStr">
        <is>
          <t>VÄSTMANLANDS LÄN</t>
        </is>
      </c>
      <c r="E3804" t="inlineStr">
        <is>
          <t>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63241-2023</t>
        </is>
      </c>
      <c r="B3805" s="1" t="n">
        <v>45273</v>
      </c>
      <c r="C3805" s="1" t="n">
        <v>45811</v>
      </c>
      <c r="D3805" t="inlineStr">
        <is>
          <t>VÄSTMANLANDS LÄN</t>
        </is>
      </c>
      <c r="E3805" t="inlineStr">
        <is>
          <t>KÖPING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63477-2023</t>
        </is>
      </c>
      <c r="B3806" s="1" t="n">
        <v>45274</v>
      </c>
      <c r="C3806" s="1" t="n">
        <v>45811</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63481-2023</t>
        </is>
      </c>
      <c r="B3807" s="1" t="n">
        <v>45274</v>
      </c>
      <c r="C3807" s="1" t="n">
        <v>45811</v>
      </c>
      <c r="D3807" t="inlineStr">
        <is>
          <t>VÄSTMANLANDS LÄN</t>
        </is>
      </c>
      <c r="E3807" t="inlineStr">
        <is>
          <t>VÄSTERÅS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63483-2023</t>
        </is>
      </c>
      <c r="B3808" s="1" t="n">
        <v>45274</v>
      </c>
      <c r="C3808" s="1" t="n">
        <v>45811</v>
      </c>
      <c r="D3808" t="inlineStr">
        <is>
          <t>VÄSTMANLANDS LÄN</t>
        </is>
      </c>
      <c r="E3808" t="inlineStr">
        <is>
          <t>VÄSTERÅS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63466-2023</t>
        </is>
      </c>
      <c r="B3809" s="1" t="n">
        <v>45274</v>
      </c>
      <c r="C3809" s="1" t="n">
        <v>45811</v>
      </c>
      <c r="D3809" t="inlineStr">
        <is>
          <t>VÄSTMANLANDS LÄN</t>
        </is>
      </c>
      <c r="E3809" t="inlineStr">
        <is>
          <t>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63473-2023</t>
        </is>
      </c>
      <c r="B3810" s="1" t="n">
        <v>45274</v>
      </c>
      <c r="C3810" s="1" t="n">
        <v>45811</v>
      </c>
      <c r="D3810" t="inlineStr">
        <is>
          <t>VÄSTMANLANDS LÄN</t>
        </is>
      </c>
      <c r="E3810" t="inlineStr">
        <is>
          <t>VÄSTERÅS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63495-2023</t>
        </is>
      </c>
      <c r="B3811" s="1" t="n">
        <v>45274</v>
      </c>
      <c r="C3811" s="1" t="n">
        <v>45811</v>
      </c>
      <c r="D3811" t="inlineStr">
        <is>
          <t>VÄSTMANLANDS LÄN</t>
        </is>
      </c>
      <c r="E3811" t="inlineStr">
        <is>
          <t>NORBERG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63480-2023</t>
        </is>
      </c>
      <c r="B3812" s="1" t="n">
        <v>45274</v>
      </c>
      <c r="C3812" s="1" t="n">
        <v>45811</v>
      </c>
      <c r="D3812" t="inlineStr">
        <is>
          <t>VÄSTMANLANDS LÄN</t>
        </is>
      </c>
      <c r="E3812" t="inlineStr">
        <is>
          <t>FAGERSTA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63505-2023</t>
        </is>
      </c>
      <c r="B3813" s="1" t="n">
        <v>45274</v>
      </c>
      <c r="C3813" s="1" t="n">
        <v>45811</v>
      </c>
      <c r="D3813" t="inlineStr">
        <is>
          <t>VÄSTMANLANDS LÄN</t>
        </is>
      </c>
      <c r="E3813" t="inlineStr">
        <is>
          <t>NORBERG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63564-2023</t>
        </is>
      </c>
      <c r="B3814" s="1" t="n">
        <v>45275</v>
      </c>
      <c r="C3814" s="1" t="n">
        <v>45811</v>
      </c>
      <c r="D3814" t="inlineStr">
        <is>
          <t>VÄSTMANLANDS LÄN</t>
        </is>
      </c>
      <c r="E3814" t="inlineStr">
        <is>
          <t>SALA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63905-2023</t>
        </is>
      </c>
      <c r="B3815" s="1" t="n">
        <v>45278</v>
      </c>
      <c r="C3815" s="1" t="n">
        <v>45811</v>
      </c>
      <c r="D3815" t="inlineStr">
        <is>
          <t>VÄSTMANLANDS LÄN</t>
        </is>
      </c>
      <c r="E3815" t="inlineStr">
        <is>
          <t>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63933-2023</t>
        </is>
      </c>
      <c r="B3816" s="1" t="n">
        <v>45278</v>
      </c>
      <c r="C3816" s="1" t="n">
        <v>45811</v>
      </c>
      <c r="D3816" t="inlineStr">
        <is>
          <t>VÄSTMANLANDS LÄN</t>
        </is>
      </c>
      <c r="E3816" t="inlineStr">
        <is>
          <t>SALA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64001-2023</t>
        </is>
      </c>
      <c r="B3817" s="1" t="n">
        <v>45278</v>
      </c>
      <c r="C3817" s="1" t="n">
        <v>45811</v>
      </c>
      <c r="D3817" t="inlineStr">
        <is>
          <t>VÄSTMANLANDS LÄN</t>
        </is>
      </c>
      <c r="E3817" t="inlineStr">
        <is>
          <t>SKINNSKATTEBERG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63999-2023</t>
        </is>
      </c>
      <c r="B3818" s="1" t="n">
        <v>45278</v>
      </c>
      <c r="C3818" s="1" t="n">
        <v>45811</v>
      </c>
      <c r="D3818" t="inlineStr">
        <is>
          <t>VÄSTMANLANDS LÄN</t>
        </is>
      </c>
      <c r="E3818" t="inlineStr">
        <is>
          <t>SKINNSKATTEBERG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64044-2023</t>
        </is>
      </c>
      <c r="B3819" s="1" t="n">
        <v>45278</v>
      </c>
      <c r="C3819" s="1" t="n">
        <v>45811</v>
      </c>
      <c r="D3819" t="inlineStr">
        <is>
          <t>VÄSTMANLANDS LÄN</t>
        </is>
      </c>
      <c r="E3819" t="inlineStr">
        <is>
          <t>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64109-2023</t>
        </is>
      </c>
      <c r="B3820" s="1" t="n">
        <v>45279</v>
      </c>
      <c r="C3820" s="1" t="n">
        <v>45811</v>
      </c>
      <c r="D3820" t="inlineStr">
        <is>
          <t>VÄSTMANLANDS LÄN</t>
        </is>
      </c>
      <c r="E3820" t="inlineStr">
        <is>
          <t>SALA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64123-2023</t>
        </is>
      </c>
      <c r="B3821" s="1" t="n">
        <v>45279</v>
      </c>
      <c r="C3821" s="1" t="n">
        <v>45811</v>
      </c>
      <c r="D3821" t="inlineStr">
        <is>
          <t>VÄSTMANLANDS LÄN</t>
        </is>
      </c>
      <c r="E3821" t="inlineStr">
        <is>
          <t>SALA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64202-2023</t>
        </is>
      </c>
      <c r="B3822" s="1" t="n">
        <v>45279</v>
      </c>
      <c r="C3822" s="1" t="n">
        <v>45811</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64201-2023</t>
        </is>
      </c>
      <c r="B3823" s="1" t="n">
        <v>45279</v>
      </c>
      <c r="C3823" s="1" t="n">
        <v>45811</v>
      </c>
      <c r="D3823" t="inlineStr">
        <is>
          <t>VÄSTMANLANDS LÄN</t>
        </is>
      </c>
      <c r="E3823" t="inlineStr">
        <is>
          <t>VÄSTERÅS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64209-2023</t>
        </is>
      </c>
      <c r="B3824" s="1" t="n">
        <v>45279</v>
      </c>
      <c r="C3824" s="1" t="n">
        <v>45811</v>
      </c>
      <c r="D3824" t="inlineStr">
        <is>
          <t>VÄSTMANLANDS LÄN</t>
        </is>
      </c>
      <c r="E3824" t="inlineStr">
        <is>
          <t>KÖPING</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64176-2023</t>
        </is>
      </c>
      <c r="B3825" s="1" t="n">
        <v>45279</v>
      </c>
      <c r="C3825" s="1" t="n">
        <v>45811</v>
      </c>
      <c r="D3825" t="inlineStr">
        <is>
          <t>VÄSTMANLANDS LÄN</t>
        </is>
      </c>
      <c r="E3825" t="inlineStr">
        <is>
          <t>SKINNSKATTEBERG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64208-2023</t>
        </is>
      </c>
      <c r="B3826" s="1" t="n">
        <v>45279</v>
      </c>
      <c r="C3826" s="1" t="n">
        <v>45811</v>
      </c>
      <c r="D3826" t="inlineStr">
        <is>
          <t>VÄSTMANLANDS LÄN</t>
        </is>
      </c>
      <c r="E3826" t="inlineStr">
        <is>
          <t>VÄSTERÅS</t>
        </is>
      </c>
      <c r="G3826" t="n">
        <v>13.9</v>
      </c>
      <c r="H3826" t="n">
        <v>0</v>
      </c>
      <c r="I3826" t="n">
        <v>0</v>
      </c>
      <c r="J3826" t="n">
        <v>0</v>
      </c>
      <c r="K3826" t="n">
        <v>0</v>
      </c>
      <c r="L3826" t="n">
        <v>0</v>
      </c>
      <c r="M3826" t="n">
        <v>0</v>
      </c>
      <c r="N3826" t="n">
        <v>0</v>
      </c>
      <c r="O3826" t="n">
        <v>0</v>
      </c>
      <c r="P3826" t="n">
        <v>0</v>
      </c>
      <c r="Q3826" t="n">
        <v>0</v>
      </c>
      <c r="R3826" s="2" t="inlineStr"/>
    </row>
    <row r="3827" ht="15" customHeight="1">
      <c r="A3827" t="inlineStr">
        <is>
          <t>A 64207-2023</t>
        </is>
      </c>
      <c r="B3827" s="1" t="n">
        <v>45279</v>
      </c>
      <c r="C3827" s="1" t="n">
        <v>45811</v>
      </c>
      <c r="D3827" t="inlineStr">
        <is>
          <t>VÄSTMANLANDS LÄN</t>
        </is>
      </c>
      <c r="E3827" t="inlineStr">
        <is>
          <t>VÄSTERÅS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64300-2023</t>
        </is>
      </c>
      <c r="B3828" s="1" t="n">
        <v>45280</v>
      </c>
      <c r="C3828" s="1" t="n">
        <v>45811</v>
      </c>
      <c r="D3828" t="inlineStr">
        <is>
          <t>VÄSTMANLANDS LÄN</t>
        </is>
      </c>
      <c r="E3828" t="inlineStr">
        <is>
          <t>ARBOGA</t>
        </is>
      </c>
      <c r="F3828" t="inlineStr">
        <is>
          <t>Kyrkan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64343-2023</t>
        </is>
      </c>
      <c r="B3829" s="1" t="n">
        <v>45280</v>
      </c>
      <c r="C3829" s="1" t="n">
        <v>45811</v>
      </c>
      <c r="D3829" t="inlineStr">
        <is>
          <t>VÄSTMANLANDS LÄN</t>
        </is>
      </c>
      <c r="E3829" t="inlineStr">
        <is>
          <t>SURAHAMMAR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64448-2023</t>
        </is>
      </c>
      <c r="B3830" s="1" t="n">
        <v>45280</v>
      </c>
      <c r="C3830" s="1" t="n">
        <v>45811</v>
      </c>
      <c r="D3830" t="inlineStr">
        <is>
          <t>VÄSTMANLANDS LÄN</t>
        </is>
      </c>
      <c r="E3830" t="inlineStr">
        <is>
          <t>SKINNSKATTEBERG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64714-2023</t>
        </is>
      </c>
      <c r="B3831" s="1" t="n">
        <v>45281</v>
      </c>
      <c r="C3831" s="1" t="n">
        <v>45811</v>
      </c>
      <c r="D3831" t="inlineStr">
        <is>
          <t>VÄSTMANLANDS LÄN</t>
        </is>
      </c>
      <c r="E3831" t="inlineStr">
        <is>
          <t>VÄSTERÅS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64693-2023</t>
        </is>
      </c>
      <c r="B3832" s="1" t="n">
        <v>45281</v>
      </c>
      <c r="C3832" s="1" t="n">
        <v>45811</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64729-2023</t>
        </is>
      </c>
      <c r="B3833" s="1" t="n">
        <v>45281</v>
      </c>
      <c r="C3833" s="1" t="n">
        <v>45811</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64724-2023</t>
        </is>
      </c>
      <c r="B3834" s="1" t="n">
        <v>45281</v>
      </c>
      <c r="C3834" s="1" t="n">
        <v>45811</v>
      </c>
      <c r="D3834" t="inlineStr">
        <is>
          <t>VÄSTMANLANDS LÄN</t>
        </is>
      </c>
      <c r="E3834" t="inlineStr">
        <is>
          <t>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64692-2023</t>
        </is>
      </c>
      <c r="B3835" s="1" t="n">
        <v>45281</v>
      </c>
      <c r="C3835" s="1" t="n">
        <v>45811</v>
      </c>
      <c r="D3835" t="inlineStr">
        <is>
          <t>VÄSTMANLANDS LÄN</t>
        </is>
      </c>
      <c r="E3835" t="inlineStr">
        <is>
          <t>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64687-2023</t>
        </is>
      </c>
      <c r="B3836" s="1" t="n">
        <v>45281</v>
      </c>
      <c r="C3836" s="1" t="n">
        <v>45811</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64695-2023</t>
        </is>
      </c>
      <c r="B3837" s="1" t="n">
        <v>45281</v>
      </c>
      <c r="C3837" s="1" t="n">
        <v>45811</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64711-2023</t>
        </is>
      </c>
      <c r="B3838" s="1" t="n">
        <v>45281</v>
      </c>
      <c r="C3838" s="1" t="n">
        <v>45811</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64787-2023</t>
        </is>
      </c>
      <c r="B3839" s="1" t="n">
        <v>45282</v>
      </c>
      <c r="C3839" s="1" t="n">
        <v>45811</v>
      </c>
      <c r="D3839" t="inlineStr">
        <is>
          <t>VÄSTMANLANDS LÄN</t>
        </is>
      </c>
      <c r="E3839" t="inlineStr">
        <is>
          <t>VÄSTERÅS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64793-2023</t>
        </is>
      </c>
      <c r="B3840" s="1" t="n">
        <v>45282</v>
      </c>
      <c r="C3840" s="1" t="n">
        <v>45811</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64925-2023</t>
        </is>
      </c>
      <c r="B3841" s="1" t="n">
        <v>45282</v>
      </c>
      <c r="C3841" s="1" t="n">
        <v>45811</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65255-2023</t>
        </is>
      </c>
      <c r="B3842" s="1" t="n">
        <v>45290</v>
      </c>
      <c r="C3842" s="1" t="n">
        <v>45811</v>
      </c>
      <c r="D3842" t="inlineStr">
        <is>
          <t>VÄSTMANLANDS LÄN</t>
        </is>
      </c>
      <c r="E3842" t="inlineStr">
        <is>
          <t>ARBOGA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7-2024</t>
        </is>
      </c>
      <c r="B3843" s="1" t="n">
        <v>45293</v>
      </c>
      <c r="C3843" s="1" t="n">
        <v>45811</v>
      </c>
      <c r="D3843" t="inlineStr">
        <is>
          <t>VÄSTMANLANDS LÄN</t>
        </is>
      </c>
      <c r="E3843" t="inlineStr">
        <is>
          <t>ARBOGA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30-2024</t>
        </is>
      </c>
      <c r="B3844" s="1" t="n">
        <v>45293</v>
      </c>
      <c r="C3844" s="1" t="n">
        <v>45811</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96-2024</t>
        </is>
      </c>
      <c r="B3845" s="1" t="n">
        <v>45293</v>
      </c>
      <c r="C3845" s="1" t="n">
        <v>45811</v>
      </c>
      <c r="D3845" t="inlineStr">
        <is>
          <t>VÄSTMANLANDS LÄN</t>
        </is>
      </c>
      <c r="E3845" t="inlineStr">
        <is>
          <t>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110-2024</t>
        </is>
      </c>
      <c r="B3846" s="1" t="n">
        <v>45294</v>
      </c>
      <c r="C3846" s="1" t="n">
        <v>45811</v>
      </c>
      <c r="D3846" t="inlineStr">
        <is>
          <t>VÄSTMANLANDS LÄN</t>
        </is>
      </c>
      <c r="E3846" t="inlineStr">
        <is>
          <t>SALA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401-2024</t>
        </is>
      </c>
      <c r="B3847" s="1" t="n">
        <v>45296</v>
      </c>
      <c r="C3847" s="1" t="n">
        <v>45811</v>
      </c>
      <c r="D3847" t="inlineStr">
        <is>
          <t>VÄSTMANLANDS LÄN</t>
        </is>
      </c>
      <c r="E3847" t="inlineStr">
        <is>
          <t>VÄSTERÅS</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456-2024</t>
        </is>
      </c>
      <c r="B3848" s="1" t="n">
        <v>45296</v>
      </c>
      <c r="C3848" s="1" t="n">
        <v>45811</v>
      </c>
      <c r="D3848" t="inlineStr">
        <is>
          <t>VÄSTMANLANDS LÄN</t>
        </is>
      </c>
      <c r="E3848" t="inlineStr">
        <is>
          <t>SALA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493-2024</t>
        </is>
      </c>
      <c r="B3849" s="1" t="n">
        <v>45299</v>
      </c>
      <c r="C3849" s="1" t="n">
        <v>45811</v>
      </c>
      <c r="D3849" t="inlineStr">
        <is>
          <t>VÄSTMANLANDS LÄN</t>
        </is>
      </c>
      <c r="E3849" t="inlineStr">
        <is>
          <t>VÄSTERÅS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1118-2024</t>
        </is>
      </c>
      <c r="B3850" s="1" t="n">
        <v>45302</v>
      </c>
      <c r="C3850" s="1" t="n">
        <v>45811</v>
      </c>
      <c r="D3850" t="inlineStr">
        <is>
          <t>VÄSTMANLANDS LÄN</t>
        </is>
      </c>
      <c r="E3850" t="inlineStr">
        <is>
          <t>SALA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1316-2024</t>
        </is>
      </c>
      <c r="B3851" s="1" t="n">
        <v>45303</v>
      </c>
      <c r="C3851" s="1" t="n">
        <v>45811</v>
      </c>
      <c r="D3851" t="inlineStr">
        <is>
          <t>VÄSTMANLANDS LÄN</t>
        </is>
      </c>
      <c r="E3851" t="inlineStr">
        <is>
          <t>SURAHAMMAR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1393-2024</t>
        </is>
      </c>
      <c r="B3852" s="1" t="n">
        <v>45303</v>
      </c>
      <c r="C3852" s="1" t="n">
        <v>45811</v>
      </c>
      <c r="D3852" t="inlineStr">
        <is>
          <t>VÄSTMANLANDS LÄN</t>
        </is>
      </c>
      <c r="E3852" t="inlineStr">
        <is>
          <t>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1433-2024</t>
        </is>
      </c>
      <c r="B3853" s="1" t="n">
        <v>45303</v>
      </c>
      <c r="C3853" s="1" t="n">
        <v>45811</v>
      </c>
      <c r="D3853" t="inlineStr">
        <is>
          <t>VÄSTMANLANDS LÄN</t>
        </is>
      </c>
      <c r="E3853" t="inlineStr">
        <is>
          <t>VÄSTERÅS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1435-2024</t>
        </is>
      </c>
      <c r="B3854" s="1" t="n">
        <v>45303</v>
      </c>
      <c r="C3854" s="1" t="n">
        <v>45811</v>
      </c>
      <c r="D3854" t="inlineStr">
        <is>
          <t>VÄSTMANLANDS LÄN</t>
        </is>
      </c>
      <c r="E3854" t="inlineStr">
        <is>
          <t>VÄSTERÅS</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1360-2024</t>
        </is>
      </c>
      <c r="B3855" s="1" t="n">
        <v>45303</v>
      </c>
      <c r="C3855" s="1" t="n">
        <v>45811</v>
      </c>
      <c r="D3855" t="inlineStr">
        <is>
          <t>VÄSTMANLANDS LÄN</t>
        </is>
      </c>
      <c r="E3855" t="inlineStr">
        <is>
          <t>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1555-2024</t>
        </is>
      </c>
      <c r="B3856" s="1" t="n">
        <v>45306</v>
      </c>
      <c r="C3856" s="1" t="n">
        <v>45811</v>
      </c>
      <c r="D3856" t="inlineStr">
        <is>
          <t>VÄSTMANLANDS LÄN</t>
        </is>
      </c>
      <c r="E3856" t="inlineStr">
        <is>
          <t>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1552-2024</t>
        </is>
      </c>
      <c r="B3857" s="1" t="n">
        <v>45306</v>
      </c>
      <c r="C3857" s="1" t="n">
        <v>45811</v>
      </c>
      <c r="D3857" t="inlineStr">
        <is>
          <t>VÄSTMANLANDS LÄN</t>
        </is>
      </c>
      <c r="E3857" t="inlineStr">
        <is>
          <t>SALA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1611-2024</t>
        </is>
      </c>
      <c r="B3858" s="1" t="n">
        <v>45306</v>
      </c>
      <c r="C3858" s="1" t="n">
        <v>45811</v>
      </c>
      <c r="D3858" t="inlineStr">
        <is>
          <t>VÄSTMANLANDS LÄN</t>
        </is>
      </c>
      <c r="E3858" t="inlineStr">
        <is>
          <t>SKINNSKATTEBERG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1619-2024</t>
        </is>
      </c>
      <c r="B3859" s="1" t="n">
        <v>45306</v>
      </c>
      <c r="C3859" s="1" t="n">
        <v>45811</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1620-2024</t>
        </is>
      </c>
      <c r="B3860" s="1" t="n">
        <v>45306</v>
      </c>
      <c r="C3860" s="1" t="n">
        <v>45811</v>
      </c>
      <c r="D3860" t="inlineStr">
        <is>
          <t>VÄSTMANLANDS LÄN</t>
        </is>
      </c>
      <c r="E3860" t="inlineStr">
        <is>
          <t>SKINNSKATTEBERG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1899-2024</t>
        </is>
      </c>
      <c r="B3861" s="1" t="n">
        <v>45308</v>
      </c>
      <c r="C3861" s="1" t="n">
        <v>45811</v>
      </c>
      <c r="D3861" t="inlineStr">
        <is>
          <t>VÄSTMANLANDS LÄN</t>
        </is>
      </c>
      <c r="E3861" t="inlineStr">
        <is>
          <t>VÄSTERÅS</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2342-2024</t>
        </is>
      </c>
      <c r="B3862" s="1" t="n">
        <v>45310</v>
      </c>
      <c r="C3862" s="1" t="n">
        <v>45811</v>
      </c>
      <c r="D3862" t="inlineStr">
        <is>
          <t>VÄSTMANLANDS LÄN</t>
        </is>
      </c>
      <c r="E3862" t="inlineStr">
        <is>
          <t>VÄSTERÅS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2392-2024</t>
        </is>
      </c>
      <c r="B3863" s="1" t="n">
        <v>45310</v>
      </c>
      <c r="C3863" s="1" t="n">
        <v>45811</v>
      </c>
      <c r="D3863" t="inlineStr">
        <is>
          <t>VÄSTMANLANDS LÄN</t>
        </is>
      </c>
      <c r="E3863" t="inlineStr">
        <is>
          <t>SALA</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2387-2024</t>
        </is>
      </c>
      <c r="B3864" s="1" t="n">
        <v>45310</v>
      </c>
      <c r="C3864" s="1" t="n">
        <v>45811</v>
      </c>
      <c r="D3864" t="inlineStr">
        <is>
          <t>VÄSTMANLANDS LÄN</t>
        </is>
      </c>
      <c r="E3864" t="inlineStr">
        <is>
          <t>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2391-2024</t>
        </is>
      </c>
      <c r="B3865" s="1" t="n">
        <v>45310</v>
      </c>
      <c r="C3865" s="1" t="n">
        <v>45811</v>
      </c>
      <c r="D3865" t="inlineStr">
        <is>
          <t>VÄSTMANLANDS LÄN</t>
        </is>
      </c>
      <c r="E3865" t="inlineStr">
        <is>
          <t>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2680-2024</t>
        </is>
      </c>
      <c r="B3866" s="1" t="n">
        <v>45310</v>
      </c>
      <c r="C3866" s="1" t="n">
        <v>45811</v>
      </c>
      <c r="D3866" t="inlineStr">
        <is>
          <t>VÄSTMANLANDS LÄN</t>
        </is>
      </c>
      <c r="E3866" t="inlineStr">
        <is>
          <t>SURAHAMMAR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2660-2024</t>
        </is>
      </c>
      <c r="B3867" s="1" t="n">
        <v>45310</v>
      </c>
      <c r="C3867" s="1" t="n">
        <v>45811</v>
      </c>
      <c r="D3867" t="inlineStr">
        <is>
          <t>VÄSTMANLANDS LÄN</t>
        </is>
      </c>
      <c r="E3867" t="inlineStr">
        <is>
          <t>SURAHAMMAR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2584-2024</t>
        </is>
      </c>
      <c r="B3868" s="1" t="n">
        <v>45313</v>
      </c>
      <c r="C3868" s="1" t="n">
        <v>45811</v>
      </c>
      <c r="D3868" t="inlineStr">
        <is>
          <t>VÄSTMANLANDS LÄN</t>
        </is>
      </c>
      <c r="E3868" t="inlineStr">
        <is>
          <t>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2478-2024</t>
        </is>
      </c>
      <c r="B3869" s="1" t="n">
        <v>45313</v>
      </c>
      <c r="C3869" s="1" t="n">
        <v>45811</v>
      </c>
      <c r="D3869" t="inlineStr">
        <is>
          <t>VÄSTMANLANDS LÄN</t>
        </is>
      </c>
      <c r="E3869" t="inlineStr">
        <is>
          <t>SALA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2599-2024</t>
        </is>
      </c>
      <c r="B3870" s="1" t="n">
        <v>45313</v>
      </c>
      <c r="C3870" s="1" t="n">
        <v>45811</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2766-2024</t>
        </is>
      </c>
      <c r="B3871" s="1" t="n">
        <v>45314</v>
      </c>
      <c r="C3871" s="1" t="n">
        <v>45811</v>
      </c>
      <c r="D3871" t="inlineStr">
        <is>
          <t>VÄSTMANLANDS LÄN</t>
        </is>
      </c>
      <c r="E3871" t="inlineStr">
        <is>
          <t>SALA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2763-2024</t>
        </is>
      </c>
      <c r="B3872" s="1" t="n">
        <v>45314</v>
      </c>
      <c r="C3872" s="1" t="n">
        <v>45811</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2925-2024</t>
        </is>
      </c>
      <c r="B3873" s="1" t="n">
        <v>45315</v>
      </c>
      <c r="C3873" s="1" t="n">
        <v>45811</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2866-2024</t>
        </is>
      </c>
      <c r="B3874" s="1" t="n">
        <v>45315</v>
      </c>
      <c r="C3874" s="1" t="n">
        <v>45811</v>
      </c>
      <c r="D3874" t="inlineStr">
        <is>
          <t>VÄSTMANLANDS LÄN</t>
        </is>
      </c>
      <c r="E3874" t="inlineStr">
        <is>
          <t>SURAHAMMAR</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2928-2024</t>
        </is>
      </c>
      <c r="B3875" s="1" t="n">
        <v>45315</v>
      </c>
      <c r="C3875" s="1" t="n">
        <v>45811</v>
      </c>
      <c r="D3875" t="inlineStr">
        <is>
          <t>VÄSTMANLANDS LÄN</t>
        </is>
      </c>
      <c r="E3875" t="inlineStr">
        <is>
          <t>SALA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2918-2024</t>
        </is>
      </c>
      <c r="B3876" s="1" t="n">
        <v>45315</v>
      </c>
      <c r="C3876" s="1" t="n">
        <v>45811</v>
      </c>
      <c r="D3876" t="inlineStr">
        <is>
          <t>VÄSTMANLANDS LÄN</t>
        </is>
      </c>
      <c r="E3876" t="inlineStr">
        <is>
          <t>KÖPING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2927-2024</t>
        </is>
      </c>
      <c r="B3877" s="1" t="n">
        <v>45315</v>
      </c>
      <c r="C3877" s="1" t="n">
        <v>45811</v>
      </c>
      <c r="D3877" t="inlineStr">
        <is>
          <t>VÄSTMANLANDS LÄN</t>
        </is>
      </c>
      <c r="E3877" t="inlineStr">
        <is>
          <t>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2867-2024</t>
        </is>
      </c>
      <c r="B3878" s="1" t="n">
        <v>45315</v>
      </c>
      <c r="C3878" s="1" t="n">
        <v>45811</v>
      </c>
      <c r="D3878" t="inlineStr">
        <is>
          <t>VÄSTMANLANDS LÄN</t>
        </is>
      </c>
      <c r="E3878" t="inlineStr">
        <is>
          <t>SURAHAMMAR</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3131-2024</t>
        </is>
      </c>
      <c r="B3879" s="1" t="n">
        <v>45316</v>
      </c>
      <c r="C3879" s="1" t="n">
        <v>45811</v>
      </c>
      <c r="D3879" t="inlineStr">
        <is>
          <t>VÄSTMANLANDS LÄN</t>
        </is>
      </c>
      <c r="E3879" t="inlineStr">
        <is>
          <t>NORBERG</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3061-2024</t>
        </is>
      </c>
      <c r="B3880" s="1" t="n">
        <v>45316</v>
      </c>
      <c r="C3880" s="1" t="n">
        <v>45811</v>
      </c>
      <c r="D3880" t="inlineStr">
        <is>
          <t>VÄSTMANLANDS LÄN</t>
        </is>
      </c>
      <c r="E3880" t="inlineStr">
        <is>
          <t>SALA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3181-2024</t>
        </is>
      </c>
      <c r="B3881" s="1" t="n">
        <v>45316</v>
      </c>
      <c r="C3881" s="1" t="n">
        <v>45811</v>
      </c>
      <c r="D3881" t="inlineStr">
        <is>
          <t>VÄSTMANLANDS LÄN</t>
        </is>
      </c>
      <c r="E3881" t="inlineStr">
        <is>
          <t>VÄSTERÅS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3332-2024</t>
        </is>
      </c>
      <c r="B3882" s="1" t="n">
        <v>45317</v>
      </c>
      <c r="C3882" s="1" t="n">
        <v>45811</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3577-2024</t>
        </is>
      </c>
      <c r="B3883" s="1" t="n">
        <v>45320</v>
      </c>
      <c r="C3883" s="1" t="n">
        <v>45811</v>
      </c>
      <c r="D3883" t="inlineStr">
        <is>
          <t>VÄSTMANLANDS LÄN</t>
        </is>
      </c>
      <c r="E3883" t="inlineStr">
        <is>
          <t>SALA</t>
        </is>
      </c>
      <c r="F3883" t="inlineStr">
        <is>
          <t>Kommuner</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3527-2024</t>
        </is>
      </c>
      <c r="B3884" s="1" t="n">
        <v>45320</v>
      </c>
      <c r="C3884" s="1" t="n">
        <v>45811</v>
      </c>
      <c r="D3884" t="inlineStr">
        <is>
          <t>VÄSTMANLANDS LÄN</t>
        </is>
      </c>
      <c r="E3884" t="inlineStr">
        <is>
          <t>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3551-2024</t>
        </is>
      </c>
      <c r="B3885" s="1" t="n">
        <v>45320</v>
      </c>
      <c r="C3885" s="1" t="n">
        <v>45811</v>
      </c>
      <c r="D3885" t="inlineStr">
        <is>
          <t>VÄSTMANLANDS LÄN</t>
        </is>
      </c>
      <c r="E3885" t="inlineStr">
        <is>
          <t>SALA</t>
        </is>
      </c>
      <c r="F3885" t="inlineStr">
        <is>
          <t>Kommuner</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3587-2024</t>
        </is>
      </c>
      <c r="B3886" s="1" t="n">
        <v>45320</v>
      </c>
      <c r="C3886" s="1" t="n">
        <v>45811</v>
      </c>
      <c r="D3886" t="inlineStr">
        <is>
          <t>VÄSTMANLANDS LÄN</t>
        </is>
      </c>
      <c r="E3886" t="inlineStr">
        <is>
          <t>NORBERG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3525-2024</t>
        </is>
      </c>
      <c r="B3887" s="1" t="n">
        <v>45320</v>
      </c>
      <c r="C3887" s="1" t="n">
        <v>45811</v>
      </c>
      <c r="D3887" t="inlineStr">
        <is>
          <t>VÄSTMANLANDS LÄN</t>
        </is>
      </c>
      <c r="E3887" t="inlineStr">
        <is>
          <t>SALA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3570-2024</t>
        </is>
      </c>
      <c r="B3888" s="1" t="n">
        <v>45320</v>
      </c>
      <c r="C3888" s="1" t="n">
        <v>45811</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3560-2024</t>
        </is>
      </c>
      <c r="B3889" s="1" t="n">
        <v>45320</v>
      </c>
      <c r="C3889" s="1" t="n">
        <v>45811</v>
      </c>
      <c r="D3889" t="inlineStr">
        <is>
          <t>VÄSTMANLANDS LÄN</t>
        </is>
      </c>
      <c r="E3889" t="inlineStr">
        <is>
          <t>SALA</t>
        </is>
      </c>
      <c r="F3889" t="inlineStr">
        <is>
          <t>Kommuner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3755-2024</t>
        </is>
      </c>
      <c r="B3890" s="1" t="n">
        <v>45321</v>
      </c>
      <c r="C3890" s="1" t="n">
        <v>45811</v>
      </c>
      <c r="D3890" t="inlineStr">
        <is>
          <t>VÄSTMANLANDS LÄN</t>
        </is>
      </c>
      <c r="E3890" t="inlineStr">
        <is>
          <t>SKINNSKATTEBERG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3882-2024</t>
        </is>
      </c>
      <c r="B3891" s="1" t="n">
        <v>45322</v>
      </c>
      <c r="C3891" s="1" t="n">
        <v>45811</v>
      </c>
      <c r="D3891" t="inlineStr">
        <is>
          <t>VÄSTMANLANDS LÄN</t>
        </is>
      </c>
      <c r="E3891" t="inlineStr">
        <is>
          <t>VÄSTERÅS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3887-2024</t>
        </is>
      </c>
      <c r="B3892" s="1" t="n">
        <v>45322</v>
      </c>
      <c r="C3892" s="1" t="n">
        <v>45811</v>
      </c>
      <c r="D3892" t="inlineStr">
        <is>
          <t>VÄSTMANLANDS LÄN</t>
        </is>
      </c>
      <c r="E3892" t="inlineStr">
        <is>
          <t>VÄSTERÅS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3933-2024</t>
        </is>
      </c>
      <c r="B3893" s="1" t="n">
        <v>45322</v>
      </c>
      <c r="C3893" s="1" t="n">
        <v>45811</v>
      </c>
      <c r="D3893" t="inlineStr">
        <is>
          <t>VÄSTMANLANDS LÄN</t>
        </is>
      </c>
      <c r="E3893" t="inlineStr">
        <is>
          <t>KÖPING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3945-2024</t>
        </is>
      </c>
      <c r="B3894" s="1" t="n">
        <v>45322</v>
      </c>
      <c r="C3894" s="1" t="n">
        <v>45811</v>
      </c>
      <c r="D3894" t="inlineStr">
        <is>
          <t>VÄSTMANLANDS LÄN</t>
        </is>
      </c>
      <c r="E3894" t="inlineStr">
        <is>
          <t>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4000-2024</t>
        </is>
      </c>
      <c r="B3895" s="1" t="n">
        <v>45322</v>
      </c>
      <c r="C3895" s="1" t="n">
        <v>45811</v>
      </c>
      <c r="D3895" t="inlineStr">
        <is>
          <t>VÄSTMANLANDS LÄN</t>
        </is>
      </c>
      <c r="E3895" t="inlineStr">
        <is>
          <t>SKINNSKATTEBERG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4372-2024</t>
        </is>
      </c>
      <c r="B3896" s="1" t="n">
        <v>45326</v>
      </c>
      <c r="C3896" s="1" t="n">
        <v>45811</v>
      </c>
      <c r="D3896" t="inlineStr">
        <is>
          <t>VÄSTMANLANDS LÄN</t>
        </is>
      </c>
      <c r="E3896" t="inlineStr">
        <is>
          <t>VÄSTERÅS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4417-2024</t>
        </is>
      </c>
      <c r="B3897" s="1" t="n">
        <v>45327</v>
      </c>
      <c r="C3897" s="1" t="n">
        <v>45811</v>
      </c>
      <c r="D3897" t="inlineStr">
        <is>
          <t>VÄSTMANLANDS LÄN</t>
        </is>
      </c>
      <c r="E3897" t="inlineStr">
        <is>
          <t>SALA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4599-2024</t>
        </is>
      </c>
      <c r="B3898" s="1" t="n">
        <v>45328</v>
      </c>
      <c r="C3898" s="1" t="n">
        <v>45811</v>
      </c>
      <c r="D3898" t="inlineStr">
        <is>
          <t>VÄSTMANLANDS LÄN</t>
        </is>
      </c>
      <c r="E3898" t="inlineStr">
        <is>
          <t>NORBERG</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4711-2024</t>
        </is>
      </c>
      <c r="B3899" s="1" t="n">
        <v>45328</v>
      </c>
      <c r="C3899" s="1" t="n">
        <v>45811</v>
      </c>
      <c r="D3899" t="inlineStr">
        <is>
          <t>VÄSTMANLANDS LÄN</t>
        </is>
      </c>
      <c r="E3899" t="inlineStr">
        <is>
          <t>KÖPING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4713-2024</t>
        </is>
      </c>
      <c r="B3900" s="1" t="n">
        <v>45328</v>
      </c>
      <c r="C3900" s="1" t="n">
        <v>45811</v>
      </c>
      <c r="D3900" t="inlineStr">
        <is>
          <t>VÄSTMANLANDS LÄN</t>
        </is>
      </c>
      <c r="E3900" t="inlineStr">
        <is>
          <t>KÖPING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4614-2024</t>
        </is>
      </c>
      <c r="B3901" s="1" t="n">
        <v>45328</v>
      </c>
      <c r="C3901" s="1" t="n">
        <v>45811</v>
      </c>
      <c r="D3901" t="inlineStr">
        <is>
          <t>VÄSTMANLANDS LÄN</t>
        </is>
      </c>
      <c r="E3901" t="inlineStr">
        <is>
          <t>KÖPING</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4759-2024</t>
        </is>
      </c>
      <c r="B3902" s="1" t="n">
        <v>45328</v>
      </c>
      <c r="C3902" s="1" t="n">
        <v>45811</v>
      </c>
      <c r="D3902" t="inlineStr">
        <is>
          <t>VÄSTMANLANDS LÄN</t>
        </is>
      </c>
      <c r="E3902" t="inlineStr">
        <is>
          <t>SURAHAMMAR</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4924-2024</t>
        </is>
      </c>
      <c r="B3903" s="1" t="n">
        <v>45329</v>
      </c>
      <c r="C3903" s="1" t="n">
        <v>45811</v>
      </c>
      <c r="D3903" t="inlineStr">
        <is>
          <t>VÄSTMANLANDS LÄN</t>
        </is>
      </c>
      <c r="E3903" t="inlineStr">
        <is>
          <t>VÄSTERÅS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4897-2024</t>
        </is>
      </c>
      <c r="B3904" s="1" t="n">
        <v>45329</v>
      </c>
      <c r="C3904" s="1" t="n">
        <v>45811</v>
      </c>
      <c r="D3904" t="inlineStr">
        <is>
          <t>VÄSTMANLANDS LÄN</t>
        </is>
      </c>
      <c r="E3904" t="inlineStr">
        <is>
          <t>SALA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4981-2024</t>
        </is>
      </c>
      <c r="B3905" s="1" t="n">
        <v>45329</v>
      </c>
      <c r="C3905" s="1" t="n">
        <v>45811</v>
      </c>
      <c r="D3905" t="inlineStr">
        <is>
          <t>VÄSTMANLANDS LÄN</t>
        </is>
      </c>
      <c r="E3905" t="inlineStr">
        <is>
          <t>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5001-2024</t>
        </is>
      </c>
      <c r="B3906" s="1" t="n">
        <v>45329</v>
      </c>
      <c r="C3906" s="1" t="n">
        <v>45811</v>
      </c>
      <c r="D3906" t="inlineStr">
        <is>
          <t>VÄSTMANLANDS LÄN</t>
        </is>
      </c>
      <c r="E3906" t="inlineStr">
        <is>
          <t>SKINNSKATTEBERG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5154-2024</t>
        </is>
      </c>
      <c r="B3907" s="1" t="n">
        <v>45330</v>
      </c>
      <c r="C3907" s="1" t="n">
        <v>45811</v>
      </c>
      <c r="D3907" t="inlineStr">
        <is>
          <t>VÄSTMANLANDS LÄN</t>
        </is>
      </c>
      <c r="E3907" t="inlineStr">
        <is>
          <t>SKINNSKATTEBERG</t>
        </is>
      </c>
      <c r="G3907" t="n">
        <v>12.4</v>
      </c>
      <c r="H3907" t="n">
        <v>0</v>
      </c>
      <c r="I3907" t="n">
        <v>0</v>
      </c>
      <c r="J3907" t="n">
        <v>0</v>
      </c>
      <c r="K3907" t="n">
        <v>0</v>
      </c>
      <c r="L3907" t="n">
        <v>0</v>
      </c>
      <c r="M3907" t="n">
        <v>0</v>
      </c>
      <c r="N3907" t="n">
        <v>0</v>
      </c>
      <c r="O3907" t="n">
        <v>0</v>
      </c>
      <c r="P3907" t="n">
        <v>0</v>
      </c>
      <c r="Q3907" t="n">
        <v>0</v>
      </c>
      <c r="R3907" s="2" t="inlineStr"/>
    </row>
    <row r="3908" ht="15" customHeight="1">
      <c r="A3908" t="inlineStr">
        <is>
          <t>A 5301-2024</t>
        </is>
      </c>
      <c r="B3908" s="1" t="n">
        <v>45331</v>
      </c>
      <c r="C3908" s="1" t="n">
        <v>45811</v>
      </c>
      <c r="D3908" t="inlineStr">
        <is>
          <t>VÄSTMANLANDS LÄN</t>
        </is>
      </c>
      <c r="E3908" t="inlineStr">
        <is>
          <t>VÄSTERÅS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5478-2024</t>
        </is>
      </c>
      <c r="B3909" s="1" t="n">
        <v>45333</v>
      </c>
      <c r="C3909" s="1" t="n">
        <v>45811</v>
      </c>
      <c r="D3909" t="inlineStr">
        <is>
          <t>VÄSTMANLANDS LÄN</t>
        </is>
      </c>
      <c r="E3909" t="inlineStr">
        <is>
          <t>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5477-2024</t>
        </is>
      </c>
      <c r="B3910" s="1" t="n">
        <v>45333</v>
      </c>
      <c r="C3910" s="1" t="n">
        <v>45811</v>
      </c>
      <c r="D3910" t="inlineStr">
        <is>
          <t>VÄSTMANLANDS LÄN</t>
        </is>
      </c>
      <c r="E3910" t="inlineStr">
        <is>
          <t>SALA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5546-2024</t>
        </is>
      </c>
      <c r="B3911" s="1" t="n">
        <v>45334</v>
      </c>
      <c r="C3911" s="1" t="n">
        <v>45811</v>
      </c>
      <c r="D3911" t="inlineStr">
        <is>
          <t>VÄSTMANLANDS LÄN</t>
        </is>
      </c>
      <c r="E3911" t="inlineStr">
        <is>
          <t>VÄSTERÅS</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5548-2024</t>
        </is>
      </c>
      <c r="B3912" s="1" t="n">
        <v>45334</v>
      </c>
      <c r="C3912" s="1" t="n">
        <v>45811</v>
      </c>
      <c r="D3912" t="inlineStr">
        <is>
          <t>VÄSTMANLANDS LÄN</t>
        </is>
      </c>
      <c r="E3912" t="inlineStr">
        <is>
          <t>VÄSTERÅS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5696-2024</t>
        </is>
      </c>
      <c r="B3913" s="1" t="n">
        <v>45334</v>
      </c>
      <c r="C3913" s="1" t="n">
        <v>45811</v>
      </c>
      <c r="D3913" t="inlineStr">
        <is>
          <t>VÄSTMANLANDS LÄN</t>
        </is>
      </c>
      <c r="E3913" t="inlineStr">
        <is>
          <t>VÄSTERÅS</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5705-2024</t>
        </is>
      </c>
      <c r="B3914" s="1" t="n">
        <v>45334</v>
      </c>
      <c r="C3914" s="1" t="n">
        <v>45811</v>
      </c>
      <c r="D3914" t="inlineStr">
        <is>
          <t>VÄSTMANLANDS LÄN</t>
        </is>
      </c>
      <c r="E3914" t="inlineStr">
        <is>
          <t>SALA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5952-2024</t>
        </is>
      </c>
      <c r="B3915" s="1" t="n">
        <v>45335</v>
      </c>
      <c r="C3915" s="1" t="n">
        <v>45811</v>
      </c>
      <c r="D3915" t="inlineStr">
        <is>
          <t>VÄSTMANLANDS LÄN</t>
        </is>
      </c>
      <c r="E3915" t="inlineStr">
        <is>
          <t>KUNGSÖR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5977-2024</t>
        </is>
      </c>
      <c r="B3916" s="1" t="n">
        <v>45336</v>
      </c>
      <c r="C3916" s="1" t="n">
        <v>45811</v>
      </c>
      <c r="D3916" t="inlineStr">
        <is>
          <t>VÄSTMANLANDS LÄN</t>
        </is>
      </c>
      <c r="E3916" t="inlineStr">
        <is>
          <t>SALA</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6030-2024</t>
        </is>
      </c>
      <c r="B3917" s="1" t="n">
        <v>45336</v>
      </c>
      <c r="C3917" s="1" t="n">
        <v>45811</v>
      </c>
      <c r="D3917" t="inlineStr">
        <is>
          <t>VÄSTMANLANDS LÄN</t>
        </is>
      </c>
      <c r="E3917" t="inlineStr">
        <is>
          <t>SALA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5984-2024</t>
        </is>
      </c>
      <c r="B3918" s="1" t="n">
        <v>45336</v>
      </c>
      <c r="C3918" s="1" t="n">
        <v>45811</v>
      </c>
      <c r="D3918" t="inlineStr">
        <is>
          <t>VÄSTMANLANDS LÄN</t>
        </is>
      </c>
      <c r="E3918" t="inlineStr">
        <is>
          <t>SALA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6134-2024</t>
        </is>
      </c>
      <c r="B3919" s="1" t="n">
        <v>45337</v>
      </c>
      <c r="C3919" s="1" t="n">
        <v>45811</v>
      </c>
      <c r="D3919" t="inlineStr">
        <is>
          <t>VÄSTMANLANDS LÄN</t>
        </is>
      </c>
      <c r="E3919" t="inlineStr">
        <is>
          <t>SALA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6400-2024</t>
        </is>
      </c>
      <c r="B3920" s="1" t="n">
        <v>45338</v>
      </c>
      <c r="C3920" s="1" t="n">
        <v>45811</v>
      </c>
      <c r="D3920" t="inlineStr">
        <is>
          <t>VÄSTMANLANDS LÄN</t>
        </is>
      </c>
      <c r="E3920" t="inlineStr">
        <is>
          <t>VÄSTERÅS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6572-2024</t>
        </is>
      </c>
      <c r="B3921" s="1" t="n">
        <v>45338</v>
      </c>
      <c r="C3921" s="1" t="n">
        <v>45811</v>
      </c>
      <c r="D3921" t="inlineStr">
        <is>
          <t>VÄSTMANLANDS LÄN</t>
        </is>
      </c>
      <c r="E3921" t="inlineStr">
        <is>
          <t>SALA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6538-2024</t>
        </is>
      </c>
      <c r="B3922" s="1" t="n">
        <v>45338</v>
      </c>
      <c r="C3922" s="1" t="n">
        <v>45811</v>
      </c>
      <c r="D3922" t="inlineStr">
        <is>
          <t>VÄSTMANLANDS LÄN</t>
        </is>
      </c>
      <c r="E3922" t="inlineStr">
        <is>
          <t>SALA</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6601-2024</t>
        </is>
      </c>
      <c r="B3923" s="1" t="n">
        <v>45338</v>
      </c>
      <c r="C3923" s="1" t="n">
        <v>45811</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6585-2024</t>
        </is>
      </c>
      <c r="B3924" s="1" t="n">
        <v>45338</v>
      </c>
      <c r="C3924" s="1" t="n">
        <v>45811</v>
      </c>
      <c r="D3924" t="inlineStr">
        <is>
          <t>VÄSTMANLANDS LÄN</t>
        </is>
      </c>
      <c r="E3924" t="inlineStr">
        <is>
          <t>SALA</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6541-2024</t>
        </is>
      </c>
      <c r="B3925" s="1" t="n">
        <v>45338</v>
      </c>
      <c r="C3925" s="1" t="n">
        <v>45811</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6666-2024</t>
        </is>
      </c>
      <c r="B3926" s="1" t="n">
        <v>45341</v>
      </c>
      <c r="C3926" s="1" t="n">
        <v>45811</v>
      </c>
      <c r="D3926" t="inlineStr">
        <is>
          <t>VÄSTMANLANDS LÄN</t>
        </is>
      </c>
      <c r="E3926" t="inlineStr">
        <is>
          <t>ARBOGA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6664-2024</t>
        </is>
      </c>
      <c r="B3927" s="1" t="n">
        <v>45341</v>
      </c>
      <c r="C3927" s="1" t="n">
        <v>45811</v>
      </c>
      <c r="D3927" t="inlineStr">
        <is>
          <t>VÄSTMANLANDS LÄN</t>
        </is>
      </c>
      <c r="E3927" t="inlineStr">
        <is>
          <t>ARBOGA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6657-2024</t>
        </is>
      </c>
      <c r="B3928" s="1" t="n">
        <v>45341</v>
      </c>
      <c r="C3928" s="1" t="n">
        <v>45811</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7787-2024</t>
        </is>
      </c>
      <c r="B3929" s="1" t="n">
        <v>45348</v>
      </c>
      <c r="C3929" s="1" t="n">
        <v>45811</v>
      </c>
      <c r="D3929" t="inlineStr">
        <is>
          <t>VÄSTMANLANDS LÄN</t>
        </is>
      </c>
      <c r="E3929" t="inlineStr">
        <is>
          <t>SURAHAMMAR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7765-2024</t>
        </is>
      </c>
      <c r="B3930" s="1" t="n">
        <v>45349</v>
      </c>
      <c r="C3930" s="1" t="n">
        <v>45811</v>
      </c>
      <c r="D3930" t="inlineStr">
        <is>
          <t>VÄSTMANLANDS LÄN</t>
        </is>
      </c>
      <c r="E3930" t="inlineStr">
        <is>
          <t>VÄSTERÅS</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7782-2024</t>
        </is>
      </c>
      <c r="B3931" s="1" t="n">
        <v>45349</v>
      </c>
      <c r="C3931" s="1" t="n">
        <v>45811</v>
      </c>
      <c r="D3931" t="inlineStr">
        <is>
          <t>VÄSTMANLANDS LÄN</t>
        </is>
      </c>
      <c r="E3931" t="inlineStr">
        <is>
          <t>SURAHAMMAR</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7769-2024</t>
        </is>
      </c>
      <c r="B3932" s="1" t="n">
        <v>45349</v>
      </c>
      <c r="C3932" s="1" t="n">
        <v>45811</v>
      </c>
      <c r="D3932" t="inlineStr">
        <is>
          <t>VÄSTMANLANDS LÄN</t>
        </is>
      </c>
      <c r="E3932" t="inlineStr">
        <is>
          <t>VÄSTERÅS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7953-2024</t>
        </is>
      </c>
      <c r="B3933" s="1" t="n">
        <v>45350</v>
      </c>
      <c r="C3933" s="1" t="n">
        <v>45811</v>
      </c>
      <c r="D3933" t="inlineStr">
        <is>
          <t>VÄSTMANLANDS LÄN</t>
        </is>
      </c>
      <c r="E3933" t="inlineStr">
        <is>
          <t>SALA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8066-2024</t>
        </is>
      </c>
      <c r="B3934" s="1" t="n">
        <v>45351</v>
      </c>
      <c r="C3934" s="1" t="n">
        <v>45811</v>
      </c>
      <c r="D3934" t="inlineStr">
        <is>
          <t>VÄSTMANLANDS LÄN</t>
        </is>
      </c>
      <c r="E3934" t="inlineStr">
        <is>
          <t>SURAHAMMAR</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8521-2024</t>
        </is>
      </c>
      <c r="B3935" s="1" t="n">
        <v>45355</v>
      </c>
      <c r="C3935" s="1" t="n">
        <v>45811</v>
      </c>
      <c r="D3935" t="inlineStr">
        <is>
          <t>VÄSTMANLANDS LÄN</t>
        </is>
      </c>
      <c r="E3935" t="inlineStr">
        <is>
          <t>HALLSTAHAMMAR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8580-2024</t>
        </is>
      </c>
      <c r="B3936" s="1" t="n">
        <v>45355</v>
      </c>
      <c r="C3936" s="1" t="n">
        <v>45811</v>
      </c>
      <c r="D3936" t="inlineStr">
        <is>
          <t>VÄSTMANLANDS LÄN</t>
        </is>
      </c>
      <c r="E3936" t="inlineStr">
        <is>
          <t>ARBOGA</t>
        </is>
      </c>
      <c r="F3936" t="inlineStr">
        <is>
          <t>Allmännings- och besparingsskogar</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8591-2024</t>
        </is>
      </c>
      <c r="B3937" s="1" t="n">
        <v>45355</v>
      </c>
      <c r="C3937" s="1" t="n">
        <v>45811</v>
      </c>
      <c r="D3937" t="inlineStr">
        <is>
          <t>VÄSTMANLANDS LÄN</t>
        </is>
      </c>
      <c r="E3937" t="inlineStr">
        <is>
          <t>SALA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8775-2024</t>
        </is>
      </c>
      <c r="B3938" s="1" t="n">
        <v>45356</v>
      </c>
      <c r="C3938" s="1" t="n">
        <v>45811</v>
      </c>
      <c r="D3938" t="inlineStr">
        <is>
          <t>VÄSTMANLANDS LÄN</t>
        </is>
      </c>
      <c r="E3938" t="inlineStr">
        <is>
          <t>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8793-2024</t>
        </is>
      </c>
      <c r="B3939" s="1" t="n">
        <v>45356</v>
      </c>
      <c r="C3939" s="1" t="n">
        <v>45811</v>
      </c>
      <c r="D3939" t="inlineStr">
        <is>
          <t>VÄSTMANLANDS LÄN</t>
        </is>
      </c>
      <c r="E3939" t="inlineStr">
        <is>
          <t>SALA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8683-2024</t>
        </is>
      </c>
      <c r="B3940" s="1" t="n">
        <v>45356</v>
      </c>
      <c r="C3940" s="1" t="n">
        <v>45811</v>
      </c>
      <c r="D3940" t="inlineStr">
        <is>
          <t>VÄSTMANLANDS LÄN</t>
        </is>
      </c>
      <c r="E3940" t="inlineStr">
        <is>
          <t>KÖPING</t>
        </is>
      </c>
      <c r="F3940" t="inlineStr">
        <is>
          <t>Kommuner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8703-2024</t>
        </is>
      </c>
      <c r="B3941" s="1" t="n">
        <v>45356</v>
      </c>
      <c r="C3941" s="1" t="n">
        <v>45811</v>
      </c>
      <c r="D3941" t="inlineStr">
        <is>
          <t>VÄSTMANLANDS LÄN</t>
        </is>
      </c>
      <c r="E3941" t="inlineStr">
        <is>
          <t>KÖPING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8778-2024</t>
        </is>
      </c>
      <c r="B3942" s="1" t="n">
        <v>45356</v>
      </c>
      <c r="C3942" s="1" t="n">
        <v>45811</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9205-2024</t>
        </is>
      </c>
      <c r="B3943" s="1" t="n">
        <v>45358</v>
      </c>
      <c r="C3943" s="1" t="n">
        <v>45811</v>
      </c>
      <c r="D3943" t="inlineStr">
        <is>
          <t>VÄSTMANLANDS LÄN</t>
        </is>
      </c>
      <c r="E3943" t="inlineStr">
        <is>
          <t>SALA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9303-2024</t>
        </is>
      </c>
      <c r="B3944" s="1" t="n">
        <v>45358</v>
      </c>
      <c r="C3944" s="1" t="n">
        <v>45811</v>
      </c>
      <c r="D3944" t="inlineStr">
        <is>
          <t>VÄSTMANLANDS LÄN</t>
        </is>
      </c>
      <c r="E3944" t="inlineStr">
        <is>
          <t>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9302-2024</t>
        </is>
      </c>
      <c r="B3945" s="1" t="n">
        <v>45358</v>
      </c>
      <c r="C3945" s="1" t="n">
        <v>45811</v>
      </c>
      <c r="D3945" t="inlineStr">
        <is>
          <t>VÄSTMANLANDS LÄN</t>
        </is>
      </c>
      <c r="E3945" t="inlineStr">
        <is>
          <t>KÖPING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9204-2024</t>
        </is>
      </c>
      <c r="B3946" s="1" t="n">
        <v>45358</v>
      </c>
      <c r="C3946" s="1" t="n">
        <v>45811</v>
      </c>
      <c r="D3946" t="inlineStr">
        <is>
          <t>VÄSTMANLANDS LÄN</t>
        </is>
      </c>
      <c r="E3946" t="inlineStr">
        <is>
          <t>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9247-2024</t>
        </is>
      </c>
      <c r="B3947" s="1" t="n">
        <v>45358</v>
      </c>
      <c r="C3947" s="1" t="n">
        <v>45811</v>
      </c>
      <c r="D3947" t="inlineStr">
        <is>
          <t>VÄSTMANLANDS LÄN</t>
        </is>
      </c>
      <c r="E3947" t="inlineStr">
        <is>
          <t>ARBOGA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9485-2024</t>
        </is>
      </c>
      <c r="B3948" s="1" t="n">
        <v>45359</v>
      </c>
      <c r="C3948" s="1" t="n">
        <v>45811</v>
      </c>
      <c r="D3948" t="inlineStr">
        <is>
          <t>VÄSTMANLANDS LÄN</t>
        </is>
      </c>
      <c r="E3948" t="inlineStr">
        <is>
          <t>SKINNSKATTEBERG</t>
        </is>
      </c>
      <c r="F3948" t="inlineStr">
        <is>
          <t>Sveaskog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9489-2024</t>
        </is>
      </c>
      <c r="B3949" s="1" t="n">
        <v>45359</v>
      </c>
      <c r="C3949" s="1" t="n">
        <v>45811</v>
      </c>
      <c r="D3949" t="inlineStr">
        <is>
          <t>VÄSTMANLANDS LÄN</t>
        </is>
      </c>
      <c r="E3949" t="inlineStr">
        <is>
          <t>SKINNSKATTEBERG</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9487-2024</t>
        </is>
      </c>
      <c r="B3950" s="1" t="n">
        <v>45359</v>
      </c>
      <c r="C3950" s="1" t="n">
        <v>45811</v>
      </c>
      <c r="D3950" t="inlineStr">
        <is>
          <t>VÄSTMANLANDS LÄN</t>
        </is>
      </c>
      <c r="E3950" t="inlineStr">
        <is>
          <t>SKINNSKATTEBERG</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9491-2024</t>
        </is>
      </c>
      <c r="B3951" s="1" t="n">
        <v>45359</v>
      </c>
      <c r="C3951" s="1" t="n">
        <v>45811</v>
      </c>
      <c r="D3951" t="inlineStr">
        <is>
          <t>VÄSTMANLANDS LÄN</t>
        </is>
      </c>
      <c r="E3951" t="inlineStr">
        <is>
          <t>SKINNSKATTEBERG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9509-2024</t>
        </is>
      </c>
      <c r="B3952" s="1" t="n">
        <v>45359</v>
      </c>
      <c r="C3952" s="1" t="n">
        <v>45811</v>
      </c>
      <c r="D3952" t="inlineStr">
        <is>
          <t>VÄSTMANLANDS LÄN</t>
        </is>
      </c>
      <c r="E3952" t="inlineStr">
        <is>
          <t>KÖPING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9517-2024</t>
        </is>
      </c>
      <c r="B3953" s="1" t="n">
        <v>45359</v>
      </c>
      <c r="C3953" s="1" t="n">
        <v>45811</v>
      </c>
      <c r="D3953" t="inlineStr">
        <is>
          <t>VÄSTMANLANDS LÄN</t>
        </is>
      </c>
      <c r="E3953" t="inlineStr">
        <is>
          <t>KÖPING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9474-2024</t>
        </is>
      </c>
      <c r="B3954" s="1" t="n">
        <v>45359</v>
      </c>
      <c r="C3954" s="1" t="n">
        <v>45811</v>
      </c>
      <c r="D3954" t="inlineStr">
        <is>
          <t>VÄSTMANLANDS LÄN</t>
        </is>
      </c>
      <c r="E3954" t="inlineStr">
        <is>
          <t>SALA</t>
        </is>
      </c>
      <c r="F3954" t="inlineStr">
        <is>
          <t>Kommuner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9486-2024</t>
        </is>
      </c>
      <c r="B3955" s="1" t="n">
        <v>45359</v>
      </c>
      <c r="C3955" s="1" t="n">
        <v>45811</v>
      </c>
      <c r="D3955" t="inlineStr">
        <is>
          <t>VÄSTMANLANDS LÄN</t>
        </is>
      </c>
      <c r="E3955" t="inlineStr">
        <is>
          <t>SKINNSKATTEBERG</t>
        </is>
      </c>
      <c r="F3955" t="inlineStr">
        <is>
          <t>Sveaskog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9490-2024</t>
        </is>
      </c>
      <c r="B3956" s="1" t="n">
        <v>45359</v>
      </c>
      <c r="C3956" s="1" t="n">
        <v>45811</v>
      </c>
      <c r="D3956" t="inlineStr">
        <is>
          <t>VÄSTMANLANDS LÄN</t>
        </is>
      </c>
      <c r="E3956" t="inlineStr">
        <is>
          <t>SKINNSKATTEBERG</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9515-2024</t>
        </is>
      </c>
      <c r="B3957" s="1" t="n">
        <v>45359</v>
      </c>
      <c r="C3957" s="1" t="n">
        <v>45811</v>
      </c>
      <c r="D3957" t="inlineStr">
        <is>
          <t>VÄSTMANLANDS LÄN</t>
        </is>
      </c>
      <c r="E3957" t="inlineStr">
        <is>
          <t>KÖPING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9741-2024</t>
        </is>
      </c>
      <c r="B3958" s="1" t="n">
        <v>45362</v>
      </c>
      <c r="C3958" s="1" t="n">
        <v>45811</v>
      </c>
      <c r="D3958" t="inlineStr">
        <is>
          <t>VÄSTMANLANDS LÄN</t>
        </is>
      </c>
      <c r="E3958" t="inlineStr">
        <is>
          <t>SURAHAMMAR</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9843-2024</t>
        </is>
      </c>
      <c r="B3959" s="1" t="n">
        <v>45363</v>
      </c>
      <c r="C3959" s="1" t="n">
        <v>45811</v>
      </c>
      <c r="D3959" t="inlineStr">
        <is>
          <t>VÄSTMANLANDS LÄN</t>
        </is>
      </c>
      <c r="E3959" t="inlineStr">
        <is>
          <t>NORBERG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9853-2024</t>
        </is>
      </c>
      <c r="B3960" s="1" t="n">
        <v>45363</v>
      </c>
      <c r="C3960" s="1" t="n">
        <v>45811</v>
      </c>
      <c r="D3960" t="inlineStr">
        <is>
          <t>VÄSTMANLANDS LÄN</t>
        </is>
      </c>
      <c r="E3960" t="inlineStr">
        <is>
          <t>SALA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9874-2024</t>
        </is>
      </c>
      <c r="B3961" s="1" t="n">
        <v>45363</v>
      </c>
      <c r="C3961" s="1" t="n">
        <v>45811</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9907-2024</t>
        </is>
      </c>
      <c r="B3962" s="1" t="n">
        <v>45363</v>
      </c>
      <c r="C3962" s="1" t="n">
        <v>45811</v>
      </c>
      <c r="D3962" t="inlineStr">
        <is>
          <t>VÄSTMANLANDS LÄN</t>
        </is>
      </c>
      <c r="E3962" t="inlineStr">
        <is>
          <t>NORBERG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10098-2024</t>
        </is>
      </c>
      <c r="B3963" s="1" t="n">
        <v>45364</v>
      </c>
      <c r="C3963" s="1" t="n">
        <v>45811</v>
      </c>
      <c r="D3963" t="inlineStr">
        <is>
          <t>VÄSTMANLANDS LÄN</t>
        </is>
      </c>
      <c r="E3963" t="inlineStr">
        <is>
          <t>KUNGSÖR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10128-2024</t>
        </is>
      </c>
      <c r="B3964" s="1" t="n">
        <v>45364</v>
      </c>
      <c r="C3964" s="1" t="n">
        <v>45811</v>
      </c>
      <c r="D3964" t="inlineStr">
        <is>
          <t>VÄSTMANLANDS LÄN</t>
        </is>
      </c>
      <c r="E3964" t="inlineStr">
        <is>
          <t>KUNGSÖR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10112-2024</t>
        </is>
      </c>
      <c r="B3965" s="1" t="n">
        <v>45364</v>
      </c>
      <c r="C3965" s="1" t="n">
        <v>45811</v>
      </c>
      <c r="D3965" t="inlineStr">
        <is>
          <t>VÄSTMANLANDS LÄN</t>
        </is>
      </c>
      <c r="E3965" t="inlineStr">
        <is>
          <t>KUNGSÖR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10120-2024</t>
        </is>
      </c>
      <c r="B3966" s="1" t="n">
        <v>45364</v>
      </c>
      <c r="C3966" s="1" t="n">
        <v>45811</v>
      </c>
      <c r="D3966" t="inlineStr">
        <is>
          <t>VÄSTMANLANDS LÄN</t>
        </is>
      </c>
      <c r="E3966" t="inlineStr">
        <is>
          <t>KUNGSÖR</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10255-2024</t>
        </is>
      </c>
      <c r="B3967" s="1" t="n">
        <v>45365</v>
      </c>
      <c r="C3967" s="1" t="n">
        <v>45811</v>
      </c>
      <c r="D3967" t="inlineStr">
        <is>
          <t>VÄSTMANLANDS LÄN</t>
        </is>
      </c>
      <c r="E3967" t="inlineStr">
        <is>
          <t>SALA</t>
        </is>
      </c>
      <c r="F3967" t="inlineStr">
        <is>
          <t>Kommuner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10263-2024</t>
        </is>
      </c>
      <c r="B3968" s="1" t="n">
        <v>45365</v>
      </c>
      <c r="C3968" s="1" t="n">
        <v>45811</v>
      </c>
      <c r="D3968" t="inlineStr">
        <is>
          <t>VÄSTMANLANDS LÄN</t>
        </is>
      </c>
      <c r="E3968" t="inlineStr">
        <is>
          <t>HALLSTAHAMMAR</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10332-2024</t>
        </is>
      </c>
      <c r="B3969" s="1" t="n">
        <v>45365</v>
      </c>
      <c r="C3969" s="1" t="n">
        <v>45811</v>
      </c>
      <c r="D3969" t="inlineStr">
        <is>
          <t>VÄSTMANLANDS LÄN</t>
        </is>
      </c>
      <c r="E3969" t="inlineStr">
        <is>
          <t>ARBOGA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10505-2024</t>
        </is>
      </c>
      <c r="B3970" s="1" t="n">
        <v>45366</v>
      </c>
      <c r="C3970" s="1" t="n">
        <v>45811</v>
      </c>
      <c r="D3970" t="inlineStr">
        <is>
          <t>VÄSTMANLANDS LÄN</t>
        </is>
      </c>
      <c r="E3970" t="inlineStr">
        <is>
          <t>KÖPING</t>
        </is>
      </c>
      <c r="F3970" t="inlineStr">
        <is>
          <t>Sveaskog</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10530-2024</t>
        </is>
      </c>
      <c r="B3971" s="1" t="n">
        <v>45366</v>
      </c>
      <c r="C3971" s="1" t="n">
        <v>45811</v>
      </c>
      <c r="D3971" t="inlineStr">
        <is>
          <t>VÄSTMANLANDS LÄN</t>
        </is>
      </c>
      <c r="E3971" t="inlineStr">
        <is>
          <t>SKINNSKATTEBERG</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10546-2024</t>
        </is>
      </c>
      <c r="B3972" s="1" t="n">
        <v>45366</v>
      </c>
      <c r="C3972" s="1" t="n">
        <v>45811</v>
      </c>
      <c r="D3972" t="inlineStr">
        <is>
          <t>VÄSTMANLANDS LÄN</t>
        </is>
      </c>
      <c r="E3972" t="inlineStr">
        <is>
          <t>VÄSTERÅS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10536-2024</t>
        </is>
      </c>
      <c r="B3973" s="1" t="n">
        <v>45366</v>
      </c>
      <c r="C3973" s="1" t="n">
        <v>45811</v>
      </c>
      <c r="D3973" t="inlineStr">
        <is>
          <t>VÄSTMANLANDS LÄN</t>
        </is>
      </c>
      <c r="E3973" t="inlineStr">
        <is>
          <t>SKINNSKATTEBERG</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10582-2024</t>
        </is>
      </c>
      <c r="B3974" s="1" t="n">
        <v>45366</v>
      </c>
      <c r="C3974" s="1" t="n">
        <v>45811</v>
      </c>
      <c r="D3974" t="inlineStr">
        <is>
          <t>VÄSTMANLANDS LÄN</t>
        </is>
      </c>
      <c r="E3974" t="inlineStr">
        <is>
          <t>KÖPING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10519-2024</t>
        </is>
      </c>
      <c r="B3975" s="1" t="n">
        <v>45366</v>
      </c>
      <c r="C3975" s="1" t="n">
        <v>45811</v>
      </c>
      <c r="D3975" t="inlineStr">
        <is>
          <t>VÄSTMANLANDS LÄN</t>
        </is>
      </c>
      <c r="E3975" t="inlineStr">
        <is>
          <t>SKINNSKATTEBERG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10527-2024</t>
        </is>
      </c>
      <c r="B3976" s="1" t="n">
        <v>45366</v>
      </c>
      <c r="C3976" s="1" t="n">
        <v>45811</v>
      </c>
      <c r="D3976" t="inlineStr">
        <is>
          <t>VÄSTMANLANDS LÄN</t>
        </is>
      </c>
      <c r="E3976" t="inlineStr">
        <is>
          <t>SKINNSKATTEBERG</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10535-2024</t>
        </is>
      </c>
      <c r="B3977" s="1" t="n">
        <v>45366</v>
      </c>
      <c r="C3977" s="1" t="n">
        <v>45811</v>
      </c>
      <c r="D3977" t="inlineStr">
        <is>
          <t>VÄSTMANLANDS LÄN</t>
        </is>
      </c>
      <c r="E3977" t="inlineStr">
        <is>
          <t>SKINNSKATTEBERG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10555-2024</t>
        </is>
      </c>
      <c r="B3978" s="1" t="n">
        <v>45366</v>
      </c>
      <c r="C3978" s="1" t="n">
        <v>45811</v>
      </c>
      <c r="D3978" t="inlineStr">
        <is>
          <t>VÄSTMANLANDS LÄN</t>
        </is>
      </c>
      <c r="E3978" t="inlineStr">
        <is>
          <t>SKINNSKATTEBERG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10559-2024</t>
        </is>
      </c>
      <c r="B3979" s="1" t="n">
        <v>45366</v>
      </c>
      <c r="C3979" s="1" t="n">
        <v>45811</v>
      </c>
      <c r="D3979" t="inlineStr">
        <is>
          <t>VÄSTMANLANDS LÄN</t>
        </is>
      </c>
      <c r="E3979" t="inlineStr">
        <is>
          <t>SALA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10678-2024</t>
        </is>
      </c>
      <c r="B3980" s="1" t="n">
        <v>45368</v>
      </c>
      <c r="C3980" s="1" t="n">
        <v>45811</v>
      </c>
      <c r="D3980" t="inlineStr">
        <is>
          <t>VÄSTMANLANDS LÄN</t>
        </is>
      </c>
      <c r="E3980" t="inlineStr">
        <is>
          <t>ARBOGA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10679-2024</t>
        </is>
      </c>
      <c r="B3981" s="1" t="n">
        <v>45368</v>
      </c>
      <c r="C3981" s="1" t="n">
        <v>45811</v>
      </c>
      <c r="D3981" t="inlineStr">
        <is>
          <t>VÄSTMANLANDS LÄN</t>
        </is>
      </c>
      <c r="E3981" t="inlineStr">
        <is>
          <t>ARBOGA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10751-2024</t>
        </is>
      </c>
      <c r="B3982" s="1" t="n">
        <v>45369</v>
      </c>
      <c r="C3982" s="1" t="n">
        <v>45811</v>
      </c>
      <c r="D3982" t="inlineStr">
        <is>
          <t>VÄSTMANLANDS LÄN</t>
        </is>
      </c>
      <c r="E3982" t="inlineStr">
        <is>
          <t>SALA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10817-2024</t>
        </is>
      </c>
      <c r="B3983" s="1" t="n">
        <v>45369</v>
      </c>
      <c r="C3983" s="1" t="n">
        <v>45811</v>
      </c>
      <c r="D3983" t="inlineStr">
        <is>
          <t>VÄSTMANLANDS LÄN</t>
        </is>
      </c>
      <c r="E3983" t="inlineStr">
        <is>
          <t>VÄSTERÅS</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10754-2024</t>
        </is>
      </c>
      <c r="B3984" s="1" t="n">
        <v>45369</v>
      </c>
      <c r="C3984" s="1" t="n">
        <v>45811</v>
      </c>
      <c r="D3984" t="inlineStr">
        <is>
          <t>VÄSTMANLANDS LÄN</t>
        </is>
      </c>
      <c r="E3984" t="inlineStr">
        <is>
          <t>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10905-2024</t>
        </is>
      </c>
      <c r="B3985" s="1" t="n">
        <v>45370</v>
      </c>
      <c r="C3985" s="1" t="n">
        <v>45811</v>
      </c>
      <c r="D3985" t="inlineStr">
        <is>
          <t>VÄSTMANLANDS LÄN</t>
        </is>
      </c>
      <c r="E3985" t="inlineStr">
        <is>
          <t>VÄSTERÅS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10909-2024</t>
        </is>
      </c>
      <c r="B3986" s="1" t="n">
        <v>45370</v>
      </c>
      <c r="C3986" s="1" t="n">
        <v>45811</v>
      </c>
      <c r="D3986" t="inlineStr">
        <is>
          <t>VÄSTMANLANDS LÄN</t>
        </is>
      </c>
      <c r="E3986" t="inlineStr">
        <is>
          <t>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10946-2024</t>
        </is>
      </c>
      <c r="B3987" s="1" t="n">
        <v>45370</v>
      </c>
      <c r="C3987" s="1" t="n">
        <v>45811</v>
      </c>
      <c r="D3987" t="inlineStr">
        <is>
          <t>VÄSTMANLANDS LÄN</t>
        </is>
      </c>
      <c r="E3987" t="inlineStr">
        <is>
          <t>NORBERG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10979-2024</t>
        </is>
      </c>
      <c r="B3988" s="1" t="n">
        <v>45370</v>
      </c>
      <c r="C3988" s="1" t="n">
        <v>45811</v>
      </c>
      <c r="D3988" t="inlineStr">
        <is>
          <t>VÄSTMANLANDS LÄN</t>
        </is>
      </c>
      <c r="E3988" t="inlineStr">
        <is>
          <t>KÖPING</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10912-2024</t>
        </is>
      </c>
      <c r="B3989" s="1" t="n">
        <v>45370</v>
      </c>
      <c r="C3989" s="1" t="n">
        <v>45811</v>
      </c>
      <c r="D3989" t="inlineStr">
        <is>
          <t>VÄSTMANLANDS LÄN</t>
        </is>
      </c>
      <c r="E3989" t="inlineStr">
        <is>
          <t>VÄSTERÅS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10916-2024</t>
        </is>
      </c>
      <c r="B3990" s="1" t="n">
        <v>45370</v>
      </c>
      <c r="C3990" s="1" t="n">
        <v>45811</v>
      </c>
      <c r="D3990" t="inlineStr">
        <is>
          <t>VÄSTMANLANDS LÄN</t>
        </is>
      </c>
      <c r="E3990" t="inlineStr">
        <is>
          <t>KUNGSÖR</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10948-2024</t>
        </is>
      </c>
      <c r="B3991" s="1" t="n">
        <v>45370</v>
      </c>
      <c r="C3991" s="1" t="n">
        <v>45811</v>
      </c>
      <c r="D3991" t="inlineStr">
        <is>
          <t>VÄSTMANLANDS LÄN</t>
        </is>
      </c>
      <c r="E3991" t="inlineStr">
        <is>
          <t>KÖPING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11216-2024</t>
        </is>
      </c>
      <c r="B3992" s="1" t="n">
        <v>45371</v>
      </c>
      <c r="C3992" s="1" t="n">
        <v>45811</v>
      </c>
      <c r="D3992" t="inlineStr">
        <is>
          <t>VÄSTMANLANDS LÄN</t>
        </is>
      </c>
      <c r="E3992" t="inlineStr">
        <is>
          <t>ARBOGA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11244-2024</t>
        </is>
      </c>
      <c r="B3993" s="1" t="n">
        <v>45371</v>
      </c>
      <c r="C3993" s="1" t="n">
        <v>45811</v>
      </c>
      <c r="D3993" t="inlineStr">
        <is>
          <t>VÄSTMANLANDS LÄN</t>
        </is>
      </c>
      <c r="E3993" t="inlineStr">
        <is>
          <t>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11381-2024</t>
        </is>
      </c>
      <c r="B3994" s="1" t="n">
        <v>45372</v>
      </c>
      <c r="C3994" s="1" t="n">
        <v>45811</v>
      </c>
      <c r="D3994" t="inlineStr">
        <is>
          <t>VÄSTMANLANDS LÄN</t>
        </is>
      </c>
      <c r="E3994" t="inlineStr">
        <is>
          <t>SALA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11389-2024</t>
        </is>
      </c>
      <c r="B3995" s="1" t="n">
        <v>45372</v>
      </c>
      <c r="C3995" s="1" t="n">
        <v>45811</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11374-2024</t>
        </is>
      </c>
      <c r="B3996" s="1" t="n">
        <v>45372</v>
      </c>
      <c r="C3996" s="1" t="n">
        <v>45811</v>
      </c>
      <c r="D3996" t="inlineStr">
        <is>
          <t>VÄSTMANLANDS LÄN</t>
        </is>
      </c>
      <c r="E3996" t="inlineStr">
        <is>
          <t>VÄSTERÅS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11378-2024</t>
        </is>
      </c>
      <c r="B3997" s="1" t="n">
        <v>45372</v>
      </c>
      <c r="C3997" s="1" t="n">
        <v>45811</v>
      </c>
      <c r="D3997" t="inlineStr">
        <is>
          <t>VÄSTMANLANDS LÄN</t>
        </is>
      </c>
      <c r="E3997" t="inlineStr">
        <is>
          <t>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11492-2024</t>
        </is>
      </c>
      <c r="B3998" s="1" t="n">
        <v>45372</v>
      </c>
      <c r="C3998" s="1" t="n">
        <v>45811</v>
      </c>
      <c r="D3998" t="inlineStr">
        <is>
          <t>VÄSTMANLANDS LÄN</t>
        </is>
      </c>
      <c r="E3998" t="inlineStr">
        <is>
          <t>SALA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11675-2024</t>
        </is>
      </c>
      <c r="B3999" s="1" t="n">
        <v>45373</v>
      </c>
      <c r="C3999" s="1" t="n">
        <v>45811</v>
      </c>
      <c r="D3999" t="inlineStr">
        <is>
          <t>VÄSTMANLANDS LÄN</t>
        </is>
      </c>
      <c r="E3999" t="inlineStr">
        <is>
          <t>KÖPING</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11800-2024</t>
        </is>
      </c>
      <c r="B4000" s="1" t="n">
        <v>45375</v>
      </c>
      <c r="C4000" s="1" t="n">
        <v>45811</v>
      </c>
      <c r="D4000" t="inlineStr">
        <is>
          <t>VÄSTMANLANDS LÄN</t>
        </is>
      </c>
      <c r="E4000" t="inlineStr">
        <is>
          <t>SKINNSKATTEBERG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11823-2024</t>
        </is>
      </c>
      <c r="B4001" s="1" t="n">
        <v>45376</v>
      </c>
      <c r="C4001" s="1" t="n">
        <v>45811</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11826-2024</t>
        </is>
      </c>
      <c r="B4002" s="1" t="n">
        <v>45376</v>
      </c>
      <c r="C4002" s="1" t="n">
        <v>45811</v>
      </c>
      <c r="D4002" t="inlineStr">
        <is>
          <t>VÄSTMANLANDS LÄN</t>
        </is>
      </c>
      <c r="E4002" t="inlineStr">
        <is>
          <t>SKINNSKATTEBERG</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11834-2024</t>
        </is>
      </c>
      <c r="B4003" s="1" t="n">
        <v>45376</v>
      </c>
      <c r="C4003" s="1" t="n">
        <v>45811</v>
      </c>
      <c r="D4003" t="inlineStr">
        <is>
          <t>VÄSTMANLANDS LÄN</t>
        </is>
      </c>
      <c r="E4003" t="inlineStr">
        <is>
          <t>NORBERG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11822-2024</t>
        </is>
      </c>
      <c r="B4004" s="1" t="n">
        <v>45376</v>
      </c>
      <c r="C4004" s="1" t="n">
        <v>45811</v>
      </c>
      <c r="D4004" t="inlineStr">
        <is>
          <t>VÄSTMANLANDS LÄN</t>
        </is>
      </c>
      <c r="E4004" t="inlineStr">
        <is>
          <t>SKINNSKATTEBERG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11827-2024</t>
        </is>
      </c>
      <c r="B4005" s="1" t="n">
        <v>45376</v>
      </c>
      <c r="C4005" s="1" t="n">
        <v>45811</v>
      </c>
      <c r="D4005" t="inlineStr">
        <is>
          <t>VÄSTMANLANDS LÄN</t>
        </is>
      </c>
      <c r="E4005" t="inlineStr">
        <is>
          <t>SKINNSKATTEBERG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11847-2024</t>
        </is>
      </c>
      <c r="B4006" s="1" t="n">
        <v>45376</v>
      </c>
      <c r="C4006" s="1" t="n">
        <v>45811</v>
      </c>
      <c r="D4006" t="inlineStr">
        <is>
          <t>VÄSTMANLANDS LÄN</t>
        </is>
      </c>
      <c r="E4006" t="inlineStr">
        <is>
          <t>SALA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12115-2024</t>
        </is>
      </c>
      <c r="B4007" s="1" t="n">
        <v>45376</v>
      </c>
      <c r="C4007" s="1" t="n">
        <v>45811</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12158-2024</t>
        </is>
      </c>
      <c r="B4008" s="1" t="n">
        <v>45377</v>
      </c>
      <c r="C4008" s="1" t="n">
        <v>45811</v>
      </c>
      <c r="D4008" t="inlineStr">
        <is>
          <t>VÄSTMANLANDS LÄN</t>
        </is>
      </c>
      <c r="E4008" t="inlineStr">
        <is>
          <t>SKINNSKATTEBERG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12094-2024</t>
        </is>
      </c>
      <c r="B4009" s="1" t="n">
        <v>45377</v>
      </c>
      <c r="C4009" s="1" t="n">
        <v>45811</v>
      </c>
      <c r="D4009" t="inlineStr">
        <is>
          <t>VÄSTMANLANDS LÄN</t>
        </is>
      </c>
      <c r="E4009" t="inlineStr">
        <is>
          <t>SKINNSKATTEBERG</t>
        </is>
      </c>
      <c r="F4009" t="inlineStr">
        <is>
          <t>Sveaskog</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12057-2024</t>
        </is>
      </c>
      <c r="B4010" s="1" t="n">
        <v>45377</v>
      </c>
      <c r="C4010" s="1" t="n">
        <v>45811</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12095-2024</t>
        </is>
      </c>
      <c r="B4011" s="1" t="n">
        <v>45377</v>
      </c>
      <c r="C4011" s="1" t="n">
        <v>45811</v>
      </c>
      <c r="D4011" t="inlineStr">
        <is>
          <t>VÄSTMANLANDS LÄN</t>
        </is>
      </c>
      <c r="E4011" t="inlineStr">
        <is>
          <t>SKINNSKATTEBERG</t>
        </is>
      </c>
      <c r="F4011" t="inlineStr">
        <is>
          <t>Sveaskog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12055-2024</t>
        </is>
      </c>
      <c r="B4012" s="1" t="n">
        <v>45377</v>
      </c>
      <c r="C4012" s="1" t="n">
        <v>45811</v>
      </c>
      <c r="D4012" t="inlineStr">
        <is>
          <t>VÄSTMANLANDS LÄN</t>
        </is>
      </c>
      <c r="E4012" t="inlineStr">
        <is>
          <t>KÖPING</t>
        </is>
      </c>
      <c r="F4012" t="inlineStr">
        <is>
          <t>Sveaskog</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12096-2024</t>
        </is>
      </c>
      <c r="B4013" s="1" t="n">
        <v>45377</v>
      </c>
      <c r="C4013" s="1" t="n">
        <v>45811</v>
      </c>
      <c r="D4013" t="inlineStr">
        <is>
          <t>VÄSTMANLANDS LÄN</t>
        </is>
      </c>
      <c r="E4013" t="inlineStr">
        <is>
          <t>SKINNSKATTEBERG</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12236-2024</t>
        </is>
      </c>
      <c r="B4014" s="1" t="n">
        <v>45378</v>
      </c>
      <c r="C4014" s="1" t="n">
        <v>45811</v>
      </c>
      <c r="D4014" t="inlineStr">
        <is>
          <t>VÄSTMANLANDS LÄN</t>
        </is>
      </c>
      <c r="E4014" t="inlineStr">
        <is>
          <t>SALA</t>
        </is>
      </c>
      <c r="F4014" t="inlineStr">
        <is>
          <t>Kommuner</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12289-2024</t>
        </is>
      </c>
      <c r="B4015" s="1" t="n">
        <v>45378</v>
      </c>
      <c r="C4015" s="1" t="n">
        <v>45811</v>
      </c>
      <c r="D4015" t="inlineStr">
        <is>
          <t>VÄSTMANLANDS LÄN</t>
        </is>
      </c>
      <c r="E4015" t="inlineStr">
        <is>
          <t>VÄSTERÅS</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12302-2024</t>
        </is>
      </c>
      <c r="B4016" s="1" t="n">
        <v>45378</v>
      </c>
      <c r="C4016" s="1" t="n">
        <v>45811</v>
      </c>
      <c r="D4016" t="inlineStr">
        <is>
          <t>VÄSTMANLANDS LÄN</t>
        </is>
      </c>
      <c r="E4016" t="inlineStr">
        <is>
          <t>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12244-2024</t>
        </is>
      </c>
      <c r="B4017" s="1" t="n">
        <v>45378</v>
      </c>
      <c r="C4017" s="1" t="n">
        <v>45811</v>
      </c>
      <c r="D4017" t="inlineStr">
        <is>
          <t>VÄSTMANLANDS LÄN</t>
        </is>
      </c>
      <c r="E4017" t="inlineStr">
        <is>
          <t>SALA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12237-2024</t>
        </is>
      </c>
      <c r="B4018" s="1" t="n">
        <v>45378</v>
      </c>
      <c r="C4018" s="1" t="n">
        <v>45811</v>
      </c>
      <c r="D4018" t="inlineStr">
        <is>
          <t>VÄSTMANLANDS LÄN</t>
        </is>
      </c>
      <c r="E4018" t="inlineStr">
        <is>
          <t>SALA</t>
        </is>
      </c>
      <c r="F4018" t="inlineStr">
        <is>
          <t>Kommuner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12242-2024</t>
        </is>
      </c>
      <c r="B4019" s="1" t="n">
        <v>45378</v>
      </c>
      <c r="C4019" s="1" t="n">
        <v>45811</v>
      </c>
      <c r="D4019" t="inlineStr">
        <is>
          <t>VÄSTMANLANDS LÄN</t>
        </is>
      </c>
      <c r="E4019" t="inlineStr">
        <is>
          <t>SALA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12463-2024</t>
        </is>
      </c>
      <c r="B4020" s="1" t="n">
        <v>45378</v>
      </c>
      <c r="C4020" s="1" t="n">
        <v>45811</v>
      </c>
      <c r="D4020" t="inlineStr">
        <is>
          <t>VÄSTMANLANDS LÄN</t>
        </is>
      </c>
      <c r="E4020" t="inlineStr">
        <is>
          <t>SALA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12405-2024</t>
        </is>
      </c>
      <c r="B4021" s="1" t="n">
        <v>45379</v>
      </c>
      <c r="C4021" s="1" t="n">
        <v>45811</v>
      </c>
      <c r="D4021" t="inlineStr">
        <is>
          <t>VÄSTMANLANDS LÄN</t>
        </is>
      </c>
      <c r="E4021" t="inlineStr">
        <is>
          <t>ARBOGA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12485-2024</t>
        </is>
      </c>
      <c r="B4022" s="1" t="n">
        <v>45379</v>
      </c>
      <c r="C4022" s="1" t="n">
        <v>45811</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12406-2024</t>
        </is>
      </c>
      <c r="B4023" s="1" t="n">
        <v>45379</v>
      </c>
      <c r="C4023" s="1" t="n">
        <v>45811</v>
      </c>
      <c r="D4023" t="inlineStr">
        <is>
          <t>VÄSTMANLANDS LÄN</t>
        </is>
      </c>
      <c r="E4023" t="inlineStr">
        <is>
          <t>ARBOGA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12398-2024</t>
        </is>
      </c>
      <c r="B4024" s="1" t="n">
        <v>45379</v>
      </c>
      <c r="C4024" s="1" t="n">
        <v>45811</v>
      </c>
      <c r="D4024" t="inlineStr">
        <is>
          <t>VÄSTMANLANDS LÄN</t>
        </is>
      </c>
      <c r="E4024" t="inlineStr">
        <is>
          <t>ARBOGA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12678-2024</t>
        </is>
      </c>
      <c r="B4025" s="1" t="n">
        <v>45384</v>
      </c>
      <c r="C4025" s="1" t="n">
        <v>45811</v>
      </c>
      <c r="D4025" t="inlineStr">
        <is>
          <t>VÄSTMANLANDS LÄN</t>
        </is>
      </c>
      <c r="E4025" t="inlineStr">
        <is>
          <t>ARBOGA</t>
        </is>
      </c>
      <c r="F4025" t="inlineStr">
        <is>
          <t>Allmännings- och besparingsskogar</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12779-2024</t>
        </is>
      </c>
      <c r="B4026" s="1" t="n">
        <v>45384</v>
      </c>
      <c r="C4026" s="1" t="n">
        <v>45811</v>
      </c>
      <c r="D4026" t="inlineStr">
        <is>
          <t>VÄSTMANLANDS LÄN</t>
        </is>
      </c>
      <c r="E4026" t="inlineStr">
        <is>
          <t>HALLSTAHAMMAR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12773-2024</t>
        </is>
      </c>
      <c r="B4027" s="1" t="n">
        <v>45384</v>
      </c>
      <c r="C4027" s="1" t="n">
        <v>45811</v>
      </c>
      <c r="D4027" t="inlineStr">
        <is>
          <t>VÄSTMANLANDS LÄN</t>
        </is>
      </c>
      <c r="E4027" t="inlineStr">
        <is>
          <t>HALLSTAHAMMAR</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12703-2024</t>
        </is>
      </c>
      <c r="B4028" s="1" t="n">
        <v>45384</v>
      </c>
      <c r="C4028" s="1" t="n">
        <v>45811</v>
      </c>
      <c r="D4028" t="inlineStr">
        <is>
          <t>VÄSTMANLANDS LÄN</t>
        </is>
      </c>
      <c r="E4028" t="inlineStr">
        <is>
          <t>KÖPING</t>
        </is>
      </c>
      <c r="F4028" t="inlineStr">
        <is>
          <t>Allmännings- och besparingsskogar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12770-2024</t>
        </is>
      </c>
      <c r="B4029" s="1" t="n">
        <v>45384</v>
      </c>
      <c r="C4029" s="1" t="n">
        <v>45811</v>
      </c>
      <c r="D4029" t="inlineStr">
        <is>
          <t>VÄSTMANLANDS LÄN</t>
        </is>
      </c>
      <c r="E4029" t="inlineStr">
        <is>
          <t>HALLSTAHAMMAR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12667-2024</t>
        </is>
      </c>
      <c r="B4030" s="1" t="n">
        <v>45384</v>
      </c>
      <c r="C4030" s="1" t="n">
        <v>45811</v>
      </c>
      <c r="D4030" t="inlineStr">
        <is>
          <t>VÄSTMANLANDS LÄN</t>
        </is>
      </c>
      <c r="E4030" t="inlineStr">
        <is>
          <t>ARBOGA</t>
        </is>
      </c>
      <c r="F4030" t="inlineStr">
        <is>
          <t>Allmännings- och besparingsskogar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12697-2024</t>
        </is>
      </c>
      <c r="B4031" s="1" t="n">
        <v>45384</v>
      </c>
      <c r="C4031" s="1" t="n">
        <v>45811</v>
      </c>
      <c r="D4031" t="inlineStr">
        <is>
          <t>VÄSTMANLANDS LÄN</t>
        </is>
      </c>
      <c r="E4031" t="inlineStr">
        <is>
          <t>ARBOGA</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12735-2024</t>
        </is>
      </c>
      <c r="B4032" s="1" t="n">
        <v>45384</v>
      </c>
      <c r="C4032" s="1" t="n">
        <v>45811</v>
      </c>
      <c r="D4032" t="inlineStr">
        <is>
          <t>VÄSTMANLANDS LÄN</t>
        </is>
      </c>
      <c r="E4032" t="inlineStr">
        <is>
          <t>KÖPING</t>
        </is>
      </c>
      <c r="F4032" t="inlineStr">
        <is>
          <t>Allmännings- och besparingsskogar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12888-2024</t>
        </is>
      </c>
      <c r="B4033" s="1" t="n">
        <v>45385</v>
      </c>
      <c r="C4033" s="1" t="n">
        <v>45811</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13121-2024</t>
        </is>
      </c>
      <c r="B4034" s="1" t="n">
        <v>45385</v>
      </c>
      <c r="C4034" s="1" t="n">
        <v>45811</v>
      </c>
      <c r="D4034" t="inlineStr">
        <is>
          <t>VÄSTMANLANDS LÄN</t>
        </is>
      </c>
      <c r="E4034" t="inlineStr">
        <is>
          <t>ARBOGA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13106-2024</t>
        </is>
      </c>
      <c r="B4035" s="1" t="n">
        <v>45385</v>
      </c>
      <c r="C4035" s="1" t="n">
        <v>45811</v>
      </c>
      <c r="D4035" t="inlineStr">
        <is>
          <t>VÄSTMANLANDS LÄN</t>
        </is>
      </c>
      <c r="E4035" t="inlineStr">
        <is>
          <t>SALA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13110-2024</t>
        </is>
      </c>
      <c r="B4036" s="1" t="n">
        <v>45385</v>
      </c>
      <c r="C4036" s="1" t="n">
        <v>45811</v>
      </c>
      <c r="D4036" t="inlineStr">
        <is>
          <t>VÄSTMANLANDS LÄN</t>
        </is>
      </c>
      <c r="E4036" t="inlineStr">
        <is>
          <t>SALA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13295-2024</t>
        </is>
      </c>
      <c r="B4037" s="1" t="n">
        <v>45386</v>
      </c>
      <c r="C4037" s="1" t="n">
        <v>45811</v>
      </c>
      <c r="D4037" t="inlineStr">
        <is>
          <t>VÄSTMANLANDS LÄN</t>
        </is>
      </c>
      <c r="E4037" t="inlineStr">
        <is>
          <t>SKINNSKATTEBERG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13160-2024</t>
        </is>
      </c>
      <c r="B4038" s="1" t="n">
        <v>45386</v>
      </c>
      <c r="C4038" s="1" t="n">
        <v>45811</v>
      </c>
      <c r="D4038" t="inlineStr">
        <is>
          <t>VÄSTMANLANDS LÄN</t>
        </is>
      </c>
      <c r="E4038" t="inlineStr">
        <is>
          <t>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13388-2024</t>
        </is>
      </c>
      <c r="B4039" s="1" t="n">
        <v>45387</v>
      </c>
      <c r="C4039" s="1" t="n">
        <v>45811</v>
      </c>
      <c r="D4039" t="inlineStr">
        <is>
          <t>VÄSTMANLANDS LÄN</t>
        </is>
      </c>
      <c r="E4039" t="inlineStr">
        <is>
          <t>SKINNSKATTEBERG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13387-2024</t>
        </is>
      </c>
      <c r="B4040" s="1" t="n">
        <v>45387</v>
      </c>
      <c r="C4040" s="1" t="n">
        <v>45811</v>
      </c>
      <c r="D4040" t="inlineStr">
        <is>
          <t>VÄSTMANLANDS LÄN</t>
        </is>
      </c>
      <c r="E4040" t="inlineStr">
        <is>
          <t>SKINNSKATTEBERG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13383-2024</t>
        </is>
      </c>
      <c r="B4041" s="1" t="n">
        <v>45387</v>
      </c>
      <c r="C4041" s="1" t="n">
        <v>45811</v>
      </c>
      <c r="D4041" t="inlineStr">
        <is>
          <t>VÄSTMANLANDS LÄN</t>
        </is>
      </c>
      <c r="E4041" t="inlineStr">
        <is>
          <t>SKINNSKATTEBERG</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13409-2024</t>
        </is>
      </c>
      <c r="B4042" s="1" t="n">
        <v>45387</v>
      </c>
      <c r="C4042" s="1" t="n">
        <v>45811</v>
      </c>
      <c r="D4042" t="inlineStr">
        <is>
          <t>VÄSTMANLANDS LÄN</t>
        </is>
      </c>
      <c r="E4042" t="inlineStr">
        <is>
          <t>KÖPING</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13401-2024</t>
        </is>
      </c>
      <c r="B4043" s="1" t="n">
        <v>45387</v>
      </c>
      <c r="C4043" s="1" t="n">
        <v>45811</v>
      </c>
      <c r="D4043" t="inlineStr">
        <is>
          <t>VÄSTMANLANDS LÄN</t>
        </is>
      </c>
      <c r="E4043" t="inlineStr">
        <is>
          <t>KÖPING</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13385-2024</t>
        </is>
      </c>
      <c r="B4044" s="1" t="n">
        <v>45387</v>
      </c>
      <c r="C4044" s="1" t="n">
        <v>45811</v>
      </c>
      <c r="D4044" t="inlineStr">
        <is>
          <t>VÄSTMANLANDS LÄN</t>
        </is>
      </c>
      <c r="E4044" t="inlineStr">
        <is>
          <t>SKINNSKATTEBERG</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13654-2024</t>
        </is>
      </c>
      <c r="B4045" s="1" t="n">
        <v>45390</v>
      </c>
      <c r="C4045" s="1" t="n">
        <v>45811</v>
      </c>
      <c r="D4045" t="inlineStr">
        <is>
          <t>VÄSTMANLANDS LÄN</t>
        </is>
      </c>
      <c r="E4045" t="inlineStr">
        <is>
          <t>NORBERG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13715-2024</t>
        </is>
      </c>
      <c r="B4046" s="1" t="n">
        <v>45390</v>
      </c>
      <c r="C4046" s="1" t="n">
        <v>45811</v>
      </c>
      <c r="D4046" t="inlineStr">
        <is>
          <t>VÄSTMANLANDS LÄN</t>
        </is>
      </c>
      <c r="E4046" t="inlineStr">
        <is>
          <t>SKINNSKATTEBERG</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13721-2024</t>
        </is>
      </c>
      <c r="B4047" s="1" t="n">
        <v>45390</v>
      </c>
      <c r="C4047" s="1" t="n">
        <v>45811</v>
      </c>
      <c r="D4047" t="inlineStr">
        <is>
          <t>VÄSTMANLANDS LÄN</t>
        </is>
      </c>
      <c r="E4047" t="inlineStr">
        <is>
          <t>FAGERSTA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13656-2024</t>
        </is>
      </c>
      <c r="B4048" s="1" t="n">
        <v>45390</v>
      </c>
      <c r="C4048" s="1" t="n">
        <v>45811</v>
      </c>
      <c r="D4048" t="inlineStr">
        <is>
          <t>VÄSTMANLANDS LÄN</t>
        </is>
      </c>
      <c r="E4048" t="inlineStr">
        <is>
          <t>VÄSTERÅS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13713-2024</t>
        </is>
      </c>
      <c r="B4049" s="1" t="n">
        <v>45390</v>
      </c>
      <c r="C4049" s="1" t="n">
        <v>45811</v>
      </c>
      <c r="D4049" t="inlineStr">
        <is>
          <t>VÄSTMANLANDS LÄN</t>
        </is>
      </c>
      <c r="E4049" t="inlineStr">
        <is>
          <t>SKINNSKATTEBERG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14051-2024</t>
        </is>
      </c>
      <c r="B4050" s="1" t="n">
        <v>45392</v>
      </c>
      <c r="C4050" s="1" t="n">
        <v>45811</v>
      </c>
      <c r="D4050" t="inlineStr">
        <is>
          <t>VÄSTMANLANDS LÄN</t>
        </is>
      </c>
      <c r="E4050" t="inlineStr">
        <is>
          <t>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14001-2024</t>
        </is>
      </c>
      <c r="B4051" s="1" t="n">
        <v>45392</v>
      </c>
      <c r="C4051" s="1" t="n">
        <v>45811</v>
      </c>
      <c r="D4051" t="inlineStr">
        <is>
          <t>VÄSTMANLANDS LÄN</t>
        </is>
      </c>
      <c r="E4051" t="inlineStr">
        <is>
          <t>SALA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14062-2024</t>
        </is>
      </c>
      <c r="B4052" s="1" t="n">
        <v>45392</v>
      </c>
      <c r="C4052" s="1" t="n">
        <v>45811</v>
      </c>
      <c r="D4052" t="inlineStr">
        <is>
          <t>VÄSTMANLANDS LÄN</t>
        </is>
      </c>
      <c r="E4052" t="inlineStr">
        <is>
          <t>KÖPING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14115-2024</t>
        </is>
      </c>
      <c r="B4053" s="1" t="n">
        <v>45392</v>
      </c>
      <c r="C4053" s="1" t="n">
        <v>45811</v>
      </c>
      <c r="D4053" t="inlineStr">
        <is>
          <t>VÄSTMANLANDS LÄN</t>
        </is>
      </c>
      <c r="E4053" t="inlineStr">
        <is>
          <t>SALA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13996-2024</t>
        </is>
      </c>
      <c r="B4054" s="1" t="n">
        <v>45392</v>
      </c>
      <c r="C4054" s="1" t="n">
        <v>45811</v>
      </c>
      <c r="D4054" t="inlineStr">
        <is>
          <t>VÄSTMANLANDS LÄN</t>
        </is>
      </c>
      <c r="E4054" t="inlineStr">
        <is>
          <t>SKINNSKATTEBERG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14114-2024</t>
        </is>
      </c>
      <c r="B4055" s="1" t="n">
        <v>45392</v>
      </c>
      <c r="C4055" s="1" t="n">
        <v>45811</v>
      </c>
      <c r="D4055" t="inlineStr">
        <is>
          <t>VÄSTMANLANDS LÄN</t>
        </is>
      </c>
      <c r="E4055" t="inlineStr">
        <is>
          <t>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14002-2024</t>
        </is>
      </c>
      <c r="B4056" s="1" t="n">
        <v>45392</v>
      </c>
      <c r="C4056" s="1" t="n">
        <v>45811</v>
      </c>
      <c r="D4056" t="inlineStr">
        <is>
          <t>VÄSTMANLANDS LÄN</t>
        </is>
      </c>
      <c r="E4056" t="inlineStr">
        <is>
          <t>SKINNSKATTEBERG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14181-2024</t>
        </is>
      </c>
      <c r="B4057" s="1" t="n">
        <v>45393</v>
      </c>
      <c r="C4057" s="1" t="n">
        <v>45811</v>
      </c>
      <c r="D4057" t="inlineStr">
        <is>
          <t>VÄSTMANLANDS LÄN</t>
        </is>
      </c>
      <c r="E4057" t="inlineStr">
        <is>
          <t>SALA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14189-2024</t>
        </is>
      </c>
      <c r="B4058" s="1" t="n">
        <v>45393</v>
      </c>
      <c r="C4058" s="1" t="n">
        <v>45811</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14335-2024</t>
        </is>
      </c>
      <c r="B4059" s="1" t="n">
        <v>45393</v>
      </c>
      <c r="C4059" s="1" t="n">
        <v>45811</v>
      </c>
      <c r="D4059" t="inlineStr">
        <is>
          <t>VÄSTMANLANDS LÄN</t>
        </is>
      </c>
      <c r="E4059" t="inlineStr">
        <is>
          <t>SKINNSKATTEBERG</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14406-2024</t>
        </is>
      </c>
      <c r="B4060" s="1" t="n">
        <v>45394</v>
      </c>
      <c r="C4060" s="1" t="n">
        <v>45811</v>
      </c>
      <c r="D4060" t="inlineStr">
        <is>
          <t>VÄSTMANLANDS LÄN</t>
        </is>
      </c>
      <c r="E4060" t="inlineStr">
        <is>
          <t>SKINNSKATTEBERG</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14624-2024</t>
        </is>
      </c>
      <c r="B4061" s="1" t="n">
        <v>45397</v>
      </c>
      <c r="C4061" s="1" t="n">
        <v>45811</v>
      </c>
      <c r="D4061" t="inlineStr">
        <is>
          <t>VÄSTMANLANDS LÄN</t>
        </is>
      </c>
      <c r="E4061" t="inlineStr">
        <is>
          <t>KÖPING</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14627-2024</t>
        </is>
      </c>
      <c r="B4062" s="1" t="n">
        <v>45397</v>
      </c>
      <c r="C4062" s="1" t="n">
        <v>45811</v>
      </c>
      <c r="D4062" t="inlineStr">
        <is>
          <t>VÄSTMANLANDS LÄN</t>
        </is>
      </c>
      <c r="E4062" t="inlineStr">
        <is>
          <t>SKINNSKATTEBERG</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14779-2024</t>
        </is>
      </c>
      <c r="B4063" s="1" t="n">
        <v>45397</v>
      </c>
      <c r="C4063" s="1" t="n">
        <v>45811</v>
      </c>
      <c r="D4063" t="inlineStr">
        <is>
          <t>VÄSTMANLANDS LÄN</t>
        </is>
      </c>
      <c r="E4063" t="inlineStr">
        <is>
          <t>KUNGSÖR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14799-2024</t>
        </is>
      </c>
      <c r="B4064" s="1" t="n">
        <v>45397</v>
      </c>
      <c r="C4064" s="1" t="n">
        <v>45811</v>
      </c>
      <c r="D4064" t="inlineStr">
        <is>
          <t>VÄSTMANLANDS LÄN</t>
        </is>
      </c>
      <c r="E4064" t="inlineStr">
        <is>
          <t>VÄSTERÅS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14626-2024</t>
        </is>
      </c>
      <c r="B4065" s="1" t="n">
        <v>45397</v>
      </c>
      <c r="C4065" s="1" t="n">
        <v>45811</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14770-2024</t>
        </is>
      </c>
      <c r="B4066" s="1" t="n">
        <v>45397</v>
      </c>
      <c r="C4066" s="1" t="n">
        <v>45811</v>
      </c>
      <c r="D4066" t="inlineStr">
        <is>
          <t>VÄSTMANLANDS LÄN</t>
        </is>
      </c>
      <c r="E4066" t="inlineStr">
        <is>
          <t>ARBOGA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14784-2024</t>
        </is>
      </c>
      <c r="B4067" s="1" t="n">
        <v>45397</v>
      </c>
      <c r="C4067" s="1" t="n">
        <v>45811</v>
      </c>
      <c r="D4067" t="inlineStr">
        <is>
          <t>VÄSTMANLANDS LÄN</t>
        </is>
      </c>
      <c r="E4067" t="inlineStr">
        <is>
          <t>KUNGSÖR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14800-2024</t>
        </is>
      </c>
      <c r="B4068" s="1" t="n">
        <v>45397</v>
      </c>
      <c r="C4068" s="1" t="n">
        <v>45811</v>
      </c>
      <c r="D4068" t="inlineStr">
        <is>
          <t>VÄSTMANLANDS LÄN</t>
        </is>
      </c>
      <c r="E4068" t="inlineStr">
        <is>
          <t>VÄSTERÅS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14625-2024</t>
        </is>
      </c>
      <c r="B4069" s="1" t="n">
        <v>45397</v>
      </c>
      <c r="C4069" s="1" t="n">
        <v>45811</v>
      </c>
      <c r="D4069" t="inlineStr">
        <is>
          <t>VÄSTMANLANDS LÄN</t>
        </is>
      </c>
      <c r="E4069" t="inlineStr">
        <is>
          <t>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14836-2024</t>
        </is>
      </c>
      <c r="B4070" s="1" t="n">
        <v>45398</v>
      </c>
      <c r="C4070" s="1" t="n">
        <v>45811</v>
      </c>
      <c r="D4070" t="inlineStr">
        <is>
          <t>VÄSTMANLANDS LÄN</t>
        </is>
      </c>
      <c r="E4070" t="inlineStr">
        <is>
          <t>VÄSTERÅS</t>
        </is>
      </c>
      <c r="G4070" t="n">
        <v>20.5</v>
      </c>
      <c r="H4070" t="n">
        <v>0</v>
      </c>
      <c r="I4070" t="n">
        <v>0</v>
      </c>
      <c r="J4070" t="n">
        <v>0</v>
      </c>
      <c r="K4070" t="n">
        <v>0</v>
      </c>
      <c r="L4070" t="n">
        <v>0</v>
      </c>
      <c r="M4070" t="n">
        <v>0</v>
      </c>
      <c r="N4070" t="n">
        <v>0</v>
      </c>
      <c r="O4070" t="n">
        <v>0</v>
      </c>
      <c r="P4070" t="n">
        <v>0</v>
      </c>
      <c r="Q4070" t="n">
        <v>0</v>
      </c>
      <c r="R4070" s="2" t="inlineStr"/>
    </row>
    <row r="4071" ht="15" customHeight="1">
      <c r="A4071" t="inlineStr">
        <is>
          <t>A 14851-2024</t>
        </is>
      </c>
      <c r="B4071" s="1" t="n">
        <v>45398</v>
      </c>
      <c r="C4071" s="1" t="n">
        <v>45811</v>
      </c>
      <c r="D4071" t="inlineStr">
        <is>
          <t>VÄSTMANLANDS LÄN</t>
        </is>
      </c>
      <c r="E4071" t="inlineStr">
        <is>
          <t>VÄSTERÅS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15273-2024</t>
        </is>
      </c>
      <c r="B4072" s="1" t="n">
        <v>45400</v>
      </c>
      <c r="C4072" s="1" t="n">
        <v>45811</v>
      </c>
      <c r="D4072" t="inlineStr">
        <is>
          <t>VÄSTMANLANDS LÄN</t>
        </is>
      </c>
      <c r="E4072" t="inlineStr">
        <is>
          <t>VÄSTERÅS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15298-2024</t>
        </is>
      </c>
      <c r="B4073" s="1" t="n">
        <v>45400</v>
      </c>
      <c r="C4073" s="1" t="n">
        <v>45811</v>
      </c>
      <c r="D4073" t="inlineStr">
        <is>
          <t>VÄSTMANLANDS LÄN</t>
        </is>
      </c>
      <c r="E4073" t="inlineStr">
        <is>
          <t>SKINNSKATTEBERG</t>
        </is>
      </c>
      <c r="F4073" t="inlineStr">
        <is>
          <t>Sveaskog</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15554-2024</t>
        </is>
      </c>
      <c r="B4074" s="1" t="n">
        <v>45401</v>
      </c>
      <c r="C4074" s="1" t="n">
        <v>45811</v>
      </c>
      <c r="D4074" t="inlineStr">
        <is>
          <t>VÄSTMANLANDS LÄN</t>
        </is>
      </c>
      <c r="E4074" t="inlineStr">
        <is>
          <t>KÖPING</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15542-2024</t>
        </is>
      </c>
      <c r="B4075" s="1" t="n">
        <v>45401</v>
      </c>
      <c r="C4075" s="1" t="n">
        <v>45811</v>
      </c>
      <c r="D4075" t="inlineStr">
        <is>
          <t>VÄSTMANLANDS LÄN</t>
        </is>
      </c>
      <c r="E4075" t="inlineStr">
        <is>
          <t>SKINNSKATTEBERG</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15551-2024</t>
        </is>
      </c>
      <c r="B4076" s="1" t="n">
        <v>45401</v>
      </c>
      <c r="C4076" s="1" t="n">
        <v>45811</v>
      </c>
      <c r="D4076" t="inlineStr">
        <is>
          <t>VÄSTMANLANDS LÄN</t>
        </is>
      </c>
      <c r="E4076" t="inlineStr">
        <is>
          <t>KÖPING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15539-2024</t>
        </is>
      </c>
      <c r="B4077" s="1" t="n">
        <v>45401</v>
      </c>
      <c r="C4077" s="1" t="n">
        <v>45811</v>
      </c>
      <c r="D4077" t="inlineStr">
        <is>
          <t>VÄSTMANLANDS LÄN</t>
        </is>
      </c>
      <c r="E4077" t="inlineStr">
        <is>
          <t>SKINNSKATTEBERG</t>
        </is>
      </c>
      <c r="F4077" t="inlineStr">
        <is>
          <t>Sveaskog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15512-2024</t>
        </is>
      </c>
      <c r="B4078" s="1" t="n">
        <v>45401</v>
      </c>
      <c r="C4078" s="1" t="n">
        <v>45811</v>
      </c>
      <c r="D4078" t="inlineStr">
        <is>
          <t>VÄSTMANLANDS LÄN</t>
        </is>
      </c>
      <c r="E4078" t="inlineStr">
        <is>
          <t>SKINNSKATTEBERG</t>
        </is>
      </c>
      <c r="F4078" t="inlineStr">
        <is>
          <t>Sveaskog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15541-2024</t>
        </is>
      </c>
      <c r="B4079" s="1" t="n">
        <v>45401</v>
      </c>
      <c r="C4079" s="1" t="n">
        <v>45811</v>
      </c>
      <c r="D4079" t="inlineStr">
        <is>
          <t>VÄSTMANLANDS LÄN</t>
        </is>
      </c>
      <c r="E4079" t="inlineStr">
        <is>
          <t>SKINNSKATTEBERG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15549-2024</t>
        </is>
      </c>
      <c r="B4080" s="1" t="n">
        <v>45401</v>
      </c>
      <c r="C4080" s="1" t="n">
        <v>45811</v>
      </c>
      <c r="D4080" t="inlineStr">
        <is>
          <t>VÄSTMANLANDS LÄN</t>
        </is>
      </c>
      <c r="E4080" t="inlineStr">
        <is>
          <t>KÖPING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15561-2024</t>
        </is>
      </c>
      <c r="B4081" s="1" t="n">
        <v>45401</v>
      </c>
      <c r="C4081" s="1" t="n">
        <v>45811</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15540-2024</t>
        </is>
      </c>
      <c r="B4082" s="1" t="n">
        <v>45401</v>
      </c>
      <c r="C4082" s="1" t="n">
        <v>45811</v>
      </c>
      <c r="D4082" t="inlineStr">
        <is>
          <t>VÄSTMANLANDS LÄN</t>
        </is>
      </c>
      <c r="E4082" t="inlineStr">
        <is>
          <t>SKINNSKATTEBERG</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15732-2024</t>
        </is>
      </c>
      <c r="B4083" s="1" t="n">
        <v>45404</v>
      </c>
      <c r="C4083" s="1" t="n">
        <v>45811</v>
      </c>
      <c r="D4083" t="inlineStr">
        <is>
          <t>VÄSTMANLANDS LÄN</t>
        </is>
      </c>
      <c r="E4083" t="inlineStr">
        <is>
          <t>KÖPING</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15736-2024</t>
        </is>
      </c>
      <c r="B4084" s="1" t="n">
        <v>45404</v>
      </c>
      <c r="C4084" s="1" t="n">
        <v>45811</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15737-2024</t>
        </is>
      </c>
      <c r="B4085" s="1" t="n">
        <v>45404</v>
      </c>
      <c r="C4085" s="1" t="n">
        <v>45811</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15735-2024</t>
        </is>
      </c>
      <c r="B4086" s="1" t="n">
        <v>45404</v>
      </c>
      <c r="C4086" s="1" t="n">
        <v>45811</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15834-2024</t>
        </is>
      </c>
      <c r="B4087" s="1" t="n">
        <v>45404</v>
      </c>
      <c r="C4087" s="1" t="n">
        <v>45811</v>
      </c>
      <c r="D4087" t="inlineStr">
        <is>
          <t>VÄSTMANLANDS LÄN</t>
        </is>
      </c>
      <c r="E4087" t="inlineStr">
        <is>
          <t>NORBERG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15972-2024</t>
        </is>
      </c>
      <c r="B4088" s="1" t="n">
        <v>45405</v>
      </c>
      <c r="C4088" s="1" t="n">
        <v>45811</v>
      </c>
      <c r="D4088" t="inlineStr">
        <is>
          <t>VÄSTMANLANDS LÄN</t>
        </is>
      </c>
      <c r="E4088" t="inlineStr">
        <is>
          <t>SALA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15968-2024</t>
        </is>
      </c>
      <c r="B4089" s="1" t="n">
        <v>45405</v>
      </c>
      <c r="C4089" s="1" t="n">
        <v>45811</v>
      </c>
      <c r="D4089" t="inlineStr">
        <is>
          <t>VÄSTMANLANDS LÄN</t>
        </is>
      </c>
      <c r="E4089" t="inlineStr">
        <is>
          <t>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15965-2024</t>
        </is>
      </c>
      <c r="B4090" s="1" t="n">
        <v>45405</v>
      </c>
      <c r="C4090" s="1" t="n">
        <v>45811</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16048-2024</t>
        </is>
      </c>
      <c r="B4091" s="1" t="n">
        <v>45406</v>
      </c>
      <c r="C4091" s="1" t="n">
        <v>45811</v>
      </c>
      <c r="D4091" t="inlineStr">
        <is>
          <t>VÄSTMANLANDS LÄN</t>
        </is>
      </c>
      <c r="E4091" t="inlineStr">
        <is>
          <t>KÖPING</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16042-2024</t>
        </is>
      </c>
      <c r="B4092" s="1" t="n">
        <v>45405</v>
      </c>
      <c r="C4092" s="1" t="n">
        <v>45811</v>
      </c>
      <c r="D4092" t="inlineStr">
        <is>
          <t>VÄSTMANLANDS LÄN</t>
        </is>
      </c>
      <c r="E4092" t="inlineStr">
        <is>
          <t>NORBERG</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15974-2024</t>
        </is>
      </c>
      <c r="B4093" s="1" t="n">
        <v>45405</v>
      </c>
      <c r="C4093" s="1" t="n">
        <v>45811</v>
      </c>
      <c r="D4093" t="inlineStr">
        <is>
          <t>VÄSTMANLANDS LÄN</t>
        </is>
      </c>
      <c r="E4093" t="inlineStr">
        <is>
          <t>NORBERG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15890-2024</t>
        </is>
      </c>
      <c r="B4094" s="1" t="n">
        <v>45405</v>
      </c>
      <c r="C4094" s="1" t="n">
        <v>45811</v>
      </c>
      <c r="D4094" t="inlineStr">
        <is>
          <t>VÄSTMANLANDS LÄN</t>
        </is>
      </c>
      <c r="E4094" t="inlineStr">
        <is>
          <t>NORBERG</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16088-2024</t>
        </is>
      </c>
      <c r="B4095" s="1" t="n">
        <v>45406</v>
      </c>
      <c r="C4095" s="1" t="n">
        <v>45811</v>
      </c>
      <c r="D4095" t="inlineStr">
        <is>
          <t>VÄSTMANLANDS LÄN</t>
        </is>
      </c>
      <c r="E4095" t="inlineStr">
        <is>
          <t>SKINNSKATTEBERG</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16089-2024</t>
        </is>
      </c>
      <c r="B4096" s="1" t="n">
        <v>45406</v>
      </c>
      <c r="C4096" s="1" t="n">
        <v>45811</v>
      </c>
      <c r="D4096" t="inlineStr">
        <is>
          <t>VÄSTMANLANDS LÄN</t>
        </is>
      </c>
      <c r="E4096" t="inlineStr">
        <is>
          <t>SKINNSKATTEBERG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16159-2024</t>
        </is>
      </c>
      <c r="B4097" s="1" t="n">
        <v>45406</v>
      </c>
      <c r="C4097" s="1" t="n">
        <v>45811</v>
      </c>
      <c r="D4097" t="inlineStr">
        <is>
          <t>VÄSTMANLANDS LÄN</t>
        </is>
      </c>
      <c r="E4097" t="inlineStr">
        <is>
          <t>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16163-2024</t>
        </is>
      </c>
      <c r="B4098" s="1" t="n">
        <v>45406</v>
      </c>
      <c r="C4098" s="1" t="n">
        <v>45811</v>
      </c>
      <c r="D4098" t="inlineStr">
        <is>
          <t>VÄSTMANLANDS LÄN</t>
        </is>
      </c>
      <c r="E4098" t="inlineStr">
        <is>
          <t>SALA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16148-2024</t>
        </is>
      </c>
      <c r="B4099" s="1" t="n">
        <v>45406</v>
      </c>
      <c r="C4099" s="1" t="n">
        <v>45811</v>
      </c>
      <c r="D4099" t="inlineStr">
        <is>
          <t>VÄSTMANLANDS LÄN</t>
        </is>
      </c>
      <c r="E4099" t="inlineStr">
        <is>
          <t>SALA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16160-2024</t>
        </is>
      </c>
      <c r="B4100" s="1" t="n">
        <v>45406</v>
      </c>
      <c r="C4100" s="1" t="n">
        <v>45811</v>
      </c>
      <c r="D4100" t="inlineStr">
        <is>
          <t>VÄSTMANLANDS LÄN</t>
        </is>
      </c>
      <c r="E4100" t="inlineStr">
        <is>
          <t>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16358-2024</t>
        </is>
      </c>
      <c r="B4101" s="1" t="n">
        <v>45407</v>
      </c>
      <c r="C4101" s="1" t="n">
        <v>45811</v>
      </c>
      <c r="D4101" t="inlineStr">
        <is>
          <t>VÄSTMANLANDS LÄN</t>
        </is>
      </c>
      <c r="E4101" t="inlineStr">
        <is>
          <t>SKINNSKATTEBERG</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16389-2024</t>
        </is>
      </c>
      <c r="B4102" s="1" t="n">
        <v>45407</v>
      </c>
      <c r="C4102" s="1" t="n">
        <v>45811</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16393-2024</t>
        </is>
      </c>
      <c r="B4103" s="1" t="n">
        <v>45407</v>
      </c>
      <c r="C4103" s="1" t="n">
        <v>45811</v>
      </c>
      <c r="D4103" t="inlineStr">
        <is>
          <t>VÄSTMANLANDS LÄN</t>
        </is>
      </c>
      <c r="E4103" t="inlineStr">
        <is>
          <t>SKINNSKATTEBERG</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16397-2024</t>
        </is>
      </c>
      <c r="B4104" s="1" t="n">
        <v>45407</v>
      </c>
      <c r="C4104" s="1" t="n">
        <v>45811</v>
      </c>
      <c r="D4104" t="inlineStr">
        <is>
          <t>VÄSTMANLANDS LÄN</t>
        </is>
      </c>
      <c r="E4104" t="inlineStr">
        <is>
          <t>SKINNSKATTEBERG</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16394-2024</t>
        </is>
      </c>
      <c r="B4105" s="1" t="n">
        <v>45407</v>
      </c>
      <c r="C4105" s="1" t="n">
        <v>45811</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16356-2024</t>
        </is>
      </c>
      <c r="B4106" s="1" t="n">
        <v>45407</v>
      </c>
      <c r="C4106" s="1" t="n">
        <v>45811</v>
      </c>
      <c r="D4106" t="inlineStr">
        <is>
          <t>VÄSTMANLANDS LÄN</t>
        </is>
      </c>
      <c r="E4106" t="inlineStr">
        <is>
          <t>SKINNSKATTEBERG</t>
        </is>
      </c>
      <c r="F4106" t="inlineStr">
        <is>
          <t>Sveaskog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16400-2024</t>
        </is>
      </c>
      <c r="B4107" s="1" t="n">
        <v>45407</v>
      </c>
      <c r="C4107" s="1" t="n">
        <v>45811</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16629-2024</t>
        </is>
      </c>
      <c r="B4108" s="1" t="n">
        <v>45408</v>
      </c>
      <c r="C4108" s="1" t="n">
        <v>45811</v>
      </c>
      <c r="D4108" t="inlineStr">
        <is>
          <t>VÄSTMANLANDS LÄN</t>
        </is>
      </c>
      <c r="E4108" t="inlineStr">
        <is>
          <t>NORBERG</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16576-2024</t>
        </is>
      </c>
      <c r="B4109" s="1" t="n">
        <v>45408</v>
      </c>
      <c r="C4109" s="1" t="n">
        <v>45811</v>
      </c>
      <c r="D4109" t="inlineStr">
        <is>
          <t>VÄSTMANLANDS LÄN</t>
        </is>
      </c>
      <c r="E4109" t="inlineStr">
        <is>
          <t>ARBOGA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16503-2024</t>
        </is>
      </c>
      <c r="B4110" s="1" t="n">
        <v>45408</v>
      </c>
      <c r="C4110" s="1" t="n">
        <v>45811</v>
      </c>
      <c r="D4110" t="inlineStr">
        <is>
          <t>VÄSTMANLANDS LÄN</t>
        </is>
      </c>
      <c r="E4110" t="inlineStr">
        <is>
          <t>NORBERG</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16523-2024</t>
        </is>
      </c>
      <c r="B4111" s="1" t="n">
        <v>45408</v>
      </c>
      <c r="C4111" s="1" t="n">
        <v>45811</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16729-2024</t>
        </is>
      </c>
      <c r="B4112" s="1" t="n">
        <v>45410</v>
      </c>
      <c r="C4112" s="1" t="n">
        <v>45811</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16767-2024</t>
        </is>
      </c>
      <c r="B4113" s="1" t="n">
        <v>45411</v>
      </c>
      <c r="C4113" s="1" t="n">
        <v>45811</v>
      </c>
      <c r="D4113" t="inlineStr">
        <is>
          <t>VÄSTMANLANDS LÄN</t>
        </is>
      </c>
      <c r="E4113" t="inlineStr">
        <is>
          <t>SALA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16907-2024</t>
        </is>
      </c>
      <c r="B4114" s="1" t="n">
        <v>45411</v>
      </c>
      <c r="C4114" s="1" t="n">
        <v>45811</v>
      </c>
      <c r="D4114" t="inlineStr">
        <is>
          <t>VÄSTMANLANDS LÄN</t>
        </is>
      </c>
      <c r="E4114" t="inlineStr">
        <is>
          <t>KÖPING</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17029-2024</t>
        </is>
      </c>
      <c r="B4115" s="1" t="n">
        <v>45411</v>
      </c>
      <c r="C4115" s="1" t="n">
        <v>45811</v>
      </c>
      <c r="D4115" t="inlineStr">
        <is>
          <t>VÄSTMANLANDS LÄN</t>
        </is>
      </c>
      <c r="E4115" t="inlineStr">
        <is>
          <t>NORBERG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16905-2024</t>
        </is>
      </c>
      <c r="B4116" s="1" t="n">
        <v>45411</v>
      </c>
      <c r="C4116" s="1" t="n">
        <v>45811</v>
      </c>
      <c r="D4116" t="inlineStr">
        <is>
          <t>VÄSTMANLANDS LÄN</t>
        </is>
      </c>
      <c r="E4116" t="inlineStr">
        <is>
          <t>KÖPING</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16760-2024</t>
        </is>
      </c>
      <c r="B4117" s="1" t="n">
        <v>45411</v>
      </c>
      <c r="C4117" s="1" t="n">
        <v>45811</v>
      </c>
      <c r="D4117" t="inlineStr">
        <is>
          <t>VÄSTMANLANDS LÄN</t>
        </is>
      </c>
      <c r="E4117" t="inlineStr">
        <is>
          <t>SALA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16769-2024</t>
        </is>
      </c>
      <c r="B4118" s="1" t="n">
        <v>45411</v>
      </c>
      <c r="C4118" s="1" t="n">
        <v>45811</v>
      </c>
      <c r="D4118" t="inlineStr">
        <is>
          <t>VÄSTMANLANDS LÄN</t>
        </is>
      </c>
      <c r="E4118" t="inlineStr">
        <is>
          <t>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17252-2024</t>
        </is>
      </c>
      <c r="B4119" s="1" t="n">
        <v>45414</v>
      </c>
      <c r="C4119" s="1" t="n">
        <v>45811</v>
      </c>
      <c r="D4119" t="inlineStr">
        <is>
          <t>VÄSTMANLANDS LÄN</t>
        </is>
      </c>
      <c r="E4119" t="inlineStr">
        <is>
          <t>VÄSTERÅS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17257-2024</t>
        </is>
      </c>
      <c r="B4120" s="1" t="n">
        <v>45414</v>
      </c>
      <c r="C4120" s="1" t="n">
        <v>45811</v>
      </c>
      <c r="D4120" t="inlineStr">
        <is>
          <t>VÄSTMANLANDS LÄN</t>
        </is>
      </c>
      <c r="E4120" t="inlineStr">
        <is>
          <t>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17334-2024</t>
        </is>
      </c>
      <c r="B4121" s="1" t="n">
        <v>45414</v>
      </c>
      <c r="C4121" s="1" t="n">
        <v>45811</v>
      </c>
      <c r="D4121" t="inlineStr">
        <is>
          <t>VÄSTMANLANDS LÄN</t>
        </is>
      </c>
      <c r="E4121" t="inlineStr">
        <is>
          <t>KÖPING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17258-2024</t>
        </is>
      </c>
      <c r="B4122" s="1" t="n">
        <v>45414</v>
      </c>
      <c r="C4122" s="1" t="n">
        <v>45811</v>
      </c>
      <c r="D4122" t="inlineStr">
        <is>
          <t>VÄSTMANLANDS LÄN</t>
        </is>
      </c>
      <c r="E4122" t="inlineStr">
        <is>
          <t>VÄSTERÅS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17374-2024</t>
        </is>
      </c>
      <c r="B4123" s="1" t="n">
        <v>45414</v>
      </c>
      <c r="C4123" s="1" t="n">
        <v>45811</v>
      </c>
      <c r="D4123" t="inlineStr">
        <is>
          <t>VÄSTMANLANDS LÄN</t>
        </is>
      </c>
      <c r="E4123" t="inlineStr">
        <is>
          <t>SKINNSKATTEBERG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17455-2024</t>
        </is>
      </c>
      <c r="B4124" s="1" t="n">
        <v>45415</v>
      </c>
      <c r="C4124" s="1" t="n">
        <v>45811</v>
      </c>
      <c r="D4124" t="inlineStr">
        <is>
          <t>VÄSTMANLANDS LÄN</t>
        </is>
      </c>
      <c r="E4124" t="inlineStr">
        <is>
          <t>SALA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17495-2024</t>
        </is>
      </c>
      <c r="B4125" s="1" t="n">
        <v>45415</v>
      </c>
      <c r="C4125" s="1" t="n">
        <v>45811</v>
      </c>
      <c r="D4125" t="inlineStr">
        <is>
          <t>VÄSTMANLANDS LÄN</t>
        </is>
      </c>
      <c r="E4125" t="inlineStr">
        <is>
          <t>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17457-2024</t>
        </is>
      </c>
      <c r="B4126" s="1" t="n">
        <v>45415</v>
      </c>
      <c r="C4126" s="1" t="n">
        <v>45811</v>
      </c>
      <c r="D4126" t="inlineStr">
        <is>
          <t>VÄSTMANLANDS LÄN</t>
        </is>
      </c>
      <c r="E4126" t="inlineStr">
        <is>
          <t>SALA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17458-2024</t>
        </is>
      </c>
      <c r="B4127" s="1" t="n">
        <v>45415</v>
      </c>
      <c r="C4127" s="1" t="n">
        <v>45811</v>
      </c>
      <c r="D4127" t="inlineStr">
        <is>
          <t>VÄSTMANLANDS LÄN</t>
        </is>
      </c>
      <c r="E4127" t="inlineStr">
        <is>
          <t>SALA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17470-2024</t>
        </is>
      </c>
      <c r="B4128" s="1" t="n">
        <v>45415</v>
      </c>
      <c r="C4128" s="1" t="n">
        <v>45811</v>
      </c>
      <c r="D4128" t="inlineStr">
        <is>
          <t>VÄSTMANLANDS LÄN</t>
        </is>
      </c>
      <c r="E4128" t="inlineStr">
        <is>
          <t>SKINNSKATTEBERG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17452-2024</t>
        </is>
      </c>
      <c r="B4129" s="1" t="n">
        <v>45415</v>
      </c>
      <c r="C4129" s="1" t="n">
        <v>45811</v>
      </c>
      <c r="D4129" t="inlineStr">
        <is>
          <t>VÄSTMANLANDS LÄN</t>
        </is>
      </c>
      <c r="E4129" t="inlineStr">
        <is>
          <t>VÄSTERÅS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17496-2024</t>
        </is>
      </c>
      <c r="B4130" s="1" t="n">
        <v>45415</v>
      </c>
      <c r="C4130" s="1" t="n">
        <v>45811</v>
      </c>
      <c r="D4130" t="inlineStr">
        <is>
          <t>VÄSTMANLANDS LÄN</t>
        </is>
      </c>
      <c r="E4130" t="inlineStr">
        <is>
          <t>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17644-2024</t>
        </is>
      </c>
      <c r="B4131" s="1" t="n">
        <v>45418</v>
      </c>
      <c r="C4131" s="1" t="n">
        <v>45811</v>
      </c>
      <c r="D4131" t="inlineStr">
        <is>
          <t>VÄSTMANLANDS LÄN</t>
        </is>
      </c>
      <c r="E4131" t="inlineStr">
        <is>
          <t>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17783-2024</t>
        </is>
      </c>
      <c r="B4132" s="1" t="n">
        <v>45418</v>
      </c>
      <c r="C4132" s="1" t="n">
        <v>45811</v>
      </c>
      <c r="D4132" t="inlineStr">
        <is>
          <t>VÄSTMANLANDS LÄN</t>
        </is>
      </c>
      <c r="E4132" t="inlineStr">
        <is>
          <t>SKINNSKATTEBERG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17816-2024</t>
        </is>
      </c>
      <c r="B4133" s="1" t="n">
        <v>45418</v>
      </c>
      <c r="C4133" s="1" t="n">
        <v>45811</v>
      </c>
      <c r="D4133" t="inlineStr">
        <is>
          <t>VÄSTMANLANDS LÄN</t>
        </is>
      </c>
      <c r="E4133" t="inlineStr">
        <is>
          <t>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17719-2024</t>
        </is>
      </c>
      <c r="B4134" s="1" t="n">
        <v>45418</v>
      </c>
      <c r="C4134" s="1" t="n">
        <v>45811</v>
      </c>
      <c r="D4134" t="inlineStr">
        <is>
          <t>VÄSTMANLANDS LÄN</t>
        </is>
      </c>
      <c r="E4134" t="inlineStr">
        <is>
          <t>VÄSTERÅS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17918-2024</t>
        </is>
      </c>
      <c r="B4135" s="1" t="n">
        <v>45419</v>
      </c>
      <c r="C4135" s="1" t="n">
        <v>45811</v>
      </c>
      <c r="D4135" t="inlineStr">
        <is>
          <t>VÄSTMANLANDS LÄN</t>
        </is>
      </c>
      <c r="E4135" t="inlineStr">
        <is>
          <t>SALA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17983-2024</t>
        </is>
      </c>
      <c r="B4136" s="1" t="n">
        <v>45419</v>
      </c>
      <c r="C4136" s="1" t="n">
        <v>45811</v>
      </c>
      <c r="D4136" t="inlineStr">
        <is>
          <t>VÄSTMANLANDS LÄN</t>
        </is>
      </c>
      <c r="E4136" t="inlineStr">
        <is>
          <t>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17958-2024</t>
        </is>
      </c>
      <c r="B4137" s="1" t="n">
        <v>45419</v>
      </c>
      <c r="C4137" s="1" t="n">
        <v>45811</v>
      </c>
      <c r="D4137" t="inlineStr">
        <is>
          <t>VÄSTMANLANDS LÄN</t>
        </is>
      </c>
      <c r="E4137" t="inlineStr">
        <is>
          <t>KÖPING</t>
        </is>
      </c>
      <c r="F4137" t="inlineStr">
        <is>
          <t>Sveaskog</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17966-2024</t>
        </is>
      </c>
      <c r="B4138" s="1" t="n">
        <v>45419</v>
      </c>
      <c r="C4138" s="1" t="n">
        <v>45811</v>
      </c>
      <c r="D4138" t="inlineStr">
        <is>
          <t>VÄSTMANLANDS LÄN</t>
        </is>
      </c>
      <c r="E4138" t="inlineStr">
        <is>
          <t>KÖPING</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17980-2024</t>
        </is>
      </c>
      <c r="B4139" s="1" t="n">
        <v>45419</v>
      </c>
      <c r="C4139" s="1" t="n">
        <v>45811</v>
      </c>
      <c r="D4139" t="inlineStr">
        <is>
          <t>VÄSTMANLANDS LÄN</t>
        </is>
      </c>
      <c r="E4139" t="inlineStr">
        <is>
          <t>KÖPING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17965-2024</t>
        </is>
      </c>
      <c r="B4140" s="1" t="n">
        <v>45419</v>
      </c>
      <c r="C4140" s="1" t="n">
        <v>45811</v>
      </c>
      <c r="D4140" t="inlineStr">
        <is>
          <t>VÄSTMANLANDS LÄN</t>
        </is>
      </c>
      <c r="E4140" t="inlineStr">
        <is>
          <t>KÖPING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18142-2024</t>
        </is>
      </c>
      <c r="B4141" s="1" t="n">
        <v>45420</v>
      </c>
      <c r="C4141" s="1" t="n">
        <v>45811</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18190-2024</t>
        </is>
      </c>
      <c r="B4142" s="1" t="n">
        <v>45420</v>
      </c>
      <c r="C4142" s="1" t="n">
        <v>45811</v>
      </c>
      <c r="D4142" t="inlineStr">
        <is>
          <t>VÄSTMANLANDS LÄN</t>
        </is>
      </c>
      <c r="E4142" t="inlineStr">
        <is>
          <t>NORBERG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18124-2024</t>
        </is>
      </c>
      <c r="B4143" s="1" t="n">
        <v>45420</v>
      </c>
      <c r="C4143" s="1" t="n">
        <v>45811</v>
      </c>
      <c r="D4143" t="inlineStr">
        <is>
          <t>VÄSTMANLANDS LÄN</t>
        </is>
      </c>
      <c r="E4143" t="inlineStr">
        <is>
          <t>NORBERG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18128-2024</t>
        </is>
      </c>
      <c r="B4144" s="1" t="n">
        <v>45420</v>
      </c>
      <c r="C4144" s="1" t="n">
        <v>45811</v>
      </c>
      <c r="D4144" t="inlineStr">
        <is>
          <t>VÄSTMANLANDS LÄN</t>
        </is>
      </c>
      <c r="E4144" t="inlineStr">
        <is>
          <t>NORBERG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18136-2024</t>
        </is>
      </c>
      <c r="B4145" s="1" t="n">
        <v>45420</v>
      </c>
      <c r="C4145" s="1" t="n">
        <v>45811</v>
      </c>
      <c r="D4145" t="inlineStr">
        <is>
          <t>VÄSTMANLANDS LÄN</t>
        </is>
      </c>
      <c r="E4145" t="inlineStr">
        <is>
          <t>SKINNSKATTEBERG</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18140-2024</t>
        </is>
      </c>
      <c r="B4146" s="1" t="n">
        <v>45420</v>
      </c>
      <c r="C4146" s="1" t="n">
        <v>45811</v>
      </c>
      <c r="D4146" t="inlineStr">
        <is>
          <t>VÄSTMANLANDS LÄN</t>
        </is>
      </c>
      <c r="E4146" t="inlineStr">
        <is>
          <t>SKINNSKATTEBERG</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18144-2024</t>
        </is>
      </c>
      <c r="B4147" s="1" t="n">
        <v>45420</v>
      </c>
      <c r="C4147" s="1" t="n">
        <v>45811</v>
      </c>
      <c r="D4147" t="inlineStr">
        <is>
          <t>VÄSTMANLANDS LÄN</t>
        </is>
      </c>
      <c r="E4147" t="inlineStr">
        <is>
          <t>SKINNSKATTEBERG</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18161-2024</t>
        </is>
      </c>
      <c r="B4148" s="1" t="n">
        <v>45420</v>
      </c>
      <c r="C4148" s="1" t="n">
        <v>45811</v>
      </c>
      <c r="D4148" t="inlineStr">
        <is>
          <t>VÄSTMANLANDS LÄN</t>
        </is>
      </c>
      <c r="E4148" t="inlineStr">
        <is>
          <t>SKINNSKATTEBERG</t>
        </is>
      </c>
      <c r="F4148" t="inlineStr">
        <is>
          <t>Sveaskog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18163-2024</t>
        </is>
      </c>
      <c r="B4149" s="1" t="n">
        <v>45420</v>
      </c>
      <c r="C4149" s="1" t="n">
        <v>45811</v>
      </c>
      <c r="D4149" t="inlineStr">
        <is>
          <t>VÄSTMANLANDS LÄN</t>
        </is>
      </c>
      <c r="E4149" t="inlineStr">
        <is>
          <t>SKINNSKATTEBERG</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18295-2024</t>
        </is>
      </c>
      <c r="B4150" s="1" t="n">
        <v>45421</v>
      </c>
      <c r="C4150" s="1" t="n">
        <v>45811</v>
      </c>
      <c r="D4150" t="inlineStr">
        <is>
          <t>VÄSTMANLANDS LÄN</t>
        </is>
      </c>
      <c r="E4150" t="inlineStr">
        <is>
          <t>NORBERG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18461-2024</t>
        </is>
      </c>
      <c r="B4151" s="1" t="n">
        <v>45425</v>
      </c>
      <c r="C4151" s="1" t="n">
        <v>45811</v>
      </c>
      <c r="D4151" t="inlineStr">
        <is>
          <t>VÄSTMANLANDS LÄN</t>
        </is>
      </c>
      <c r="E4151" t="inlineStr">
        <is>
          <t>SALA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18494-2024</t>
        </is>
      </c>
      <c r="B4152" s="1" t="n">
        <v>45425</v>
      </c>
      <c r="C4152" s="1" t="n">
        <v>45811</v>
      </c>
      <c r="D4152" t="inlineStr">
        <is>
          <t>VÄSTMANLANDS LÄN</t>
        </is>
      </c>
      <c r="E4152" t="inlineStr">
        <is>
          <t>ARBOGA</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18517-2024</t>
        </is>
      </c>
      <c r="B4153" s="1" t="n">
        <v>45425</v>
      </c>
      <c r="C4153" s="1" t="n">
        <v>45811</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18522-2024</t>
        </is>
      </c>
      <c r="B4154" s="1" t="n">
        <v>45425</v>
      </c>
      <c r="C4154" s="1" t="n">
        <v>45811</v>
      </c>
      <c r="D4154" t="inlineStr">
        <is>
          <t>VÄSTMANLANDS LÄN</t>
        </is>
      </c>
      <c r="E4154" t="inlineStr">
        <is>
          <t>SALA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18516-2024</t>
        </is>
      </c>
      <c r="B4155" s="1" t="n">
        <v>45425</v>
      </c>
      <c r="C4155" s="1" t="n">
        <v>45811</v>
      </c>
      <c r="D4155" t="inlineStr">
        <is>
          <t>VÄSTMANLANDS LÄN</t>
        </is>
      </c>
      <c r="E4155" t="inlineStr">
        <is>
          <t>SKINNSKATTEBERG</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18518-2024</t>
        </is>
      </c>
      <c r="B4156" s="1" t="n">
        <v>45425</v>
      </c>
      <c r="C4156" s="1" t="n">
        <v>45811</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18750-2024</t>
        </is>
      </c>
      <c r="B4157" s="1" t="n">
        <v>45426</v>
      </c>
      <c r="C4157" s="1" t="n">
        <v>45811</v>
      </c>
      <c r="D4157" t="inlineStr">
        <is>
          <t>VÄSTMANLANDS LÄN</t>
        </is>
      </c>
      <c r="E4157" t="inlineStr">
        <is>
          <t>SALA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18762-2024</t>
        </is>
      </c>
      <c r="B4158" s="1" t="n">
        <v>45426</v>
      </c>
      <c r="C4158" s="1" t="n">
        <v>45811</v>
      </c>
      <c r="D4158" t="inlineStr">
        <is>
          <t>VÄSTMANLANDS LÄN</t>
        </is>
      </c>
      <c r="E4158" t="inlineStr">
        <is>
          <t>SALA</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19205-2024</t>
        </is>
      </c>
      <c r="B4159" s="1" t="n">
        <v>45428</v>
      </c>
      <c r="C4159" s="1" t="n">
        <v>45811</v>
      </c>
      <c r="D4159" t="inlineStr">
        <is>
          <t>VÄSTMANLANDS LÄN</t>
        </is>
      </c>
      <c r="E4159" t="inlineStr">
        <is>
          <t>SKINNSKATTEBERG</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19266-2024</t>
        </is>
      </c>
      <c r="B4160" s="1" t="n">
        <v>45428</v>
      </c>
      <c r="C4160" s="1" t="n">
        <v>45811</v>
      </c>
      <c r="D4160" t="inlineStr">
        <is>
          <t>VÄSTMANLANDS LÄN</t>
        </is>
      </c>
      <c r="E4160" t="inlineStr">
        <is>
          <t>KUNGSÖR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19224-2024</t>
        </is>
      </c>
      <c r="B4161" s="1" t="n">
        <v>45428</v>
      </c>
      <c r="C4161" s="1" t="n">
        <v>45811</v>
      </c>
      <c r="D4161" t="inlineStr">
        <is>
          <t>VÄSTMANLANDS LÄN</t>
        </is>
      </c>
      <c r="E4161" t="inlineStr">
        <is>
          <t>SALA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19202-2024</t>
        </is>
      </c>
      <c r="B4162" s="1" t="n">
        <v>45428</v>
      </c>
      <c r="C4162" s="1" t="n">
        <v>45811</v>
      </c>
      <c r="D4162" t="inlineStr">
        <is>
          <t>VÄSTMANLANDS LÄN</t>
        </is>
      </c>
      <c r="E4162" t="inlineStr">
        <is>
          <t>SKINNSKATTEBERG</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19255-2024</t>
        </is>
      </c>
      <c r="B4163" s="1" t="n">
        <v>45428</v>
      </c>
      <c r="C4163" s="1" t="n">
        <v>45811</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19203-2024</t>
        </is>
      </c>
      <c r="B4164" s="1" t="n">
        <v>45428</v>
      </c>
      <c r="C4164" s="1" t="n">
        <v>45811</v>
      </c>
      <c r="D4164" t="inlineStr">
        <is>
          <t>VÄSTMANLANDS LÄN</t>
        </is>
      </c>
      <c r="E4164" t="inlineStr">
        <is>
          <t>SKINNSKATTEBERG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19358-2024</t>
        </is>
      </c>
      <c r="B4165" s="1" t="n">
        <v>45429</v>
      </c>
      <c r="C4165" s="1" t="n">
        <v>45811</v>
      </c>
      <c r="D4165" t="inlineStr">
        <is>
          <t>VÄSTMANLANDS LÄN</t>
        </is>
      </c>
      <c r="E4165" t="inlineStr">
        <is>
          <t>KÖPING</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19398-2024</t>
        </is>
      </c>
      <c r="B4166" s="1" t="n">
        <v>45429</v>
      </c>
      <c r="C4166" s="1" t="n">
        <v>45811</v>
      </c>
      <c r="D4166" t="inlineStr">
        <is>
          <t>VÄSTMANLANDS LÄN</t>
        </is>
      </c>
      <c r="E4166" t="inlineStr">
        <is>
          <t>SKINNSKATTEBERG</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19386-2024</t>
        </is>
      </c>
      <c r="B4167" s="1" t="n">
        <v>45429</v>
      </c>
      <c r="C4167" s="1" t="n">
        <v>45811</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19420-2024</t>
        </is>
      </c>
      <c r="B4168" s="1" t="n">
        <v>45429</v>
      </c>
      <c r="C4168" s="1" t="n">
        <v>45811</v>
      </c>
      <c r="D4168" t="inlineStr">
        <is>
          <t>VÄSTMANLANDS LÄN</t>
        </is>
      </c>
      <c r="E4168" t="inlineStr">
        <is>
          <t>KUNGSÖR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19428-2024</t>
        </is>
      </c>
      <c r="B4169" s="1" t="n">
        <v>45429</v>
      </c>
      <c r="C4169" s="1" t="n">
        <v>45811</v>
      </c>
      <c r="D4169" t="inlineStr">
        <is>
          <t>VÄSTMANLANDS LÄN</t>
        </is>
      </c>
      <c r="E4169" t="inlineStr">
        <is>
          <t>KUNGSÖR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19387-2024</t>
        </is>
      </c>
      <c r="B4170" s="1" t="n">
        <v>45429</v>
      </c>
      <c r="C4170" s="1" t="n">
        <v>45811</v>
      </c>
      <c r="D4170" t="inlineStr">
        <is>
          <t>VÄSTMANLANDS LÄN</t>
        </is>
      </c>
      <c r="E4170" t="inlineStr">
        <is>
          <t>ARBOGA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19434-2024</t>
        </is>
      </c>
      <c r="B4171" s="1" t="n">
        <v>45429</v>
      </c>
      <c r="C4171" s="1" t="n">
        <v>45811</v>
      </c>
      <c r="D4171" t="inlineStr">
        <is>
          <t>VÄSTMANLANDS LÄN</t>
        </is>
      </c>
      <c r="E4171" t="inlineStr">
        <is>
          <t>VÄSTERÅS</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19462-2024</t>
        </is>
      </c>
      <c r="B4172" s="1" t="n">
        <v>45429</v>
      </c>
      <c r="C4172" s="1" t="n">
        <v>45811</v>
      </c>
      <c r="D4172" t="inlineStr">
        <is>
          <t>VÄSTMANLANDS LÄN</t>
        </is>
      </c>
      <c r="E4172" t="inlineStr">
        <is>
          <t>NORBERG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19519-2024</t>
        </is>
      </c>
      <c r="B4173" s="1" t="n">
        <v>45429</v>
      </c>
      <c r="C4173" s="1" t="n">
        <v>45811</v>
      </c>
      <c r="D4173" t="inlineStr">
        <is>
          <t>VÄSTMANLANDS LÄN</t>
        </is>
      </c>
      <c r="E4173" t="inlineStr">
        <is>
          <t>SKINNSKATTEBERG</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19518-2024</t>
        </is>
      </c>
      <c r="B4174" s="1" t="n">
        <v>45429</v>
      </c>
      <c r="C4174" s="1" t="n">
        <v>45811</v>
      </c>
      <c r="D4174" t="inlineStr">
        <is>
          <t>VÄSTMANLANDS LÄN</t>
        </is>
      </c>
      <c r="E4174" t="inlineStr">
        <is>
          <t>SKINNSKATTEBERG</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19746-2024</t>
        </is>
      </c>
      <c r="B4175" s="1" t="n">
        <v>45432</v>
      </c>
      <c r="C4175" s="1" t="n">
        <v>45811</v>
      </c>
      <c r="D4175" t="inlineStr">
        <is>
          <t>VÄSTMANLANDS LÄN</t>
        </is>
      </c>
      <c r="E4175" t="inlineStr">
        <is>
          <t>KÖPING</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19803-2024</t>
        </is>
      </c>
      <c r="B4176" s="1" t="n">
        <v>45432</v>
      </c>
      <c r="C4176" s="1" t="n">
        <v>45811</v>
      </c>
      <c r="D4176" t="inlineStr">
        <is>
          <t>VÄSTMANLANDS LÄN</t>
        </is>
      </c>
      <c r="E4176" t="inlineStr">
        <is>
          <t>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19860-2024</t>
        </is>
      </c>
      <c r="B4177" s="1" t="n">
        <v>45433</v>
      </c>
      <c r="C4177" s="1" t="n">
        <v>45811</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19969-2024</t>
        </is>
      </c>
      <c r="B4178" s="1" t="n">
        <v>45433</v>
      </c>
      <c r="C4178" s="1" t="n">
        <v>45811</v>
      </c>
      <c r="D4178" t="inlineStr">
        <is>
          <t>VÄSTMANLANDS LÄN</t>
        </is>
      </c>
      <c r="E4178" t="inlineStr">
        <is>
          <t>SALA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20067-2024</t>
        </is>
      </c>
      <c r="B4179" s="1" t="n">
        <v>45434</v>
      </c>
      <c r="C4179" s="1" t="n">
        <v>45811</v>
      </c>
      <c r="D4179" t="inlineStr">
        <is>
          <t>VÄSTMANLANDS LÄN</t>
        </is>
      </c>
      <c r="E4179" t="inlineStr">
        <is>
          <t>ARBOGA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20242-2024</t>
        </is>
      </c>
      <c r="B4180" s="1" t="n">
        <v>45434</v>
      </c>
      <c r="C4180" s="1" t="n">
        <v>45811</v>
      </c>
      <c r="D4180" t="inlineStr">
        <is>
          <t>VÄSTMANLANDS LÄN</t>
        </is>
      </c>
      <c r="E4180" t="inlineStr">
        <is>
          <t>SKINNSKATTEBERG</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20213-2024</t>
        </is>
      </c>
      <c r="B4181" s="1" t="n">
        <v>45434</v>
      </c>
      <c r="C4181" s="1" t="n">
        <v>45811</v>
      </c>
      <c r="D4181" t="inlineStr">
        <is>
          <t>VÄSTMANLANDS LÄN</t>
        </is>
      </c>
      <c r="E4181" t="inlineStr">
        <is>
          <t>SKINNSKATTEBERG</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20245-2024</t>
        </is>
      </c>
      <c r="B4182" s="1" t="n">
        <v>45434</v>
      </c>
      <c r="C4182" s="1" t="n">
        <v>45811</v>
      </c>
      <c r="D4182" t="inlineStr">
        <is>
          <t>VÄSTMANLANDS LÄN</t>
        </is>
      </c>
      <c r="E4182" t="inlineStr">
        <is>
          <t>SKINNSKATTEBERG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20243-2024</t>
        </is>
      </c>
      <c r="B4183" s="1" t="n">
        <v>45434</v>
      </c>
      <c r="C4183" s="1" t="n">
        <v>45811</v>
      </c>
      <c r="D4183" t="inlineStr">
        <is>
          <t>VÄSTMANLANDS LÄN</t>
        </is>
      </c>
      <c r="E4183" t="inlineStr">
        <is>
          <t>SKINNSKATTEBERG</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20247-2024</t>
        </is>
      </c>
      <c r="B4184" s="1" t="n">
        <v>45434</v>
      </c>
      <c r="C4184" s="1" t="n">
        <v>45811</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20212-2024</t>
        </is>
      </c>
      <c r="B4185" s="1" t="n">
        <v>45434</v>
      </c>
      <c r="C4185" s="1" t="n">
        <v>45811</v>
      </c>
      <c r="D4185" t="inlineStr">
        <is>
          <t>VÄSTMANLANDS LÄN</t>
        </is>
      </c>
      <c r="E4185" t="inlineStr">
        <is>
          <t>SKINNSKATTEBERG</t>
        </is>
      </c>
      <c r="F4185" t="inlineStr">
        <is>
          <t>Sveaskog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20244-2024</t>
        </is>
      </c>
      <c r="B4186" s="1" t="n">
        <v>45434</v>
      </c>
      <c r="C4186" s="1" t="n">
        <v>45811</v>
      </c>
      <c r="D4186" t="inlineStr">
        <is>
          <t>VÄSTMANLANDS LÄN</t>
        </is>
      </c>
      <c r="E4186" t="inlineStr">
        <is>
          <t>SKINNSKATTEBERG</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20248-2024</t>
        </is>
      </c>
      <c r="B4187" s="1" t="n">
        <v>45434</v>
      </c>
      <c r="C4187" s="1" t="n">
        <v>45811</v>
      </c>
      <c r="D4187" t="inlineStr">
        <is>
          <t>VÄSTMANLANDS LÄN</t>
        </is>
      </c>
      <c r="E4187" t="inlineStr">
        <is>
          <t>SKINNSKATTEBERG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20430-2024</t>
        </is>
      </c>
      <c r="B4188" s="1" t="n">
        <v>45435</v>
      </c>
      <c r="C4188" s="1" t="n">
        <v>45811</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20379-2024</t>
        </is>
      </c>
      <c r="B4189" s="1" t="n">
        <v>45435</v>
      </c>
      <c r="C4189" s="1" t="n">
        <v>45811</v>
      </c>
      <c r="D4189" t="inlineStr">
        <is>
          <t>VÄSTMANLANDS LÄN</t>
        </is>
      </c>
      <c r="E4189" t="inlineStr">
        <is>
          <t>SKINNSKATTEBERG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20330-2024</t>
        </is>
      </c>
      <c r="B4190" s="1" t="n">
        <v>45435</v>
      </c>
      <c r="C4190" s="1" t="n">
        <v>45811</v>
      </c>
      <c r="D4190" t="inlineStr">
        <is>
          <t>VÄSTMANLANDS LÄN</t>
        </is>
      </c>
      <c r="E4190" t="inlineStr">
        <is>
          <t>SKINNSKATTEBERG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20584-2024</t>
        </is>
      </c>
      <c r="B4191" s="1" t="n">
        <v>45436</v>
      </c>
      <c r="C4191" s="1" t="n">
        <v>45811</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20712-2024</t>
        </is>
      </c>
      <c r="B4192" s="1" t="n">
        <v>45436</v>
      </c>
      <c r="C4192" s="1" t="n">
        <v>45811</v>
      </c>
      <c r="D4192" t="inlineStr">
        <is>
          <t>VÄSTMANLANDS LÄN</t>
        </is>
      </c>
      <c r="E4192" t="inlineStr">
        <is>
          <t>KÖPING</t>
        </is>
      </c>
      <c r="F4192" t="inlineStr">
        <is>
          <t>Sveaskog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20571-2024</t>
        </is>
      </c>
      <c r="B4193" s="1" t="n">
        <v>45436</v>
      </c>
      <c r="C4193" s="1" t="n">
        <v>45811</v>
      </c>
      <c r="D4193" t="inlineStr">
        <is>
          <t>VÄSTMANLANDS LÄN</t>
        </is>
      </c>
      <c r="E4193" t="inlineStr">
        <is>
          <t>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20937-2024</t>
        </is>
      </c>
      <c r="B4194" s="1" t="n">
        <v>45439</v>
      </c>
      <c r="C4194" s="1" t="n">
        <v>45811</v>
      </c>
      <c r="D4194" t="inlineStr">
        <is>
          <t>VÄSTMANLANDS LÄN</t>
        </is>
      </c>
      <c r="E4194" t="inlineStr">
        <is>
          <t>SKINNSKATTEBERG</t>
        </is>
      </c>
      <c r="F4194" t="inlineStr">
        <is>
          <t>Sveaskog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20909-2024</t>
        </is>
      </c>
      <c r="B4195" s="1" t="n">
        <v>45439</v>
      </c>
      <c r="C4195" s="1" t="n">
        <v>45811</v>
      </c>
      <c r="D4195" t="inlineStr">
        <is>
          <t>VÄSTMANLANDS LÄN</t>
        </is>
      </c>
      <c r="E4195" t="inlineStr">
        <is>
          <t>FAGERSTA</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21234-2024</t>
        </is>
      </c>
      <c r="B4196" s="1" t="n">
        <v>45440</v>
      </c>
      <c r="C4196" s="1" t="n">
        <v>45811</v>
      </c>
      <c r="D4196" t="inlineStr">
        <is>
          <t>VÄSTMANLANDS LÄN</t>
        </is>
      </c>
      <c r="E4196" t="inlineStr">
        <is>
          <t>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21232-2024</t>
        </is>
      </c>
      <c r="B4197" s="1" t="n">
        <v>45440</v>
      </c>
      <c r="C4197" s="1" t="n">
        <v>45811</v>
      </c>
      <c r="D4197" t="inlineStr">
        <is>
          <t>VÄSTMANLANDS LÄN</t>
        </is>
      </c>
      <c r="E4197" t="inlineStr">
        <is>
          <t>NORBERG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21225-2024</t>
        </is>
      </c>
      <c r="B4198" s="1" t="n">
        <v>45440</v>
      </c>
      <c r="C4198" s="1" t="n">
        <v>45811</v>
      </c>
      <c r="D4198" t="inlineStr">
        <is>
          <t>VÄSTMANLANDS LÄN</t>
        </is>
      </c>
      <c r="E4198" t="inlineStr">
        <is>
          <t>SALA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21107-2024</t>
        </is>
      </c>
      <c r="B4199" s="1" t="n">
        <v>45440</v>
      </c>
      <c r="C4199" s="1" t="n">
        <v>45811</v>
      </c>
      <c r="D4199" t="inlineStr">
        <is>
          <t>VÄSTMANLANDS LÄN</t>
        </is>
      </c>
      <c r="E4199" t="inlineStr">
        <is>
          <t>VÄSTERÅS</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21578-2024</t>
        </is>
      </c>
      <c r="B4200" s="1" t="n">
        <v>45441</v>
      </c>
      <c r="C4200" s="1" t="n">
        <v>45811</v>
      </c>
      <c r="D4200" t="inlineStr">
        <is>
          <t>VÄSTMANLANDS LÄN</t>
        </is>
      </c>
      <c r="E4200" t="inlineStr">
        <is>
          <t>SKINNSKATTEBERG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21509-2024</t>
        </is>
      </c>
      <c r="B4201" s="1" t="n">
        <v>45441</v>
      </c>
      <c r="C4201" s="1" t="n">
        <v>45811</v>
      </c>
      <c r="D4201" t="inlineStr">
        <is>
          <t>VÄSTMANLANDS LÄN</t>
        </is>
      </c>
      <c r="E4201" t="inlineStr">
        <is>
          <t>SURAHAMMAR</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21679-2024</t>
        </is>
      </c>
      <c r="B4202" s="1" t="n">
        <v>45442</v>
      </c>
      <c r="C4202" s="1" t="n">
        <v>45811</v>
      </c>
      <c r="D4202" t="inlineStr">
        <is>
          <t>VÄSTMANLANDS LÄN</t>
        </is>
      </c>
      <c r="E4202" t="inlineStr">
        <is>
          <t>FAGERSTA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21661-2024</t>
        </is>
      </c>
      <c r="B4203" s="1" t="n">
        <v>45442</v>
      </c>
      <c r="C4203" s="1" t="n">
        <v>45811</v>
      </c>
      <c r="D4203" t="inlineStr">
        <is>
          <t>VÄSTMANLANDS LÄN</t>
        </is>
      </c>
      <c r="E4203" t="inlineStr">
        <is>
          <t>FAGERSTA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21665-2024</t>
        </is>
      </c>
      <c r="B4204" s="1" t="n">
        <v>45442</v>
      </c>
      <c r="C4204" s="1" t="n">
        <v>45811</v>
      </c>
      <c r="D4204" t="inlineStr">
        <is>
          <t>VÄSTMANLANDS LÄN</t>
        </is>
      </c>
      <c r="E4204" t="inlineStr">
        <is>
          <t>FAGERSTA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21826-2024</t>
        </is>
      </c>
      <c r="B4205" s="1" t="n">
        <v>45442</v>
      </c>
      <c r="C4205" s="1" t="n">
        <v>45811</v>
      </c>
      <c r="D4205" t="inlineStr">
        <is>
          <t>VÄSTMANLANDS LÄN</t>
        </is>
      </c>
      <c r="E4205" t="inlineStr">
        <is>
          <t>VÄSTERÅS</t>
        </is>
      </c>
      <c r="F4205" t="inlineStr">
        <is>
          <t>Kommuner</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21827-2024</t>
        </is>
      </c>
      <c r="B4206" s="1" t="n">
        <v>45442</v>
      </c>
      <c r="C4206" s="1" t="n">
        <v>45811</v>
      </c>
      <c r="D4206" t="inlineStr">
        <is>
          <t>VÄSTMANLANDS LÄN</t>
        </is>
      </c>
      <c r="E4206" t="inlineStr">
        <is>
          <t>VÄSTERÅS</t>
        </is>
      </c>
      <c r="F4206" t="inlineStr">
        <is>
          <t>Kommuner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21922-2024</t>
        </is>
      </c>
      <c r="B4207" s="1" t="n">
        <v>45443</v>
      </c>
      <c r="C4207" s="1" t="n">
        <v>45811</v>
      </c>
      <c r="D4207" t="inlineStr">
        <is>
          <t>VÄSTMANLANDS LÄN</t>
        </is>
      </c>
      <c r="E4207" t="inlineStr">
        <is>
          <t>VÄSTERÅS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21926-2024</t>
        </is>
      </c>
      <c r="B4208" s="1" t="n">
        <v>45443</v>
      </c>
      <c r="C4208" s="1" t="n">
        <v>45811</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21921-2024</t>
        </is>
      </c>
      <c r="B4209" s="1" t="n">
        <v>45443</v>
      </c>
      <c r="C4209" s="1" t="n">
        <v>45811</v>
      </c>
      <c r="D4209" t="inlineStr">
        <is>
          <t>VÄSTMANLANDS LÄN</t>
        </is>
      </c>
      <c r="E4209" t="inlineStr">
        <is>
          <t>VÄSTERÅS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21914-2024</t>
        </is>
      </c>
      <c r="B4210" s="1" t="n">
        <v>45443</v>
      </c>
      <c r="C4210" s="1" t="n">
        <v>45811</v>
      </c>
      <c r="D4210" t="inlineStr">
        <is>
          <t>VÄSTMANLANDS LÄN</t>
        </is>
      </c>
      <c r="E4210" t="inlineStr">
        <is>
          <t>VÄSTERÅS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22079-2024</t>
        </is>
      </c>
      <c r="B4211" s="1" t="n">
        <v>45443</v>
      </c>
      <c r="C4211" s="1" t="n">
        <v>45811</v>
      </c>
      <c r="D4211" t="inlineStr">
        <is>
          <t>VÄSTMANLANDS LÄN</t>
        </is>
      </c>
      <c r="E4211" t="inlineStr">
        <is>
          <t>SKINNSKATTEBERG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21887-2024</t>
        </is>
      </c>
      <c r="B4212" s="1" t="n">
        <v>45443</v>
      </c>
      <c r="C4212" s="1" t="n">
        <v>45811</v>
      </c>
      <c r="D4212" t="inlineStr">
        <is>
          <t>VÄSTMANLANDS LÄN</t>
        </is>
      </c>
      <c r="E4212" t="inlineStr">
        <is>
          <t>SKINNSKATTEBERG</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21968-2024</t>
        </is>
      </c>
      <c r="B4213" s="1" t="n">
        <v>45443</v>
      </c>
      <c r="C4213" s="1" t="n">
        <v>45811</v>
      </c>
      <c r="D4213" t="inlineStr">
        <is>
          <t>VÄSTMANLANDS LÄN</t>
        </is>
      </c>
      <c r="E4213" t="inlineStr">
        <is>
          <t>SALA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22439-2024</t>
        </is>
      </c>
      <c r="B4214" s="1" t="n">
        <v>45446</v>
      </c>
      <c r="C4214" s="1" t="n">
        <v>45811</v>
      </c>
      <c r="D4214" t="inlineStr">
        <is>
          <t>VÄSTMANLANDS LÄN</t>
        </is>
      </c>
      <c r="E4214" t="inlineStr">
        <is>
          <t>ARBOGA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22336-2024</t>
        </is>
      </c>
      <c r="B4215" s="1" t="n">
        <v>45446</v>
      </c>
      <c r="C4215" s="1" t="n">
        <v>45811</v>
      </c>
      <c r="D4215" t="inlineStr">
        <is>
          <t>VÄSTMANLANDS LÄN</t>
        </is>
      </c>
      <c r="E4215" t="inlineStr">
        <is>
          <t>FAGERSTA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22323-2024</t>
        </is>
      </c>
      <c r="B4216" s="1" t="n">
        <v>45446</v>
      </c>
      <c r="C4216" s="1" t="n">
        <v>45811</v>
      </c>
      <c r="D4216" t="inlineStr">
        <is>
          <t>VÄSTMANLANDS LÄN</t>
        </is>
      </c>
      <c r="E4216" t="inlineStr">
        <is>
          <t>FAGERSTA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22591-2024</t>
        </is>
      </c>
      <c r="B4217" s="1" t="n">
        <v>45447</v>
      </c>
      <c r="C4217" s="1" t="n">
        <v>45811</v>
      </c>
      <c r="D4217" t="inlineStr">
        <is>
          <t>VÄSTMANLANDS LÄN</t>
        </is>
      </c>
      <c r="E4217" t="inlineStr">
        <is>
          <t>SKINNSKATTEBERG</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22605-2024</t>
        </is>
      </c>
      <c r="B4218" s="1" t="n">
        <v>45447</v>
      </c>
      <c r="C4218" s="1" t="n">
        <v>45811</v>
      </c>
      <c r="D4218" t="inlineStr">
        <is>
          <t>VÄSTMANLANDS LÄN</t>
        </is>
      </c>
      <c r="E4218" t="inlineStr">
        <is>
          <t>SKINNSKATTEBERG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22611-2024</t>
        </is>
      </c>
      <c r="B4219" s="1" t="n">
        <v>45447</v>
      </c>
      <c r="C4219" s="1" t="n">
        <v>45811</v>
      </c>
      <c r="D4219" t="inlineStr">
        <is>
          <t>VÄSTMANLANDS LÄN</t>
        </is>
      </c>
      <c r="E4219" t="inlineStr">
        <is>
          <t>SKINNSKATTEBERG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22607-2024</t>
        </is>
      </c>
      <c r="B4220" s="1" t="n">
        <v>45447</v>
      </c>
      <c r="C4220" s="1" t="n">
        <v>45811</v>
      </c>
      <c r="D4220" t="inlineStr">
        <is>
          <t>VÄSTMANLANDS LÄN</t>
        </is>
      </c>
      <c r="E4220" t="inlineStr">
        <is>
          <t>SKINNSKATTEBERG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22697-2024</t>
        </is>
      </c>
      <c r="B4221" s="1" t="n">
        <v>45448</v>
      </c>
      <c r="C4221" s="1" t="n">
        <v>45811</v>
      </c>
      <c r="D4221" t="inlineStr">
        <is>
          <t>VÄSTMANLANDS LÄN</t>
        </is>
      </c>
      <c r="E4221" t="inlineStr">
        <is>
          <t>ARBOGA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22881-2024</t>
        </is>
      </c>
      <c r="B4222" s="1" t="n">
        <v>45448</v>
      </c>
      <c r="C4222" s="1" t="n">
        <v>45811</v>
      </c>
      <c r="D4222" t="inlineStr">
        <is>
          <t>VÄSTMANLANDS LÄN</t>
        </is>
      </c>
      <c r="E4222" t="inlineStr">
        <is>
          <t>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22700-2024</t>
        </is>
      </c>
      <c r="B4223" s="1" t="n">
        <v>45448</v>
      </c>
      <c r="C4223" s="1" t="n">
        <v>45811</v>
      </c>
      <c r="D4223" t="inlineStr">
        <is>
          <t>VÄSTMANLANDS LÄN</t>
        </is>
      </c>
      <c r="E4223" t="inlineStr">
        <is>
          <t>VÄSTERÅS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22793-2024</t>
        </is>
      </c>
      <c r="B4224" s="1" t="n">
        <v>45448</v>
      </c>
      <c r="C4224" s="1" t="n">
        <v>45811</v>
      </c>
      <c r="D4224" t="inlineStr">
        <is>
          <t>VÄSTMANLANDS LÄN</t>
        </is>
      </c>
      <c r="E4224" t="inlineStr">
        <is>
          <t>KÖPING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23113-2024</t>
        </is>
      </c>
      <c r="B4225" s="1" t="n">
        <v>45450</v>
      </c>
      <c r="C4225" s="1" t="n">
        <v>45811</v>
      </c>
      <c r="D4225" t="inlineStr">
        <is>
          <t>VÄSTMANLANDS LÄN</t>
        </is>
      </c>
      <c r="E4225" t="inlineStr">
        <is>
          <t>SKINNSKATTEBERG</t>
        </is>
      </c>
      <c r="F4225" t="inlineStr">
        <is>
          <t>Sveaskog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23317-2024</t>
        </is>
      </c>
      <c r="B4226" s="1" t="n">
        <v>45453</v>
      </c>
      <c r="C4226" s="1" t="n">
        <v>45811</v>
      </c>
      <c r="D4226" t="inlineStr">
        <is>
          <t>VÄSTMANLANDS LÄN</t>
        </is>
      </c>
      <c r="E4226" t="inlineStr">
        <is>
          <t>SALA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23406-2024</t>
        </is>
      </c>
      <c r="B4227" s="1" t="n">
        <v>45453</v>
      </c>
      <c r="C4227" s="1" t="n">
        <v>45811</v>
      </c>
      <c r="D4227" t="inlineStr">
        <is>
          <t>VÄSTMANLANDS LÄN</t>
        </is>
      </c>
      <c r="E4227" t="inlineStr">
        <is>
          <t>SALA</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23431-2024</t>
        </is>
      </c>
      <c r="B4228" s="1" t="n">
        <v>45453</v>
      </c>
      <c r="C4228" s="1" t="n">
        <v>45811</v>
      </c>
      <c r="D4228" t="inlineStr">
        <is>
          <t>VÄSTMANLANDS LÄN</t>
        </is>
      </c>
      <c r="E4228" t="inlineStr">
        <is>
          <t>SALA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23455-2024</t>
        </is>
      </c>
      <c r="B4229" s="1" t="n">
        <v>45453</v>
      </c>
      <c r="C4229" s="1" t="n">
        <v>45811</v>
      </c>
      <c r="D4229" t="inlineStr">
        <is>
          <t>VÄSTMANLANDS LÄN</t>
        </is>
      </c>
      <c r="E4229" t="inlineStr">
        <is>
          <t>VÄSTERÅS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23459-2024</t>
        </is>
      </c>
      <c r="B4230" s="1" t="n">
        <v>45453</v>
      </c>
      <c r="C4230" s="1" t="n">
        <v>45811</v>
      </c>
      <c r="D4230" t="inlineStr">
        <is>
          <t>VÄSTMANLANDS LÄN</t>
        </is>
      </c>
      <c r="E4230" t="inlineStr">
        <is>
          <t>VÄSTERÅS</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23483-2024</t>
        </is>
      </c>
      <c r="B4231" s="1" t="n">
        <v>45453</v>
      </c>
      <c r="C4231" s="1" t="n">
        <v>45811</v>
      </c>
      <c r="D4231" t="inlineStr">
        <is>
          <t>VÄSTMANLANDS LÄN</t>
        </is>
      </c>
      <c r="E4231" t="inlineStr">
        <is>
          <t>VÄSTERÅS</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23433-2024</t>
        </is>
      </c>
      <c r="B4232" s="1" t="n">
        <v>45453</v>
      </c>
      <c r="C4232" s="1" t="n">
        <v>45811</v>
      </c>
      <c r="D4232" t="inlineStr">
        <is>
          <t>VÄSTMANLANDS LÄN</t>
        </is>
      </c>
      <c r="E4232" t="inlineStr">
        <is>
          <t>SALA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23322-2024</t>
        </is>
      </c>
      <c r="B4233" s="1" t="n">
        <v>45453</v>
      </c>
      <c r="C4233" s="1" t="n">
        <v>45811</v>
      </c>
      <c r="D4233" t="inlineStr">
        <is>
          <t>VÄSTMANLANDS LÄN</t>
        </is>
      </c>
      <c r="E4233" t="inlineStr">
        <is>
          <t>SALA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23621-2024</t>
        </is>
      </c>
      <c r="B4234" s="1" t="n">
        <v>45454</v>
      </c>
      <c r="C4234" s="1" t="n">
        <v>45811</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23715-2024</t>
        </is>
      </c>
      <c r="B4235" s="1" t="n">
        <v>45454</v>
      </c>
      <c r="C4235" s="1" t="n">
        <v>45811</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23702-2024</t>
        </is>
      </c>
      <c r="B4236" s="1" t="n">
        <v>45454</v>
      </c>
      <c r="C4236" s="1" t="n">
        <v>45811</v>
      </c>
      <c r="D4236" t="inlineStr">
        <is>
          <t>VÄSTMANLANDS LÄN</t>
        </is>
      </c>
      <c r="E4236" t="inlineStr">
        <is>
          <t>NORBERG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23705-2024</t>
        </is>
      </c>
      <c r="B4237" s="1" t="n">
        <v>45454</v>
      </c>
      <c r="C4237" s="1" t="n">
        <v>45811</v>
      </c>
      <c r="D4237" t="inlineStr">
        <is>
          <t>VÄSTMANLANDS LÄN</t>
        </is>
      </c>
      <c r="E4237" t="inlineStr">
        <is>
          <t>NORBERG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23894-2024</t>
        </is>
      </c>
      <c r="B4238" s="1" t="n">
        <v>45455</v>
      </c>
      <c r="C4238" s="1" t="n">
        <v>45811</v>
      </c>
      <c r="D4238" t="inlineStr">
        <is>
          <t>VÄSTMANLANDS LÄN</t>
        </is>
      </c>
      <c r="E4238" t="inlineStr">
        <is>
          <t>SKINNSKATTEBERG</t>
        </is>
      </c>
      <c r="F4238" t="inlineStr">
        <is>
          <t>Sveaskog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23899-2024</t>
        </is>
      </c>
      <c r="B4239" s="1" t="n">
        <v>45455</v>
      </c>
      <c r="C4239" s="1" t="n">
        <v>45811</v>
      </c>
      <c r="D4239" t="inlineStr">
        <is>
          <t>VÄSTMANLANDS LÄN</t>
        </is>
      </c>
      <c r="E4239" t="inlineStr">
        <is>
          <t>NORBERG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24039-2024</t>
        </is>
      </c>
      <c r="B4240" s="1" t="n">
        <v>45456</v>
      </c>
      <c r="C4240" s="1" t="n">
        <v>45811</v>
      </c>
      <c r="D4240" t="inlineStr">
        <is>
          <t>VÄSTMANLANDS LÄN</t>
        </is>
      </c>
      <c r="E4240" t="inlineStr">
        <is>
          <t>SALA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24114-2024</t>
        </is>
      </c>
      <c r="B4241" s="1" t="n">
        <v>45456</v>
      </c>
      <c r="C4241" s="1" t="n">
        <v>45811</v>
      </c>
      <c r="D4241" t="inlineStr">
        <is>
          <t>VÄSTMANLANDS LÄN</t>
        </is>
      </c>
      <c r="E4241" t="inlineStr">
        <is>
          <t>VÄSTERÅS</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24128-2024</t>
        </is>
      </c>
      <c r="B4242" s="1" t="n">
        <v>45456</v>
      </c>
      <c r="C4242" s="1" t="n">
        <v>45811</v>
      </c>
      <c r="D4242" t="inlineStr">
        <is>
          <t>VÄSTMANLANDS LÄN</t>
        </is>
      </c>
      <c r="E4242" t="inlineStr">
        <is>
          <t>KÖPING</t>
        </is>
      </c>
      <c r="F4242" t="inlineStr">
        <is>
          <t>Sveaskog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24121-2024</t>
        </is>
      </c>
      <c r="B4243" s="1" t="n">
        <v>45456</v>
      </c>
      <c r="C4243" s="1" t="n">
        <v>45811</v>
      </c>
      <c r="D4243" t="inlineStr">
        <is>
          <t>VÄSTMANLANDS LÄN</t>
        </is>
      </c>
      <c r="E4243" t="inlineStr">
        <is>
          <t>VÄSTERÅS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24132-2024</t>
        </is>
      </c>
      <c r="B4244" s="1" t="n">
        <v>45456</v>
      </c>
      <c r="C4244" s="1" t="n">
        <v>45811</v>
      </c>
      <c r="D4244" t="inlineStr">
        <is>
          <t>VÄSTMANLANDS LÄN</t>
        </is>
      </c>
      <c r="E4244" t="inlineStr">
        <is>
          <t>KÖPING</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24037-2024</t>
        </is>
      </c>
      <c r="B4245" s="1" t="n">
        <v>45456</v>
      </c>
      <c r="C4245" s="1" t="n">
        <v>45811</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24130-2024</t>
        </is>
      </c>
      <c r="B4246" s="1" t="n">
        <v>45456</v>
      </c>
      <c r="C4246" s="1" t="n">
        <v>45811</v>
      </c>
      <c r="D4246" t="inlineStr">
        <is>
          <t>VÄSTMANLANDS LÄN</t>
        </is>
      </c>
      <c r="E4246" t="inlineStr">
        <is>
          <t>KÖPING</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24167-2024</t>
        </is>
      </c>
      <c r="B4247" s="1" t="n">
        <v>45456</v>
      </c>
      <c r="C4247" s="1" t="n">
        <v>45811</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24175-2024</t>
        </is>
      </c>
      <c r="B4248" s="1" t="n">
        <v>45456</v>
      </c>
      <c r="C4248" s="1" t="n">
        <v>45811</v>
      </c>
      <c r="D4248" t="inlineStr">
        <is>
          <t>VÄSTMANLANDS LÄN</t>
        </is>
      </c>
      <c r="E4248" t="inlineStr">
        <is>
          <t>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24083-2024</t>
        </is>
      </c>
      <c r="B4249" s="1" t="n">
        <v>45456</v>
      </c>
      <c r="C4249" s="1" t="n">
        <v>45811</v>
      </c>
      <c r="D4249" t="inlineStr">
        <is>
          <t>VÄSTMANLANDS LÄN</t>
        </is>
      </c>
      <c r="E4249" t="inlineStr">
        <is>
          <t>ARBOGA</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24168-2024</t>
        </is>
      </c>
      <c r="B4250" s="1" t="n">
        <v>45456</v>
      </c>
      <c r="C4250" s="1" t="n">
        <v>45811</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24402-2024</t>
        </is>
      </c>
      <c r="B4251" s="1" t="n">
        <v>45457</v>
      </c>
      <c r="C4251" s="1" t="n">
        <v>45811</v>
      </c>
      <c r="D4251" t="inlineStr">
        <is>
          <t>VÄSTMANLANDS LÄN</t>
        </is>
      </c>
      <c r="E4251" t="inlineStr">
        <is>
          <t>VÄSTERÅS</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24337-2024</t>
        </is>
      </c>
      <c r="B4252" s="1" t="n">
        <v>45457</v>
      </c>
      <c r="C4252" s="1" t="n">
        <v>45811</v>
      </c>
      <c r="D4252" t="inlineStr">
        <is>
          <t>VÄSTMANLANDS LÄN</t>
        </is>
      </c>
      <c r="E4252" t="inlineStr">
        <is>
          <t>SALA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24369-2024</t>
        </is>
      </c>
      <c r="B4253" s="1" t="n">
        <v>45457</v>
      </c>
      <c r="C4253" s="1" t="n">
        <v>45811</v>
      </c>
      <c r="D4253" t="inlineStr">
        <is>
          <t>VÄSTMANLANDS LÄN</t>
        </is>
      </c>
      <c r="E4253" t="inlineStr">
        <is>
          <t>SKINNSKATTEBERG</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24385-2024</t>
        </is>
      </c>
      <c r="B4254" s="1" t="n">
        <v>45457</v>
      </c>
      <c r="C4254" s="1" t="n">
        <v>45811</v>
      </c>
      <c r="D4254" t="inlineStr">
        <is>
          <t>VÄSTMANLANDS LÄN</t>
        </is>
      </c>
      <c r="E4254" t="inlineStr">
        <is>
          <t>SKINNSKATTEBERG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24360-2024</t>
        </is>
      </c>
      <c r="B4255" s="1" t="n">
        <v>45457</v>
      </c>
      <c r="C4255" s="1" t="n">
        <v>45811</v>
      </c>
      <c r="D4255" t="inlineStr">
        <is>
          <t>VÄSTMANLANDS LÄN</t>
        </is>
      </c>
      <c r="E4255" t="inlineStr">
        <is>
          <t>SKINNSKATTEBERG</t>
        </is>
      </c>
      <c r="F4255" t="inlineStr">
        <is>
          <t>Sveaskog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24364-2024</t>
        </is>
      </c>
      <c r="B4256" s="1" t="n">
        <v>45457</v>
      </c>
      <c r="C4256" s="1" t="n">
        <v>45811</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24367-2024</t>
        </is>
      </c>
      <c r="B4257" s="1" t="n">
        <v>45457</v>
      </c>
      <c r="C4257" s="1" t="n">
        <v>45811</v>
      </c>
      <c r="D4257" t="inlineStr">
        <is>
          <t>VÄSTMANLANDS LÄN</t>
        </is>
      </c>
      <c r="E4257" t="inlineStr">
        <is>
          <t>SKINNSKATTEBERG</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24371-2024</t>
        </is>
      </c>
      <c r="B4258" s="1" t="n">
        <v>45457</v>
      </c>
      <c r="C4258" s="1" t="n">
        <v>45811</v>
      </c>
      <c r="D4258" t="inlineStr">
        <is>
          <t>VÄSTMANLANDS LÄN</t>
        </is>
      </c>
      <c r="E4258" t="inlineStr">
        <is>
          <t>SKINNSKATTEBERG</t>
        </is>
      </c>
      <c r="F4258" t="inlineStr">
        <is>
          <t>Sveaskog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24375-2024</t>
        </is>
      </c>
      <c r="B4259" s="1" t="n">
        <v>45457</v>
      </c>
      <c r="C4259" s="1" t="n">
        <v>45811</v>
      </c>
      <c r="D4259" t="inlineStr">
        <is>
          <t>VÄSTMANLANDS LÄN</t>
        </is>
      </c>
      <c r="E4259" t="inlineStr">
        <is>
          <t>SALA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24379-2024</t>
        </is>
      </c>
      <c r="B4260" s="1" t="n">
        <v>45457</v>
      </c>
      <c r="C4260" s="1" t="n">
        <v>45811</v>
      </c>
      <c r="D4260" t="inlineStr">
        <is>
          <t>VÄSTMANLANDS LÄN</t>
        </is>
      </c>
      <c r="E4260" t="inlineStr">
        <is>
          <t>SKINNSKATTEBERG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24774-2024</t>
        </is>
      </c>
      <c r="B4261" s="1" t="n">
        <v>45460</v>
      </c>
      <c r="C4261" s="1" t="n">
        <v>45811</v>
      </c>
      <c r="D4261" t="inlineStr">
        <is>
          <t>VÄSTMANLANDS LÄN</t>
        </is>
      </c>
      <c r="E4261" t="inlineStr">
        <is>
          <t>KUNGSÖR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24776-2024</t>
        </is>
      </c>
      <c r="B4262" s="1" t="n">
        <v>45460</v>
      </c>
      <c r="C4262" s="1" t="n">
        <v>45811</v>
      </c>
      <c r="D4262" t="inlineStr">
        <is>
          <t>VÄSTMANLANDS LÄN</t>
        </is>
      </c>
      <c r="E4262" t="inlineStr">
        <is>
          <t>VÄSTERÅS</t>
        </is>
      </c>
      <c r="F4262" t="inlineStr">
        <is>
          <t>Kommuner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24570-2024</t>
        </is>
      </c>
      <c r="B4263" s="1" t="n">
        <v>45460</v>
      </c>
      <c r="C4263" s="1" t="n">
        <v>45811</v>
      </c>
      <c r="D4263" t="inlineStr">
        <is>
          <t>VÄSTMANLANDS LÄN</t>
        </is>
      </c>
      <c r="E4263" t="inlineStr">
        <is>
          <t>SURAHAMMAR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24530-2024</t>
        </is>
      </c>
      <c r="B4264" s="1" t="n">
        <v>45460</v>
      </c>
      <c r="C4264" s="1" t="n">
        <v>45811</v>
      </c>
      <c r="D4264" t="inlineStr">
        <is>
          <t>VÄSTMANLANDS LÄN</t>
        </is>
      </c>
      <c r="E4264" t="inlineStr">
        <is>
          <t>SURAHAMMAR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24951-2024</t>
        </is>
      </c>
      <c r="B4265" s="1" t="n">
        <v>45461</v>
      </c>
      <c r="C4265" s="1" t="n">
        <v>45811</v>
      </c>
      <c r="D4265" t="inlineStr">
        <is>
          <t>VÄSTMANLANDS LÄN</t>
        </is>
      </c>
      <c r="E4265" t="inlineStr">
        <is>
          <t>VÄSTERÅS</t>
        </is>
      </c>
      <c r="F4265" t="inlineStr">
        <is>
          <t>Kommuner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24866-2024</t>
        </is>
      </c>
      <c r="B4266" s="1" t="n">
        <v>45461</v>
      </c>
      <c r="C4266" s="1" t="n">
        <v>45811</v>
      </c>
      <c r="D4266" t="inlineStr">
        <is>
          <t>VÄSTMANLANDS LÄN</t>
        </is>
      </c>
      <c r="E4266" t="inlineStr">
        <is>
          <t>SALA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24900-2024</t>
        </is>
      </c>
      <c r="B4267" s="1" t="n">
        <v>45461</v>
      </c>
      <c r="C4267" s="1" t="n">
        <v>45811</v>
      </c>
      <c r="D4267" t="inlineStr">
        <is>
          <t>VÄSTMANLANDS LÄN</t>
        </is>
      </c>
      <c r="E4267" t="inlineStr">
        <is>
          <t>SALA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24864-2024</t>
        </is>
      </c>
      <c r="B4268" s="1" t="n">
        <v>45461</v>
      </c>
      <c r="C4268" s="1" t="n">
        <v>45811</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25315-2024</t>
        </is>
      </c>
      <c r="B4269" s="1" t="n">
        <v>45462</v>
      </c>
      <c r="C4269" s="1" t="n">
        <v>45811</v>
      </c>
      <c r="D4269" t="inlineStr">
        <is>
          <t>VÄSTMANLANDS LÄN</t>
        </is>
      </c>
      <c r="E4269" t="inlineStr">
        <is>
          <t>KÖPING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25222-2024</t>
        </is>
      </c>
      <c r="B4270" s="1" t="n">
        <v>45462</v>
      </c>
      <c r="C4270" s="1" t="n">
        <v>45811</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25284-2024</t>
        </is>
      </c>
      <c r="B4271" s="1" t="n">
        <v>45462</v>
      </c>
      <c r="C4271" s="1" t="n">
        <v>45811</v>
      </c>
      <c r="D4271" t="inlineStr">
        <is>
          <t>VÄSTMANLANDS LÄN</t>
        </is>
      </c>
      <c r="E4271" t="inlineStr">
        <is>
          <t>SKINNSKATTEBERG</t>
        </is>
      </c>
      <c r="F4271" t="inlineStr">
        <is>
          <t>Sveaskog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25663-2024</t>
        </is>
      </c>
      <c r="B4272" s="1" t="n">
        <v>45463</v>
      </c>
      <c r="C4272" s="1" t="n">
        <v>45811</v>
      </c>
      <c r="D4272" t="inlineStr">
        <is>
          <t>VÄSTMANLANDS LÄN</t>
        </is>
      </c>
      <c r="E4272" t="inlineStr">
        <is>
          <t>KÖPING</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25660-2024</t>
        </is>
      </c>
      <c r="B4273" s="1" t="n">
        <v>45463</v>
      </c>
      <c r="C4273" s="1" t="n">
        <v>45811</v>
      </c>
      <c r="D4273" t="inlineStr">
        <is>
          <t>VÄSTMANLANDS LÄN</t>
        </is>
      </c>
      <c r="E4273" t="inlineStr">
        <is>
          <t>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25586-2024</t>
        </is>
      </c>
      <c r="B4274" s="1" t="n">
        <v>45463</v>
      </c>
      <c r="C4274" s="1" t="n">
        <v>45811</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25662-2024</t>
        </is>
      </c>
      <c r="B4275" s="1" t="n">
        <v>45463</v>
      </c>
      <c r="C4275" s="1" t="n">
        <v>45811</v>
      </c>
      <c r="D4275" t="inlineStr">
        <is>
          <t>VÄSTMANLANDS LÄN</t>
        </is>
      </c>
      <c r="E4275" t="inlineStr">
        <is>
          <t>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25589-2024</t>
        </is>
      </c>
      <c r="B4276" s="1" t="n">
        <v>45463</v>
      </c>
      <c r="C4276" s="1" t="n">
        <v>45811</v>
      </c>
      <c r="D4276" t="inlineStr">
        <is>
          <t>VÄSTMANLANDS LÄN</t>
        </is>
      </c>
      <c r="E4276" t="inlineStr">
        <is>
          <t>SKINNSKATTEBERG</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25677-2024</t>
        </is>
      </c>
      <c r="B4277" s="1" t="n">
        <v>45463</v>
      </c>
      <c r="C4277" s="1" t="n">
        <v>45811</v>
      </c>
      <c r="D4277" t="inlineStr">
        <is>
          <t>VÄSTMANLANDS LÄN</t>
        </is>
      </c>
      <c r="E4277" t="inlineStr">
        <is>
          <t>FAGERSTA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25661-2024</t>
        </is>
      </c>
      <c r="B4278" s="1" t="n">
        <v>45463</v>
      </c>
      <c r="C4278" s="1" t="n">
        <v>45811</v>
      </c>
      <c r="D4278" t="inlineStr">
        <is>
          <t>VÄSTMANLANDS LÄN</t>
        </is>
      </c>
      <c r="E4278" t="inlineStr">
        <is>
          <t>KÖPING</t>
        </is>
      </c>
      <c r="G4278" t="n">
        <v>13.3</v>
      </c>
      <c r="H4278" t="n">
        <v>0</v>
      </c>
      <c r="I4278" t="n">
        <v>0</v>
      </c>
      <c r="J4278" t="n">
        <v>0</v>
      </c>
      <c r="K4278" t="n">
        <v>0</v>
      </c>
      <c r="L4278" t="n">
        <v>0</v>
      </c>
      <c r="M4278" t="n">
        <v>0</v>
      </c>
      <c r="N4278" t="n">
        <v>0</v>
      </c>
      <c r="O4278" t="n">
        <v>0</v>
      </c>
      <c r="P4278" t="n">
        <v>0</v>
      </c>
      <c r="Q4278" t="n">
        <v>0</v>
      </c>
      <c r="R4278" s="2" t="inlineStr"/>
    </row>
    <row r="4279" ht="15" customHeight="1">
      <c r="A4279" t="inlineStr">
        <is>
          <t>A 25541-2024</t>
        </is>
      </c>
      <c r="B4279" s="1" t="n">
        <v>45463</v>
      </c>
      <c r="C4279" s="1" t="n">
        <v>45811</v>
      </c>
      <c r="D4279" t="inlineStr">
        <is>
          <t>VÄSTMANLANDS LÄN</t>
        </is>
      </c>
      <c r="E4279" t="inlineStr">
        <is>
          <t>SALA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25450-2024</t>
        </is>
      </c>
      <c r="B4280" s="1" t="n">
        <v>45463</v>
      </c>
      <c r="C4280" s="1" t="n">
        <v>45811</v>
      </c>
      <c r="D4280" t="inlineStr">
        <is>
          <t>VÄSTMANLANDS LÄN</t>
        </is>
      </c>
      <c r="E4280" t="inlineStr">
        <is>
          <t>SURAHAMMAR</t>
        </is>
      </c>
      <c r="F4280" t="inlineStr">
        <is>
          <t>Bergvik skog väst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25417-2024</t>
        </is>
      </c>
      <c r="B4281" s="1" t="n">
        <v>45463</v>
      </c>
      <c r="C4281" s="1" t="n">
        <v>45811</v>
      </c>
      <c r="D4281" t="inlineStr">
        <is>
          <t>VÄSTMANLANDS LÄN</t>
        </is>
      </c>
      <c r="E4281" t="inlineStr">
        <is>
          <t>SURAHAMMAR</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25756-2024</t>
        </is>
      </c>
      <c r="B4282" s="1" t="n">
        <v>45465</v>
      </c>
      <c r="C4282" s="1" t="n">
        <v>45811</v>
      </c>
      <c r="D4282" t="inlineStr">
        <is>
          <t>VÄSTMANLANDS LÄN</t>
        </is>
      </c>
      <c r="E4282" t="inlineStr">
        <is>
          <t>FAGERSTA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25850-2024</t>
        </is>
      </c>
      <c r="B4283" s="1" t="n">
        <v>45467</v>
      </c>
      <c r="C4283" s="1" t="n">
        <v>45811</v>
      </c>
      <c r="D4283" t="inlineStr">
        <is>
          <t>VÄSTMANLANDS LÄN</t>
        </is>
      </c>
      <c r="E4283" t="inlineStr">
        <is>
          <t>VÄSTERÅS</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25860-2024</t>
        </is>
      </c>
      <c r="B4284" s="1" t="n">
        <v>45467</v>
      </c>
      <c r="C4284" s="1" t="n">
        <v>45811</v>
      </c>
      <c r="D4284" t="inlineStr">
        <is>
          <t>VÄSTMANLANDS LÄN</t>
        </is>
      </c>
      <c r="E4284" t="inlineStr">
        <is>
          <t>SALA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25897-2024</t>
        </is>
      </c>
      <c r="B4285" s="1" t="n">
        <v>45467</v>
      </c>
      <c r="C4285" s="1" t="n">
        <v>45811</v>
      </c>
      <c r="D4285" t="inlineStr">
        <is>
          <t>VÄSTMANLANDS LÄN</t>
        </is>
      </c>
      <c r="E4285" t="inlineStr">
        <is>
          <t>SALA</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25891-2024</t>
        </is>
      </c>
      <c r="B4286" s="1" t="n">
        <v>45467</v>
      </c>
      <c r="C4286" s="1" t="n">
        <v>45811</v>
      </c>
      <c r="D4286" t="inlineStr">
        <is>
          <t>VÄSTMANLANDS LÄN</t>
        </is>
      </c>
      <c r="E4286" t="inlineStr">
        <is>
          <t>SALA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25868-2024</t>
        </is>
      </c>
      <c r="B4287" s="1" t="n">
        <v>45467</v>
      </c>
      <c r="C4287" s="1" t="n">
        <v>45811</v>
      </c>
      <c r="D4287" t="inlineStr">
        <is>
          <t>VÄSTMANLANDS LÄN</t>
        </is>
      </c>
      <c r="E4287" t="inlineStr">
        <is>
          <t>SALA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25994-2024</t>
        </is>
      </c>
      <c r="B4288" s="1" t="n">
        <v>45467</v>
      </c>
      <c r="C4288" s="1" t="n">
        <v>45811</v>
      </c>
      <c r="D4288" t="inlineStr">
        <is>
          <t>VÄSTMANLANDS LÄN</t>
        </is>
      </c>
      <c r="E4288" t="inlineStr">
        <is>
          <t>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26292-2024</t>
        </is>
      </c>
      <c r="B4289" s="1" t="n">
        <v>45468</v>
      </c>
      <c r="C4289" s="1" t="n">
        <v>45811</v>
      </c>
      <c r="D4289" t="inlineStr">
        <is>
          <t>VÄSTMANLANDS LÄN</t>
        </is>
      </c>
      <c r="E4289" t="inlineStr">
        <is>
          <t>VÄSTERÅS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26519-2024</t>
        </is>
      </c>
      <c r="B4290" s="1" t="n">
        <v>45469</v>
      </c>
      <c r="C4290" s="1" t="n">
        <v>45811</v>
      </c>
      <c r="D4290" t="inlineStr">
        <is>
          <t>VÄSTMANLANDS LÄN</t>
        </is>
      </c>
      <c r="E4290" t="inlineStr">
        <is>
          <t>NORBERG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26557-2024</t>
        </is>
      </c>
      <c r="B4291" s="1" t="n">
        <v>45469</v>
      </c>
      <c r="C4291" s="1" t="n">
        <v>45811</v>
      </c>
      <c r="D4291" t="inlineStr">
        <is>
          <t>VÄSTMANLANDS LÄN</t>
        </is>
      </c>
      <c r="E4291" t="inlineStr">
        <is>
          <t>SKINNSKATTEBERG</t>
        </is>
      </c>
      <c r="F4291" t="inlineStr">
        <is>
          <t>Sveaskog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26475-2024</t>
        </is>
      </c>
      <c r="B4292" s="1" t="n">
        <v>45469</v>
      </c>
      <c r="C4292" s="1" t="n">
        <v>45811</v>
      </c>
      <c r="D4292" t="inlineStr">
        <is>
          <t>VÄSTMANLANDS LÄN</t>
        </is>
      </c>
      <c r="E4292" t="inlineStr">
        <is>
          <t>VÄSTERÅS</t>
        </is>
      </c>
      <c r="F4292" t="inlineStr">
        <is>
          <t>Kommuner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26878-2024</t>
        </is>
      </c>
      <c r="B4293" s="1" t="n">
        <v>45470</v>
      </c>
      <c r="C4293" s="1" t="n">
        <v>45811</v>
      </c>
      <c r="D4293" t="inlineStr">
        <is>
          <t>VÄSTMANLANDS LÄN</t>
        </is>
      </c>
      <c r="E4293" t="inlineStr">
        <is>
          <t>SURAHAMMAR</t>
        </is>
      </c>
      <c r="F4293" t="inlineStr">
        <is>
          <t>Sveaskog</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26854-2024</t>
        </is>
      </c>
      <c r="B4294" s="1" t="n">
        <v>45470</v>
      </c>
      <c r="C4294" s="1" t="n">
        <v>45811</v>
      </c>
      <c r="D4294" t="inlineStr">
        <is>
          <t>VÄSTMANLANDS LÄN</t>
        </is>
      </c>
      <c r="E4294" t="inlineStr">
        <is>
          <t>SALA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26794-2024</t>
        </is>
      </c>
      <c r="B4295" s="1" t="n">
        <v>45470</v>
      </c>
      <c r="C4295" s="1" t="n">
        <v>45811</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26868-2024</t>
        </is>
      </c>
      <c r="B4296" s="1" t="n">
        <v>45470</v>
      </c>
      <c r="C4296" s="1" t="n">
        <v>45811</v>
      </c>
      <c r="D4296" t="inlineStr">
        <is>
          <t>VÄSTMANLANDS LÄN</t>
        </is>
      </c>
      <c r="E4296" t="inlineStr">
        <is>
          <t>KUNGSÖR</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26848-2024</t>
        </is>
      </c>
      <c r="B4297" s="1" t="n">
        <v>45470</v>
      </c>
      <c r="C4297" s="1" t="n">
        <v>45811</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26844-2024</t>
        </is>
      </c>
      <c r="B4298" s="1" t="n">
        <v>45470</v>
      </c>
      <c r="C4298" s="1" t="n">
        <v>45811</v>
      </c>
      <c r="D4298" t="inlineStr">
        <is>
          <t>VÄSTMANLANDS LÄN</t>
        </is>
      </c>
      <c r="E4298" t="inlineStr">
        <is>
          <t>SALA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27097-2024</t>
        </is>
      </c>
      <c r="B4299" s="1" t="n">
        <v>45471</v>
      </c>
      <c r="C4299" s="1" t="n">
        <v>45811</v>
      </c>
      <c r="D4299" t="inlineStr">
        <is>
          <t>VÄSTMANLANDS LÄN</t>
        </is>
      </c>
      <c r="E4299" t="inlineStr">
        <is>
          <t>SALA</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27262-2024</t>
        </is>
      </c>
      <c r="B4300" s="1" t="n">
        <v>45471</v>
      </c>
      <c r="C4300" s="1" t="n">
        <v>45811</v>
      </c>
      <c r="D4300" t="inlineStr">
        <is>
          <t>VÄSTMANLANDS LÄN</t>
        </is>
      </c>
      <c r="E4300" t="inlineStr">
        <is>
          <t>SALA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27261-2024</t>
        </is>
      </c>
      <c r="B4301" s="1" t="n">
        <v>45471</v>
      </c>
      <c r="C4301" s="1" t="n">
        <v>45811</v>
      </c>
      <c r="D4301" t="inlineStr">
        <is>
          <t>VÄSTMANLANDS LÄN</t>
        </is>
      </c>
      <c r="E4301" t="inlineStr">
        <is>
          <t>SALA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27351-2024</t>
        </is>
      </c>
      <c r="B4302" s="1" t="n">
        <v>45473</v>
      </c>
      <c r="C4302" s="1" t="n">
        <v>45811</v>
      </c>
      <c r="D4302" t="inlineStr">
        <is>
          <t>VÄSTMANLANDS LÄN</t>
        </is>
      </c>
      <c r="E4302" t="inlineStr">
        <is>
          <t>ARBOGA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27564-2024</t>
        </is>
      </c>
      <c r="B4303" s="1" t="n">
        <v>45474</v>
      </c>
      <c r="C4303" s="1" t="n">
        <v>45811</v>
      </c>
      <c r="D4303" t="inlineStr">
        <is>
          <t>VÄSTMANLANDS LÄN</t>
        </is>
      </c>
      <c r="E4303" t="inlineStr">
        <is>
          <t>SKINNSKATTEBERG</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27580-2024</t>
        </is>
      </c>
      <c r="B4304" s="1" t="n">
        <v>45474</v>
      </c>
      <c r="C4304" s="1" t="n">
        <v>45811</v>
      </c>
      <c r="D4304" t="inlineStr">
        <is>
          <t>VÄSTMANLANDS LÄN</t>
        </is>
      </c>
      <c r="E4304" t="inlineStr">
        <is>
          <t>NORBERG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27565-2024</t>
        </is>
      </c>
      <c r="B4305" s="1" t="n">
        <v>45474</v>
      </c>
      <c r="C4305" s="1" t="n">
        <v>45811</v>
      </c>
      <c r="D4305" t="inlineStr">
        <is>
          <t>VÄSTMANLANDS LÄN</t>
        </is>
      </c>
      <c r="E4305" t="inlineStr">
        <is>
          <t>SKINNSKATTEBERG</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27589-2024</t>
        </is>
      </c>
      <c r="B4306" s="1" t="n">
        <v>45474</v>
      </c>
      <c r="C4306" s="1" t="n">
        <v>45811</v>
      </c>
      <c r="D4306" t="inlineStr">
        <is>
          <t>VÄSTMANLANDS LÄN</t>
        </is>
      </c>
      <c r="E4306" t="inlineStr">
        <is>
          <t>NORBERG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28058-2024</t>
        </is>
      </c>
      <c r="B4307" s="1" t="n">
        <v>45476</v>
      </c>
      <c r="C4307" s="1" t="n">
        <v>45811</v>
      </c>
      <c r="D4307" t="inlineStr">
        <is>
          <t>VÄSTMANLANDS LÄN</t>
        </is>
      </c>
      <c r="E4307" t="inlineStr">
        <is>
          <t>SKINNSKATTEBERG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28082-2024</t>
        </is>
      </c>
      <c r="B4308" s="1" t="n">
        <v>45476</v>
      </c>
      <c r="C4308" s="1" t="n">
        <v>45811</v>
      </c>
      <c r="D4308" t="inlineStr">
        <is>
          <t>VÄSTMANLANDS LÄN</t>
        </is>
      </c>
      <c r="E4308" t="inlineStr">
        <is>
          <t>SALA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28113-2024</t>
        </is>
      </c>
      <c r="B4309" s="1" t="n">
        <v>45476</v>
      </c>
      <c r="C4309" s="1" t="n">
        <v>45811</v>
      </c>
      <c r="D4309" t="inlineStr">
        <is>
          <t>VÄSTMANLANDS LÄN</t>
        </is>
      </c>
      <c r="E4309" t="inlineStr">
        <is>
          <t>FAGERSTA</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28093-2024</t>
        </is>
      </c>
      <c r="B4310" s="1" t="n">
        <v>45476</v>
      </c>
      <c r="C4310" s="1" t="n">
        <v>45811</v>
      </c>
      <c r="D4310" t="inlineStr">
        <is>
          <t>VÄSTMANLANDS LÄN</t>
        </is>
      </c>
      <c r="E4310" t="inlineStr">
        <is>
          <t>SALA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28060-2024</t>
        </is>
      </c>
      <c r="B4311" s="1" t="n">
        <v>45476</v>
      </c>
      <c r="C4311" s="1" t="n">
        <v>45811</v>
      </c>
      <c r="D4311" t="inlineStr">
        <is>
          <t>VÄSTMANLANDS LÄN</t>
        </is>
      </c>
      <c r="E4311" t="inlineStr">
        <is>
          <t>SKINNSKATTEBERG</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28056-2024</t>
        </is>
      </c>
      <c r="B4312" s="1" t="n">
        <v>45476</v>
      </c>
      <c r="C4312" s="1" t="n">
        <v>45811</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28389-2024</t>
        </is>
      </c>
      <c r="B4313" s="1" t="n">
        <v>45477</v>
      </c>
      <c r="C4313" s="1" t="n">
        <v>45811</v>
      </c>
      <c r="D4313" t="inlineStr">
        <is>
          <t>VÄSTMANLANDS LÄN</t>
        </is>
      </c>
      <c r="E4313" t="inlineStr">
        <is>
          <t>KÖPING</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28377-2024</t>
        </is>
      </c>
      <c r="B4314" s="1" t="n">
        <v>45477</v>
      </c>
      <c r="C4314" s="1" t="n">
        <v>45811</v>
      </c>
      <c r="D4314" t="inlineStr">
        <is>
          <t>VÄSTMANLANDS LÄN</t>
        </is>
      </c>
      <c r="E4314" t="inlineStr">
        <is>
          <t>KÖPING</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28383-2024</t>
        </is>
      </c>
      <c r="B4315" s="1" t="n">
        <v>45477</v>
      </c>
      <c r="C4315" s="1" t="n">
        <v>45811</v>
      </c>
      <c r="D4315" t="inlineStr">
        <is>
          <t>VÄSTMANLANDS LÄN</t>
        </is>
      </c>
      <c r="E4315" t="inlineStr">
        <is>
          <t>KÖPING</t>
        </is>
      </c>
      <c r="F4315" t="inlineStr">
        <is>
          <t>Sveaskog</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28379-2024</t>
        </is>
      </c>
      <c r="B4316" s="1" t="n">
        <v>45477</v>
      </c>
      <c r="C4316" s="1" t="n">
        <v>45811</v>
      </c>
      <c r="D4316" t="inlineStr">
        <is>
          <t>VÄSTMANLANDS LÄN</t>
        </is>
      </c>
      <c r="E4316" t="inlineStr">
        <is>
          <t>KÖPING</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28375-2024</t>
        </is>
      </c>
      <c r="B4317" s="1" t="n">
        <v>45477</v>
      </c>
      <c r="C4317" s="1" t="n">
        <v>45811</v>
      </c>
      <c r="D4317" t="inlineStr">
        <is>
          <t>VÄSTMANLANDS LÄN</t>
        </is>
      </c>
      <c r="E4317" t="inlineStr">
        <is>
          <t>KÖPING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28439-2024</t>
        </is>
      </c>
      <c r="B4318" s="1" t="n">
        <v>45477</v>
      </c>
      <c r="C4318" s="1" t="n">
        <v>45811</v>
      </c>
      <c r="D4318" t="inlineStr">
        <is>
          <t>VÄSTMANLANDS LÄN</t>
        </is>
      </c>
      <c r="E4318" t="inlineStr">
        <is>
          <t>SALA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28203-2024</t>
        </is>
      </c>
      <c r="B4319" s="1" t="n">
        <v>45477</v>
      </c>
      <c r="C4319" s="1" t="n">
        <v>45811</v>
      </c>
      <c r="D4319" t="inlineStr">
        <is>
          <t>VÄSTMANLANDS LÄN</t>
        </is>
      </c>
      <c r="E4319" t="inlineStr">
        <is>
          <t>FAGERSTA</t>
        </is>
      </c>
      <c r="F4319" t="inlineStr">
        <is>
          <t>Sveaskog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28201-2024</t>
        </is>
      </c>
      <c r="B4320" s="1" t="n">
        <v>45477</v>
      </c>
      <c r="C4320" s="1" t="n">
        <v>45811</v>
      </c>
      <c r="D4320" t="inlineStr">
        <is>
          <t>VÄSTMANLANDS LÄN</t>
        </is>
      </c>
      <c r="E4320" t="inlineStr">
        <is>
          <t>FAGERSTA</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28394-2024</t>
        </is>
      </c>
      <c r="B4321" s="1" t="n">
        <v>45477</v>
      </c>
      <c r="C4321" s="1" t="n">
        <v>45811</v>
      </c>
      <c r="D4321" t="inlineStr">
        <is>
          <t>VÄSTMANLANDS LÄN</t>
        </is>
      </c>
      <c r="E4321" t="inlineStr">
        <is>
          <t>KÖPING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28386-2024</t>
        </is>
      </c>
      <c r="B4322" s="1" t="n">
        <v>45477</v>
      </c>
      <c r="C4322" s="1" t="n">
        <v>45811</v>
      </c>
      <c r="D4322" t="inlineStr">
        <is>
          <t>VÄSTMANLANDS LÄN</t>
        </is>
      </c>
      <c r="E4322" t="inlineStr">
        <is>
          <t>KÖPING</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28374-2024</t>
        </is>
      </c>
      <c r="B4323" s="1" t="n">
        <v>45477</v>
      </c>
      <c r="C4323" s="1" t="n">
        <v>45811</v>
      </c>
      <c r="D4323" t="inlineStr">
        <is>
          <t>VÄSTMANLANDS LÄN</t>
        </is>
      </c>
      <c r="E4323" t="inlineStr">
        <is>
          <t>KÖPING</t>
        </is>
      </c>
      <c r="F4323" t="inlineStr">
        <is>
          <t>Sveaskog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28278-2024</t>
        </is>
      </c>
      <c r="B4324" s="1" t="n">
        <v>45477</v>
      </c>
      <c r="C4324" s="1" t="n">
        <v>45811</v>
      </c>
      <c r="D4324" t="inlineStr">
        <is>
          <t>VÄSTMANLANDS LÄN</t>
        </is>
      </c>
      <c r="E4324" t="inlineStr">
        <is>
          <t>SKINNSKATTEBERG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28233-2024</t>
        </is>
      </c>
      <c r="B4325" s="1" t="n">
        <v>45477</v>
      </c>
      <c r="C4325" s="1" t="n">
        <v>45811</v>
      </c>
      <c r="D4325" t="inlineStr">
        <is>
          <t>VÄSTMANLANDS LÄN</t>
        </is>
      </c>
      <c r="E4325" t="inlineStr">
        <is>
          <t>SKINNSKATTEBERG</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28205-2024</t>
        </is>
      </c>
      <c r="B4326" s="1" t="n">
        <v>45477</v>
      </c>
      <c r="C4326" s="1" t="n">
        <v>45811</v>
      </c>
      <c r="D4326" t="inlineStr">
        <is>
          <t>VÄSTMANLANDS LÄN</t>
        </is>
      </c>
      <c r="E4326" t="inlineStr">
        <is>
          <t>FAGERSTA</t>
        </is>
      </c>
      <c r="F4326" t="inlineStr">
        <is>
          <t>Sveaskog</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28188-2024</t>
        </is>
      </c>
      <c r="B4327" s="1" t="n">
        <v>45477</v>
      </c>
      <c r="C4327" s="1" t="n">
        <v>45811</v>
      </c>
      <c r="D4327" t="inlineStr">
        <is>
          <t>VÄSTMANLANDS LÄN</t>
        </is>
      </c>
      <c r="E4327" t="inlineStr">
        <is>
          <t>SKINNSKATTEBERG</t>
        </is>
      </c>
      <c r="F4327" t="inlineStr">
        <is>
          <t>Sveaskog</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28207-2024</t>
        </is>
      </c>
      <c r="B4328" s="1" t="n">
        <v>45477</v>
      </c>
      <c r="C4328" s="1" t="n">
        <v>45811</v>
      </c>
      <c r="D4328" t="inlineStr">
        <is>
          <t>VÄSTMANLANDS LÄN</t>
        </is>
      </c>
      <c r="E4328" t="inlineStr">
        <is>
          <t>FAGERSTA</t>
        </is>
      </c>
      <c r="F4328" t="inlineStr">
        <is>
          <t>Sveaskog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28614-2024</t>
        </is>
      </c>
      <c r="B4329" s="1" t="n">
        <v>45478</v>
      </c>
      <c r="C4329" s="1" t="n">
        <v>45811</v>
      </c>
      <c r="D4329" t="inlineStr">
        <is>
          <t>VÄSTMANLANDS LÄN</t>
        </is>
      </c>
      <c r="E4329" t="inlineStr">
        <is>
          <t>SALA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28691-2024</t>
        </is>
      </c>
      <c r="B4330" s="1" t="n">
        <v>45478</v>
      </c>
      <c r="C4330" s="1" t="n">
        <v>45811</v>
      </c>
      <c r="D4330" t="inlineStr">
        <is>
          <t>VÄSTMANLANDS LÄN</t>
        </is>
      </c>
      <c r="E4330" t="inlineStr">
        <is>
          <t>KÖPING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28812-2024</t>
        </is>
      </c>
      <c r="B4331" s="1" t="n">
        <v>45478</v>
      </c>
      <c r="C4331" s="1" t="n">
        <v>45811</v>
      </c>
      <c r="D4331" t="inlineStr">
        <is>
          <t>VÄSTMANLANDS LÄN</t>
        </is>
      </c>
      <c r="E4331" t="inlineStr">
        <is>
          <t>SURAHAMMAR</t>
        </is>
      </c>
      <c r="F4331" t="inlineStr">
        <is>
          <t>Bergvik skog väst AB</t>
        </is>
      </c>
      <c r="G4331" t="n">
        <v>17.8</v>
      </c>
      <c r="H4331" t="n">
        <v>0</v>
      </c>
      <c r="I4331" t="n">
        <v>0</v>
      </c>
      <c r="J4331" t="n">
        <v>0</v>
      </c>
      <c r="K4331" t="n">
        <v>0</v>
      </c>
      <c r="L4331" t="n">
        <v>0</v>
      </c>
      <c r="M4331" t="n">
        <v>0</v>
      </c>
      <c r="N4331" t="n">
        <v>0</v>
      </c>
      <c r="O4331" t="n">
        <v>0</v>
      </c>
      <c r="P4331" t="n">
        <v>0</v>
      </c>
      <c r="Q4331" t="n">
        <v>0</v>
      </c>
      <c r="R4331" s="2" t="inlineStr"/>
    </row>
    <row r="4332" ht="15" customHeight="1">
      <c r="A4332" t="inlineStr">
        <is>
          <t>A 28661-2024</t>
        </is>
      </c>
      <c r="B4332" s="1" t="n">
        <v>45478</v>
      </c>
      <c r="C4332" s="1" t="n">
        <v>45811</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28941-2024</t>
        </is>
      </c>
      <c r="B4333" s="1" t="n">
        <v>45480</v>
      </c>
      <c r="C4333" s="1" t="n">
        <v>45811</v>
      </c>
      <c r="D4333" t="inlineStr">
        <is>
          <t>VÄSTMANLANDS LÄN</t>
        </is>
      </c>
      <c r="E4333" t="inlineStr">
        <is>
          <t>SKINNSKATTEBERG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28902-2024</t>
        </is>
      </c>
      <c r="B4334" s="1" t="n">
        <v>45480</v>
      </c>
      <c r="C4334" s="1" t="n">
        <v>45811</v>
      </c>
      <c r="D4334" t="inlineStr">
        <is>
          <t>VÄSTMANLANDS LÄN</t>
        </is>
      </c>
      <c r="E4334" t="inlineStr">
        <is>
          <t>KÖPING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28904-2024</t>
        </is>
      </c>
      <c r="B4335" s="1" t="n">
        <v>45480</v>
      </c>
      <c r="C4335" s="1" t="n">
        <v>45811</v>
      </c>
      <c r="D4335" t="inlineStr">
        <is>
          <t>VÄSTMANLANDS LÄN</t>
        </is>
      </c>
      <c r="E4335" t="inlineStr">
        <is>
          <t>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28940-2024</t>
        </is>
      </c>
      <c r="B4336" s="1" t="n">
        <v>45480</v>
      </c>
      <c r="C4336" s="1" t="n">
        <v>45811</v>
      </c>
      <c r="D4336" t="inlineStr">
        <is>
          <t>VÄSTMANLANDS LÄN</t>
        </is>
      </c>
      <c r="E4336" t="inlineStr">
        <is>
          <t>SKINNSKATTEBERG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29019-2024</t>
        </is>
      </c>
      <c r="B4337" s="1" t="n">
        <v>45481</v>
      </c>
      <c r="C4337" s="1" t="n">
        <v>45811</v>
      </c>
      <c r="D4337" t="inlineStr">
        <is>
          <t>VÄSTMANLANDS LÄN</t>
        </is>
      </c>
      <c r="E4337" t="inlineStr">
        <is>
          <t>SALA</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28973-2024</t>
        </is>
      </c>
      <c r="B4338" s="1" t="n">
        <v>45481</v>
      </c>
      <c r="C4338" s="1" t="n">
        <v>45811</v>
      </c>
      <c r="D4338" t="inlineStr">
        <is>
          <t>VÄSTMANLANDS LÄN</t>
        </is>
      </c>
      <c r="E4338" t="inlineStr">
        <is>
          <t>KÖPING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28945-2024</t>
        </is>
      </c>
      <c r="B4339" s="1" t="n">
        <v>45481</v>
      </c>
      <c r="C4339" s="1" t="n">
        <v>45811</v>
      </c>
      <c r="D4339" t="inlineStr">
        <is>
          <t>VÄSTMANLANDS LÄN</t>
        </is>
      </c>
      <c r="E4339" t="inlineStr">
        <is>
          <t>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29158-2024</t>
        </is>
      </c>
      <c r="B4340" s="1" t="n">
        <v>45482</v>
      </c>
      <c r="C4340" s="1" t="n">
        <v>45811</v>
      </c>
      <c r="D4340" t="inlineStr">
        <is>
          <t>VÄSTMANLANDS LÄN</t>
        </is>
      </c>
      <c r="E4340" t="inlineStr">
        <is>
          <t>SURAHAMMAR</t>
        </is>
      </c>
      <c r="F4340" t="inlineStr">
        <is>
          <t>Sveaskog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29136-2024</t>
        </is>
      </c>
      <c r="B4341" s="1" t="n">
        <v>45482</v>
      </c>
      <c r="C4341" s="1" t="n">
        <v>45811</v>
      </c>
      <c r="D4341" t="inlineStr">
        <is>
          <t>VÄSTMANLANDS LÄN</t>
        </is>
      </c>
      <c r="E4341" t="inlineStr">
        <is>
          <t>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29206-2024</t>
        </is>
      </c>
      <c r="B4342" s="1" t="n">
        <v>45482</v>
      </c>
      <c r="C4342" s="1" t="n">
        <v>45811</v>
      </c>
      <c r="D4342" t="inlineStr">
        <is>
          <t>VÄSTMANLANDS LÄN</t>
        </is>
      </c>
      <c r="E4342" t="inlineStr">
        <is>
          <t>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29568-2024</t>
        </is>
      </c>
      <c r="B4343" s="1" t="n">
        <v>45484</v>
      </c>
      <c r="C4343" s="1" t="n">
        <v>45811</v>
      </c>
      <c r="D4343" t="inlineStr">
        <is>
          <t>VÄSTMANLANDS LÄN</t>
        </is>
      </c>
      <c r="E4343" t="inlineStr">
        <is>
          <t>KUNGSÖR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29831-2024</t>
        </is>
      </c>
      <c r="B4344" s="1" t="n">
        <v>45485</v>
      </c>
      <c r="C4344" s="1" t="n">
        <v>45811</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29830-2024</t>
        </is>
      </c>
      <c r="B4345" s="1" t="n">
        <v>45485</v>
      </c>
      <c r="C4345" s="1" t="n">
        <v>45811</v>
      </c>
      <c r="D4345" t="inlineStr">
        <is>
          <t>VÄSTMANLANDS LÄN</t>
        </is>
      </c>
      <c r="E4345" t="inlineStr">
        <is>
          <t>SKINNSKATTEBERG</t>
        </is>
      </c>
      <c r="F4345" t="inlineStr">
        <is>
          <t>Sveaskog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29708-2024</t>
        </is>
      </c>
      <c r="B4346" s="1" t="n">
        <v>45485</v>
      </c>
      <c r="C4346" s="1" t="n">
        <v>45811</v>
      </c>
      <c r="D4346" t="inlineStr">
        <is>
          <t>VÄSTMANLANDS LÄN</t>
        </is>
      </c>
      <c r="E4346" t="inlineStr">
        <is>
          <t>SKINNSKATTEBERG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29705-2024</t>
        </is>
      </c>
      <c r="B4347" s="1" t="n">
        <v>45485</v>
      </c>
      <c r="C4347" s="1" t="n">
        <v>45811</v>
      </c>
      <c r="D4347" t="inlineStr">
        <is>
          <t>VÄSTMANLANDS LÄN</t>
        </is>
      </c>
      <c r="E4347" t="inlineStr">
        <is>
          <t>SKINNSKATTEBERG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30028-2024</t>
        </is>
      </c>
      <c r="B4348" s="1" t="n">
        <v>45485</v>
      </c>
      <c r="C4348" s="1" t="n">
        <v>45811</v>
      </c>
      <c r="D4348" t="inlineStr">
        <is>
          <t>VÄSTMANLANDS LÄN</t>
        </is>
      </c>
      <c r="E4348" t="inlineStr">
        <is>
          <t>SALA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29829-2024</t>
        </is>
      </c>
      <c r="B4349" s="1" t="n">
        <v>45485</v>
      </c>
      <c r="C4349" s="1" t="n">
        <v>45811</v>
      </c>
      <c r="D4349" t="inlineStr">
        <is>
          <t>VÄSTMANLANDS LÄN</t>
        </is>
      </c>
      <c r="E4349" t="inlineStr">
        <is>
          <t>SKINNSKATTEBERG</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29711-2024</t>
        </is>
      </c>
      <c r="B4350" s="1" t="n">
        <v>45485</v>
      </c>
      <c r="C4350" s="1" t="n">
        <v>45811</v>
      </c>
      <c r="D4350" t="inlineStr">
        <is>
          <t>VÄSTMANLANDS LÄN</t>
        </is>
      </c>
      <c r="E4350" t="inlineStr">
        <is>
          <t>SKINNSKATTEBERG</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29929-2024</t>
        </is>
      </c>
      <c r="B4351" s="1" t="n">
        <v>45488</v>
      </c>
      <c r="C4351" s="1" t="n">
        <v>45811</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29960-2024</t>
        </is>
      </c>
      <c r="B4352" s="1" t="n">
        <v>45488</v>
      </c>
      <c r="C4352" s="1" t="n">
        <v>45811</v>
      </c>
      <c r="D4352" t="inlineStr">
        <is>
          <t>VÄSTMANLANDS LÄN</t>
        </is>
      </c>
      <c r="E4352" t="inlineStr">
        <is>
          <t>KÖPING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30356-2024</t>
        </is>
      </c>
      <c r="B4353" s="1" t="n">
        <v>45491</v>
      </c>
      <c r="C4353" s="1" t="n">
        <v>45811</v>
      </c>
      <c r="D4353" t="inlineStr">
        <is>
          <t>VÄSTMANLANDS LÄN</t>
        </is>
      </c>
      <c r="E4353" t="inlineStr">
        <is>
          <t>FAGERSTA</t>
        </is>
      </c>
      <c r="F4353" t="inlineStr">
        <is>
          <t>Bergvik skog väst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30357-2024</t>
        </is>
      </c>
      <c r="B4354" s="1" t="n">
        <v>45491</v>
      </c>
      <c r="C4354" s="1" t="n">
        <v>45811</v>
      </c>
      <c r="D4354" t="inlineStr">
        <is>
          <t>VÄSTMANLANDS LÄN</t>
        </is>
      </c>
      <c r="E4354" t="inlineStr">
        <is>
          <t>FAGERSTA</t>
        </is>
      </c>
      <c r="F4354" t="inlineStr">
        <is>
          <t>Övriga Aktiebolag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30358-2024</t>
        </is>
      </c>
      <c r="B4355" s="1" t="n">
        <v>45491</v>
      </c>
      <c r="C4355" s="1" t="n">
        <v>45811</v>
      </c>
      <c r="D4355" t="inlineStr">
        <is>
          <t>VÄSTMANLANDS LÄN</t>
        </is>
      </c>
      <c r="E4355" t="inlineStr">
        <is>
          <t>NORBERG</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30506-2024</t>
        </is>
      </c>
      <c r="B4356" s="1" t="n">
        <v>45492</v>
      </c>
      <c r="C4356" s="1" t="n">
        <v>45811</v>
      </c>
      <c r="D4356" t="inlineStr">
        <is>
          <t>VÄSTMANLANDS LÄN</t>
        </is>
      </c>
      <c r="E4356" t="inlineStr">
        <is>
          <t>KÖPING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30533-2024</t>
        </is>
      </c>
      <c r="B4357" s="1" t="n">
        <v>45492</v>
      </c>
      <c r="C4357" s="1" t="n">
        <v>45811</v>
      </c>
      <c r="D4357" t="inlineStr">
        <is>
          <t>VÄSTMANLANDS LÄN</t>
        </is>
      </c>
      <c r="E4357" t="inlineStr">
        <is>
          <t>KÖPING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30531-2024</t>
        </is>
      </c>
      <c r="B4358" s="1" t="n">
        <v>45492</v>
      </c>
      <c r="C4358" s="1" t="n">
        <v>45811</v>
      </c>
      <c r="D4358" t="inlineStr">
        <is>
          <t>VÄSTMANLANDS LÄN</t>
        </is>
      </c>
      <c r="E4358" t="inlineStr">
        <is>
          <t>SKINNSKATTEBERG</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30532-2024</t>
        </is>
      </c>
      <c r="B4359" s="1" t="n">
        <v>45492</v>
      </c>
      <c r="C4359" s="1" t="n">
        <v>45811</v>
      </c>
      <c r="D4359" t="inlineStr">
        <is>
          <t>VÄSTMANLANDS LÄN</t>
        </is>
      </c>
      <c r="E4359" t="inlineStr">
        <is>
          <t>SKINNSKATTEBERG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30613-2024</t>
        </is>
      </c>
      <c r="B4360" s="1" t="n">
        <v>45495</v>
      </c>
      <c r="C4360" s="1" t="n">
        <v>45811</v>
      </c>
      <c r="D4360" t="inlineStr">
        <is>
          <t>VÄSTMANLANDS LÄN</t>
        </is>
      </c>
      <c r="E4360" t="inlineStr">
        <is>
          <t>SALA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30653-2024</t>
        </is>
      </c>
      <c r="B4361" s="1" t="n">
        <v>45495</v>
      </c>
      <c r="C4361" s="1" t="n">
        <v>45811</v>
      </c>
      <c r="D4361" t="inlineStr">
        <is>
          <t>VÄSTMANLANDS LÄN</t>
        </is>
      </c>
      <c r="E4361" t="inlineStr">
        <is>
          <t>SKINNSKATTEBERG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30648-2024</t>
        </is>
      </c>
      <c r="B4362" s="1" t="n">
        <v>45495</v>
      </c>
      <c r="C4362" s="1" t="n">
        <v>45811</v>
      </c>
      <c r="D4362" t="inlineStr">
        <is>
          <t>VÄSTMANLANDS LÄN</t>
        </is>
      </c>
      <c r="E4362" t="inlineStr">
        <is>
          <t>VÄSTERÅS</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30837-2024</t>
        </is>
      </c>
      <c r="B4363" s="1" t="n">
        <v>45497</v>
      </c>
      <c r="C4363" s="1" t="n">
        <v>45811</v>
      </c>
      <c r="D4363" t="inlineStr">
        <is>
          <t>VÄSTMANLANDS LÄN</t>
        </is>
      </c>
      <c r="E4363" t="inlineStr">
        <is>
          <t>SKINNSKATTEBERG</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30838-2024</t>
        </is>
      </c>
      <c r="B4364" s="1" t="n">
        <v>45497</v>
      </c>
      <c r="C4364" s="1" t="n">
        <v>45811</v>
      </c>
      <c r="D4364" t="inlineStr">
        <is>
          <t>VÄSTMANLANDS LÄN</t>
        </is>
      </c>
      <c r="E4364" t="inlineStr">
        <is>
          <t>SKINNSKATTEBERG</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30836-2024</t>
        </is>
      </c>
      <c r="B4365" s="1" t="n">
        <v>45497</v>
      </c>
      <c r="C4365" s="1" t="n">
        <v>45811</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30835-2024</t>
        </is>
      </c>
      <c r="B4366" s="1" t="n">
        <v>45497</v>
      </c>
      <c r="C4366" s="1" t="n">
        <v>45811</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30998-2024</t>
        </is>
      </c>
      <c r="B4367" s="1" t="n">
        <v>45499</v>
      </c>
      <c r="C4367" s="1" t="n">
        <v>45811</v>
      </c>
      <c r="D4367" t="inlineStr">
        <is>
          <t>VÄSTMANLANDS LÄN</t>
        </is>
      </c>
      <c r="E4367" t="inlineStr">
        <is>
          <t>SKINNSKATTEBERG</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30999-2024</t>
        </is>
      </c>
      <c r="B4368" s="1" t="n">
        <v>45499</v>
      </c>
      <c r="C4368" s="1" t="n">
        <v>45811</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31105-2024</t>
        </is>
      </c>
      <c r="B4369" s="1" t="n">
        <v>45502</v>
      </c>
      <c r="C4369" s="1" t="n">
        <v>45811</v>
      </c>
      <c r="D4369" t="inlineStr">
        <is>
          <t>VÄSTMANLANDS LÄN</t>
        </is>
      </c>
      <c r="E4369" t="inlineStr">
        <is>
          <t>SKINNSKATTEBERG</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31069-2024</t>
        </is>
      </c>
      <c r="B4370" s="1" t="n">
        <v>45502</v>
      </c>
      <c r="C4370" s="1" t="n">
        <v>45811</v>
      </c>
      <c r="D4370" t="inlineStr">
        <is>
          <t>VÄSTMANLANDS LÄN</t>
        </is>
      </c>
      <c r="E4370" t="inlineStr">
        <is>
          <t>KÖPING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31192-2024</t>
        </is>
      </c>
      <c r="B4371" s="1" t="n">
        <v>45503</v>
      </c>
      <c r="C4371" s="1" t="n">
        <v>45811</v>
      </c>
      <c r="D4371" t="inlineStr">
        <is>
          <t>VÄSTMANLANDS LÄN</t>
        </is>
      </c>
      <c r="E4371" t="inlineStr">
        <is>
          <t>SURAHAMMAR</t>
        </is>
      </c>
      <c r="F4371" t="inlineStr">
        <is>
          <t>Allmännings- och besparingsskogar</t>
        </is>
      </c>
      <c r="G4371" t="n">
        <v>17.2</v>
      </c>
      <c r="H4371" t="n">
        <v>0</v>
      </c>
      <c r="I4371" t="n">
        <v>0</v>
      </c>
      <c r="J4371" t="n">
        <v>0</v>
      </c>
      <c r="K4371" t="n">
        <v>0</v>
      </c>
      <c r="L4371" t="n">
        <v>0</v>
      </c>
      <c r="M4371" t="n">
        <v>0</v>
      </c>
      <c r="N4371" t="n">
        <v>0</v>
      </c>
      <c r="O4371" t="n">
        <v>0</v>
      </c>
      <c r="P4371" t="n">
        <v>0</v>
      </c>
      <c r="Q4371" t="n">
        <v>0</v>
      </c>
      <c r="R4371" s="2" t="inlineStr"/>
    </row>
    <row r="4372" ht="15" customHeight="1">
      <c r="A4372" t="inlineStr">
        <is>
          <t>A 31163-2024</t>
        </is>
      </c>
      <c r="B4372" s="1" t="n">
        <v>45503</v>
      </c>
      <c r="C4372" s="1" t="n">
        <v>45811</v>
      </c>
      <c r="D4372" t="inlineStr">
        <is>
          <t>VÄSTMANLANDS LÄN</t>
        </is>
      </c>
      <c r="E4372" t="inlineStr">
        <is>
          <t>KÖPING</t>
        </is>
      </c>
      <c r="F4372" t="inlineStr">
        <is>
          <t>Allmännings- och besparingsskogar</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31231-2024</t>
        </is>
      </c>
      <c r="B4373" s="1" t="n">
        <v>45503</v>
      </c>
      <c r="C4373" s="1" t="n">
        <v>45811</v>
      </c>
      <c r="D4373" t="inlineStr">
        <is>
          <t>VÄSTMANLANDS LÄN</t>
        </is>
      </c>
      <c r="E4373" t="inlineStr">
        <is>
          <t>FAGERSTA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31235-2024</t>
        </is>
      </c>
      <c r="B4374" s="1" t="n">
        <v>45503</v>
      </c>
      <c r="C4374" s="1" t="n">
        <v>45811</v>
      </c>
      <c r="D4374" t="inlineStr">
        <is>
          <t>VÄSTMANLANDS LÄN</t>
        </is>
      </c>
      <c r="E4374" t="inlineStr">
        <is>
          <t>SALA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31274-2024</t>
        </is>
      </c>
      <c r="B4375" s="1" t="n">
        <v>45504</v>
      </c>
      <c r="C4375" s="1" t="n">
        <v>45811</v>
      </c>
      <c r="D4375" t="inlineStr">
        <is>
          <t>VÄSTMANLANDS LÄN</t>
        </is>
      </c>
      <c r="E4375" t="inlineStr">
        <is>
          <t>SKINNSKATTEBERG</t>
        </is>
      </c>
      <c r="F4375" t="inlineStr">
        <is>
          <t>Allmännings- och besparingsskogar</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31302-2024</t>
        </is>
      </c>
      <c r="B4376" s="1" t="n">
        <v>45504</v>
      </c>
      <c r="C4376" s="1" t="n">
        <v>45811</v>
      </c>
      <c r="D4376" t="inlineStr">
        <is>
          <t>VÄSTMANLANDS LÄN</t>
        </is>
      </c>
      <c r="E4376" t="inlineStr">
        <is>
          <t>SKINNSKATTEBERG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31321-2024</t>
        </is>
      </c>
      <c r="B4377" s="1" t="n">
        <v>45504</v>
      </c>
      <c r="C4377" s="1" t="n">
        <v>45811</v>
      </c>
      <c r="D4377" t="inlineStr">
        <is>
          <t>VÄSTMANLANDS LÄN</t>
        </is>
      </c>
      <c r="E4377" t="inlineStr">
        <is>
          <t>VÄSTERÅS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31406-2024</t>
        </is>
      </c>
      <c r="B4378" s="1" t="n">
        <v>45505</v>
      </c>
      <c r="C4378" s="1" t="n">
        <v>45811</v>
      </c>
      <c r="D4378" t="inlineStr">
        <is>
          <t>VÄSTMANLANDS LÄN</t>
        </is>
      </c>
      <c r="E4378" t="inlineStr">
        <is>
          <t>ARBOGA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31407-2024</t>
        </is>
      </c>
      <c r="B4379" s="1" t="n">
        <v>45505</v>
      </c>
      <c r="C4379" s="1" t="n">
        <v>45811</v>
      </c>
      <c r="D4379" t="inlineStr">
        <is>
          <t>VÄSTMANLANDS LÄN</t>
        </is>
      </c>
      <c r="E4379" t="inlineStr">
        <is>
          <t>SKINNSKATTEBERG</t>
        </is>
      </c>
      <c r="F4379" t="inlineStr">
        <is>
          <t>Sveaskog</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31405-2024</t>
        </is>
      </c>
      <c r="B4380" s="1" t="n">
        <v>45505</v>
      </c>
      <c r="C4380" s="1" t="n">
        <v>45811</v>
      </c>
      <c r="D4380" t="inlineStr">
        <is>
          <t>VÄSTMANLANDS LÄN</t>
        </is>
      </c>
      <c r="E4380" t="inlineStr">
        <is>
          <t>SALA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31599-2024</t>
        </is>
      </c>
      <c r="B4381" s="1" t="n">
        <v>45506</v>
      </c>
      <c r="C4381" s="1" t="n">
        <v>45811</v>
      </c>
      <c r="D4381" t="inlineStr">
        <is>
          <t>VÄSTMANLANDS LÄN</t>
        </is>
      </c>
      <c r="E4381" t="inlineStr">
        <is>
          <t>SALA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31608-2024</t>
        </is>
      </c>
      <c r="B4382" s="1" t="n">
        <v>45506</v>
      </c>
      <c r="C4382" s="1" t="n">
        <v>45811</v>
      </c>
      <c r="D4382" t="inlineStr">
        <is>
          <t>VÄSTMANLANDS LÄN</t>
        </is>
      </c>
      <c r="E4382" t="inlineStr">
        <is>
          <t>SALA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31623-2024</t>
        </is>
      </c>
      <c r="B4383" s="1" t="n">
        <v>45506</v>
      </c>
      <c r="C4383" s="1" t="n">
        <v>45811</v>
      </c>
      <c r="D4383" t="inlineStr">
        <is>
          <t>VÄSTMANLANDS LÄN</t>
        </is>
      </c>
      <c r="E4383" t="inlineStr">
        <is>
          <t>VÄSTERÅS</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31601-2024</t>
        </is>
      </c>
      <c r="B4384" s="1" t="n">
        <v>45506</v>
      </c>
      <c r="C4384" s="1" t="n">
        <v>45811</v>
      </c>
      <c r="D4384" t="inlineStr">
        <is>
          <t>VÄSTMANLANDS LÄN</t>
        </is>
      </c>
      <c r="E4384" t="inlineStr">
        <is>
          <t>SALA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31609-2024</t>
        </is>
      </c>
      <c r="B4385" s="1" t="n">
        <v>45506</v>
      </c>
      <c r="C4385" s="1" t="n">
        <v>45811</v>
      </c>
      <c r="D4385" t="inlineStr">
        <is>
          <t>VÄSTMANLANDS LÄN</t>
        </is>
      </c>
      <c r="E4385" t="inlineStr">
        <is>
          <t>SALA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31617-2024</t>
        </is>
      </c>
      <c r="B4386" s="1" t="n">
        <v>45506</v>
      </c>
      <c r="C4386" s="1" t="n">
        <v>45811</v>
      </c>
      <c r="D4386" t="inlineStr">
        <is>
          <t>VÄSTMANLANDS LÄN</t>
        </is>
      </c>
      <c r="E4386" t="inlineStr">
        <is>
          <t>SKINNSKATTEBERG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31629-2024</t>
        </is>
      </c>
      <c r="B4387" s="1" t="n">
        <v>45506</v>
      </c>
      <c r="C4387" s="1" t="n">
        <v>45811</v>
      </c>
      <c r="D4387" t="inlineStr">
        <is>
          <t>VÄSTMANLANDS LÄN</t>
        </is>
      </c>
      <c r="E4387" t="inlineStr">
        <is>
          <t>SKINNSKATTEBERG</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31597-2024</t>
        </is>
      </c>
      <c r="B4388" s="1" t="n">
        <v>45506</v>
      </c>
      <c r="C4388" s="1" t="n">
        <v>45811</v>
      </c>
      <c r="D4388" t="inlineStr">
        <is>
          <t>VÄSTMANLANDS LÄN</t>
        </is>
      </c>
      <c r="E4388" t="inlineStr">
        <is>
          <t>SALA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31655-2024</t>
        </is>
      </c>
      <c r="B4389" s="1" t="n">
        <v>45506</v>
      </c>
      <c r="C4389" s="1" t="n">
        <v>45811</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31618-2024</t>
        </is>
      </c>
      <c r="B4390" s="1" t="n">
        <v>45506</v>
      </c>
      <c r="C4390" s="1" t="n">
        <v>45811</v>
      </c>
      <c r="D4390" t="inlineStr">
        <is>
          <t>VÄSTMANLANDS LÄN</t>
        </is>
      </c>
      <c r="E4390" t="inlineStr">
        <is>
          <t>VÄSTERÅS</t>
        </is>
      </c>
      <c r="F4390" t="inlineStr">
        <is>
          <t>Kommuner</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31612-2024</t>
        </is>
      </c>
      <c r="B4391" s="1" t="n">
        <v>45506</v>
      </c>
      <c r="C4391" s="1" t="n">
        <v>45811</v>
      </c>
      <c r="D4391" t="inlineStr">
        <is>
          <t>VÄSTMANLANDS LÄN</t>
        </is>
      </c>
      <c r="E4391" t="inlineStr">
        <is>
          <t>SALA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32024-2024</t>
        </is>
      </c>
      <c r="B4392" s="1" t="n">
        <v>45510</v>
      </c>
      <c r="C4392" s="1" t="n">
        <v>45811</v>
      </c>
      <c r="D4392" t="inlineStr">
        <is>
          <t>VÄSTMANLANDS LÄN</t>
        </is>
      </c>
      <c r="E4392" t="inlineStr">
        <is>
          <t>SKINNSKATTEBERG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32041-2024</t>
        </is>
      </c>
      <c r="B4393" s="1" t="n">
        <v>45510</v>
      </c>
      <c r="C4393" s="1" t="n">
        <v>45811</v>
      </c>
      <c r="D4393" t="inlineStr">
        <is>
          <t>VÄSTMANLANDS LÄN</t>
        </is>
      </c>
      <c r="E4393" t="inlineStr">
        <is>
          <t>KÖPING</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32029-2024</t>
        </is>
      </c>
      <c r="B4394" s="1" t="n">
        <v>45510</v>
      </c>
      <c r="C4394" s="1" t="n">
        <v>45811</v>
      </c>
      <c r="D4394" t="inlineStr">
        <is>
          <t>VÄSTMANLANDS LÄN</t>
        </is>
      </c>
      <c r="E4394" t="inlineStr">
        <is>
          <t>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31941-2024</t>
        </is>
      </c>
      <c r="B4395" s="1" t="n">
        <v>45510</v>
      </c>
      <c r="C4395" s="1" t="n">
        <v>45811</v>
      </c>
      <c r="D4395" t="inlineStr">
        <is>
          <t>VÄSTMANLANDS LÄN</t>
        </is>
      </c>
      <c r="E4395" t="inlineStr">
        <is>
          <t>SALA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32153-2024</t>
        </is>
      </c>
      <c r="B4396" s="1" t="n">
        <v>45511</v>
      </c>
      <c r="C4396" s="1" t="n">
        <v>45811</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32316-2024</t>
        </is>
      </c>
      <c r="B4397" s="1" t="n">
        <v>45512</v>
      </c>
      <c r="C4397" s="1" t="n">
        <v>45811</v>
      </c>
      <c r="D4397" t="inlineStr">
        <is>
          <t>VÄSTMANLANDS LÄN</t>
        </is>
      </c>
      <c r="E4397" t="inlineStr">
        <is>
          <t>SKINNSKATTEBERG</t>
        </is>
      </c>
      <c r="F4397" t="inlineStr">
        <is>
          <t>Sveaskog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32285-2024</t>
        </is>
      </c>
      <c r="B4398" s="1" t="n">
        <v>45512</v>
      </c>
      <c r="C4398" s="1" t="n">
        <v>45811</v>
      </c>
      <c r="D4398" t="inlineStr">
        <is>
          <t>VÄSTMANLANDS LÄN</t>
        </is>
      </c>
      <c r="E4398" t="inlineStr">
        <is>
          <t>SKINNSKATTEBERG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32349-2024</t>
        </is>
      </c>
      <c r="B4399" s="1" t="n">
        <v>45512</v>
      </c>
      <c r="C4399" s="1" t="n">
        <v>45811</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32350-2024</t>
        </is>
      </c>
      <c r="B4400" s="1" t="n">
        <v>45512</v>
      </c>
      <c r="C4400" s="1" t="n">
        <v>45811</v>
      </c>
      <c r="D4400" t="inlineStr">
        <is>
          <t>VÄSTMANLANDS LÄN</t>
        </is>
      </c>
      <c r="E4400" t="inlineStr">
        <is>
          <t>SKINNSKATTEBERG</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32354-2024</t>
        </is>
      </c>
      <c r="B4401" s="1" t="n">
        <v>45512</v>
      </c>
      <c r="C4401" s="1" t="n">
        <v>45811</v>
      </c>
      <c r="D4401" t="inlineStr">
        <is>
          <t>VÄSTMANLANDS LÄN</t>
        </is>
      </c>
      <c r="E4401" t="inlineStr">
        <is>
          <t>SKINNSKATTEBERG</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32352-2024</t>
        </is>
      </c>
      <c r="B4402" s="1" t="n">
        <v>45512</v>
      </c>
      <c r="C4402" s="1" t="n">
        <v>45811</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32372-2024</t>
        </is>
      </c>
      <c r="B4403" s="1" t="n">
        <v>45512</v>
      </c>
      <c r="C4403" s="1" t="n">
        <v>45811</v>
      </c>
      <c r="D4403" t="inlineStr">
        <is>
          <t>VÄSTMANLANDS LÄN</t>
        </is>
      </c>
      <c r="E4403" t="inlineStr">
        <is>
          <t>SALA</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32303-2024</t>
        </is>
      </c>
      <c r="B4404" s="1" t="n">
        <v>45512</v>
      </c>
      <c r="C4404" s="1" t="n">
        <v>45811</v>
      </c>
      <c r="D4404" t="inlineStr">
        <is>
          <t>VÄSTMANLANDS LÄN</t>
        </is>
      </c>
      <c r="E4404" t="inlineStr">
        <is>
          <t>SALA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32275-2024</t>
        </is>
      </c>
      <c r="B4405" s="1" t="n">
        <v>45512</v>
      </c>
      <c r="C4405" s="1" t="n">
        <v>45811</v>
      </c>
      <c r="D4405" t="inlineStr">
        <is>
          <t>VÄSTMANLANDS LÄN</t>
        </is>
      </c>
      <c r="E4405" t="inlineStr">
        <is>
          <t>ARBOGA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32484-2024</t>
        </is>
      </c>
      <c r="B4406" s="1" t="n">
        <v>45513</v>
      </c>
      <c r="C4406" s="1" t="n">
        <v>45811</v>
      </c>
      <c r="D4406" t="inlineStr">
        <is>
          <t>VÄSTMANLANDS LÄN</t>
        </is>
      </c>
      <c r="E4406" t="inlineStr">
        <is>
          <t>SALA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32866-2024</t>
        </is>
      </c>
      <c r="B4407" s="1" t="n">
        <v>45516</v>
      </c>
      <c r="C4407" s="1" t="n">
        <v>45811</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32861-2024</t>
        </is>
      </c>
      <c r="B4408" s="1" t="n">
        <v>45516</v>
      </c>
      <c r="C4408" s="1" t="n">
        <v>45811</v>
      </c>
      <c r="D4408" t="inlineStr">
        <is>
          <t>VÄSTMANLANDS LÄN</t>
        </is>
      </c>
      <c r="E4408" t="inlineStr">
        <is>
          <t>VÄSTERÅS</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32857-2024</t>
        </is>
      </c>
      <c r="B4409" s="1" t="n">
        <v>45516</v>
      </c>
      <c r="C4409" s="1" t="n">
        <v>45811</v>
      </c>
      <c r="D4409" t="inlineStr">
        <is>
          <t>VÄSTMANLANDS LÄN</t>
        </is>
      </c>
      <c r="E4409" t="inlineStr">
        <is>
          <t>SKINNSKATTEBERG</t>
        </is>
      </c>
      <c r="F4409" t="inlineStr">
        <is>
          <t>Sveaskog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32868-2024</t>
        </is>
      </c>
      <c r="B4410" s="1" t="n">
        <v>45516</v>
      </c>
      <c r="C4410" s="1" t="n">
        <v>45811</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32864-2024</t>
        </is>
      </c>
      <c r="B4411" s="1" t="n">
        <v>45516</v>
      </c>
      <c r="C4411" s="1" t="n">
        <v>45811</v>
      </c>
      <c r="D4411" t="inlineStr">
        <is>
          <t>VÄSTMANLANDS LÄN</t>
        </is>
      </c>
      <c r="E4411" t="inlineStr">
        <is>
          <t>SKINNSKATTEBERG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32860-2024</t>
        </is>
      </c>
      <c r="B4412" s="1" t="n">
        <v>45516</v>
      </c>
      <c r="C4412" s="1" t="n">
        <v>45811</v>
      </c>
      <c r="D4412" t="inlineStr">
        <is>
          <t>VÄSTMANLANDS LÄN</t>
        </is>
      </c>
      <c r="E4412" t="inlineStr">
        <is>
          <t>SKINNSKATTEBERG</t>
        </is>
      </c>
      <c r="F4412" t="inlineStr">
        <is>
          <t>Sveaskog</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32863-2024</t>
        </is>
      </c>
      <c r="B4413" s="1" t="n">
        <v>45516</v>
      </c>
      <c r="C4413" s="1" t="n">
        <v>45811</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32851-2024</t>
        </is>
      </c>
      <c r="B4414" s="1" t="n">
        <v>45516</v>
      </c>
      <c r="C4414" s="1" t="n">
        <v>45811</v>
      </c>
      <c r="D4414" t="inlineStr">
        <is>
          <t>VÄSTMANLANDS LÄN</t>
        </is>
      </c>
      <c r="E4414" t="inlineStr">
        <is>
          <t>VÄSTERÅS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32808-2024</t>
        </is>
      </c>
      <c r="B4415" s="1" t="n">
        <v>45516</v>
      </c>
      <c r="C4415" s="1" t="n">
        <v>45811</v>
      </c>
      <c r="D4415" t="inlineStr">
        <is>
          <t>VÄSTMANLANDS LÄN</t>
        </is>
      </c>
      <c r="E4415" t="inlineStr">
        <is>
          <t>SURAHAMMAR</t>
        </is>
      </c>
      <c r="F4415" t="inlineStr">
        <is>
          <t>Övriga Aktiebolag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33160-2024</t>
        </is>
      </c>
      <c r="B4416" s="1" t="n">
        <v>45518</v>
      </c>
      <c r="C4416" s="1" t="n">
        <v>45811</v>
      </c>
      <c r="D4416" t="inlineStr">
        <is>
          <t>VÄSTMANLANDS LÄN</t>
        </is>
      </c>
      <c r="E4416" t="inlineStr">
        <is>
          <t>SURAHAMMAR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33346-2024</t>
        </is>
      </c>
      <c r="B4417" s="1" t="n">
        <v>45519</v>
      </c>
      <c r="C4417" s="1" t="n">
        <v>45811</v>
      </c>
      <c r="D4417" t="inlineStr">
        <is>
          <t>VÄSTMANLANDS LÄN</t>
        </is>
      </c>
      <c r="E4417" t="inlineStr">
        <is>
          <t>VÄSTERÅS</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33430-2024</t>
        </is>
      </c>
      <c r="B4418" s="1" t="n">
        <v>45519</v>
      </c>
      <c r="C4418" s="1" t="n">
        <v>45811</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33434-2024</t>
        </is>
      </c>
      <c r="B4419" s="1" t="n">
        <v>45519</v>
      </c>
      <c r="C4419" s="1" t="n">
        <v>45811</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33431-2024</t>
        </is>
      </c>
      <c r="B4420" s="1" t="n">
        <v>45519</v>
      </c>
      <c r="C4420" s="1" t="n">
        <v>45811</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33435-2024</t>
        </is>
      </c>
      <c r="B4421" s="1" t="n">
        <v>45519</v>
      </c>
      <c r="C4421" s="1" t="n">
        <v>45811</v>
      </c>
      <c r="D4421" t="inlineStr">
        <is>
          <t>VÄSTMANLANDS LÄN</t>
        </is>
      </c>
      <c r="E4421" t="inlineStr">
        <is>
          <t>SKINNSKATTEBERG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33432-2024</t>
        </is>
      </c>
      <c r="B4422" s="1" t="n">
        <v>45519</v>
      </c>
      <c r="C4422" s="1" t="n">
        <v>45811</v>
      </c>
      <c r="D4422" t="inlineStr">
        <is>
          <t>VÄSTMANLANDS LÄN</t>
        </is>
      </c>
      <c r="E4422" t="inlineStr">
        <is>
          <t>SKINNSKATTEBERG</t>
        </is>
      </c>
      <c r="F4422" t="inlineStr">
        <is>
          <t>Sveaskog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33436-2024</t>
        </is>
      </c>
      <c r="B4423" s="1" t="n">
        <v>45519</v>
      </c>
      <c r="C4423" s="1" t="n">
        <v>45811</v>
      </c>
      <c r="D4423" t="inlineStr">
        <is>
          <t>VÄSTMANLANDS LÄN</t>
        </is>
      </c>
      <c r="E4423" t="inlineStr">
        <is>
          <t>SKINNSKATTEBERG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33571-2024</t>
        </is>
      </c>
      <c r="B4424" s="1" t="n">
        <v>45520</v>
      </c>
      <c r="C4424" s="1" t="n">
        <v>45811</v>
      </c>
      <c r="D4424" t="inlineStr">
        <is>
          <t>VÄSTMANLANDS LÄN</t>
        </is>
      </c>
      <c r="E4424" t="inlineStr">
        <is>
          <t>SKINNSKATTEBERG</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33789-2024</t>
        </is>
      </c>
      <c r="B4425" s="1" t="n">
        <v>45520</v>
      </c>
      <c r="C4425" s="1" t="n">
        <v>45811</v>
      </c>
      <c r="D4425" t="inlineStr">
        <is>
          <t>VÄSTMANLANDS LÄN</t>
        </is>
      </c>
      <c r="E4425" t="inlineStr">
        <is>
          <t>SKINNSKATTEBERG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33794-2024</t>
        </is>
      </c>
      <c r="B4426" s="1" t="n">
        <v>45520</v>
      </c>
      <c r="C4426" s="1" t="n">
        <v>45811</v>
      </c>
      <c r="D4426" t="inlineStr">
        <is>
          <t>VÄSTMANLANDS LÄN</t>
        </is>
      </c>
      <c r="E4426" t="inlineStr">
        <is>
          <t>SKINNSKATTEBERG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33932-2024</t>
        </is>
      </c>
      <c r="B4427" s="1" t="n">
        <v>45523</v>
      </c>
      <c r="C4427" s="1" t="n">
        <v>45811</v>
      </c>
      <c r="D4427" t="inlineStr">
        <is>
          <t>VÄSTMANLANDS LÄN</t>
        </is>
      </c>
      <c r="E4427" t="inlineStr">
        <is>
          <t>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33986-2024</t>
        </is>
      </c>
      <c r="B4428" s="1" t="n">
        <v>45523</v>
      </c>
      <c r="C4428" s="1" t="n">
        <v>45811</v>
      </c>
      <c r="D4428" t="inlineStr">
        <is>
          <t>VÄSTMANLANDS LÄN</t>
        </is>
      </c>
      <c r="E4428" t="inlineStr">
        <is>
          <t>KÖPING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33989-2024</t>
        </is>
      </c>
      <c r="B4429" s="1" t="n">
        <v>45523</v>
      </c>
      <c r="C4429" s="1" t="n">
        <v>45811</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34090-2024</t>
        </is>
      </c>
      <c r="B4430" s="1" t="n">
        <v>45523</v>
      </c>
      <c r="C4430" s="1" t="n">
        <v>45811</v>
      </c>
      <c r="D4430" t="inlineStr">
        <is>
          <t>VÄSTMANLANDS LÄN</t>
        </is>
      </c>
      <c r="E4430" t="inlineStr">
        <is>
          <t>KÖPING</t>
        </is>
      </c>
      <c r="F4430" t="inlineStr">
        <is>
          <t>Allmännings- och besparingsskogar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34160-2024</t>
        </is>
      </c>
      <c r="B4431" s="1" t="n">
        <v>45524</v>
      </c>
      <c r="C4431" s="1" t="n">
        <v>45811</v>
      </c>
      <c r="D4431" t="inlineStr">
        <is>
          <t>VÄSTMANLANDS LÄN</t>
        </is>
      </c>
      <c r="E4431" t="inlineStr">
        <is>
          <t>FAGERSTA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34328-2024</t>
        </is>
      </c>
      <c r="B4432" s="1" t="n">
        <v>45524</v>
      </c>
      <c r="C4432" s="1" t="n">
        <v>45811</v>
      </c>
      <c r="D4432" t="inlineStr">
        <is>
          <t>VÄSTMANLANDS LÄN</t>
        </is>
      </c>
      <c r="E4432" t="inlineStr">
        <is>
          <t>SKINNSKATTEBERG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34329-2024</t>
        </is>
      </c>
      <c r="B4433" s="1" t="n">
        <v>45524</v>
      </c>
      <c r="C4433" s="1" t="n">
        <v>45811</v>
      </c>
      <c r="D4433" t="inlineStr">
        <is>
          <t>VÄSTMANLANDS LÄN</t>
        </is>
      </c>
      <c r="E4433" t="inlineStr">
        <is>
          <t>SKINNSKATTEBERG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34330-2024</t>
        </is>
      </c>
      <c r="B4434" s="1" t="n">
        <v>45524</v>
      </c>
      <c r="C4434" s="1" t="n">
        <v>45811</v>
      </c>
      <c r="D4434" t="inlineStr">
        <is>
          <t>VÄSTMANLANDS LÄN</t>
        </is>
      </c>
      <c r="E4434" t="inlineStr">
        <is>
          <t>SKINNSKATTEBERG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34419-2024</t>
        </is>
      </c>
      <c r="B4435" s="1" t="n">
        <v>45525</v>
      </c>
      <c r="C4435" s="1" t="n">
        <v>45811</v>
      </c>
      <c r="D4435" t="inlineStr">
        <is>
          <t>VÄSTMANLANDS LÄN</t>
        </is>
      </c>
      <c r="E4435" t="inlineStr">
        <is>
          <t>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34412-2024</t>
        </is>
      </c>
      <c r="B4436" s="1" t="n">
        <v>45525</v>
      </c>
      <c r="C4436" s="1" t="n">
        <v>45811</v>
      </c>
      <c r="D4436" t="inlineStr">
        <is>
          <t>VÄSTMANLANDS LÄN</t>
        </is>
      </c>
      <c r="E4436" t="inlineStr">
        <is>
          <t>SALA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34416-2024</t>
        </is>
      </c>
      <c r="B4437" s="1" t="n">
        <v>45525</v>
      </c>
      <c r="C4437" s="1" t="n">
        <v>45811</v>
      </c>
      <c r="D4437" t="inlineStr">
        <is>
          <t>VÄSTMANLANDS LÄN</t>
        </is>
      </c>
      <c r="E4437" t="inlineStr">
        <is>
          <t>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34436-2024</t>
        </is>
      </c>
      <c r="B4438" s="1" t="n">
        <v>45525</v>
      </c>
      <c r="C4438" s="1" t="n">
        <v>45811</v>
      </c>
      <c r="D4438" t="inlineStr">
        <is>
          <t>VÄSTMANLANDS LÄN</t>
        </is>
      </c>
      <c r="E4438" t="inlineStr">
        <is>
          <t>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35003-2024</t>
        </is>
      </c>
      <c r="B4439" s="1" t="n">
        <v>45527</v>
      </c>
      <c r="C4439" s="1" t="n">
        <v>45811</v>
      </c>
      <c r="D4439" t="inlineStr">
        <is>
          <t>VÄSTMANLANDS LÄN</t>
        </is>
      </c>
      <c r="E4439" t="inlineStr">
        <is>
          <t>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35051-2024</t>
        </is>
      </c>
      <c r="B4440" s="1" t="n">
        <v>45527</v>
      </c>
      <c r="C4440" s="1" t="n">
        <v>45811</v>
      </c>
      <c r="D4440" t="inlineStr">
        <is>
          <t>VÄSTMANLANDS LÄN</t>
        </is>
      </c>
      <c r="E4440" t="inlineStr">
        <is>
          <t>SKINNSKATTEBERG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35059-2024</t>
        </is>
      </c>
      <c r="B4441" s="1" t="n">
        <v>45527</v>
      </c>
      <c r="C4441" s="1" t="n">
        <v>45811</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35016-2024</t>
        </is>
      </c>
      <c r="B4442" s="1" t="n">
        <v>45527</v>
      </c>
      <c r="C4442" s="1" t="n">
        <v>45811</v>
      </c>
      <c r="D4442" t="inlineStr">
        <is>
          <t>VÄSTMANLANDS LÄN</t>
        </is>
      </c>
      <c r="E4442" t="inlineStr">
        <is>
          <t>SALA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35036-2024</t>
        </is>
      </c>
      <c r="B4443" s="1" t="n">
        <v>45527</v>
      </c>
      <c r="C4443" s="1" t="n">
        <v>45811</v>
      </c>
      <c r="D4443" t="inlineStr">
        <is>
          <t>VÄSTMANLANDS LÄN</t>
        </is>
      </c>
      <c r="E4443" t="inlineStr">
        <is>
          <t>HALLSTAHAMMAR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35010-2024</t>
        </is>
      </c>
      <c r="B4444" s="1" t="n">
        <v>45527</v>
      </c>
      <c r="C4444" s="1" t="n">
        <v>45811</v>
      </c>
      <c r="D4444" t="inlineStr">
        <is>
          <t>VÄSTMANLANDS LÄN</t>
        </is>
      </c>
      <c r="E4444" t="inlineStr">
        <is>
          <t>SALA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35062-2024</t>
        </is>
      </c>
      <c r="B4445" s="1" t="n">
        <v>45527</v>
      </c>
      <c r="C4445" s="1" t="n">
        <v>45811</v>
      </c>
      <c r="D4445" t="inlineStr">
        <is>
          <t>VÄSTMANLANDS LÄN</t>
        </is>
      </c>
      <c r="E4445" t="inlineStr">
        <is>
          <t>FAGERSTA</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34803-2024</t>
        </is>
      </c>
      <c r="B4446" s="1" t="n">
        <v>45527</v>
      </c>
      <c r="C4446" s="1" t="n">
        <v>45811</v>
      </c>
      <c r="D4446" t="inlineStr">
        <is>
          <t>VÄSTMANLANDS LÄN</t>
        </is>
      </c>
      <c r="E4446" t="inlineStr">
        <is>
          <t>KÖPING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34984-2024</t>
        </is>
      </c>
      <c r="B4447" s="1" t="n">
        <v>45527</v>
      </c>
      <c r="C4447" s="1" t="n">
        <v>45811</v>
      </c>
      <c r="D4447" t="inlineStr">
        <is>
          <t>VÄSTMANLANDS LÄN</t>
        </is>
      </c>
      <c r="E4447" t="inlineStr">
        <is>
          <t>HALLSTAHAMMAR</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35049-2024</t>
        </is>
      </c>
      <c r="B4448" s="1" t="n">
        <v>45527</v>
      </c>
      <c r="C4448" s="1" t="n">
        <v>45811</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35053-2024</t>
        </is>
      </c>
      <c r="B4449" s="1" t="n">
        <v>45527</v>
      </c>
      <c r="C4449" s="1" t="n">
        <v>45811</v>
      </c>
      <c r="D4449" t="inlineStr">
        <is>
          <t>VÄSTMANLANDS LÄN</t>
        </is>
      </c>
      <c r="E4449" t="inlineStr">
        <is>
          <t>SKINNSKATTEBERG</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35057-2024</t>
        </is>
      </c>
      <c r="B4450" s="1" t="n">
        <v>45527</v>
      </c>
      <c r="C4450" s="1" t="n">
        <v>45811</v>
      </c>
      <c r="D4450" t="inlineStr">
        <is>
          <t>VÄSTMANLANDS LÄN</t>
        </is>
      </c>
      <c r="E4450" t="inlineStr">
        <is>
          <t>SKINNSKATTEBERG</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35187-2024</t>
        </is>
      </c>
      <c r="B4451" s="1" t="n">
        <v>45530</v>
      </c>
      <c r="C4451" s="1" t="n">
        <v>45811</v>
      </c>
      <c r="D4451" t="inlineStr">
        <is>
          <t>VÄSTMANLANDS LÄN</t>
        </is>
      </c>
      <c r="E4451" t="inlineStr">
        <is>
          <t>VÄSTERÅS</t>
        </is>
      </c>
      <c r="F4451" t="inlineStr">
        <is>
          <t>Allmännings- och besparingsskogar</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35149-2024</t>
        </is>
      </c>
      <c r="B4452" s="1" t="n">
        <v>45530</v>
      </c>
      <c r="C4452" s="1" t="n">
        <v>45811</v>
      </c>
      <c r="D4452" t="inlineStr">
        <is>
          <t>VÄSTMANLANDS LÄN</t>
        </is>
      </c>
      <c r="E4452" t="inlineStr">
        <is>
          <t>VÄSTERÅS</t>
        </is>
      </c>
      <c r="F4452" t="inlineStr">
        <is>
          <t>Allmännings- och besparingsskogar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35267-2024</t>
        </is>
      </c>
      <c r="B4453" s="1" t="n">
        <v>45530</v>
      </c>
      <c r="C4453" s="1" t="n">
        <v>45811</v>
      </c>
      <c r="D4453" t="inlineStr">
        <is>
          <t>VÄSTMANLANDS LÄN</t>
        </is>
      </c>
      <c r="E4453" t="inlineStr">
        <is>
          <t>VÄSTERÅS</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35370-2024</t>
        </is>
      </c>
      <c r="B4454" s="1" t="n">
        <v>45531</v>
      </c>
      <c r="C4454" s="1" t="n">
        <v>45811</v>
      </c>
      <c r="D4454" t="inlineStr">
        <is>
          <t>VÄSTMANLANDS LÄN</t>
        </is>
      </c>
      <c r="E4454" t="inlineStr">
        <is>
          <t>SKINNSKATTEBERG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35462-2024</t>
        </is>
      </c>
      <c r="B4455" s="1" t="n">
        <v>45531</v>
      </c>
      <c r="C4455" s="1" t="n">
        <v>45811</v>
      </c>
      <c r="D4455" t="inlineStr">
        <is>
          <t>VÄSTMANLANDS LÄN</t>
        </is>
      </c>
      <c r="E4455" t="inlineStr">
        <is>
          <t>SALA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35499-2024</t>
        </is>
      </c>
      <c r="B4456" s="1" t="n">
        <v>45531</v>
      </c>
      <c r="C4456" s="1" t="n">
        <v>45811</v>
      </c>
      <c r="D4456" t="inlineStr">
        <is>
          <t>VÄSTMANLANDS LÄN</t>
        </is>
      </c>
      <c r="E4456" t="inlineStr">
        <is>
          <t>SALA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35529-2024</t>
        </is>
      </c>
      <c r="B4457" s="1" t="n">
        <v>45531</v>
      </c>
      <c r="C4457" s="1" t="n">
        <v>45811</v>
      </c>
      <c r="D4457" t="inlineStr">
        <is>
          <t>VÄSTMANLANDS LÄN</t>
        </is>
      </c>
      <c r="E4457" t="inlineStr">
        <is>
          <t>SALA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35558-2024</t>
        </is>
      </c>
      <c r="B4458" s="1" t="n">
        <v>45531</v>
      </c>
      <c r="C4458" s="1" t="n">
        <v>45811</v>
      </c>
      <c r="D4458" t="inlineStr">
        <is>
          <t>VÄSTMANLANDS LÄN</t>
        </is>
      </c>
      <c r="E4458" t="inlineStr">
        <is>
          <t>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35519-2024</t>
        </is>
      </c>
      <c r="B4459" s="1" t="n">
        <v>45531</v>
      </c>
      <c r="C4459" s="1" t="n">
        <v>45811</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35528-2024</t>
        </is>
      </c>
      <c r="B4460" s="1" t="n">
        <v>45531</v>
      </c>
      <c r="C4460" s="1" t="n">
        <v>45811</v>
      </c>
      <c r="D4460" t="inlineStr">
        <is>
          <t>VÄSTMANLANDS LÄN</t>
        </is>
      </c>
      <c r="E4460" t="inlineStr">
        <is>
          <t>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35573-2024</t>
        </is>
      </c>
      <c r="B4461" s="1" t="n">
        <v>45531</v>
      </c>
      <c r="C4461" s="1" t="n">
        <v>45811</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35698-2024</t>
        </is>
      </c>
      <c r="B4462" s="1" t="n">
        <v>45532</v>
      </c>
      <c r="C4462" s="1" t="n">
        <v>45811</v>
      </c>
      <c r="D4462" t="inlineStr">
        <is>
          <t>VÄSTMANLANDS LÄN</t>
        </is>
      </c>
      <c r="E4462" t="inlineStr">
        <is>
          <t>VÄSTERÅS</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35706-2024</t>
        </is>
      </c>
      <c r="B4463" s="1" t="n">
        <v>45532</v>
      </c>
      <c r="C4463" s="1" t="n">
        <v>45811</v>
      </c>
      <c r="D4463" t="inlineStr">
        <is>
          <t>VÄSTMANLANDS LÄN</t>
        </is>
      </c>
      <c r="E4463" t="inlineStr">
        <is>
          <t>SKINNSKATTEBERG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35683-2024</t>
        </is>
      </c>
      <c r="B4464" s="1" t="n">
        <v>45532</v>
      </c>
      <c r="C4464" s="1" t="n">
        <v>45811</v>
      </c>
      <c r="D4464" t="inlineStr">
        <is>
          <t>VÄSTMANLANDS LÄN</t>
        </is>
      </c>
      <c r="E4464" t="inlineStr">
        <is>
          <t>SKINNSKATTEBERG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35709-2024</t>
        </is>
      </c>
      <c r="B4465" s="1" t="n">
        <v>45532</v>
      </c>
      <c r="C4465" s="1" t="n">
        <v>45811</v>
      </c>
      <c r="D4465" t="inlineStr">
        <is>
          <t>VÄSTMANLANDS LÄN</t>
        </is>
      </c>
      <c r="E4465" t="inlineStr">
        <is>
          <t>SKINNSKATTEBERG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35831-2024</t>
        </is>
      </c>
      <c r="B4466" s="1" t="n">
        <v>45532</v>
      </c>
      <c r="C4466" s="1" t="n">
        <v>45811</v>
      </c>
      <c r="D4466" t="inlineStr">
        <is>
          <t>VÄSTMANLANDS LÄN</t>
        </is>
      </c>
      <c r="E4466" t="inlineStr">
        <is>
          <t>SKINNSKATTEBERG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35834-2024</t>
        </is>
      </c>
      <c r="B4467" s="1" t="n">
        <v>45532</v>
      </c>
      <c r="C4467" s="1" t="n">
        <v>45811</v>
      </c>
      <c r="D4467" t="inlineStr">
        <is>
          <t>VÄSTMANLANDS LÄN</t>
        </is>
      </c>
      <c r="E4467" t="inlineStr">
        <is>
          <t>SKINNSKATTEBERG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35684-2024</t>
        </is>
      </c>
      <c r="B4468" s="1" t="n">
        <v>45532</v>
      </c>
      <c r="C4468" s="1" t="n">
        <v>45811</v>
      </c>
      <c r="D4468" t="inlineStr">
        <is>
          <t>VÄSTMANLANDS LÄN</t>
        </is>
      </c>
      <c r="E4468" t="inlineStr">
        <is>
          <t>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35700-2024</t>
        </is>
      </c>
      <c r="B4469" s="1" t="n">
        <v>45532</v>
      </c>
      <c r="C4469" s="1" t="n">
        <v>45811</v>
      </c>
      <c r="D4469" t="inlineStr">
        <is>
          <t>VÄSTMANLANDS LÄN</t>
        </is>
      </c>
      <c r="E4469" t="inlineStr">
        <is>
          <t>VÄSTERÅS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35716-2024</t>
        </is>
      </c>
      <c r="B4470" s="1" t="n">
        <v>45532</v>
      </c>
      <c r="C4470" s="1" t="n">
        <v>45811</v>
      </c>
      <c r="D4470" t="inlineStr">
        <is>
          <t>VÄSTMANLANDS LÄN</t>
        </is>
      </c>
      <c r="E4470" t="inlineStr">
        <is>
          <t>KUNGSÖR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35736-2024</t>
        </is>
      </c>
      <c r="B4471" s="1" t="n">
        <v>45532</v>
      </c>
      <c r="C4471" s="1" t="n">
        <v>45811</v>
      </c>
      <c r="D4471" t="inlineStr">
        <is>
          <t>VÄSTMANLANDS LÄN</t>
        </is>
      </c>
      <c r="E4471" t="inlineStr">
        <is>
          <t>FAGERSTA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36075-2024</t>
        </is>
      </c>
      <c r="B4472" s="1" t="n">
        <v>45533</v>
      </c>
      <c r="C4472" s="1" t="n">
        <v>45811</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35976-2024</t>
        </is>
      </c>
      <c r="B4473" s="1" t="n">
        <v>45533</v>
      </c>
      <c r="C4473" s="1" t="n">
        <v>45811</v>
      </c>
      <c r="D4473" t="inlineStr">
        <is>
          <t>VÄSTMANLANDS LÄN</t>
        </is>
      </c>
      <c r="E4473" t="inlineStr">
        <is>
          <t>SALA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36073-2024</t>
        </is>
      </c>
      <c r="B4474" s="1" t="n">
        <v>45533</v>
      </c>
      <c r="C4474" s="1" t="n">
        <v>45811</v>
      </c>
      <c r="D4474" t="inlineStr">
        <is>
          <t>VÄSTMANLANDS LÄN</t>
        </is>
      </c>
      <c r="E4474" t="inlineStr">
        <is>
          <t>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36087-2024</t>
        </is>
      </c>
      <c r="B4475" s="1" t="n">
        <v>45533</v>
      </c>
      <c r="C4475" s="1" t="n">
        <v>45811</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36187-2024</t>
        </is>
      </c>
      <c r="B4476" s="1" t="n">
        <v>45534</v>
      </c>
      <c r="C4476" s="1" t="n">
        <v>45811</v>
      </c>
      <c r="D4476" t="inlineStr">
        <is>
          <t>VÄSTMANLANDS LÄN</t>
        </is>
      </c>
      <c r="E4476" t="inlineStr">
        <is>
          <t>ARBOGA</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36248-2024</t>
        </is>
      </c>
      <c r="B4477" s="1" t="n">
        <v>45534</v>
      </c>
      <c r="C4477" s="1" t="n">
        <v>45811</v>
      </c>
      <c r="D4477" t="inlineStr">
        <is>
          <t>VÄSTMANLANDS LÄN</t>
        </is>
      </c>
      <c r="E4477" t="inlineStr">
        <is>
          <t>SKINNSKATTEBERG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36264-2024</t>
        </is>
      </c>
      <c r="B4478" s="1" t="n">
        <v>45534</v>
      </c>
      <c r="C4478" s="1" t="n">
        <v>45811</v>
      </c>
      <c r="D4478" t="inlineStr">
        <is>
          <t>VÄSTMANLANDS LÄN</t>
        </is>
      </c>
      <c r="E4478" t="inlineStr">
        <is>
          <t>NORBERG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36443-2024</t>
        </is>
      </c>
      <c r="B4479" s="1" t="n">
        <v>45537</v>
      </c>
      <c r="C4479" s="1" t="n">
        <v>45811</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36642-2024</t>
        </is>
      </c>
      <c r="B4480" s="1" t="n">
        <v>45537</v>
      </c>
      <c r="C4480" s="1" t="n">
        <v>45811</v>
      </c>
      <c r="D4480" t="inlineStr">
        <is>
          <t>VÄSTMANLANDS LÄN</t>
        </is>
      </c>
      <c r="E4480" t="inlineStr">
        <is>
          <t>SKINNSKATTEBERG</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36476-2024</t>
        </is>
      </c>
      <c r="B4481" s="1" t="n">
        <v>45537</v>
      </c>
      <c r="C4481" s="1" t="n">
        <v>45811</v>
      </c>
      <c r="D4481" t="inlineStr">
        <is>
          <t>VÄSTMANLANDS LÄN</t>
        </is>
      </c>
      <c r="E4481" t="inlineStr">
        <is>
          <t>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36597-2024</t>
        </is>
      </c>
      <c r="B4482" s="1" t="n">
        <v>45537</v>
      </c>
      <c r="C4482" s="1" t="n">
        <v>45811</v>
      </c>
      <c r="D4482" t="inlineStr">
        <is>
          <t>VÄSTMANLANDS LÄN</t>
        </is>
      </c>
      <c r="E4482" t="inlineStr">
        <is>
          <t>SKINNSKATTEBERG</t>
        </is>
      </c>
      <c r="F4482" t="inlineStr">
        <is>
          <t>Sveaskog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36559-2024</t>
        </is>
      </c>
      <c r="B4483" s="1" t="n">
        <v>45537</v>
      </c>
      <c r="C4483" s="1" t="n">
        <v>45811</v>
      </c>
      <c r="D4483" t="inlineStr">
        <is>
          <t>VÄSTMANLANDS LÄN</t>
        </is>
      </c>
      <c r="E4483" t="inlineStr">
        <is>
          <t>VÄSTERÅS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36651-2024</t>
        </is>
      </c>
      <c r="B4484" s="1" t="n">
        <v>45537</v>
      </c>
      <c r="C4484" s="1" t="n">
        <v>45811</v>
      </c>
      <c r="D4484" t="inlineStr">
        <is>
          <t>VÄSTMANLANDS LÄN</t>
        </is>
      </c>
      <c r="E4484" t="inlineStr">
        <is>
          <t>SKINNSKATTEBERG</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36692-2024</t>
        </is>
      </c>
      <c r="B4485" s="1" t="n">
        <v>45537</v>
      </c>
      <c r="C4485" s="1" t="n">
        <v>45811</v>
      </c>
      <c r="D4485" t="inlineStr">
        <is>
          <t>VÄSTMANLANDS LÄN</t>
        </is>
      </c>
      <c r="E4485" t="inlineStr">
        <is>
          <t>SKINNSKATTEBERG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36761-2024</t>
        </is>
      </c>
      <c r="B4486" s="1" t="n">
        <v>45538</v>
      </c>
      <c r="C4486" s="1" t="n">
        <v>45811</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37137-2024</t>
        </is>
      </c>
      <c r="B4487" s="1" t="n">
        <v>45539</v>
      </c>
      <c r="C4487" s="1" t="n">
        <v>45811</v>
      </c>
      <c r="D4487" t="inlineStr">
        <is>
          <t>VÄSTMANLANDS LÄN</t>
        </is>
      </c>
      <c r="E4487" t="inlineStr">
        <is>
          <t>SALA</t>
        </is>
      </c>
      <c r="F4487" t="inlineStr">
        <is>
          <t>Kommuner</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37183-2024</t>
        </is>
      </c>
      <c r="B4488" s="1" t="n">
        <v>45539</v>
      </c>
      <c r="C4488" s="1" t="n">
        <v>45811</v>
      </c>
      <c r="D4488" t="inlineStr">
        <is>
          <t>VÄSTMANLANDS LÄN</t>
        </is>
      </c>
      <c r="E4488" t="inlineStr">
        <is>
          <t>SALA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37185-2024</t>
        </is>
      </c>
      <c r="B4489" s="1" t="n">
        <v>45539</v>
      </c>
      <c r="C4489" s="1" t="n">
        <v>45811</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37224-2024</t>
        </is>
      </c>
      <c r="B4490" s="1" t="n">
        <v>45539</v>
      </c>
      <c r="C4490" s="1" t="n">
        <v>45811</v>
      </c>
      <c r="D4490" t="inlineStr">
        <is>
          <t>VÄSTMANLANDS LÄN</t>
        </is>
      </c>
      <c r="E4490" t="inlineStr">
        <is>
          <t>SALA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37190-2024</t>
        </is>
      </c>
      <c r="B4491" s="1" t="n">
        <v>45539</v>
      </c>
      <c r="C4491" s="1" t="n">
        <v>45811</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37251-2024</t>
        </is>
      </c>
      <c r="B4492" s="1" t="n">
        <v>45540</v>
      </c>
      <c r="C4492" s="1" t="n">
        <v>45811</v>
      </c>
      <c r="D4492" t="inlineStr">
        <is>
          <t>VÄSTMANLANDS LÄN</t>
        </is>
      </c>
      <c r="E4492" t="inlineStr">
        <is>
          <t>SALA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37332-2024</t>
        </is>
      </c>
      <c r="B4493" s="1" t="n">
        <v>45540</v>
      </c>
      <c r="C4493" s="1" t="n">
        <v>45811</v>
      </c>
      <c r="D4493" t="inlineStr">
        <is>
          <t>VÄSTMANLANDS LÄN</t>
        </is>
      </c>
      <c r="E4493" t="inlineStr">
        <is>
          <t>SALA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37337-2024</t>
        </is>
      </c>
      <c r="B4494" s="1" t="n">
        <v>45540</v>
      </c>
      <c r="C4494" s="1" t="n">
        <v>45811</v>
      </c>
      <c r="D4494" t="inlineStr">
        <is>
          <t>VÄSTMANLANDS LÄN</t>
        </is>
      </c>
      <c r="E4494" t="inlineStr">
        <is>
          <t>SALA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37418-2024</t>
        </is>
      </c>
      <c r="B4495" s="1" t="n">
        <v>45540</v>
      </c>
      <c r="C4495" s="1" t="n">
        <v>45811</v>
      </c>
      <c r="D4495" t="inlineStr">
        <is>
          <t>VÄSTMANLANDS LÄN</t>
        </is>
      </c>
      <c r="E4495" t="inlineStr">
        <is>
          <t>FAGERSTA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37433-2024</t>
        </is>
      </c>
      <c r="B4496" s="1" t="n">
        <v>45540</v>
      </c>
      <c r="C4496" s="1" t="n">
        <v>45811</v>
      </c>
      <c r="D4496" t="inlineStr">
        <is>
          <t>VÄSTMANLANDS LÄN</t>
        </is>
      </c>
      <c r="E4496" t="inlineStr">
        <is>
          <t>FAGERSTA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37602-2024</t>
        </is>
      </c>
      <c r="B4497" s="1" t="n">
        <v>45541</v>
      </c>
      <c r="C4497" s="1" t="n">
        <v>45811</v>
      </c>
      <c r="D4497" t="inlineStr">
        <is>
          <t>VÄSTMANLANDS LÄN</t>
        </is>
      </c>
      <c r="E4497" t="inlineStr">
        <is>
          <t>SALA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37638-2024</t>
        </is>
      </c>
      <c r="B4498" s="1" t="n">
        <v>45541</v>
      </c>
      <c r="C4498" s="1" t="n">
        <v>45811</v>
      </c>
      <c r="D4498" t="inlineStr">
        <is>
          <t>VÄSTMANLANDS LÄN</t>
        </is>
      </c>
      <c r="E4498" t="inlineStr">
        <is>
          <t>SKINNSKATTEBERG</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37587-2024</t>
        </is>
      </c>
      <c r="B4499" s="1" t="n">
        <v>45541</v>
      </c>
      <c r="C4499" s="1" t="n">
        <v>45811</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37612-2024</t>
        </is>
      </c>
      <c r="B4500" s="1" t="n">
        <v>45541</v>
      </c>
      <c r="C4500" s="1" t="n">
        <v>45811</v>
      </c>
      <c r="D4500" t="inlineStr">
        <is>
          <t>VÄSTMANLANDS LÄN</t>
        </is>
      </c>
      <c r="E4500" t="inlineStr">
        <is>
          <t>SALA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37624-2024</t>
        </is>
      </c>
      <c r="B4501" s="1" t="n">
        <v>45541</v>
      </c>
      <c r="C4501" s="1" t="n">
        <v>45811</v>
      </c>
      <c r="D4501" t="inlineStr">
        <is>
          <t>VÄSTMANLANDS LÄN</t>
        </is>
      </c>
      <c r="E4501" t="inlineStr">
        <is>
          <t>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37615-2024</t>
        </is>
      </c>
      <c r="B4502" s="1" t="n">
        <v>45541</v>
      </c>
      <c r="C4502" s="1" t="n">
        <v>45811</v>
      </c>
      <c r="D4502" t="inlineStr">
        <is>
          <t>VÄSTMANLANDS LÄN</t>
        </is>
      </c>
      <c r="E4502" t="inlineStr">
        <is>
          <t>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37732-2024</t>
        </is>
      </c>
      <c r="B4503" s="1" t="n">
        <v>45541</v>
      </c>
      <c r="C4503" s="1" t="n">
        <v>45811</v>
      </c>
      <c r="D4503" t="inlineStr">
        <is>
          <t>VÄSTMANLANDS LÄN</t>
        </is>
      </c>
      <c r="E4503" t="inlineStr">
        <is>
          <t>SKINNSKATTEBERG</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37735-2024</t>
        </is>
      </c>
      <c r="B4504" s="1" t="n">
        <v>45541</v>
      </c>
      <c r="C4504" s="1" t="n">
        <v>45811</v>
      </c>
      <c r="D4504" t="inlineStr">
        <is>
          <t>VÄSTMANLANDS LÄN</t>
        </is>
      </c>
      <c r="E4504" t="inlineStr">
        <is>
          <t>SKINNSKATTEBERG</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37730-2024</t>
        </is>
      </c>
      <c r="B4505" s="1" t="n">
        <v>45541</v>
      </c>
      <c r="C4505" s="1" t="n">
        <v>45811</v>
      </c>
      <c r="D4505" t="inlineStr">
        <is>
          <t>VÄSTMANLANDS LÄN</t>
        </is>
      </c>
      <c r="E4505" t="inlineStr">
        <is>
          <t>SKINNSKATTEBERG</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37769-2024</t>
        </is>
      </c>
      <c r="B4506" s="1" t="n">
        <v>45541</v>
      </c>
      <c r="C4506" s="1" t="n">
        <v>45811</v>
      </c>
      <c r="D4506" t="inlineStr">
        <is>
          <t>VÄSTMANLANDS LÄN</t>
        </is>
      </c>
      <c r="E4506" t="inlineStr">
        <is>
          <t>SKINNSKATTEBERG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37958-2024</t>
        </is>
      </c>
      <c r="B4507" s="1" t="n">
        <v>45544</v>
      </c>
      <c r="C4507" s="1" t="n">
        <v>45811</v>
      </c>
      <c r="D4507" t="inlineStr">
        <is>
          <t>VÄSTMANLANDS LÄN</t>
        </is>
      </c>
      <c r="E4507" t="inlineStr">
        <is>
          <t>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37998-2024</t>
        </is>
      </c>
      <c r="B4508" s="1" t="n">
        <v>45544</v>
      </c>
      <c r="C4508" s="1" t="n">
        <v>45811</v>
      </c>
      <c r="D4508" t="inlineStr">
        <is>
          <t>VÄSTMANLANDS LÄN</t>
        </is>
      </c>
      <c r="E4508" t="inlineStr">
        <is>
          <t>KÖPING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38109-2024</t>
        </is>
      </c>
      <c r="B4509" s="1" t="n">
        <v>45545</v>
      </c>
      <c r="C4509" s="1" t="n">
        <v>45811</v>
      </c>
      <c r="D4509" t="inlineStr">
        <is>
          <t>VÄSTMANLANDS LÄN</t>
        </is>
      </c>
      <c r="E4509" t="inlineStr">
        <is>
          <t>VÄSTERÅS</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38345-2024</t>
        </is>
      </c>
      <c r="B4510" s="1" t="n">
        <v>45545</v>
      </c>
      <c r="C4510" s="1" t="n">
        <v>45811</v>
      </c>
      <c r="D4510" t="inlineStr">
        <is>
          <t>VÄSTMANLANDS LÄN</t>
        </is>
      </c>
      <c r="E4510" t="inlineStr">
        <is>
          <t>VÄSTERÅS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38324-2024</t>
        </is>
      </c>
      <c r="B4511" s="1" t="n">
        <v>45545</v>
      </c>
      <c r="C4511" s="1" t="n">
        <v>45811</v>
      </c>
      <c r="D4511" t="inlineStr">
        <is>
          <t>VÄSTMANLANDS LÄN</t>
        </is>
      </c>
      <c r="E4511" t="inlineStr">
        <is>
          <t>NORBERG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38434-2024</t>
        </is>
      </c>
      <c r="B4512" s="1" t="n">
        <v>45546</v>
      </c>
      <c r="C4512" s="1" t="n">
        <v>45811</v>
      </c>
      <c r="D4512" t="inlineStr">
        <is>
          <t>VÄSTMANLANDS LÄN</t>
        </is>
      </c>
      <c r="E4512" t="inlineStr">
        <is>
          <t>SALA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38629-2024</t>
        </is>
      </c>
      <c r="B4513" s="1" t="n">
        <v>45546</v>
      </c>
      <c r="C4513" s="1" t="n">
        <v>45811</v>
      </c>
      <c r="D4513" t="inlineStr">
        <is>
          <t>VÄSTMANLANDS LÄN</t>
        </is>
      </c>
      <c r="E4513" t="inlineStr">
        <is>
          <t>KÖPING</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38667-2024</t>
        </is>
      </c>
      <c r="B4514" s="1" t="n">
        <v>45547</v>
      </c>
      <c r="C4514" s="1" t="n">
        <v>45811</v>
      </c>
      <c r="D4514" t="inlineStr">
        <is>
          <t>VÄSTMANLANDS LÄN</t>
        </is>
      </c>
      <c r="E4514" t="inlineStr">
        <is>
          <t>VÄSTERÅS</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38752-2024</t>
        </is>
      </c>
      <c r="B4515" s="1" t="n">
        <v>45547</v>
      </c>
      <c r="C4515" s="1" t="n">
        <v>45811</v>
      </c>
      <c r="D4515" t="inlineStr">
        <is>
          <t>VÄSTMANLANDS LÄN</t>
        </is>
      </c>
      <c r="E4515" t="inlineStr">
        <is>
          <t>VÄSTERÅS</t>
        </is>
      </c>
      <c r="F4515" t="inlineStr">
        <is>
          <t>Kyrkan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38785-2024</t>
        </is>
      </c>
      <c r="B4516" s="1" t="n">
        <v>45547</v>
      </c>
      <c r="C4516" s="1" t="n">
        <v>45811</v>
      </c>
      <c r="D4516" t="inlineStr">
        <is>
          <t>VÄSTMANLANDS LÄN</t>
        </is>
      </c>
      <c r="E4516" t="inlineStr">
        <is>
          <t>ARBOGA</t>
        </is>
      </c>
      <c r="F4516" t="inlineStr">
        <is>
          <t>Allmännings- och besparingsskogar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38784-2024</t>
        </is>
      </c>
      <c r="B4517" s="1" t="n">
        <v>45547</v>
      </c>
      <c r="C4517" s="1" t="n">
        <v>45811</v>
      </c>
      <c r="D4517" t="inlineStr">
        <is>
          <t>VÄSTMANLANDS LÄN</t>
        </is>
      </c>
      <c r="E4517" t="inlineStr">
        <is>
          <t>SKINNSKATTEBERG</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38788-2024</t>
        </is>
      </c>
      <c r="B4518" s="1" t="n">
        <v>45547</v>
      </c>
      <c r="C4518" s="1" t="n">
        <v>45811</v>
      </c>
      <c r="D4518" t="inlineStr">
        <is>
          <t>VÄSTMANLANDS LÄN</t>
        </is>
      </c>
      <c r="E4518" t="inlineStr">
        <is>
          <t>ARBOGA</t>
        </is>
      </c>
      <c r="F4518" t="inlineStr">
        <is>
          <t>Allmännings- och besparingsskogar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38782-2024</t>
        </is>
      </c>
      <c r="B4519" s="1" t="n">
        <v>45547</v>
      </c>
      <c r="C4519" s="1" t="n">
        <v>45811</v>
      </c>
      <c r="D4519" t="inlineStr">
        <is>
          <t>VÄSTMANLANDS LÄN</t>
        </is>
      </c>
      <c r="E4519" t="inlineStr">
        <is>
          <t>SKINNSKATTEBERG</t>
        </is>
      </c>
      <c r="F4519" t="inlineStr">
        <is>
          <t>Sveaskog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38665-2024</t>
        </is>
      </c>
      <c r="B4520" s="1" t="n">
        <v>45547</v>
      </c>
      <c r="C4520" s="1" t="n">
        <v>45811</v>
      </c>
      <c r="D4520" t="inlineStr">
        <is>
          <t>VÄSTMANLANDS LÄN</t>
        </is>
      </c>
      <c r="E4520" t="inlineStr">
        <is>
          <t>HALLSTAHAMMAR</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38775-2024</t>
        </is>
      </c>
      <c r="B4521" s="1" t="n">
        <v>45547</v>
      </c>
      <c r="C4521" s="1" t="n">
        <v>45811</v>
      </c>
      <c r="D4521" t="inlineStr">
        <is>
          <t>VÄSTMANLANDS LÄN</t>
        </is>
      </c>
      <c r="E4521" t="inlineStr">
        <is>
          <t>ARBOGA</t>
        </is>
      </c>
      <c r="F4521" t="inlineStr">
        <is>
          <t>Allmännings- och besparingsskogar</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38783-2024</t>
        </is>
      </c>
      <c r="B4522" s="1" t="n">
        <v>45547</v>
      </c>
      <c r="C4522" s="1" t="n">
        <v>45811</v>
      </c>
      <c r="D4522" t="inlineStr">
        <is>
          <t>VÄSTMANLANDS LÄN</t>
        </is>
      </c>
      <c r="E4522" t="inlineStr">
        <is>
          <t>SKINNSKATTEBERG</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38844-2024</t>
        </is>
      </c>
      <c r="B4523" s="1" t="n">
        <v>45547</v>
      </c>
      <c r="C4523" s="1" t="n">
        <v>45811</v>
      </c>
      <c r="D4523" t="inlineStr">
        <is>
          <t>VÄSTMANLANDS LÄN</t>
        </is>
      </c>
      <c r="E4523" t="inlineStr">
        <is>
          <t>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38857-2024</t>
        </is>
      </c>
      <c r="B4524" s="1" t="n">
        <v>45547</v>
      </c>
      <c r="C4524" s="1" t="n">
        <v>45811</v>
      </c>
      <c r="D4524" t="inlineStr">
        <is>
          <t>VÄSTMANLANDS LÄN</t>
        </is>
      </c>
      <c r="E4524" t="inlineStr">
        <is>
          <t>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39155-2024</t>
        </is>
      </c>
      <c r="B4525" s="1" t="n">
        <v>45548</v>
      </c>
      <c r="C4525" s="1" t="n">
        <v>45811</v>
      </c>
      <c r="D4525" t="inlineStr">
        <is>
          <t>VÄSTMANLANDS LÄN</t>
        </is>
      </c>
      <c r="E4525" t="inlineStr">
        <is>
          <t>FAGERSTA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39157-2024</t>
        </is>
      </c>
      <c r="B4526" s="1" t="n">
        <v>45548</v>
      </c>
      <c r="C4526" s="1" t="n">
        <v>45811</v>
      </c>
      <c r="D4526" t="inlineStr">
        <is>
          <t>VÄSTMANLANDS LÄN</t>
        </is>
      </c>
      <c r="E4526" t="inlineStr">
        <is>
          <t>FAGERSTA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39261-2024</t>
        </is>
      </c>
      <c r="B4527" s="1" t="n">
        <v>45551</v>
      </c>
      <c r="C4527" s="1" t="n">
        <v>45811</v>
      </c>
      <c r="D4527" t="inlineStr">
        <is>
          <t>VÄSTMANLANDS LÄN</t>
        </is>
      </c>
      <c r="E4527" t="inlineStr">
        <is>
          <t>NORBERG</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39290-2024</t>
        </is>
      </c>
      <c r="B4528" s="1" t="n">
        <v>45551</v>
      </c>
      <c r="C4528" s="1" t="n">
        <v>45811</v>
      </c>
      <c r="D4528" t="inlineStr">
        <is>
          <t>VÄSTMANLANDS LÄN</t>
        </is>
      </c>
      <c r="E4528" t="inlineStr">
        <is>
          <t>KÖPING</t>
        </is>
      </c>
      <c r="G4528" t="n">
        <v>3.6</v>
      </c>
      <c r="H4528" t="n">
        <v>0</v>
      </c>
      <c r="I4528" t="n">
        <v>0</v>
      </c>
      <c r="J4528" t="n">
        <v>0</v>
      </c>
      <c r="K4528" t="n">
        <v>0</v>
      </c>
      <c r="L4528" t="n">
        <v>0</v>
      </c>
      <c r="M4528" t="n">
        <v>0</v>
      </c>
      <c r="N4528" t="n">
        <v>0</v>
      </c>
      <c r="O4528" t="n">
        <v>0</v>
      </c>
      <c r="P4528" t="n">
        <v>0</v>
      </c>
      <c r="Q4528" t="n">
        <v>0</v>
      </c>
      <c r="R4528" s="2" t="inlineStr"/>
      <c r="U4528">
        <f>HYPERLINK("https://klasma.github.io/Logging_1983/knärot/A 39290-2024 karta knärot.png", "A 39290-2024")</f>
        <v/>
      </c>
      <c r="V4528">
        <f>HYPERLINK("https://klasma.github.io/Logging_1983/klagomål/A 39290-2024 FSC-klagomål.docx", "A 39290-2024")</f>
        <v/>
      </c>
      <c r="W4528">
        <f>HYPERLINK("https://klasma.github.io/Logging_1983/klagomålsmail/A 39290-2024 FSC-klagomål mail.docx", "A 39290-2024")</f>
        <v/>
      </c>
      <c r="X4528">
        <f>HYPERLINK("https://klasma.github.io/Logging_1983/tillsyn/A 39290-2024 tillsynsbegäran.docx", "A 39290-2024")</f>
        <v/>
      </c>
      <c r="Y4528">
        <f>HYPERLINK("https://klasma.github.io/Logging_1983/tillsynsmail/A 39290-2024 tillsynsbegäran mail.docx", "A 39290-2024")</f>
        <v/>
      </c>
    </row>
    <row r="4529" ht="15" customHeight="1">
      <c r="A4529" t="inlineStr">
        <is>
          <t>A 39255-2024</t>
        </is>
      </c>
      <c r="B4529" s="1" t="n">
        <v>45551</v>
      </c>
      <c r="C4529" s="1" t="n">
        <v>45811</v>
      </c>
      <c r="D4529" t="inlineStr">
        <is>
          <t>VÄSTMANLANDS LÄN</t>
        </is>
      </c>
      <c r="E4529" t="inlineStr">
        <is>
          <t>NORBERG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39332-2024</t>
        </is>
      </c>
      <c r="B4530" s="1" t="n">
        <v>45551</v>
      </c>
      <c r="C4530" s="1" t="n">
        <v>45811</v>
      </c>
      <c r="D4530" t="inlineStr">
        <is>
          <t>VÄSTMANLANDS LÄN</t>
        </is>
      </c>
      <c r="E4530" t="inlineStr">
        <is>
          <t>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39364-2024</t>
        </is>
      </c>
      <c r="B4531" s="1" t="n">
        <v>45551</v>
      </c>
      <c r="C4531" s="1" t="n">
        <v>45811</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39358-2024</t>
        </is>
      </c>
      <c r="B4532" s="1" t="n">
        <v>45551</v>
      </c>
      <c r="C4532" s="1" t="n">
        <v>45811</v>
      </c>
      <c r="D4532" t="inlineStr">
        <is>
          <t>VÄSTMANLANDS LÄN</t>
        </is>
      </c>
      <c r="E4532" t="inlineStr">
        <is>
          <t>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39414-2024</t>
        </is>
      </c>
      <c r="B4533" s="1" t="n">
        <v>45551</v>
      </c>
      <c r="C4533" s="1" t="n">
        <v>45811</v>
      </c>
      <c r="D4533" t="inlineStr">
        <is>
          <t>VÄSTMANLANDS LÄN</t>
        </is>
      </c>
      <c r="E4533" t="inlineStr">
        <is>
          <t>SKINNSKATTEBERG</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39673-2024</t>
        </is>
      </c>
      <c r="B4534" s="1" t="n">
        <v>45552</v>
      </c>
      <c r="C4534" s="1" t="n">
        <v>45811</v>
      </c>
      <c r="D4534" t="inlineStr">
        <is>
          <t>VÄSTMANLANDS LÄN</t>
        </is>
      </c>
      <c r="E4534" t="inlineStr">
        <is>
          <t>SKINNSKATTEBERG</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39835-2024</t>
        </is>
      </c>
      <c r="B4535" s="1" t="n">
        <v>45553</v>
      </c>
      <c r="C4535" s="1" t="n">
        <v>45811</v>
      </c>
      <c r="D4535" t="inlineStr">
        <is>
          <t>VÄSTMANLANDS LÄN</t>
        </is>
      </c>
      <c r="E4535" t="inlineStr">
        <is>
          <t>NORBERG</t>
        </is>
      </c>
      <c r="F4535" t="inlineStr">
        <is>
          <t>Bergvik skog väst AB</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39837-2024</t>
        </is>
      </c>
      <c r="B4536" s="1" t="n">
        <v>45553</v>
      </c>
      <c r="C4536" s="1" t="n">
        <v>45811</v>
      </c>
      <c r="D4536" t="inlineStr">
        <is>
          <t>VÄSTMANLANDS LÄN</t>
        </is>
      </c>
      <c r="E4536" t="inlineStr">
        <is>
          <t>NORBERG</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39810-2024</t>
        </is>
      </c>
      <c r="B4537" s="1" t="n">
        <v>45553</v>
      </c>
      <c r="C4537" s="1" t="n">
        <v>45811</v>
      </c>
      <c r="D4537" t="inlineStr">
        <is>
          <t>VÄSTMANLANDS LÄN</t>
        </is>
      </c>
      <c r="E4537" t="inlineStr">
        <is>
          <t>VÄSTERÅS</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39868-2024</t>
        </is>
      </c>
      <c r="B4538" s="1" t="n">
        <v>45553</v>
      </c>
      <c r="C4538" s="1" t="n">
        <v>45811</v>
      </c>
      <c r="D4538" t="inlineStr">
        <is>
          <t>VÄSTMANLANDS LÄN</t>
        </is>
      </c>
      <c r="E4538" t="inlineStr">
        <is>
          <t>SKINNSKATTEBERG</t>
        </is>
      </c>
      <c r="F4538" t="inlineStr">
        <is>
          <t>Kyrkan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39836-2024</t>
        </is>
      </c>
      <c r="B4539" s="1" t="n">
        <v>45553</v>
      </c>
      <c r="C4539" s="1" t="n">
        <v>45811</v>
      </c>
      <c r="D4539" t="inlineStr">
        <is>
          <t>VÄSTMANLANDS LÄN</t>
        </is>
      </c>
      <c r="E4539" t="inlineStr">
        <is>
          <t>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39817-2024</t>
        </is>
      </c>
      <c r="B4540" s="1" t="n">
        <v>45553</v>
      </c>
      <c r="C4540" s="1" t="n">
        <v>45811</v>
      </c>
      <c r="D4540" t="inlineStr">
        <is>
          <t>VÄSTMANLANDS LÄN</t>
        </is>
      </c>
      <c r="E4540" t="inlineStr">
        <is>
          <t>VÄSTERÅS</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39855-2024</t>
        </is>
      </c>
      <c r="B4541" s="1" t="n">
        <v>45553</v>
      </c>
      <c r="C4541" s="1" t="n">
        <v>45811</v>
      </c>
      <c r="D4541" t="inlineStr">
        <is>
          <t>VÄSTMANLANDS LÄN</t>
        </is>
      </c>
      <c r="E4541" t="inlineStr">
        <is>
          <t>FAGERSTA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40029-2024</t>
        </is>
      </c>
      <c r="B4542" s="1" t="n">
        <v>45553</v>
      </c>
      <c r="C4542" s="1" t="n">
        <v>45811</v>
      </c>
      <c r="D4542" t="inlineStr">
        <is>
          <t>VÄSTMANLANDS LÄN</t>
        </is>
      </c>
      <c r="E4542" t="inlineStr">
        <is>
          <t>KÖPING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40176-2024</t>
        </is>
      </c>
      <c r="B4543" s="1" t="n">
        <v>45554</v>
      </c>
      <c r="C4543" s="1" t="n">
        <v>45811</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40233-2024</t>
        </is>
      </c>
      <c r="B4544" s="1" t="n">
        <v>45554</v>
      </c>
      <c r="C4544" s="1" t="n">
        <v>45811</v>
      </c>
      <c r="D4544" t="inlineStr">
        <is>
          <t>VÄSTMANLANDS LÄN</t>
        </is>
      </c>
      <c r="E4544" t="inlineStr">
        <is>
          <t>SKINNSKATTEBERG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40158-2024</t>
        </is>
      </c>
      <c r="B4545" s="1" t="n">
        <v>45554</v>
      </c>
      <c r="C4545" s="1" t="n">
        <v>45811</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40174-2024</t>
        </is>
      </c>
      <c r="B4546" s="1" t="n">
        <v>45554</v>
      </c>
      <c r="C4546" s="1" t="n">
        <v>45811</v>
      </c>
      <c r="D4546" t="inlineStr">
        <is>
          <t>VÄSTMANLANDS LÄN</t>
        </is>
      </c>
      <c r="E4546" t="inlineStr">
        <is>
          <t>SKINNSKATTEBERG</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40182-2024</t>
        </is>
      </c>
      <c r="B4547" s="1" t="n">
        <v>45554</v>
      </c>
      <c r="C4547" s="1" t="n">
        <v>45811</v>
      </c>
      <c r="D4547" t="inlineStr">
        <is>
          <t>VÄSTMANLANDS LÄN</t>
        </is>
      </c>
      <c r="E4547" t="inlineStr">
        <is>
          <t>SKINNSKATTEBERG</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40272-2024</t>
        </is>
      </c>
      <c r="B4548" s="1" t="n">
        <v>45554</v>
      </c>
      <c r="C4548" s="1" t="n">
        <v>45811</v>
      </c>
      <c r="D4548" t="inlineStr">
        <is>
          <t>VÄSTMANLANDS LÄN</t>
        </is>
      </c>
      <c r="E4548" t="inlineStr">
        <is>
          <t>SALA</t>
        </is>
      </c>
      <c r="F4548" t="inlineStr">
        <is>
          <t>Kommuner</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40085-2024</t>
        </is>
      </c>
      <c r="B4549" s="1" t="n">
        <v>45554</v>
      </c>
      <c r="C4549" s="1" t="n">
        <v>45811</v>
      </c>
      <c r="D4549" t="inlineStr">
        <is>
          <t>VÄSTMANLANDS LÄN</t>
        </is>
      </c>
      <c r="E4549" t="inlineStr">
        <is>
          <t>SALA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40165-2024</t>
        </is>
      </c>
      <c r="B4550" s="1" t="n">
        <v>45554</v>
      </c>
      <c r="C4550" s="1" t="n">
        <v>45811</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40169-2024</t>
        </is>
      </c>
      <c r="B4551" s="1" t="n">
        <v>45554</v>
      </c>
      <c r="C4551" s="1" t="n">
        <v>45811</v>
      </c>
      <c r="D4551" t="inlineStr">
        <is>
          <t>VÄSTMANLANDS LÄN</t>
        </is>
      </c>
      <c r="E4551" t="inlineStr">
        <is>
          <t>SKINNSKATTEBERG</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40181-2024</t>
        </is>
      </c>
      <c r="B4552" s="1" t="n">
        <v>45554</v>
      </c>
      <c r="C4552" s="1" t="n">
        <v>45811</v>
      </c>
      <c r="D4552" t="inlineStr">
        <is>
          <t>VÄSTMANLANDS LÄN</t>
        </is>
      </c>
      <c r="E4552" t="inlineStr">
        <is>
          <t>SKINNSKATTEBERG</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40079-2024</t>
        </is>
      </c>
      <c r="B4553" s="1" t="n">
        <v>45554</v>
      </c>
      <c r="C4553" s="1" t="n">
        <v>45811</v>
      </c>
      <c r="D4553" t="inlineStr">
        <is>
          <t>VÄSTMANLANDS LÄN</t>
        </is>
      </c>
      <c r="E4553" t="inlineStr">
        <is>
          <t>SKINNSKATTEBERG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40167-2024</t>
        </is>
      </c>
      <c r="B4554" s="1" t="n">
        <v>45554</v>
      </c>
      <c r="C4554" s="1" t="n">
        <v>45811</v>
      </c>
      <c r="D4554" t="inlineStr">
        <is>
          <t>VÄSTMANLANDS LÄN</t>
        </is>
      </c>
      <c r="E4554" t="inlineStr">
        <is>
          <t>SKINNSKATTEBERG</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40171-2024</t>
        </is>
      </c>
      <c r="B4555" s="1" t="n">
        <v>45554</v>
      </c>
      <c r="C4555" s="1" t="n">
        <v>45811</v>
      </c>
      <c r="D4555" t="inlineStr">
        <is>
          <t>VÄSTMANLANDS LÄN</t>
        </is>
      </c>
      <c r="E4555" t="inlineStr">
        <is>
          <t>SKINNSKATTEBERG</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40179-2024</t>
        </is>
      </c>
      <c r="B4556" s="1" t="n">
        <v>45554</v>
      </c>
      <c r="C4556" s="1" t="n">
        <v>45811</v>
      </c>
      <c r="D4556" t="inlineStr">
        <is>
          <t>VÄSTMANLANDS LÄN</t>
        </is>
      </c>
      <c r="E4556" t="inlineStr">
        <is>
          <t>SKINNSKATTEBERG</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40228-2024</t>
        </is>
      </c>
      <c r="B4557" s="1" t="n">
        <v>45554</v>
      </c>
      <c r="C4557" s="1" t="n">
        <v>45811</v>
      </c>
      <c r="D4557" t="inlineStr">
        <is>
          <t>VÄSTMANLANDS LÄN</t>
        </is>
      </c>
      <c r="E4557" t="inlineStr">
        <is>
          <t>NORBERG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40232-2024</t>
        </is>
      </c>
      <c r="B4558" s="1" t="n">
        <v>45554</v>
      </c>
      <c r="C4558" s="1" t="n">
        <v>45811</v>
      </c>
      <c r="D4558" t="inlineStr">
        <is>
          <t>VÄSTMANLANDS LÄN</t>
        </is>
      </c>
      <c r="E4558" t="inlineStr">
        <is>
          <t>NORBERG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40549-2024</t>
        </is>
      </c>
      <c r="B4559" s="1" t="n">
        <v>45555</v>
      </c>
      <c r="C4559" s="1" t="n">
        <v>45811</v>
      </c>
      <c r="D4559" t="inlineStr">
        <is>
          <t>VÄSTMANLANDS LÄN</t>
        </is>
      </c>
      <c r="E4559" t="inlineStr">
        <is>
          <t>SKINNSKATTEBERG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40561-2024</t>
        </is>
      </c>
      <c r="B4560" s="1" t="n">
        <v>45555</v>
      </c>
      <c r="C4560" s="1" t="n">
        <v>45811</v>
      </c>
      <c r="D4560" t="inlineStr">
        <is>
          <t>VÄSTMANLANDS LÄN</t>
        </is>
      </c>
      <c r="E4560" t="inlineStr">
        <is>
          <t>VÄSTERÅS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40554-2024</t>
        </is>
      </c>
      <c r="B4561" s="1" t="n">
        <v>45555</v>
      </c>
      <c r="C4561" s="1" t="n">
        <v>45811</v>
      </c>
      <c r="D4561" t="inlineStr">
        <is>
          <t>VÄSTMANLANDS LÄN</t>
        </is>
      </c>
      <c r="E4561" t="inlineStr">
        <is>
          <t>SKINNSKATTEBERG</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40551-2024</t>
        </is>
      </c>
      <c r="B4562" s="1" t="n">
        <v>45555</v>
      </c>
      <c r="C4562" s="1" t="n">
        <v>45811</v>
      </c>
      <c r="D4562" t="inlineStr">
        <is>
          <t>VÄSTMANLANDS LÄN</t>
        </is>
      </c>
      <c r="E4562" t="inlineStr">
        <is>
          <t>SKINNSKATTEBERG</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40606-2024</t>
        </is>
      </c>
      <c r="B4563" s="1" t="n">
        <v>45556</v>
      </c>
      <c r="C4563" s="1" t="n">
        <v>45811</v>
      </c>
      <c r="D4563" t="inlineStr">
        <is>
          <t>VÄSTMANLANDS LÄN</t>
        </is>
      </c>
      <c r="E4563" t="inlineStr">
        <is>
          <t>KUNGSÖR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40607-2024</t>
        </is>
      </c>
      <c r="B4564" s="1" t="n">
        <v>45556</v>
      </c>
      <c r="C4564" s="1" t="n">
        <v>45811</v>
      </c>
      <c r="D4564" t="inlineStr">
        <is>
          <t>VÄSTMANLANDS LÄN</t>
        </is>
      </c>
      <c r="E4564" t="inlineStr">
        <is>
          <t>KUNGSÖR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40605-2024</t>
        </is>
      </c>
      <c r="B4565" s="1" t="n">
        <v>45556</v>
      </c>
      <c r="C4565" s="1" t="n">
        <v>45811</v>
      </c>
      <c r="D4565" t="inlineStr">
        <is>
          <t>VÄSTMANLANDS LÄN</t>
        </is>
      </c>
      <c r="E4565" t="inlineStr">
        <is>
          <t>ARBOGA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40757-2024</t>
        </is>
      </c>
      <c r="B4566" s="1" t="n">
        <v>45558</v>
      </c>
      <c r="C4566" s="1" t="n">
        <v>45811</v>
      </c>
      <c r="D4566" t="inlineStr">
        <is>
          <t>VÄSTMANLANDS LÄN</t>
        </is>
      </c>
      <c r="E4566" t="inlineStr">
        <is>
          <t>SALA</t>
        </is>
      </c>
      <c r="F4566" t="inlineStr">
        <is>
          <t>Kommuner</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40823-2024</t>
        </is>
      </c>
      <c r="B4567" s="1" t="n">
        <v>45558</v>
      </c>
      <c r="C4567" s="1" t="n">
        <v>45811</v>
      </c>
      <c r="D4567" t="inlineStr">
        <is>
          <t>VÄSTMANLANDS LÄN</t>
        </is>
      </c>
      <c r="E4567" t="inlineStr">
        <is>
          <t>KÖPING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40997-2024</t>
        </is>
      </c>
      <c r="B4568" s="1" t="n">
        <v>45558</v>
      </c>
      <c r="C4568" s="1" t="n">
        <v>45811</v>
      </c>
      <c r="D4568" t="inlineStr">
        <is>
          <t>VÄSTMANLANDS LÄN</t>
        </is>
      </c>
      <c r="E4568" t="inlineStr">
        <is>
          <t>SKINNSKATTEBERG</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40990-2024</t>
        </is>
      </c>
      <c r="B4569" s="1" t="n">
        <v>45558</v>
      </c>
      <c r="C4569" s="1" t="n">
        <v>45811</v>
      </c>
      <c r="D4569" t="inlineStr">
        <is>
          <t>VÄSTMANLANDS LÄN</t>
        </is>
      </c>
      <c r="E4569" t="inlineStr">
        <is>
          <t>KÖPING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40998-2024</t>
        </is>
      </c>
      <c r="B4570" s="1" t="n">
        <v>45558</v>
      </c>
      <c r="C4570" s="1" t="n">
        <v>45811</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41139-2024</t>
        </is>
      </c>
      <c r="B4571" s="1" t="n">
        <v>45559</v>
      </c>
      <c r="C4571" s="1" t="n">
        <v>45811</v>
      </c>
      <c r="D4571" t="inlineStr">
        <is>
          <t>VÄSTMANLANDS LÄN</t>
        </is>
      </c>
      <c r="E4571" t="inlineStr">
        <is>
          <t>KÖPING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41247-2024</t>
        </is>
      </c>
      <c r="B4572" s="1" t="n">
        <v>45559</v>
      </c>
      <c r="C4572" s="1" t="n">
        <v>45811</v>
      </c>
      <c r="D4572" t="inlineStr">
        <is>
          <t>VÄSTMANLANDS LÄN</t>
        </is>
      </c>
      <c r="E4572" t="inlineStr">
        <is>
          <t>SALA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41490-2024</t>
        </is>
      </c>
      <c r="B4573" s="1" t="n">
        <v>45560</v>
      </c>
      <c r="C4573" s="1" t="n">
        <v>45811</v>
      </c>
      <c r="D4573" t="inlineStr">
        <is>
          <t>VÄSTMANLANDS LÄN</t>
        </is>
      </c>
      <c r="E4573" t="inlineStr">
        <is>
          <t>ARBOGA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41472-2024</t>
        </is>
      </c>
      <c r="B4574" s="1" t="n">
        <v>45560</v>
      </c>
      <c r="C4574" s="1" t="n">
        <v>45811</v>
      </c>
      <c r="D4574" t="inlineStr">
        <is>
          <t>VÄSTMANLANDS LÄN</t>
        </is>
      </c>
      <c r="E4574" t="inlineStr">
        <is>
          <t>KÖPING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41469-2024</t>
        </is>
      </c>
      <c r="B4575" s="1" t="n">
        <v>45560</v>
      </c>
      <c r="C4575" s="1" t="n">
        <v>45811</v>
      </c>
      <c r="D4575" t="inlineStr">
        <is>
          <t>VÄSTMANLANDS LÄN</t>
        </is>
      </c>
      <c r="E4575" t="inlineStr">
        <is>
          <t>VÄSTERÅS</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41448-2024</t>
        </is>
      </c>
      <c r="B4576" s="1" t="n">
        <v>45560</v>
      </c>
      <c r="C4576" s="1" t="n">
        <v>45811</v>
      </c>
      <c r="D4576" t="inlineStr">
        <is>
          <t>VÄSTMANLANDS LÄN</t>
        </is>
      </c>
      <c r="E4576" t="inlineStr">
        <is>
          <t>NORBERG</t>
        </is>
      </c>
      <c r="F4576" t="inlineStr">
        <is>
          <t>Bergvik skog väst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41444-2024</t>
        </is>
      </c>
      <c r="B4577" s="1" t="n">
        <v>45560</v>
      </c>
      <c r="C4577" s="1" t="n">
        <v>45811</v>
      </c>
      <c r="D4577" t="inlineStr">
        <is>
          <t>VÄSTMANLANDS LÄN</t>
        </is>
      </c>
      <c r="E4577" t="inlineStr">
        <is>
          <t>NORBERG</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41849-2024</t>
        </is>
      </c>
      <c r="B4578" s="1" t="n">
        <v>45561</v>
      </c>
      <c r="C4578" s="1" t="n">
        <v>45811</v>
      </c>
      <c r="D4578" t="inlineStr">
        <is>
          <t>VÄSTMANLANDS LÄN</t>
        </is>
      </c>
      <c r="E4578" t="inlineStr">
        <is>
          <t>VÄSTERÅS</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41748-2024</t>
        </is>
      </c>
      <c r="B4579" s="1" t="n">
        <v>45561</v>
      </c>
      <c r="C4579" s="1" t="n">
        <v>45811</v>
      </c>
      <c r="D4579" t="inlineStr">
        <is>
          <t>VÄSTMANLANDS LÄN</t>
        </is>
      </c>
      <c r="E4579" t="inlineStr">
        <is>
          <t>SALA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42406-2024</t>
        </is>
      </c>
      <c r="B4580" s="1" t="n">
        <v>45565</v>
      </c>
      <c r="C4580" s="1" t="n">
        <v>45811</v>
      </c>
      <c r="D4580" t="inlineStr">
        <is>
          <t>VÄSTMANLANDS LÄN</t>
        </is>
      </c>
      <c r="E4580" t="inlineStr">
        <is>
          <t>SURAHAMMAR</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42589-2024</t>
        </is>
      </c>
      <c r="B4581" s="1" t="n">
        <v>45565</v>
      </c>
      <c r="C4581" s="1" t="n">
        <v>45811</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42581-2024</t>
        </is>
      </c>
      <c r="B4582" s="1" t="n">
        <v>45565</v>
      </c>
      <c r="C4582" s="1" t="n">
        <v>45811</v>
      </c>
      <c r="D4582" t="inlineStr">
        <is>
          <t>VÄSTMANLANDS LÄN</t>
        </is>
      </c>
      <c r="E4582" t="inlineStr">
        <is>
          <t>SKINNSKATTEBERG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42683-2024</t>
        </is>
      </c>
      <c r="B4583" s="1" t="n">
        <v>45565</v>
      </c>
      <c r="C4583" s="1" t="n">
        <v>45811</v>
      </c>
      <c r="D4583" t="inlineStr">
        <is>
          <t>VÄSTMANLANDS LÄN</t>
        </is>
      </c>
      <c r="E4583" t="inlineStr">
        <is>
          <t>FAGERSTA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42617-2024</t>
        </is>
      </c>
      <c r="B4584" s="1" t="n">
        <v>45565</v>
      </c>
      <c r="C4584" s="1" t="n">
        <v>45811</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42498-2024</t>
        </is>
      </c>
      <c r="B4585" s="1" t="n">
        <v>45565</v>
      </c>
      <c r="C4585" s="1" t="n">
        <v>45811</v>
      </c>
      <c r="D4585" t="inlineStr">
        <is>
          <t>VÄSTMANLANDS LÄN</t>
        </is>
      </c>
      <c r="E4585" t="inlineStr">
        <is>
          <t>KUNGSÖR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42684-2024</t>
        </is>
      </c>
      <c r="B4586" s="1" t="n">
        <v>45565</v>
      </c>
      <c r="C4586" s="1" t="n">
        <v>45811</v>
      </c>
      <c r="D4586" t="inlineStr">
        <is>
          <t>VÄSTMANLANDS LÄN</t>
        </is>
      </c>
      <c r="E4586" t="inlineStr">
        <is>
          <t>SALA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42844-2024</t>
        </is>
      </c>
      <c r="B4587" s="1" t="n">
        <v>45566</v>
      </c>
      <c r="C4587" s="1" t="n">
        <v>45811</v>
      </c>
      <c r="D4587" t="inlineStr">
        <is>
          <t>VÄSTMANLANDS LÄN</t>
        </is>
      </c>
      <c r="E4587" t="inlineStr">
        <is>
          <t>FAGERSTA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42893-2024</t>
        </is>
      </c>
      <c r="B4588" s="1" t="n">
        <v>45566</v>
      </c>
      <c r="C4588" s="1" t="n">
        <v>45811</v>
      </c>
      <c r="D4588" t="inlineStr">
        <is>
          <t>VÄSTMANLANDS LÄN</t>
        </is>
      </c>
      <c r="E4588" t="inlineStr">
        <is>
          <t>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43103-2024</t>
        </is>
      </c>
      <c r="B4589" s="1" t="n">
        <v>45567</v>
      </c>
      <c r="C4589" s="1" t="n">
        <v>45811</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43071-2024</t>
        </is>
      </c>
      <c r="B4590" s="1" t="n">
        <v>45567</v>
      </c>
      <c r="C4590" s="1" t="n">
        <v>45811</v>
      </c>
      <c r="D4590" t="inlineStr">
        <is>
          <t>VÄSTMANLANDS LÄN</t>
        </is>
      </c>
      <c r="E4590" t="inlineStr">
        <is>
          <t>FAGERSTA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43073-2024</t>
        </is>
      </c>
      <c r="B4591" s="1" t="n">
        <v>45567</v>
      </c>
      <c r="C4591" s="1" t="n">
        <v>45811</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43196-2024</t>
        </is>
      </c>
      <c r="B4592" s="1" t="n">
        <v>45567</v>
      </c>
      <c r="C4592" s="1" t="n">
        <v>45811</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43108-2024</t>
        </is>
      </c>
      <c r="B4593" s="1" t="n">
        <v>45567</v>
      </c>
      <c r="C4593" s="1" t="n">
        <v>45811</v>
      </c>
      <c r="D4593" t="inlineStr">
        <is>
          <t>VÄSTMANLANDS LÄN</t>
        </is>
      </c>
      <c r="E4593" t="inlineStr">
        <is>
          <t>SALA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43455-2024</t>
        </is>
      </c>
      <c r="B4594" s="1" t="n">
        <v>45568</v>
      </c>
      <c r="C4594" s="1" t="n">
        <v>45811</v>
      </c>
      <c r="D4594" t="inlineStr">
        <is>
          <t>VÄSTMANLANDS LÄN</t>
        </is>
      </c>
      <c r="E4594" t="inlineStr">
        <is>
          <t>SURAHAMMAR</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43411-2024</t>
        </is>
      </c>
      <c r="B4595" s="1" t="n">
        <v>45568</v>
      </c>
      <c r="C4595" s="1" t="n">
        <v>45811</v>
      </c>
      <c r="D4595" t="inlineStr">
        <is>
          <t>VÄSTMANLANDS LÄN</t>
        </is>
      </c>
      <c r="E4595" t="inlineStr">
        <is>
          <t>SKINNSKATTEBERG</t>
        </is>
      </c>
      <c r="F4595" t="inlineStr">
        <is>
          <t>Sveaskog</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43461-2024</t>
        </is>
      </c>
      <c r="B4596" s="1" t="n">
        <v>45568</v>
      </c>
      <c r="C4596" s="1" t="n">
        <v>45811</v>
      </c>
      <c r="D4596" t="inlineStr">
        <is>
          <t>VÄSTMANLANDS LÄN</t>
        </is>
      </c>
      <c r="E4596" t="inlineStr">
        <is>
          <t>SURAHAMMAR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43359-2024</t>
        </is>
      </c>
      <c r="B4597" s="1" t="n">
        <v>45568</v>
      </c>
      <c r="C4597" s="1" t="n">
        <v>45811</v>
      </c>
      <c r="D4597" t="inlineStr">
        <is>
          <t>VÄSTMANLANDS LÄN</t>
        </is>
      </c>
      <c r="E4597" t="inlineStr">
        <is>
          <t>SALA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43367-2024</t>
        </is>
      </c>
      <c r="B4598" s="1" t="n">
        <v>45568</v>
      </c>
      <c r="C4598" s="1" t="n">
        <v>45811</v>
      </c>
      <c r="D4598" t="inlineStr">
        <is>
          <t>VÄSTMANLANDS LÄN</t>
        </is>
      </c>
      <c r="E4598" t="inlineStr">
        <is>
          <t>VÄSTERÅS</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43400-2024</t>
        </is>
      </c>
      <c r="B4599" s="1" t="n">
        <v>45568</v>
      </c>
      <c r="C4599" s="1" t="n">
        <v>45811</v>
      </c>
      <c r="D4599" t="inlineStr">
        <is>
          <t>VÄSTMANLANDS LÄN</t>
        </is>
      </c>
      <c r="E4599" t="inlineStr">
        <is>
          <t>SKINNSKATTEBERG</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43374-2024</t>
        </is>
      </c>
      <c r="B4600" s="1" t="n">
        <v>45568</v>
      </c>
      <c r="C4600" s="1" t="n">
        <v>45811</v>
      </c>
      <c r="D4600" t="inlineStr">
        <is>
          <t>VÄSTMANLANDS LÄN</t>
        </is>
      </c>
      <c r="E4600" t="inlineStr">
        <is>
          <t>VÄSTERÅS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43600-2024</t>
        </is>
      </c>
      <c r="B4601" s="1" t="n">
        <v>45569</v>
      </c>
      <c r="C4601" s="1" t="n">
        <v>45811</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43596-2024</t>
        </is>
      </c>
      <c r="B4602" s="1" t="n">
        <v>45569</v>
      </c>
      <c r="C4602" s="1" t="n">
        <v>45811</v>
      </c>
      <c r="D4602" t="inlineStr">
        <is>
          <t>VÄSTMANLANDS LÄN</t>
        </is>
      </c>
      <c r="E4602" t="inlineStr">
        <is>
          <t>SALA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43807-2024</t>
        </is>
      </c>
      <c r="B4603" s="1" t="n">
        <v>45571</v>
      </c>
      <c r="C4603" s="1" t="n">
        <v>45811</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43806-2024</t>
        </is>
      </c>
      <c r="B4604" s="1" t="n">
        <v>45571</v>
      </c>
      <c r="C4604" s="1" t="n">
        <v>45811</v>
      </c>
      <c r="D4604" t="inlineStr">
        <is>
          <t>VÄSTMANLANDS LÄN</t>
        </is>
      </c>
      <c r="E4604" t="inlineStr">
        <is>
          <t>SKINNSKATTEBERG</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43805-2024</t>
        </is>
      </c>
      <c r="B4605" s="1" t="n">
        <v>45571</v>
      </c>
      <c r="C4605" s="1" t="n">
        <v>45811</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43804-2024</t>
        </is>
      </c>
      <c r="B4606" s="1" t="n">
        <v>45571</v>
      </c>
      <c r="C4606" s="1" t="n">
        <v>45811</v>
      </c>
      <c r="D4606" t="inlineStr">
        <is>
          <t>VÄSTMANLANDS LÄN</t>
        </is>
      </c>
      <c r="E4606" t="inlineStr">
        <is>
          <t>SKINNSKATTEBERG</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44361-2024</t>
        </is>
      </c>
      <c r="B4607" s="1" t="n">
        <v>45573</v>
      </c>
      <c r="C4607" s="1" t="n">
        <v>45811</v>
      </c>
      <c r="D4607" t="inlineStr">
        <is>
          <t>VÄSTMANLANDS LÄN</t>
        </is>
      </c>
      <c r="E4607" t="inlineStr">
        <is>
          <t>KÖPING</t>
        </is>
      </c>
      <c r="F4607" t="inlineStr">
        <is>
          <t>Sveaskog</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44357-2024</t>
        </is>
      </c>
      <c r="B4608" s="1" t="n">
        <v>45573</v>
      </c>
      <c r="C4608" s="1" t="n">
        <v>45811</v>
      </c>
      <c r="D4608" t="inlineStr">
        <is>
          <t>VÄSTMANLANDS LÄN</t>
        </is>
      </c>
      <c r="E4608" t="inlineStr">
        <is>
          <t>SURAHAMMAR</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44358-2024</t>
        </is>
      </c>
      <c r="B4609" s="1" t="n">
        <v>45573</v>
      </c>
      <c r="C4609" s="1" t="n">
        <v>45811</v>
      </c>
      <c r="D4609" t="inlineStr">
        <is>
          <t>VÄSTMANLANDS LÄN</t>
        </is>
      </c>
      <c r="E4609" t="inlineStr">
        <is>
          <t>SURAHAMMAR</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44353-2024</t>
        </is>
      </c>
      <c r="B4610" s="1" t="n">
        <v>45573</v>
      </c>
      <c r="C4610" s="1" t="n">
        <v>45811</v>
      </c>
      <c r="D4610" t="inlineStr">
        <is>
          <t>VÄSTMANLANDS LÄN</t>
        </is>
      </c>
      <c r="E4610" t="inlineStr">
        <is>
          <t>SURAHAMMAR</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44420-2024</t>
        </is>
      </c>
      <c r="B4611" s="1" t="n">
        <v>45573</v>
      </c>
      <c r="C4611" s="1" t="n">
        <v>45811</v>
      </c>
      <c r="D4611" t="inlineStr">
        <is>
          <t>VÄSTMANLANDS LÄN</t>
        </is>
      </c>
      <c r="E4611" t="inlineStr">
        <is>
          <t>FAGERSTA</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44359-2024</t>
        </is>
      </c>
      <c r="B4612" s="1" t="n">
        <v>45573</v>
      </c>
      <c r="C4612" s="1" t="n">
        <v>45811</v>
      </c>
      <c r="D4612" t="inlineStr">
        <is>
          <t>VÄSTMANLANDS LÄN</t>
        </is>
      </c>
      <c r="E4612" t="inlineStr">
        <is>
          <t>SURAHAMMAR</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44689-2024</t>
        </is>
      </c>
      <c r="B4613" s="1" t="n">
        <v>45574</v>
      </c>
      <c r="C4613" s="1" t="n">
        <v>45811</v>
      </c>
      <c r="D4613" t="inlineStr">
        <is>
          <t>VÄSTMANLANDS LÄN</t>
        </is>
      </c>
      <c r="E4613" t="inlineStr">
        <is>
          <t>SKINNSKATTEBERG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44693-2024</t>
        </is>
      </c>
      <c r="B4614" s="1" t="n">
        <v>45574</v>
      </c>
      <c r="C4614" s="1" t="n">
        <v>45811</v>
      </c>
      <c r="D4614" t="inlineStr">
        <is>
          <t>VÄSTMANLANDS LÄN</t>
        </is>
      </c>
      <c r="E4614" t="inlineStr">
        <is>
          <t>SKINNSKATTEBERG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44694-2024</t>
        </is>
      </c>
      <c r="B4615" s="1" t="n">
        <v>45574</v>
      </c>
      <c r="C4615" s="1" t="n">
        <v>45811</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44698-2024</t>
        </is>
      </c>
      <c r="B4616" s="1" t="n">
        <v>45574</v>
      </c>
      <c r="C4616" s="1" t="n">
        <v>45811</v>
      </c>
      <c r="D4616" t="inlineStr">
        <is>
          <t>VÄSTMANLANDS LÄN</t>
        </is>
      </c>
      <c r="E4616" t="inlineStr">
        <is>
          <t>SKINNSKATTEBERG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44544-2024</t>
        </is>
      </c>
      <c r="B4617" s="1" t="n">
        <v>45574</v>
      </c>
      <c r="C4617" s="1" t="n">
        <v>45811</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44746-2024</t>
        </is>
      </c>
      <c r="B4618" s="1" t="n">
        <v>45574</v>
      </c>
      <c r="C4618" s="1" t="n">
        <v>45811</v>
      </c>
      <c r="D4618" t="inlineStr">
        <is>
          <t>VÄSTMANLANDS LÄN</t>
        </is>
      </c>
      <c r="E4618" t="inlineStr">
        <is>
          <t>SALA</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45185-2024</t>
        </is>
      </c>
      <c r="B4619" s="1" t="n">
        <v>45575</v>
      </c>
      <c r="C4619" s="1" t="n">
        <v>45811</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45187-2024</t>
        </is>
      </c>
      <c r="B4620" s="1" t="n">
        <v>45575</v>
      </c>
      <c r="C4620" s="1" t="n">
        <v>45811</v>
      </c>
      <c r="D4620" t="inlineStr">
        <is>
          <t>VÄSTMANLANDS LÄN</t>
        </is>
      </c>
      <c r="E4620" t="inlineStr">
        <is>
          <t>SALA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45214-2024</t>
        </is>
      </c>
      <c r="B4621" s="1" t="n">
        <v>45575</v>
      </c>
      <c r="C4621" s="1" t="n">
        <v>45811</v>
      </c>
      <c r="D4621" t="inlineStr">
        <is>
          <t>VÄSTMANLANDS LÄN</t>
        </is>
      </c>
      <c r="E4621" t="inlineStr">
        <is>
          <t>KÖPING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45048-2024</t>
        </is>
      </c>
      <c r="B4622" s="1" t="n">
        <v>45575</v>
      </c>
      <c r="C4622" s="1" t="n">
        <v>45811</v>
      </c>
      <c r="D4622" t="inlineStr">
        <is>
          <t>VÄSTMANLANDS LÄN</t>
        </is>
      </c>
      <c r="E4622" t="inlineStr">
        <is>
          <t>KÖPING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45290-2024</t>
        </is>
      </c>
      <c r="B4623" s="1" t="n">
        <v>45576</v>
      </c>
      <c r="C4623" s="1" t="n">
        <v>45811</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45430-2024</t>
        </is>
      </c>
      <c r="B4624" s="1" t="n">
        <v>45576</v>
      </c>
      <c r="C4624" s="1" t="n">
        <v>45811</v>
      </c>
      <c r="D4624" t="inlineStr">
        <is>
          <t>VÄSTMANLANDS LÄN</t>
        </is>
      </c>
      <c r="E4624" t="inlineStr">
        <is>
          <t>NORBERG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45313-2024</t>
        </is>
      </c>
      <c r="B4625" s="1" t="n">
        <v>45576</v>
      </c>
      <c r="C4625" s="1" t="n">
        <v>45811</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45289-2024</t>
        </is>
      </c>
      <c r="B4626" s="1" t="n">
        <v>45576</v>
      </c>
      <c r="C4626" s="1" t="n">
        <v>45811</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45737-2024</t>
        </is>
      </c>
      <c r="B4627" s="1" t="n">
        <v>45579</v>
      </c>
      <c r="C4627" s="1" t="n">
        <v>45811</v>
      </c>
      <c r="D4627" t="inlineStr">
        <is>
          <t>VÄSTMANLANDS LÄN</t>
        </is>
      </c>
      <c r="E4627" t="inlineStr">
        <is>
          <t>SALA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45664-2024</t>
        </is>
      </c>
      <c r="B4628" s="1" t="n">
        <v>45579</v>
      </c>
      <c r="C4628" s="1" t="n">
        <v>45811</v>
      </c>
      <c r="D4628" t="inlineStr">
        <is>
          <t>VÄSTMANLANDS LÄN</t>
        </is>
      </c>
      <c r="E4628" t="inlineStr">
        <is>
          <t>KÖPING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45621-2024</t>
        </is>
      </c>
      <c r="B4629" s="1" t="n">
        <v>45579</v>
      </c>
      <c r="C4629" s="1" t="n">
        <v>45811</v>
      </c>
      <c r="D4629" t="inlineStr">
        <is>
          <t>VÄSTMANLANDS LÄN</t>
        </is>
      </c>
      <c r="E4629" t="inlineStr">
        <is>
          <t>HALLSTAHAMMAR</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45804-2024</t>
        </is>
      </c>
      <c r="B4630" s="1" t="n">
        <v>45579</v>
      </c>
      <c r="C4630" s="1" t="n">
        <v>45811</v>
      </c>
      <c r="D4630" t="inlineStr">
        <is>
          <t>VÄSTMANLANDS LÄN</t>
        </is>
      </c>
      <c r="E4630" t="inlineStr">
        <is>
          <t>VÄSTERÅS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45738-2024</t>
        </is>
      </c>
      <c r="B4631" s="1" t="n">
        <v>45579</v>
      </c>
      <c r="C4631" s="1" t="n">
        <v>45811</v>
      </c>
      <c r="D4631" t="inlineStr">
        <is>
          <t>VÄSTMANLANDS LÄN</t>
        </is>
      </c>
      <c r="E4631" t="inlineStr">
        <is>
          <t>SALA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45765-2024</t>
        </is>
      </c>
      <c r="B4632" s="1" t="n">
        <v>45579</v>
      </c>
      <c r="C4632" s="1" t="n">
        <v>45811</v>
      </c>
      <c r="D4632" t="inlineStr">
        <is>
          <t>VÄSTMANLANDS LÄN</t>
        </is>
      </c>
      <c r="E4632" t="inlineStr">
        <is>
          <t>SALA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45761-2024</t>
        </is>
      </c>
      <c r="B4633" s="1" t="n">
        <v>45579</v>
      </c>
      <c r="C4633" s="1" t="n">
        <v>45811</v>
      </c>
      <c r="D4633" t="inlineStr">
        <is>
          <t>VÄSTMANLANDS LÄN</t>
        </is>
      </c>
      <c r="E4633" t="inlineStr">
        <is>
          <t>SALA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45684-2024</t>
        </is>
      </c>
      <c r="B4634" s="1" t="n">
        <v>45579</v>
      </c>
      <c r="C4634" s="1" t="n">
        <v>45811</v>
      </c>
      <c r="D4634" t="inlineStr">
        <is>
          <t>VÄSTMANLANDS LÄN</t>
        </is>
      </c>
      <c r="E4634" t="inlineStr">
        <is>
          <t>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45931-2024</t>
        </is>
      </c>
      <c r="B4635" s="1" t="n">
        <v>45580</v>
      </c>
      <c r="C4635" s="1" t="n">
        <v>45811</v>
      </c>
      <c r="D4635" t="inlineStr">
        <is>
          <t>VÄSTMANLANDS LÄN</t>
        </is>
      </c>
      <c r="E4635" t="inlineStr">
        <is>
          <t>SALA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46077-2024</t>
        </is>
      </c>
      <c r="B4636" s="1" t="n">
        <v>45581</v>
      </c>
      <c r="C4636" s="1" t="n">
        <v>45811</v>
      </c>
      <c r="D4636" t="inlineStr">
        <is>
          <t>VÄSTMANLANDS LÄN</t>
        </is>
      </c>
      <c r="E4636" t="inlineStr">
        <is>
          <t>NORBERG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46655-2024</t>
        </is>
      </c>
      <c r="B4637" s="1" t="n">
        <v>45583</v>
      </c>
      <c r="C4637" s="1" t="n">
        <v>45811</v>
      </c>
      <c r="D4637" t="inlineStr">
        <is>
          <t>VÄSTMANLANDS LÄN</t>
        </is>
      </c>
      <c r="E4637" t="inlineStr">
        <is>
          <t>KÖPING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46659-2024</t>
        </is>
      </c>
      <c r="B4638" s="1" t="n">
        <v>45583</v>
      </c>
      <c r="C4638" s="1" t="n">
        <v>45811</v>
      </c>
      <c r="D4638" t="inlineStr">
        <is>
          <t>VÄSTMANLANDS LÄN</t>
        </is>
      </c>
      <c r="E4638" t="inlineStr">
        <is>
          <t>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46688-2024</t>
        </is>
      </c>
      <c r="B4639" s="1" t="n">
        <v>45583</v>
      </c>
      <c r="C4639" s="1" t="n">
        <v>45811</v>
      </c>
      <c r="D4639" t="inlineStr">
        <is>
          <t>VÄSTMANLANDS LÄN</t>
        </is>
      </c>
      <c r="E4639" t="inlineStr">
        <is>
          <t>NORBERG</t>
        </is>
      </c>
      <c r="F4639" t="inlineStr">
        <is>
          <t>Sveaskog</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46874-2024</t>
        </is>
      </c>
      <c r="B4640" s="1" t="n">
        <v>45583</v>
      </c>
      <c r="C4640" s="1" t="n">
        <v>45811</v>
      </c>
      <c r="D4640" t="inlineStr">
        <is>
          <t>VÄSTMANLANDS LÄN</t>
        </is>
      </c>
      <c r="E4640" t="inlineStr">
        <is>
          <t>SKINNSKATTEBERG</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46870-2024</t>
        </is>
      </c>
      <c r="B4641" s="1" t="n">
        <v>45583</v>
      </c>
      <c r="C4641" s="1" t="n">
        <v>45811</v>
      </c>
      <c r="D4641" t="inlineStr">
        <is>
          <t>VÄSTMANLANDS LÄN</t>
        </is>
      </c>
      <c r="E4641" t="inlineStr">
        <is>
          <t>SKINNSKATTEBERG</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46683-2024</t>
        </is>
      </c>
      <c r="B4642" s="1" t="n">
        <v>45583</v>
      </c>
      <c r="C4642" s="1" t="n">
        <v>45811</v>
      </c>
      <c r="D4642" t="inlineStr">
        <is>
          <t>VÄSTMANLANDS LÄN</t>
        </is>
      </c>
      <c r="E4642" t="inlineStr">
        <is>
          <t>NORBERG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46665-2024</t>
        </is>
      </c>
      <c r="B4643" s="1" t="n">
        <v>45583</v>
      </c>
      <c r="C4643" s="1" t="n">
        <v>45811</v>
      </c>
      <c r="D4643" t="inlineStr">
        <is>
          <t>VÄSTMANLANDS LÄN</t>
        </is>
      </c>
      <c r="E4643" t="inlineStr">
        <is>
          <t>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46875-2024</t>
        </is>
      </c>
      <c r="B4644" s="1" t="n">
        <v>45583</v>
      </c>
      <c r="C4644" s="1" t="n">
        <v>45811</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46861-2024</t>
        </is>
      </c>
      <c r="B4645" s="1" t="n">
        <v>45583</v>
      </c>
      <c r="C4645" s="1" t="n">
        <v>45811</v>
      </c>
      <c r="D4645" t="inlineStr">
        <is>
          <t>VÄSTMANLANDS LÄN</t>
        </is>
      </c>
      <c r="E4645" t="inlineStr">
        <is>
          <t>SALA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46877-2024</t>
        </is>
      </c>
      <c r="B4646" s="1" t="n">
        <v>45583</v>
      </c>
      <c r="C4646" s="1" t="n">
        <v>45811</v>
      </c>
      <c r="D4646" t="inlineStr">
        <is>
          <t>VÄSTMANLANDS LÄN</t>
        </is>
      </c>
      <c r="E4646" t="inlineStr">
        <is>
          <t>SKINNSKATTEBERG</t>
        </is>
      </c>
      <c r="F4646" t="inlineStr">
        <is>
          <t>Sveaskog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46686-2024</t>
        </is>
      </c>
      <c r="B4647" s="1" t="n">
        <v>45583</v>
      </c>
      <c r="C4647" s="1" t="n">
        <v>45811</v>
      </c>
      <c r="D4647" t="inlineStr">
        <is>
          <t>VÄSTMANLANDS LÄN</t>
        </is>
      </c>
      <c r="E4647" t="inlineStr">
        <is>
          <t>NORBERG</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46682-2024</t>
        </is>
      </c>
      <c r="B4648" s="1" t="n">
        <v>45583</v>
      </c>
      <c r="C4648" s="1" t="n">
        <v>45811</v>
      </c>
      <c r="D4648" t="inlineStr">
        <is>
          <t>VÄSTMANLANDS LÄN</t>
        </is>
      </c>
      <c r="E4648" t="inlineStr">
        <is>
          <t>SALA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46650-2024</t>
        </is>
      </c>
      <c r="B4649" s="1" t="n">
        <v>45583</v>
      </c>
      <c r="C4649" s="1" t="n">
        <v>45811</v>
      </c>
      <c r="D4649" t="inlineStr">
        <is>
          <t>VÄSTMANLANDS LÄN</t>
        </is>
      </c>
      <c r="E4649" t="inlineStr">
        <is>
          <t>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47254-2024</t>
        </is>
      </c>
      <c r="B4650" s="1" t="n">
        <v>45586</v>
      </c>
      <c r="C4650" s="1" t="n">
        <v>45811</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47061-2024</t>
        </is>
      </c>
      <c r="B4651" s="1" t="n">
        <v>45586</v>
      </c>
      <c r="C4651" s="1" t="n">
        <v>45811</v>
      </c>
      <c r="D4651" t="inlineStr">
        <is>
          <t>VÄSTMANLANDS LÄN</t>
        </is>
      </c>
      <c r="E4651" t="inlineStr">
        <is>
          <t>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47142-2024</t>
        </is>
      </c>
      <c r="B4652" s="1" t="n">
        <v>45586</v>
      </c>
      <c r="C4652" s="1" t="n">
        <v>45811</v>
      </c>
      <c r="D4652" t="inlineStr">
        <is>
          <t>VÄSTMANLANDS LÄN</t>
        </is>
      </c>
      <c r="E4652" t="inlineStr">
        <is>
          <t>NORBERG</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47253-2024</t>
        </is>
      </c>
      <c r="B4653" s="1" t="n">
        <v>45586</v>
      </c>
      <c r="C4653" s="1" t="n">
        <v>45811</v>
      </c>
      <c r="D4653" t="inlineStr">
        <is>
          <t>VÄSTMANLANDS LÄN</t>
        </is>
      </c>
      <c r="E4653" t="inlineStr">
        <is>
          <t>SKINNSKATTEBERG</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47123-2024</t>
        </is>
      </c>
      <c r="B4654" s="1" t="n">
        <v>45586</v>
      </c>
      <c r="C4654" s="1" t="n">
        <v>45811</v>
      </c>
      <c r="D4654" t="inlineStr">
        <is>
          <t>VÄSTMANLANDS LÄN</t>
        </is>
      </c>
      <c r="E4654" t="inlineStr">
        <is>
          <t>KUNGSÖR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47029-2024</t>
        </is>
      </c>
      <c r="B4655" s="1" t="n">
        <v>45586</v>
      </c>
      <c r="C4655" s="1" t="n">
        <v>45811</v>
      </c>
      <c r="D4655" t="inlineStr">
        <is>
          <t>VÄSTMANLANDS LÄN</t>
        </is>
      </c>
      <c r="E4655" t="inlineStr">
        <is>
          <t>NORBERG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47038-2024</t>
        </is>
      </c>
      <c r="B4656" s="1" t="n">
        <v>45586</v>
      </c>
      <c r="C4656" s="1" t="n">
        <v>45811</v>
      </c>
      <c r="D4656" t="inlineStr">
        <is>
          <t>VÄSTMANLANDS LÄN</t>
        </is>
      </c>
      <c r="E4656" t="inlineStr">
        <is>
          <t>SALA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47133-2024</t>
        </is>
      </c>
      <c r="B4657" s="1" t="n">
        <v>45586</v>
      </c>
      <c r="C4657" s="1" t="n">
        <v>45811</v>
      </c>
      <c r="D4657" t="inlineStr">
        <is>
          <t>VÄSTMANLANDS LÄN</t>
        </is>
      </c>
      <c r="E4657" t="inlineStr">
        <is>
          <t>SKINNSKATTEBERG</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47137-2024</t>
        </is>
      </c>
      <c r="B4658" s="1" t="n">
        <v>45586</v>
      </c>
      <c r="C4658" s="1" t="n">
        <v>45811</v>
      </c>
      <c r="D4658" t="inlineStr">
        <is>
          <t>VÄSTMANLANDS LÄN</t>
        </is>
      </c>
      <c r="E4658" t="inlineStr">
        <is>
          <t>SKINNSKATTEBERG</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47141-2024</t>
        </is>
      </c>
      <c r="B4659" s="1" t="n">
        <v>45586</v>
      </c>
      <c r="C4659" s="1" t="n">
        <v>45811</v>
      </c>
      <c r="D4659" t="inlineStr">
        <is>
          <t>VÄSTMANLANDS LÄN</t>
        </is>
      </c>
      <c r="E4659" t="inlineStr">
        <is>
          <t>SKINNSKATTEBERG</t>
        </is>
      </c>
      <c r="F4659" t="inlineStr">
        <is>
          <t>Sveaskog</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47546-2024</t>
        </is>
      </c>
      <c r="B4660" s="1" t="n">
        <v>45587</v>
      </c>
      <c r="C4660" s="1" t="n">
        <v>45811</v>
      </c>
      <c r="D4660" t="inlineStr">
        <is>
          <t>VÄSTMANLANDS LÄN</t>
        </is>
      </c>
      <c r="E4660" t="inlineStr">
        <is>
          <t>KUNGSÖR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47479-2024</t>
        </is>
      </c>
      <c r="B4661" s="1" t="n">
        <v>45587</v>
      </c>
      <c r="C4661" s="1" t="n">
        <v>45811</v>
      </c>
      <c r="D4661" t="inlineStr">
        <is>
          <t>VÄSTMANLANDS LÄN</t>
        </is>
      </c>
      <c r="E4661" t="inlineStr">
        <is>
          <t>SALA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47474-2024</t>
        </is>
      </c>
      <c r="B4662" s="1" t="n">
        <v>45587</v>
      </c>
      <c r="C4662" s="1" t="n">
        <v>45811</v>
      </c>
      <c r="D4662" t="inlineStr">
        <is>
          <t>VÄSTMANLANDS LÄN</t>
        </is>
      </c>
      <c r="E4662" t="inlineStr">
        <is>
          <t>SALA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47294-2024</t>
        </is>
      </c>
      <c r="B4663" s="1" t="n">
        <v>45587</v>
      </c>
      <c r="C4663" s="1" t="n">
        <v>45811</v>
      </c>
      <c r="D4663" t="inlineStr">
        <is>
          <t>VÄSTMANLANDS LÄN</t>
        </is>
      </c>
      <c r="E4663" t="inlineStr">
        <is>
          <t>SALA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47468-2024</t>
        </is>
      </c>
      <c r="B4664" s="1" t="n">
        <v>45587</v>
      </c>
      <c r="C4664" s="1" t="n">
        <v>45811</v>
      </c>
      <c r="D4664" t="inlineStr">
        <is>
          <t>VÄSTMANLANDS LÄN</t>
        </is>
      </c>
      <c r="E4664" t="inlineStr">
        <is>
          <t>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47447-2024</t>
        </is>
      </c>
      <c r="B4665" s="1" t="n">
        <v>45587</v>
      </c>
      <c r="C4665" s="1" t="n">
        <v>45811</v>
      </c>
      <c r="D4665" t="inlineStr">
        <is>
          <t>VÄSTMANLANDS LÄN</t>
        </is>
      </c>
      <c r="E4665" t="inlineStr">
        <is>
          <t>SURAHAMMAR</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47351-2024</t>
        </is>
      </c>
      <c r="B4666" s="1" t="n">
        <v>45587</v>
      </c>
      <c r="C4666" s="1" t="n">
        <v>45811</v>
      </c>
      <c r="D4666" t="inlineStr">
        <is>
          <t>VÄSTMANLANDS LÄN</t>
        </is>
      </c>
      <c r="E4666" t="inlineStr">
        <is>
          <t>SALA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47562-2024</t>
        </is>
      </c>
      <c r="B4667" s="1" t="n">
        <v>45587</v>
      </c>
      <c r="C4667" s="1" t="n">
        <v>45811</v>
      </c>
      <c r="D4667" t="inlineStr">
        <is>
          <t>VÄSTMANLANDS LÄN</t>
        </is>
      </c>
      <c r="E4667" t="inlineStr">
        <is>
          <t>NORBERG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47753-2024</t>
        </is>
      </c>
      <c r="B4668" s="1" t="n">
        <v>45588</v>
      </c>
      <c r="C4668" s="1" t="n">
        <v>45811</v>
      </c>
      <c r="D4668" t="inlineStr">
        <is>
          <t>VÄSTMANLANDS LÄN</t>
        </is>
      </c>
      <c r="E4668" t="inlineStr">
        <is>
          <t>NORBERG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47648-2024</t>
        </is>
      </c>
      <c r="B4669" s="1" t="n">
        <v>45588</v>
      </c>
      <c r="C4669" s="1" t="n">
        <v>45811</v>
      </c>
      <c r="D4669" t="inlineStr">
        <is>
          <t>VÄSTMANLANDS LÄN</t>
        </is>
      </c>
      <c r="E4669" t="inlineStr">
        <is>
          <t>ARBOGA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47830-2024</t>
        </is>
      </c>
      <c r="B4670" s="1" t="n">
        <v>45588</v>
      </c>
      <c r="C4670" s="1" t="n">
        <v>45811</v>
      </c>
      <c r="D4670" t="inlineStr">
        <is>
          <t>VÄSTMANLANDS LÄN</t>
        </is>
      </c>
      <c r="E4670" t="inlineStr">
        <is>
          <t>SKINNSKATTEBERG</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47833-2024</t>
        </is>
      </c>
      <c r="B4671" s="1" t="n">
        <v>45588</v>
      </c>
      <c r="C4671" s="1" t="n">
        <v>45811</v>
      </c>
      <c r="D4671" t="inlineStr">
        <is>
          <t>VÄSTMANLANDS LÄN</t>
        </is>
      </c>
      <c r="E4671" t="inlineStr">
        <is>
          <t>SKINNSKATTEBERG</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47846-2024</t>
        </is>
      </c>
      <c r="B4672" s="1" t="n">
        <v>45588</v>
      </c>
      <c r="C4672" s="1" t="n">
        <v>45811</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47831-2024</t>
        </is>
      </c>
      <c r="B4673" s="1" t="n">
        <v>45588</v>
      </c>
      <c r="C4673" s="1" t="n">
        <v>45811</v>
      </c>
      <c r="D4673" t="inlineStr">
        <is>
          <t>VÄSTMANLANDS LÄN</t>
        </is>
      </c>
      <c r="E4673" t="inlineStr">
        <is>
          <t>SKINNSKATTEBERG</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48114-2024</t>
        </is>
      </c>
      <c r="B4674" s="1" t="n">
        <v>45589</v>
      </c>
      <c r="C4674" s="1" t="n">
        <v>45811</v>
      </c>
      <c r="D4674" t="inlineStr">
        <is>
          <t>VÄSTMANLANDS LÄN</t>
        </is>
      </c>
      <c r="E4674" t="inlineStr">
        <is>
          <t>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48117-2024</t>
        </is>
      </c>
      <c r="B4675" s="1" t="n">
        <v>45589</v>
      </c>
      <c r="C4675" s="1" t="n">
        <v>45811</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48075-2024</t>
        </is>
      </c>
      <c r="B4676" s="1" t="n">
        <v>45589</v>
      </c>
      <c r="C4676" s="1" t="n">
        <v>45811</v>
      </c>
      <c r="D4676" t="inlineStr">
        <is>
          <t>VÄSTMANLANDS LÄN</t>
        </is>
      </c>
      <c r="E4676" t="inlineStr">
        <is>
          <t>NORBERG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48104-2024</t>
        </is>
      </c>
      <c r="B4677" s="1" t="n">
        <v>45589</v>
      </c>
      <c r="C4677" s="1" t="n">
        <v>45811</v>
      </c>
      <c r="D4677" t="inlineStr">
        <is>
          <t>VÄSTMANLANDS LÄN</t>
        </is>
      </c>
      <c r="E4677" t="inlineStr">
        <is>
          <t>SALA</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48124-2024</t>
        </is>
      </c>
      <c r="B4678" s="1" t="n">
        <v>45589</v>
      </c>
      <c r="C4678" s="1" t="n">
        <v>45811</v>
      </c>
      <c r="D4678" t="inlineStr">
        <is>
          <t>VÄSTMANLANDS LÄN</t>
        </is>
      </c>
      <c r="E4678" t="inlineStr">
        <is>
          <t>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48569-2024</t>
        </is>
      </c>
      <c r="B4679" s="1" t="n">
        <v>45591</v>
      </c>
      <c r="C4679" s="1" t="n">
        <v>45811</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48570-2024</t>
        </is>
      </c>
      <c r="B4680" s="1" t="n">
        <v>45591</v>
      </c>
      <c r="C4680" s="1" t="n">
        <v>45811</v>
      </c>
      <c r="D4680" t="inlineStr">
        <is>
          <t>VÄSTMANLANDS LÄN</t>
        </is>
      </c>
      <c r="E4680" t="inlineStr">
        <is>
          <t>SALA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49512-2024</t>
        </is>
      </c>
      <c r="B4681" s="1" t="n">
        <v>45591</v>
      </c>
      <c r="C4681" s="1" t="n">
        <v>45811</v>
      </c>
      <c r="D4681" t="inlineStr">
        <is>
          <t>VÄSTMANLANDS LÄN</t>
        </is>
      </c>
      <c r="E4681" t="inlineStr">
        <is>
          <t>SALA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48571-2024</t>
        </is>
      </c>
      <c r="B4682" s="1" t="n">
        <v>45591</v>
      </c>
      <c r="C4682" s="1" t="n">
        <v>45811</v>
      </c>
      <c r="D4682" t="inlineStr">
        <is>
          <t>VÄSTMANLANDS LÄN</t>
        </is>
      </c>
      <c r="E4682" t="inlineStr">
        <is>
          <t>SALA</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48492-2024</t>
        </is>
      </c>
      <c r="B4683" s="1" t="n">
        <v>45592</v>
      </c>
      <c r="C4683" s="1" t="n">
        <v>45811</v>
      </c>
      <c r="D4683" t="inlineStr">
        <is>
          <t>VÄSTMANLANDS LÄN</t>
        </is>
      </c>
      <c r="E4683" t="inlineStr">
        <is>
          <t>SKINNSKATTEBERG</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48688-2024</t>
        </is>
      </c>
      <c r="B4684" s="1" t="n">
        <v>45593</v>
      </c>
      <c r="C4684" s="1" t="n">
        <v>45811</v>
      </c>
      <c r="D4684" t="inlineStr">
        <is>
          <t>VÄSTMANLANDS LÄN</t>
        </is>
      </c>
      <c r="E4684" t="inlineStr">
        <is>
          <t>SALA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48813-2024</t>
        </is>
      </c>
      <c r="B4685" s="1" t="n">
        <v>45593</v>
      </c>
      <c r="C4685" s="1" t="n">
        <v>45811</v>
      </c>
      <c r="D4685" t="inlineStr">
        <is>
          <t>VÄSTMANLANDS LÄN</t>
        </is>
      </c>
      <c r="E4685" t="inlineStr">
        <is>
          <t>FAGERSTA</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48817-2024</t>
        </is>
      </c>
      <c r="B4686" s="1" t="n">
        <v>45593</v>
      </c>
      <c r="C4686" s="1" t="n">
        <v>45811</v>
      </c>
      <c r="D4686" t="inlineStr">
        <is>
          <t>VÄSTMANLANDS LÄN</t>
        </is>
      </c>
      <c r="E4686" t="inlineStr">
        <is>
          <t>KÖPING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48816-2024</t>
        </is>
      </c>
      <c r="B4687" s="1" t="n">
        <v>45593</v>
      </c>
      <c r="C4687" s="1" t="n">
        <v>45811</v>
      </c>
      <c r="D4687" t="inlineStr">
        <is>
          <t>VÄSTMANLANDS LÄN</t>
        </is>
      </c>
      <c r="E4687" t="inlineStr">
        <is>
          <t>FAGERSTA</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48810-2024</t>
        </is>
      </c>
      <c r="B4688" s="1" t="n">
        <v>45593</v>
      </c>
      <c r="C4688" s="1" t="n">
        <v>45811</v>
      </c>
      <c r="D4688" t="inlineStr">
        <is>
          <t>VÄSTMANLANDS LÄN</t>
        </is>
      </c>
      <c r="E4688" t="inlineStr">
        <is>
          <t>SALA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48814-2024</t>
        </is>
      </c>
      <c r="B4689" s="1" t="n">
        <v>45593</v>
      </c>
      <c r="C4689" s="1" t="n">
        <v>45811</v>
      </c>
      <c r="D4689" t="inlineStr">
        <is>
          <t>VÄSTMANLANDS LÄN</t>
        </is>
      </c>
      <c r="E4689" t="inlineStr">
        <is>
          <t>FAGERSTA</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48710-2024</t>
        </is>
      </c>
      <c r="B4690" s="1" t="n">
        <v>45593</v>
      </c>
      <c r="C4690" s="1" t="n">
        <v>45811</v>
      </c>
      <c r="D4690" t="inlineStr">
        <is>
          <t>VÄSTMANLANDS LÄN</t>
        </is>
      </c>
      <c r="E4690" t="inlineStr">
        <is>
          <t>SALA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48789-2024</t>
        </is>
      </c>
      <c r="B4691" s="1" t="n">
        <v>45593</v>
      </c>
      <c r="C4691" s="1" t="n">
        <v>45811</v>
      </c>
      <c r="D4691" t="inlineStr">
        <is>
          <t>VÄSTMANLANDS LÄN</t>
        </is>
      </c>
      <c r="E4691" t="inlineStr">
        <is>
          <t>SALA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48664-2024</t>
        </is>
      </c>
      <c r="B4692" s="1" t="n">
        <v>45593</v>
      </c>
      <c r="C4692" s="1" t="n">
        <v>45811</v>
      </c>
      <c r="D4692" t="inlineStr">
        <is>
          <t>VÄSTMANLANDS LÄN</t>
        </is>
      </c>
      <c r="E4692" t="inlineStr">
        <is>
          <t>ARBOGA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48853-2024</t>
        </is>
      </c>
      <c r="B4693" s="1" t="n">
        <v>45593</v>
      </c>
      <c r="C4693" s="1" t="n">
        <v>45811</v>
      </c>
      <c r="D4693" t="inlineStr">
        <is>
          <t>VÄSTMANLANDS LÄN</t>
        </is>
      </c>
      <c r="E4693" t="inlineStr">
        <is>
          <t>NORBERG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48659-2024</t>
        </is>
      </c>
      <c r="B4694" s="1" t="n">
        <v>45593</v>
      </c>
      <c r="C4694" s="1" t="n">
        <v>45811</v>
      </c>
      <c r="D4694" t="inlineStr">
        <is>
          <t>VÄSTMANLANDS LÄN</t>
        </is>
      </c>
      <c r="E4694" t="inlineStr">
        <is>
          <t>ARBOGA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49060-2024</t>
        </is>
      </c>
      <c r="B4695" s="1" t="n">
        <v>45594</v>
      </c>
      <c r="C4695" s="1" t="n">
        <v>45811</v>
      </c>
      <c r="D4695" t="inlineStr">
        <is>
          <t>VÄSTMANLANDS LÄN</t>
        </is>
      </c>
      <c r="E4695" t="inlineStr">
        <is>
          <t>SURAHAMMAR</t>
        </is>
      </c>
      <c r="F4695" t="inlineStr">
        <is>
          <t>Sveaskog</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49132-2024</t>
        </is>
      </c>
      <c r="B4696" s="1" t="n">
        <v>45594</v>
      </c>
      <c r="C4696" s="1" t="n">
        <v>45811</v>
      </c>
      <c r="D4696" t="inlineStr">
        <is>
          <t>VÄSTMANLANDS LÄN</t>
        </is>
      </c>
      <c r="E4696" t="inlineStr">
        <is>
          <t>NORBERG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49058-2024</t>
        </is>
      </c>
      <c r="B4697" s="1" t="n">
        <v>45594</v>
      </c>
      <c r="C4697" s="1" t="n">
        <v>45811</v>
      </c>
      <c r="D4697" t="inlineStr">
        <is>
          <t>VÄSTMANLANDS LÄN</t>
        </is>
      </c>
      <c r="E4697" t="inlineStr">
        <is>
          <t>SURAHAMMAR</t>
        </is>
      </c>
      <c r="F4697" t="inlineStr">
        <is>
          <t>Sveaskog</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49234-2024</t>
        </is>
      </c>
      <c r="B4698" s="1" t="n">
        <v>45595</v>
      </c>
      <c r="C4698" s="1" t="n">
        <v>45811</v>
      </c>
      <c r="D4698" t="inlineStr">
        <is>
          <t>VÄSTMANLANDS LÄN</t>
        </is>
      </c>
      <c r="E4698" t="inlineStr">
        <is>
          <t>VÄSTERÅS</t>
        </is>
      </c>
      <c r="F4698" t="inlineStr">
        <is>
          <t>Övriga Aktiebolag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49232-2024</t>
        </is>
      </c>
      <c r="B4699" s="1" t="n">
        <v>45595</v>
      </c>
      <c r="C4699" s="1" t="n">
        <v>45811</v>
      </c>
      <c r="D4699" t="inlineStr">
        <is>
          <t>VÄSTMANLANDS LÄN</t>
        </is>
      </c>
      <c r="E4699" t="inlineStr">
        <is>
          <t>VÄSTERÅS</t>
        </is>
      </c>
      <c r="F4699" t="inlineStr">
        <is>
          <t>Övriga Aktiebolag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49289-2024</t>
        </is>
      </c>
      <c r="B4700" s="1" t="n">
        <v>45595</v>
      </c>
      <c r="C4700" s="1" t="n">
        <v>45811</v>
      </c>
      <c r="D4700" t="inlineStr">
        <is>
          <t>VÄSTMANLANDS LÄN</t>
        </is>
      </c>
      <c r="E4700" t="inlineStr">
        <is>
          <t>KÖPING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49287-2024</t>
        </is>
      </c>
      <c r="B4701" s="1" t="n">
        <v>45595</v>
      </c>
      <c r="C4701" s="1" t="n">
        <v>45811</v>
      </c>
      <c r="D4701" t="inlineStr">
        <is>
          <t>VÄSTMANLANDS LÄN</t>
        </is>
      </c>
      <c r="E4701" t="inlineStr">
        <is>
          <t>KÖPING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49316-2024</t>
        </is>
      </c>
      <c r="B4702" s="1" t="n">
        <v>45595</v>
      </c>
      <c r="C4702" s="1" t="n">
        <v>45811</v>
      </c>
      <c r="D4702" t="inlineStr">
        <is>
          <t>VÄSTMANLANDS LÄN</t>
        </is>
      </c>
      <c r="E4702" t="inlineStr">
        <is>
          <t>KÖPING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49661-2024</t>
        </is>
      </c>
      <c r="B4703" s="1" t="n">
        <v>45596</v>
      </c>
      <c r="C4703" s="1" t="n">
        <v>45811</v>
      </c>
      <c r="D4703" t="inlineStr">
        <is>
          <t>VÄSTMANLANDS LÄN</t>
        </is>
      </c>
      <c r="E4703" t="inlineStr">
        <is>
          <t>SALA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49619-2024</t>
        </is>
      </c>
      <c r="B4704" s="1" t="n">
        <v>45596</v>
      </c>
      <c r="C4704" s="1" t="n">
        <v>45811</v>
      </c>
      <c r="D4704" t="inlineStr">
        <is>
          <t>VÄSTMANLANDS LÄN</t>
        </is>
      </c>
      <c r="E4704" t="inlineStr">
        <is>
          <t>SALA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49636-2024</t>
        </is>
      </c>
      <c r="B4705" s="1" t="n">
        <v>45596</v>
      </c>
      <c r="C4705" s="1" t="n">
        <v>45811</v>
      </c>
      <c r="D4705" t="inlineStr">
        <is>
          <t>VÄSTMANLANDS LÄN</t>
        </is>
      </c>
      <c r="E4705" t="inlineStr">
        <is>
          <t>SKINNSKATTEBERG</t>
        </is>
      </c>
      <c r="F4705" t="inlineStr">
        <is>
          <t>Sveaskog</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49745-2024</t>
        </is>
      </c>
      <c r="B4706" s="1" t="n">
        <v>45596</v>
      </c>
      <c r="C4706" s="1" t="n">
        <v>45811</v>
      </c>
      <c r="D4706" t="inlineStr">
        <is>
          <t>VÄSTMANLANDS LÄN</t>
        </is>
      </c>
      <c r="E4706" t="inlineStr">
        <is>
          <t>SALA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49744-2024</t>
        </is>
      </c>
      <c r="B4707" s="1" t="n">
        <v>45596</v>
      </c>
      <c r="C4707" s="1" t="n">
        <v>45811</v>
      </c>
      <c r="D4707" t="inlineStr">
        <is>
          <t>VÄSTMANLANDS LÄN</t>
        </is>
      </c>
      <c r="E4707" t="inlineStr">
        <is>
          <t>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49555-2024</t>
        </is>
      </c>
      <c r="B4708" s="1" t="n">
        <v>45596</v>
      </c>
      <c r="C4708" s="1" t="n">
        <v>45811</v>
      </c>
      <c r="D4708" t="inlineStr">
        <is>
          <t>VÄSTMANLANDS LÄN</t>
        </is>
      </c>
      <c r="E4708" t="inlineStr">
        <is>
          <t>SALA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49854-2024</t>
        </is>
      </c>
      <c r="B4709" s="1" t="n">
        <v>45597</v>
      </c>
      <c r="C4709" s="1" t="n">
        <v>45811</v>
      </c>
      <c r="D4709" t="inlineStr">
        <is>
          <t>VÄSTMANLANDS LÄN</t>
        </is>
      </c>
      <c r="E4709" t="inlineStr">
        <is>
          <t>HALLSTAHAMMAR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49763-2024</t>
        </is>
      </c>
      <c r="B4710" s="1" t="n">
        <v>45597</v>
      </c>
      <c r="C4710" s="1" t="n">
        <v>45811</v>
      </c>
      <c r="D4710" t="inlineStr">
        <is>
          <t>VÄSTMANLANDS LÄN</t>
        </is>
      </c>
      <c r="E4710" t="inlineStr">
        <is>
          <t>NORBERG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49884-2024</t>
        </is>
      </c>
      <c r="B4711" s="1" t="n">
        <v>45597</v>
      </c>
      <c r="C4711" s="1" t="n">
        <v>45811</v>
      </c>
      <c r="D4711" t="inlineStr">
        <is>
          <t>VÄSTMANLANDS LÄN</t>
        </is>
      </c>
      <c r="E4711" t="inlineStr">
        <is>
          <t>SKINNSKATTEBERG</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50005-2024</t>
        </is>
      </c>
      <c r="B4712" s="1" t="n">
        <v>45598</v>
      </c>
      <c r="C4712" s="1" t="n">
        <v>45811</v>
      </c>
      <c r="D4712" t="inlineStr">
        <is>
          <t>VÄSTMANLANDS LÄN</t>
        </is>
      </c>
      <c r="E4712" t="inlineStr">
        <is>
          <t>NORBERG</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50004-2024</t>
        </is>
      </c>
      <c r="B4713" s="1" t="n">
        <v>45598</v>
      </c>
      <c r="C4713" s="1" t="n">
        <v>45811</v>
      </c>
      <c r="D4713" t="inlineStr">
        <is>
          <t>VÄSTMANLANDS LÄN</t>
        </is>
      </c>
      <c r="E4713" t="inlineStr">
        <is>
          <t>NORBERG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50105-2024</t>
        </is>
      </c>
      <c r="B4714" s="1" t="n">
        <v>45600</v>
      </c>
      <c r="C4714" s="1" t="n">
        <v>45811</v>
      </c>
      <c r="D4714" t="inlineStr">
        <is>
          <t>VÄSTMANLANDS LÄN</t>
        </is>
      </c>
      <c r="E4714" t="inlineStr">
        <is>
          <t>HALLSTAHAMMAR</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50209-2024</t>
        </is>
      </c>
      <c r="B4715" s="1" t="n">
        <v>45600</v>
      </c>
      <c r="C4715" s="1" t="n">
        <v>45811</v>
      </c>
      <c r="D4715" t="inlineStr">
        <is>
          <t>VÄSTMANLANDS LÄN</t>
        </is>
      </c>
      <c r="E4715" t="inlineStr">
        <is>
          <t>FAGERSTA</t>
        </is>
      </c>
      <c r="F4715" t="inlineStr">
        <is>
          <t>Kommuner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50333-2024</t>
        </is>
      </c>
      <c r="B4716" s="1" t="n">
        <v>45600</v>
      </c>
      <c r="C4716" s="1" t="n">
        <v>45811</v>
      </c>
      <c r="D4716" t="inlineStr">
        <is>
          <t>VÄSTMANLANDS LÄN</t>
        </is>
      </c>
      <c r="E4716" t="inlineStr">
        <is>
          <t>FAGERSTA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50230-2024</t>
        </is>
      </c>
      <c r="B4717" s="1" t="n">
        <v>45600</v>
      </c>
      <c r="C4717" s="1" t="n">
        <v>45811</v>
      </c>
      <c r="D4717" t="inlineStr">
        <is>
          <t>VÄSTMANLANDS LÄN</t>
        </is>
      </c>
      <c r="E4717" t="inlineStr">
        <is>
          <t>HALLSTAHAMMAR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50594-2024</t>
        </is>
      </c>
      <c r="B4718" s="1" t="n">
        <v>45600</v>
      </c>
      <c r="C4718" s="1" t="n">
        <v>45811</v>
      </c>
      <c r="D4718" t="inlineStr">
        <is>
          <t>VÄSTMANLANDS LÄN</t>
        </is>
      </c>
      <c r="E4718" t="inlineStr">
        <is>
          <t>SKINNSKATTEBERG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50210-2024</t>
        </is>
      </c>
      <c r="B4719" s="1" t="n">
        <v>45600</v>
      </c>
      <c r="C4719" s="1" t="n">
        <v>45811</v>
      </c>
      <c r="D4719" t="inlineStr">
        <is>
          <t>VÄSTMANLANDS LÄN</t>
        </is>
      </c>
      <c r="E4719" t="inlineStr">
        <is>
          <t>HALLSTAHAMMAR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50487-2024</t>
        </is>
      </c>
      <c r="B4720" s="1" t="n">
        <v>45601</v>
      </c>
      <c r="C4720" s="1" t="n">
        <v>45811</v>
      </c>
      <c r="D4720" t="inlineStr">
        <is>
          <t>VÄSTMANLANDS LÄN</t>
        </is>
      </c>
      <c r="E4720" t="inlineStr">
        <is>
          <t>KÖPING</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50652-2024</t>
        </is>
      </c>
      <c r="B4721" s="1" t="n">
        <v>45601</v>
      </c>
      <c r="C4721" s="1" t="n">
        <v>45811</v>
      </c>
      <c r="D4721" t="inlineStr">
        <is>
          <t>VÄSTMANLANDS LÄN</t>
        </is>
      </c>
      <c r="E4721" t="inlineStr">
        <is>
          <t>SALA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50409-2024</t>
        </is>
      </c>
      <c r="B4722" s="1" t="n">
        <v>45601</v>
      </c>
      <c r="C4722" s="1" t="n">
        <v>45811</v>
      </c>
      <c r="D4722" t="inlineStr">
        <is>
          <t>VÄSTMANLANDS LÄN</t>
        </is>
      </c>
      <c r="E4722" t="inlineStr">
        <is>
          <t>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50411-2024</t>
        </is>
      </c>
      <c r="B4723" s="1" t="n">
        <v>45601</v>
      </c>
      <c r="C4723" s="1" t="n">
        <v>45811</v>
      </c>
      <c r="D4723" t="inlineStr">
        <is>
          <t>VÄSTMANLANDS LÄN</t>
        </is>
      </c>
      <c r="E4723" t="inlineStr">
        <is>
          <t>KÖPING</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51097-2024</t>
        </is>
      </c>
      <c r="B4724" s="1" t="n">
        <v>45603</v>
      </c>
      <c r="C4724" s="1" t="n">
        <v>45811</v>
      </c>
      <c r="D4724" t="inlineStr">
        <is>
          <t>VÄSTMANLANDS LÄN</t>
        </is>
      </c>
      <c r="E4724" t="inlineStr">
        <is>
          <t>SKINNSKATTEBERG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51105-2024</t>
        </is>
      </c>
      <c r="B4725" s="1" t="n">
        <v>45603</v>
      </c>
      <c r="C4725" s="1" t="n">
        <v>45811</v>
      </c>
      <c r="D4725" t="inlineStr">
        <is>
          <t>VÄSTMANLANDS LÄN</t>
        </is>
      </c>
      <c r="E4725" t="inlineStr">
        <is>
          <t>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51190-2024</t>
        </is>
      </c>
      <c r="B4726" s="1" t="n">
        <v>45603</v>
      </c>
      <c r="C4726" s="1" t="n">
        <v>45811</v>
      </c>
      <c r="D4726" t="inlineStr">
        <is>
          <t>VÄSTMANLANDS LÄN</t>
        </is>
      </c>
      <c r="E4726" t="inlineStr">
        <is>
          <t>KÖPING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51004-2024</t>
        </is>
      </c>
      <c r="B4727" s="1" t="n">
        <v>45603</v>
      </c>
      <c r="C4727" s="1" t="n">
        <v>45811</v>
      </c>
      <c r="D4727" t="inlineStr">
        <is>
          <t>VÄSTMANLANDS LÄN</t>
        </is>
      </c>
      <c r="E4727" t="inlineStr">
        <is>
          <t>VÄSTERÅS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50991-2024</t>
        </is>
      </c>
      <c r="B4728" s="1" t="n">
        <v>45603</v>
      </c>
      <c r="C4728" s="1" t="n">
        <v>45811</v>
      </c>
      <c r="D4728" t="inlineStr">
        <is>
          <t>VÄSTMANLANDS LÄN</t>
        </is>
      </c>
      <c r="E4728" t="inlineStr">
        <is>
          <t>VÄSTERÅS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51001-2024</t>
        </is>
      </c>
      <c r="B4729" s="1" t="n">
        <v>45603</v>
      </c>
      <c r="C4729" s="1" t="n">
        <v>45811</v>
      </c>
      <c r="D4729" t="inlineStr">
        <is>
          <t>VÄSTMANLANDS LÄN</t>
        </is>
      </c>
      <c r="E4729" t="inlineStr">
        <is>
          <t>VÄSTERÅS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50996-2024</t>
        </is>
      </c>
      <c r="B4730" s="1" t="n">
        <v>45603</v>
      </c>
      <c r="C4730" s="1" t="n">
        <v>45811</v>
      </c>
      <c r="D4730" t="inlineStr">
        <is>
          <t>VÄSTMANLANDS LÄN</t>
        </is>
      </c>
      <c r="E4730" t="inlineStr">
        <is>
          <t>VÄSTERÅS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50984-2024</t>
        </is>
      </c>
      <c r="B4731" s="1" t="n">
        <v>45603</v>
      </c>
      <c r="C4731" s="1" t="n">
        <v>45811</v>
      </c>
      <c r="D4731" t="inlineStr">
        <is>
          <t>VÄSTMANLANDS LÄN</t>
        </is>
      </c>
      <c r="E4731" t="inlineStr">
        <is>
          <t>ARBOGA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50987-2024</t>
        </is>
      </c>
      <c r="B4732" s="1" t="n">
        <v>45603</v>
      </c>
      <c r="C4732" s="1" t="n">
        <v>45811</v>
      </c>
      <c r="D4732" t="inlineStr">
        <is>
          <t>VÄSTMANLANDS LÄN</t>
        </is>
      </c>
      <c r="E4732" t="inlineStr">
        <is>
          <t>VÄSTERÅS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51163-2024</t>
        </is>
      </c>
      <c r="B4733" s="1" t="n">
        <v>45603</v>
      </c>
      <c r="C4733" s="1" t="n">
        <v>45811</v>
      </c>
      <c r="D4733" t="inlineStr">
        <is>
          <t>VÄSTMANLANDS LÄN</t>
        </is>
      </c>
      <c r="E4733" t="inlineStr">
        <is>
          <t>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50993-2024</t>
        </is>
      </c>
      <c r="B4734" s="1" t="n">
        <v>45603</v>
      </c>
      <c r="C4734" s="1" t="n">
        <v>45811</v>
      </c>
      <c r="D4734" t="inlineStr">
        <is>
          <t>VÄSTMANLANDS LÄN</t>
        </is>
      </c>
      <c r="E4734" t="inlineStr">
        <is>
          <t>VÄSTERÅS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51156-2024</t>
        </is>
      </c>
      <c r="B4735" s="1" t="n">
        <v>45603</v>
      </c>
      <c r="C4735" s="1" t="n">
        <v>45811</v>
      </c>
      <c r="D4735" t="inlineStr">
        <is>
          <t>VÄSTMANLANDS LÄN</t>
        </is>
      </c>
      <c r="E4735" t="inlineStr">
        <is>
          <t>KÖPING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50998-2024</t>
        </is>
      </c>
      <c r="B4736" s="1" t="n">
        <v>45603</v>
      </c>
      <c r="C4736" s="1" t="n">
        <v>45811</v>
      </c>
      <c r="D4736" t="inlineStr">
        <is>
          <t>VÄSTMANLANDS LÄN</t>
        </is>
      </c>
      <c r="E4736" t="inlineStr">
        <is>
          <t>VÄSTERÅS</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51136-2024</t>
        </is>
      </c>
      <c r="B4737" s="1" t="n">
        <v>45603</v>
      </c>
      <c r="C4737" s="1" t="n">
        <v>45811</v>
      </c>
      <c r="D4737" t="inlineStr">
        <is>
          <t>VÄSTMANLANDS LÄN</t>
        </is>
      </c>
      <c r="E4737" t="inlineStr">
        <is>
          <t>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51120-2024</t>
        </is>
      </c>
      <c r="B4738" s="1" t="n">
        <v>45603</v>
      </c>
      <c r="C4738" s="1" t="n">
        <v>45811</v>
      </c>
      <c r="D4738" t="inlineStr">
        <is>
          <t>VÄSTMANLANDS LÄN</t>
        </is>
      </c>
      <c r="E4738" t="inlineStr">
        <is>
          <t>NORBERG</t>
        </is>
      </c>
      <c r="F4738" t="inlineStr">
        <is>
          <t>Sveaskog</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51113-2024</t>
        </is>
      </c>
      <c r="B4739" s="1" t="n">
        <v>45603</v>
      </c>
      <c r="C4739" s="1" t="n">
        <v>45811</v>
      </c>
      <c r="D4739" t="inlineStr">
        <is>
          <t>VÄSTMANLANDS LÄN</t>
        </is>
      </c>
      <c r="E4739" t="inlineStr">
        <is>
          <t>NORBERG</t>
        </is>
      </c>
      <c r="F4739" t="inlineStr">
        <is>
          <t>Sveaskog</t>
        </is>
      </c>
      <c r="G4739" t="n">
        <v>14.4</v>
      </c>
      <c r="H4739" t="n">
        <v>0</v>
      </c>
      <c r="I4739" t="n">
        <v>0</v>
      </c>
      <c r="J4739" t="n">
        <v>0</v>
      </c>
      <c r="K4739" t="n">
        <v>0</v>
      </c>
      <c r="L4739" t="n">
        <v>0</v>
      </c>
      <c r="M4739" t="n">
        <v>0</v>
      </c>
      <c r="N4739" t="n">
        <v>0</v>
      </c>
      <c r="O4739" t="n">
        <v>0</v>
      </c>
      <c r="P4739" t="n">
        <v>0</v>
      </c>
      <c r="Q4739" t="n">
        <v>0</v>
      </c>
      <c r="R4739" s="2" t="inlineStr"/>
    </row>
    <row r="4740" ht="15" customHeight="1">
      <c r="A4740" t="inlineStr">
        <is>
          <t>A 51096-2024</t>
        </is>
      </c>
      <c r="B4740" s="1" t="n">
        <v>45603</v>
      </c>
      <c r="C4740" s="1" t="n">
        <v>45811</v>
      </c>
      <c r="D4740" t="inlineStr">
        <is>
          <t>VÄSTMANLANDS LÄN</t>
        </is>
      </c>
      <c r="E4740" t="inlineStr">
        <is>
          <t>KUNGSÖR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51464-2024</t>
        </is>
      </c>
      <c r="B4741" s="1" t="n">
        <v>45604</v>
      </c>
      <c r="C4741" s="1" t="n">
        <v>45811</v>
      </c>
      <c r="D4741" t="inlineStr">
        <is>
          <t>VÄSTMANLANDS LÄN</t>
        </is>
      </c>
      <c r="E4741" t="inlineStr">
        <is>
          <t>SALA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51472-2024</t>
        </is>
      </c>
      <c r="B4742" s="1" t="n">
        <v>45604</v>
      </c>
      <c r="C4742" s="1" t="n">
        <v>45811</v>
      </c>
      <c r="D4742" t="inlineStr">
        <is>
          <t>VÄSTMANLANDS LÄN</t>
        </is>
      </c>
      <c r="E4742" t="inlineStr">
        <is>
          <t>SKINNSKATTEBERG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51467-2024</t>
        </is>
      </c>
      <c r="B4743" s="1" t="n">
        <v>45604</v>
      </c>
      <c r="C4743" s="1" t="n">
        <v>45811</v>
      </c>
      <c r="D4743" t="inlineStr">
        <is>
          <t>VÄSTMANLANDS LÄN</t>
        </is>
      </c>
      <c r="E4743" t="inlineStr">
        <is>
          <t>FAGERSTA</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51475-2024</t>
        </is>
      </c>
      <c r="B4744" s="1" t="n">
        <v>45604</v>
      </c>
      <c r="C4744" s="1" t="n">
        <v>45811</v>
      </c>
      <c r="D4744" t="inlineStr">
        <is>
          <t>VÄSTMANLANDS LÄN</t>
        </is>
      </c>
      <c r="E4744" t="inlineStr">
        <is>
          <t>SKINNSKATTEBERG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51936-2024</t>
        </is>
      </c>
      <c r="B4745" s="1" t="n">
        <v>45607</v>
      </c>
      <c r="C4745" s="1" t="n">
        <v>45811</v>
      </c>
      <c r="D4745" t="inlineStr">
        <is>
          <t>VÄSTMANLANDS LÄN</t>
        </is>
      </c>
      <c r="E4745" t="inlineStr">
        <is>
          <t>VÄSTERÅS</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51951-2024</t>
        </is>
      </c>
      <c r="B4746" s="1" t="n">
        <v>45607</v>
      </c>
      <c r="C4746" s="1" t="n">
        <v>45811</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51798-2024</t>
        </is>
      </c>
      <c r="B4747" s="1" t="n">
        <v>45607</v>
      </c>
      <c r="C4747" s="1" t="n">
        <v>45811</v>
      </c>
      <c r="D4747" t="inlineStr">
        <is>
          <t>VÄSTMANLANDS LÄN</t>
        </is>
      </c>
      <c r="E4747" t="inlineStr">
        <is>
          <t>NORBERG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51950-2024</t>
        </is>
      </c>
      <c r="B4748" s="1" t="n">
        <v>45607</v>
      </c>
      <c r="C4748" s="1" t="n">
        <v>45811</v>
      </c>
      <c r="D4748" t="inlineStr">
        <is>
          <t>VÄSTMANLANDS LÄN</t>
        </is>
      </c>
      <c r="E4748" t="inlineStr">
        <is>
          <t>VÄSTERÅS</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51954-2024</t>
        </is>
      </c>
      <c r="B4749" s="1" t="n">
        <v>45607</v>
      </c>
      <c r="C4749" s="1" t="n">
        <v>45811</v>
      </c>
      <c r="D4749" t="inlineStr">
        <is>
          <t>VÄSTMANLANDS LÄN</t>
        </is>
      </c>
      <c r="E4749" t="inlineStr">
        <is>
          <t>ARBOGA</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52015-2024</t>
        </is>
      </c>
      <c r="B4750" s="1" t="n">
        <v>45607</v>
      </c>
      <c r="C4750" s="1" t="n">
        <v>45811</v>
      </c>
      <c r="D4750" t="inlineStr">
        <is>
          <t>VÄSTMANLANDS LÄN</t>
        </is>
      </c>
      <c r="E4750" t="inlineStr">
        <is>
          <t>VÄSTERÅS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51775-2024</t>
        </is>
      </c>
      <c r="B4751" s="1" t="n">
        <v>45607</v>
      </c>
      <c r="C4751" s="1" t="n">
        <v>45811</v>
      </c>
      <c r="D4751" t="inlineStr">
        <is>
          <t>VÄSTMANLANDS LÄN</t>
        </is>
      </c>
      <c r="E4751" t="inlineStr">
        <is>
          <t>SALA</t>
        </is>
      </c>
      <c r="F4751" t="inlineStr">
        <is>
          <t>Övriga Aktiebolag</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51791-2024</t>
        </is>
      </c>
      <c r="B4752" s="1" t="n">
        <v>45607</v>
      </c>
      <c r="C4752" s="1" t="n">
        <v>45811</v>
      </c>
      <c r="D4752" t="inlineStr">
        <is>
          <t>VÄSTMANLANDS LÄN</t>
        </is>
      </c>
      <c r="E4752" t="inlineStr">
        <is>
          <t>NORBERG</t>
        </is>
      </c>
      <c r="F4752" t="inlineStr">
        <is>
          <t>Övriga Aktiebolag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51937-2024</t>
        </is>
      </c>
      <c r="B4753" s="1" t="n">
        <v>45607</v>
      </c>
      <c r="C4753" s="1" t="n">
        <v>45811</v>
      </c>
      <c r="D4753" t="inlineStr">
        <is>
          <t>VÄSTMANLANDS LÄN</t>
        </is>
      </c>
      <c r="E4753" t="inlineStr">
        <is>
          <t>ARBOGA</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51969-2024</t>
        </is>
      </c>
      <c r="B4754" s="1" t="n">
        <v>45607</v>
      </c>
      <c r="C4754" s="1" t="n">
        <v>45811</v>
      </c>
      <c r="D4754" t="inlineStr">
        <is>
          <t>VÄSTMANLANDS LÄN</t>
        </is>
      </c>
      <c r="E4754" t="inlineStr">
        <is>
          <t>FAGERSTA</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51790-2024</t>
        </is>
      </c>
      <c r="B4755" s="1" t="n">
        <v>45607</v>
      </c>
      <c r="C4755" s="1" t="n">
        <v>45811</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51793-2024</t>
        </is>
      </c>
      <c r="B4756" s="1" t="n">
        <v>45607</v>
      </c>
      <c r="C4756" s="1" t="n">
        <v>45811</v>
      </c>
      <c r="D4756" t="inlineStr">
        <is>
          <t>VÄSTMANLANDS LÄN</t>
        </is>
      </c>
      <c r="E4756" t="inlineStr">
        <is>
          <t>NORBERG</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51778-2024</t>
        </is>
      </c>
      <c r="B4757" s="1" t="n">
        <v>45607</v>
      </c>
      <c r="C4757" s="1" t="n">
        <v>45811</v>
      </c>
      <c r="D4757" t="inlineStr">
        <is>
          <t>VÄSTMANLANDS LÄN</t>
        </is>
      </c>
      <c r="E4757" t="inlineStr">
        <is>
          <t>NORBERG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52177-2024</t>
        </is>
      </c>
      <c r="B4758" s="1" t="n">
        <v>45608</v>
      </c>
      <c r="C4758" s="1" t="n">
        <v>45811</v>
      </c>
      <c r="D4758" t="inlineStr">
        <is>
          <t>VÄSTMANLANDS LÄN</t>
        </is>
      </c>
      <c r="E4758" t="inlineStr">
        <is>
          <t>SALA</t>
        </is>
      </c>
      <c r="F4758" t="inlineStr">
        <is>
          <t>Naturvårdsverket</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52433-2024</t>
        </is>
      </c>
      <c r="B4759" s="1" t="n">
        <v>45608</v>
      </c>
      <c r="C4759" s="1" t="n">
        <v>45811</v>
      </c>
      <c r="D4759" t="inlineStr">
        <is>
          <t>VÄSTMANLANDS LÄN</t>
        </is>
      </c>
      <c r="E4759" t="inlineStr">
        <is>
          <t>ARBOGA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52080-2024</t>
        </is>
      </c>
      <c r="B4760" s="1" t="n">
        <v>45608</v>
      </c>
      <c r="C4760" s="1" t="n">
        <v>45811</v>
      </c>
      <c r="D4760" t="inlineStr">
        <is>
          <t>VÄSTMANLANDS LÄN</t>
        </is>
      </c>
      <c r="E4760" t="inlineStr">
        <is>
          <t>NORBERG</t>
        </is>
      </c>
      <c r="F4760" t="inlineStr">
        <is>
          <t>Övriga Aktiebolag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52184-2024</t>
        </is>
      </c>
      <c r="B4761" s="1" t="n">
        <v>45608</v>
      </c>
      <c r="C4761" s="1" t="n">
        <v>45811</v>
      </c>
      <c r="D4761" t="inlineStr">
        <is>
          <t>VÄSTMANLANDS LÄN</t>
        </is>
      </c>
      <c r="E4761" t="inlineStr">
        <is>
          <t>SALA</t>
        </is>
      </c>
      <c r="F4761" t="inlineStr">
        <is>
          <t>Naturvårdsverket</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52500-2024</t>
        </is>
      </c>
      <c r="B4762" s="1" t="n">
        <v>45609</v>
      </c>
      <c r="C4762" s="1" t="n">
        <v>45811</v>
      </c>
      <c r="D4762" t="inlineStr">
        <is>
          <t>VÄSTMANLANDS LÄN</t>
        </is>
      </c>
      <c r="E4762" t="inlineStr">
        <is>
          <t>SALA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52503-2024</t>
        </is>
      </c>
      <c r="B4763" s="1" t="n">
        <v>45609</v>
      </c>
      <c r="C4763" s="1" t="n">
        <v>45811</v>
      </c>
      <c r="D4763" t="inlineStr">
        <is>
          <t>VÄSTMANLANDS LÄN</t>
        </is>
      </c>
      <c r="E4763" t="inlineStr">
        <is>
          <t>SALA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52553-2024</t>
        </is>
      </c>
      <c r="B4764" s="1" t="n">
        <v>45609</v>
      </c>
      <c r="C4764" s="1" t="n">
        <v>45811</v>
      </c>
      <c r="D4764" t="inlineStr">
        <is>
          <t>VÄSTMANLANDS LÄN</t>
        </is>
      </c>
      <c r="E4764" t="inlineStr">
        <is>
          <t>SKINNSKATTEBERG</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52532-2024</t>
        </is>
      </c>
      <c r="B4765" s="1" t="n">
        <v>45609</v>
      </c>
      <c r="C4765" s="1" t="n">
        <v>45811</v>
      </c>
      <c r="D4765" t="inlineStr">
        <is>
          <t>VÄSTMANLANDS LÄN</t>
        </is>
      </c>
      <c r="E4765" t="inlineStr">
        <is>
          <t>SKINNSKATTEBERG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52337-2024</t>
        </is>
      </c>
      <c r="B4766" s="1" t="n">
        <v>45609</v>
      </c>
      <c r="C4766" s="1" t="n">
        <v>45811</v>
      </c>
      <c r="D4766" t="inlineStr">
        <is>
          <t>VÄSTMANLANDS LÄN</t>
        </is>
      </c>
      <c r="E4766" t="inlineStr">
        <is>
          <t>FAGERSTA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52556-2024</t>
        </is>
      </c>
      <c r="B4767" s="1" t="n">
        <v>45609</v>
      </c>
      <c r="C4767" s="1" t="n">
        <v>45811</v>
      </c>
      <c r="D4767" t="inlineStr">
        <is>
          <t>VÄSTMANLANDS LÄN</t>
        </is>
      </c>
      <c r="E4767" t="inlineStr">
        <is>
          <t>SKINNSKATTEBERG</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52562-2024</t>
        </is>
      </c>
      <c r="B4768" s="1" t="n">
        <v>45609</v>
      </c>
      <c r="C4768" s="1" t="n">
        <v>45811</v>
      </c>
      <c r="D4768" t="inlineStr">
        <is>
          <t>VÄSTMANLANDS LÄN</t>
        </is>
      </c>
      <c r="E4768" t="inlineStr">
        <is>
          <t>SKINNSKATTEBERG</t>
        </is>
      </c>
      <c r="F4768" t="inlineStr">
        <is>
          <t>Sveaskog</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52566-2024</t>
        </is>
      </c>
      <c r="B4769" s="1" t="n">
        <v>45609</v>
      </c>
      <c r="C4769" s="1" t="n">
        <v>45811</v>
      </c>
      <c r="D4769" t="inlineStr">
        <is>
          <t>VÄSTMANLANDS LÄN</t>
        </is>
      </c>
      <c r="E4769" t="inlineStr">
        <is>
          <t>SKINNSKATTEBERG</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52570-2024</t>
        </is>
      </c>
      <c r="B4770" s="1" t="n">
        <v>45609</v>
      </c>
      <c r="C4770" s="1" t="n">
        <v>45811</v>
      </c>
      <c r="D4770" t="inlineStr">
        <is>
          <t>VÄSTMANLANDS LÄN</t>
        </is>
      </c>
      <c r="E4770" t="inlineStr">
        <is>
          <t>SKINNSKATTEBERG</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52789-2024</t>
        </is>
      </c>
      <c r="B4771" s="1" t="n">
        <v>45610</v>
      </c>
      <c r="C4771" s="1" t="n">
        <v>45811</v>
      </c>
      <c r="D4771" t="inlineStr">
        <is>
          <t>VÄSTMANLANDS LÄN</t>
        </is>
      </c>
      <c r="E4771" t="inlineStr">
        <is>
          <t>KUNGSÖR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52821-2024</t>
        </is>
      </c>
      <c r="B4772" s="1" t="n">
        <v>45610</v>
      </c>
      <c r="C4772" s="1" t="n">
        <v>45811</v>
      </c>
      <c r="D4772" t="inlineStr">
        <is>
          <t>VÄSTMANLANDS LÄN</t>
        </is>
      </c>
      <c r="E4772" t="inlineStr">
        <is>
          <t>SALA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52696-2024</t>
        </is>
      </c>
      <c r="B4773" s="1" t="n">
        <v>45610</v>
      </c>
      <c r="C4773" s="1" t="n">
        <v>45811</v>
      </c>
      <c r="D4773" t="inlineStr">
        <is>
          <t>VÄSTMANLANDS LÄN</t>
        </is>
      </c>
      <c r="E4773" t="inlineStr">
        <is>
          <t>SKINNSKATTEBERG</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52799-2024</t>
        </is>
      </c>
      <c r="B4774" s="1" t="n">
        <v>45610</v>
      </c>
      <c r="C4774" s="1" t="n">
        <v>45811</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52827-2024</t>
        </is>
      </c>
      <c r="B4775" s="1" t="n">
        <v>45610</v>
      </c>
      <c r="C4775" s="1" t="n">
        <v>45811</v>
      </c>
      <c r="D4775" t="inlineStr">
        <is>
          <t>VÄSTMANLANDS LÄN</t>
        </is>
      </c>
      <c r="E4775" t="inlineStr">
        <is>
          <t>SALA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52842-2024</t>
        </is>
      </c>
      <c r="B4776" s="1" t="n">
        <v>45610</v>
      </c>
      <c r="C4776" s="1" t="n">
        <v>45811</v>
      </c>
      <c r="D4776" t="inlineStr">
        <is>
          <t>VÄSTMANLANDS LÄN</t>
        </is>
      </c>
      <c r="E4776" t="inlineStr">
        <is>
          <t>KUNGSÖR</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53164-2024</t>
        </is>
      </c>
      <c r="B4777" s="1" t="n">
        <v>45611</v>
      </c>
      <c r="C4777" s="1" t="n">
        <v>45811</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53166-2024</t>
        </is>
      </c>
      <c r="B4778" s="1" t="n">
        <v>45611</v>
      </c>
      <c r="C4778" s="1" t="n">
        <v>45811</v>
      </c>
      <c r="D4778" t="inlineStr">
        <is>
          <t>VÄSTMANLANDS LÄN</t>
        </is>
      </c>
      <c r="E4778" t="inlineStr">
        <is>
          <t>SALA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53224-2024</t>
        </is>
      </c>
      <c r="B4779" s="1" t="n">
        <v>45613</v>
      </c>
      <c r="C4779" s="1" t="n">
        <v>45811</v>
      </c>
      <c r="D4779" t="inlineStr">
        <is>
          <t>VÄSTMANLANDS LÄN</t>
        </is>
      </c>
      <c r="E4779" t="inlineStr">
        <is>
          <t>NORBERG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53225-2024</t>
        </is>
      </c>
      <c r="B4780" s="1" t="n">
        <v>45613</v>
      </c>
      <c r="C4780" s="1" t="n">
        <v>45811</v>
      </c>
      <c r="D4780" t="inlineStr">
        <is>
          <t>VÄSTMANLANDS LÄN</t>
        </is>
      </c>
      <c r="E4780" t="inlineStr">
        <is>
          <t>NORBERG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53343-2024</t>
        </is>
      </c>
      <c r="B4781" s="1" t="n">
        <v>45614</v>
      </c>
      <c r="C4781" s="1" t="n">
        <v>45811</v>
      </c>
      <c r="D4781" t="inlineStr">
        <is>
          <t>VÄSTMANLANDS LÄN</t>
        </is>
      </c>
      <c r="E4781" t="inlineStr">
        <is>
          <t>HALLSTAHAMMAR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53290-2024</t>
        </is>
      </c>
      <c r="B4782" s="1" t="n">
        <v>45614</v>
      </c>
      <c r="C4782" s="1" t="n">
        <v>45811</v>
      </c>
      <c r="D4782" t="inlineStr">
        <is>
          <t>VÄSTMANLANDS LÄN</t>
        </is>
      </c>
      <c r="E4782" t="inlineStr">
        <is>
          <t>ARBOGA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53637-2024</t>
        </is>
      </c>
      <c r="B4783" s="1" t="n">
        <v>45614</v>
      </c>
      <c r="C4783" s="1" t="n">
        <v>45811</v>
      </c>
      <c r="D4783" t="inlineStr">
        <is>
          <t>VÄSTMANLANDS LÄN</t>
        </is>
      </c>
      <c r="E4783" t="inlineStr">
        <is>
          <t>VÄSTERÅS</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53284-2024</t>
        </is>
      </c>
      <c r="B4784" s="1" t="n">
        <v>45614</v>
      </c>
      <c r="C4784" s="1" t="n">
        <v>45811</v>
      </c>
      <c r="D4784" t="inlineStr">
        <is>
          <t>VÄSTMANLANDS LÄN</t>
        </is>
      </c>
      <c r="E4784" t="inlineStr">
        <is>
          <t>ARBOGA</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53280-2024</t>
        </is>
      </c>
      <c r="B4785" s="1" t="n">
        <v>45614</v>
      </c>
      <c r="C4785" s="1" t="n">
        <v>45811</v>
      </c>
      <c r="D4785" t="inlineStr">
        <is>
          <t>VÄSTMANLANDS LÄN</t>
        </is>
      </c>
      <c r="E4785" t="inlineStr">
        <is>
          <t>ARBOGA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53283-2024</t>
        </is>
      </c>
      <c r="B4786" s="1" t="n">
        <v>45614</v>
      </c>
      <c r="C4786" s="1" t="n">
        <v>45811</v>
      </c>
      <c r="D4786" t="inlineStr">
        <is>
          <t>VÄSTMANLANDS LÄN</t>
        </is>
      </c>
      <c r="E4786" t="inlineStr">
        <is>
          <t>ARBOGA</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53812-2024</t>
        </is>
      </c>
      <c r="B4787" s="1" t="n">
        <v>45615</v>
      </c>
      <c r="C4787" s="1" t="n">
        <v>45811</v>
      </c>
      <c r="D4787" t="inlineStr">
        <is>
          <t>VÄSTMANLANDS LÄN</t>
        </is>
      </c>
      <c r="E4787" t="inlineStr">
        <is>
          <t>FAGERSTA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53655-2024</t>
        </is>
      </c>
      <c r="B4788" s="1" t="n">
        <v>45615</v>
      </c>
      <c r="C4788" s="1" t="n">
        <v>45811</v>
      </c>
      <c r="D4788" t="inlineStr">
        <is>
          <t>VÄSTMANLANDS LÄN</t>
        </is>
      </c>
      <c r="E4788" t="inlineStr">
        <is>
          <t>SKINNSKATTEBERG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53798-2024</t>
        </is>
      </c>
      <c r="B4789" s="1" t="n">
        <v>45615</v>
      </c>
      <c r="C4789" s="1" t="n">
        <v>45811</v>
      </c>
      <c r="D4789" t="inlineStr">
        <is>
          <t>VÄSTMANLANDS LÄN</t>
        </is>
      </c>
      <c r="E4789" t="inlineStr">
        <is>
          <t>FAGERSTA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53850-2024</t>
        </is>
      </c>
      <c r="B4790" s="1" t="n">
        <v>45615</v>
      </c>
      <c r="C4790" s="1" t="n">
        <v>45811</v>
      </c>
      <c r="D4790" t="inlineStr">
        <is>
          <t>VÄSTMANLANDS LÄN</t>
        </is>
      </c>
      <c r="E4790" t="inlineStr">
        <is>
          <t>SKINNSKATTEBERG</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53903-2024</t>
        </is>
      </c>
      <c r="B4791" s="1" t="n">
        <v>45615</v>
      </c>
      <c r="C4791" s="1" t="n">
        <v>45811</v>
      </c>
      <c r="D4791" t="inlineStr">
        <is>
          <t>VÄSTMANLANDS LÄN</t>
        </is>
      </c>
      <c r="E4791" t="inlineStr">
        <is>
          <t>ARBOGA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54054-2024</t>
        </is>
      </c>
      <c r="B4792" s="1" t="n">
        <v>45615</v>
      </c>
      <c r="C4792" s="1" t="n">
        <v>45811</v>
      </c>
      <c r="D4792" t="inlineStr">
        <is>
          <t>VÄSTMANLANDS LÄN</t>
        </is>
      </c>
      <c r="E4792" t="inlineStr">
        <is>
          <t>ARBOGA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54043-2024</t>
        </is>
      </c>
      <c r="B4793" s="1" t="n">
        <v>45616</v>
      </c>
      <c r="C4793" s="1" t="n">
        <v>45811</v>
      </c>
      <c r="D4793" t="inlineStr">
        <is>
          <t>VÄSTMANLANDS LÄN</t>
        </is>
      </c>
      <c r="E4793" t="inlineStr">
        <is>
          <t>SALA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54199-2024</t>
        </is>
      </c>
      <c r="B4794" s="1" t="n">
        <v>45616</v>
      </c>
      <c r="C4794" s="1" t="n">
        <v>45811</v>
      </c>
      <c r="D4794" t="inlineStr">
        <is>
          <t>VÄSTMANLANDS LÄN</t>
        </is>
      </c>
      <c r="E4794" t="inlineStr">
        <is>
          <t>SALA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54329-2024</t>
        </is>
      </c>
      <c r="B4795" s="1" t="n">
        <v>45617</v>
      </c>
      <c r="C4795" s="1" t="n">
        <v>45811</v>
      </c>
      <c r="D4795" t="inlineStr">
        <is>
          <t>VÄSTMANLANDS LÄN</t>
        </is>
      </c>
      <c r="E4795" t="inlineStr">
        <is>
          <t>SALA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54510-2024</t>
        </is>
      </c>
      <c r="B4796" s="1" t="n">
        <v>45617</v>
      </c>
      <c r="C4796" s="1" t="n">
        <v>45811</v>
      </c>
      <c r="D4796" t="inlineStr">
        <is>
          <t>VÄSTMANLANDS LÄN</t>
        </is>
      </c>
      <c r="E4796" t="inlineStr">
        <is>
          <t>SKINNSKATTEBERG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54439-2024</t>
        </is>
      </c>
      <c r="B4797" s="1" t="n">
        <v>45617</v>
      </c>
      <c r="C4797" s="1" t="n">
        <v>45811</v>
      </c>
      <c r="D4797" t="inlineStr">
        <is>
          <t>VÄSTMANLANDS LÄN</t>
        </is>
      </c>
      <c r="E4797" t="inlineStr">
        <is>
          <t>SKINNSKATTEBERG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54483-2024</t>
        </is>
      </c>
      <c r="B4798" s="1" t="n">
        <v>45617</v>
      </c>
      <c r="C4798" s="1" t="n">
        <v>45811</v>
      </c>
      <c r="D4798" t="inlineStr">
        <is>
          <t>VÄSTMANLANDS LÄN</t>
        </is>
      </c>
      <c r="E4798" t="inlineStr">
        <is>
          <t>SKINNSKATTEBERG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54534-2024</t>
        </is>
      </c>
      <c r="B4799" s="1" t="n">
        <v>45617</v>
      </c>
      <c r="C4799" s="1" t="n">
        <v>45811</v>
      </c>
      <c r="D4799" t="inlineStr">
        <is>
          <t>VÄSTMANLANDS LÄN</t>
        </is>
      </c>
      <c r="E4799" t="inlineStr">
        <is>
          <t>SKINNSKATTEBERG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54542-2024</t>
        </is>
      </c>
      <c r="B4800" s="1" t="n">
        <v>45617</v>
      </c>
      <c r="C4800" s="1" t="n">
        <v>45811</v>
      </c>
      <c r="D4800" t="inlineStr">
        <is>
          <t>VÄSTMANLANDS LÄN</t>
        </is>
      </c>
      <c r="E4800" t="inlineStr">
        <is>
          <t>VÄSTERÅS</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54603-2024</t>
        </is>
      </c>
      <c r="B4801" s="1" t="n">
        <v>45617</v>
      </c>
      <c r="C4801" s="1" t="n">
        <v>45811</v>
      </c>
      <c r="D4801" t="inlineStr">
        <is>
          <t>VÄSTMANLANDS LÄN</t>
        </is>
      </c>
      <c r="E4801" t="inlineStr">
        <is>
          <t>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54347-2024</t>
        </is>
      </c>
      <c r="B4802" s="1" t="n">
        <v>45617</v>
      </c>
      <c r="C4802" s="1" t="n">
        <v>45811</v>
      </c>
      <c r="D4802" t="inlineStr">
        <is>
          <t>VÄSTMANLANDS LÄN</t>
        </is>
      </c>
      <c r="E4802" t="inlineStr">
        <is>
          <t>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54528-2024</t>
        </is>
      </c>
      <c r="B4803" s="1" t="n">
        <v>45617</v>
      </c>
      <c r="C4803" s="1" t="n">
        <v>45811</v>
      </c>
      <c r="D4803" t="inlineStr">
        <is>
          <t>VÄSTMANLANDS LÄN</t>
        </is>
      </c>
      <c r="E4803" t="inlineStr">
        <is>
          <t>VÄSTERÅS</t>
        </is>
      </c>
      <c r="F4803" t="inlineStr">
        <is>
          <t>Sveaskog</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54536-2024</t>
        </is>
      </c>
      <c r="B4804" s="1" t="n">
        <v>45617</v>
      </c>
      <c r="C4804" s="1" t="n">
        <v>45811</v>
      </c>
      <c r="D4804" t="inlineStr">
        <is>
          <t>VÄSTMANLANDS LÄN</t>
        </is>
      </c>
      <c r="E4804" t="inlineStr">
        <is>
          <t>VÄSTERÅS</t>
        </is>
      </c>
      <c r="F4804" t="inlineStr">
        <is>
          <t>Sveaskog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54540-2024</t>
        </is>
      </c>
      <c r="B4805" s="1" t="n">
        <v>45617</v>
      </c>
      <c r="C4805" s="1" t="n">
        <v>45811</v>
      </c>
      <c r="D4805" t="inlineStr">
        <is>
          <t>VÄSTMANLANDS LÄN</t>
        </is>
      </c>
      <c r="E4805" t="inlineStr">
        <is>
          <t>VÄSTERÅS</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54576-2024</t>
        </is>
      </c>
      <c r="B4806" s="1" t="n">
        <v>45617</v>
      </c>
      <c r="C4806" s="1" t="n">
        <v>45811</v>
      </c>
      <c r="D4806" t="inlineStr">
        <is>
          <t>VÄSTMANLANDS LÄN</t>
        </is>
      </c>
      <c r="E4806" t="inlineStr">
        <is>
          <t>SKINNSKATTEBERG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54441-2024</t>
        </is>
      </c>
      <c r="B4807" s="1" t="n">
        <v>45617</v>
      </c>
      <c r="C4807" s="1" t="n">
        <v>45811</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54501-2024</t>
        </is>
      </c>
      <c r="B4808" s="1" t="n">
        <v>45617</v>
      </c>
      <c r="C4808" s="1" t="n">
        <v>45811</v>
      </c>
      <c r="D4808" t="inlineStr">
        <is>
          <t>VÄSTMANLANDS LÄN</t>
        </is>
      </c>
      <c r="E4808" t="inlineStr">
        <is>
          <t>SKINNSKATTEBERG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54537-2024</t>
        </is>
      </c>
      <c r="B4809" s="1" t="n">
        <v>45617</v>
      </c>
      <c r="C4809" s="1" t="n">
        <v>45811</v>
      </c>
      <c r="D4809" t="inlineStr">
        <is>
          <t>VÄSTMANLANDS LÄN</t>
        </is>
      </c>
      <c r="E4809" t="inlineStr">
        <is>
          <t>VÄSTERÅS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54589-2024</t>
        </is>
      </c>
      <c r="B4810" s="1" t="n">
        <v>45617</v>
      </c>
      <c r="C4810" s="1" t="n">
        <v>45811</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54867-2024</t>
        </is>
      </c>
      <c r="B4811" s="1" t="n">
        <v>45618</v>
      </c>
      <c r="C4811" s="1" t="n">
        <v>45811</v>
      </c>
      <c r="D4811" t="inlineStr">
        <is>
          <t>VÄSTMANLANDS LÄN</t>
        </is>
      </c>
      <c r="E4811" t="inlineStr">
        <is>
          <t>KÖPING</t>
        </is>
      </c>
      <c r="F4811" t="inlineStr">
        <is>
          <t>Sveaskog</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54721-2024</t>
        </is>
      </c>
      <c r="B4812" s="1" t="n">
        <v>45618</v>
      </c>
      <c r="C4812" s="1" t="n">
        <v>45811</v>
      </c>
      <c r="D4812" t="inlineStr">
        <is>
          <t>VÄSTMANLANDS LÄN</t>
        </is>
      </c>
      <c r="E4812" t="inlineStr">
        <is>
          <t>NORBERG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54774-2024</t>
        </is>
      </c>
      <c r="B4813" s="1" t="n">
        <v>45618</v>
      </c>
      <c r="C4813" s="1" t="n">
        <v>45811</v>
      </c>
      <c r="D4813" t="inlineStr">
        <is>
          <t>VÄSTMANLANDS LÄN</t>
        </is>
      </c>
      <c r="E4813" t="inlineStr">
        <is>
          <t>SALA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54782-2024</t>
        </is>
      </c>
      <c r="B4814" s="1" t="n">
        <v>45618</v>
      </c>
      <c r="C4814" s="1" t="n">
        <v>45811</v>
      </c>
      <c r="D4814" t="inlineStr">
        <is>
          <t>VÄSTMANLANDS LÄN</t>
        </is>
      </c>
      <c r="E4814" t="inlineStr">
        <is>
          <t>SALA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54871-2024</t>
        </is>
      </c>
      <c r="B4815" s="1" t="n">
        <v>45618</v>
      </c>
      <c r="C4815" s="1" t="n">
        <v>45811</v>
      </c>
      <c r="D4815" t="inlineStr">
        <is>
          <t>VÄSTMANLANDS LÄN</t>
        </is>
      </c>
      <c r="E4815" t="inlineStr">
        <is>
          <t>KÖPING</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54835-2024</t>
        </is>
      </c>
      <c r="B4816" s="1" t="n">
        <v>45618</v>
      </c>
      <c r="C4816" s="1" t="n">
        <v>45811</v>
      </c>
      <c r="D4816" t="inlineStr">
        <is>
          <t>VÄSTMANLANDS LÄN</t>
        </is>
      </c>
      <c r="E4816" t="inlineStr">
        <is>
          <t>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55065-2024</t>
        </is>
      </c>
      <c r="B4817" s="1" t="n">
        <v>45618</v>
      </c>
      <c r="C4817" s="1" t="n">
        <v>45811</v>
      </c>
      <c r="D4817" t="inlineStr">
        <is>
          <t>VÄSTMANLANDS LÄN</t>
        </is>
      </c>
      <c r="E4817" t="inlineStr">
        <is>
          <t>SALA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54836-2024</t>
        </is>
      </c>
      <c r="B4818" s="1" t="n">
        <v>45618</v>
      </c>
      <c r="C4818" s="1" t="n">
        <v>45811</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55101-2024</t>
        </is>
      </c>
      <c r="B4819" s="1" t="n">
        <v>45618</v>
      </c>
      <c r="C4819" s="1" t="n">
        <v>45811</v>
      </c>
      <c r="D4819" t="inlineStr">
        <is>
          <t>VÄSTMANLANDS LÄN</t>
        </is>
      </c>
      <c r="E4819" t="inlineStr">
        <is>
          <t>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54771-2024</t>
        </is>
      </c>
      <c r="B4820" s="1" t="n">
        <v>45618</v>
      </c>
      <c r="C4820" s="1" t="n">
        <v>45811</v>
      </c>
      <c r="D4820" t="inlineStr">
        <is>
          <t>VÄSTMANLANDS LÄN</t>
        </is>
      </c>
      <c r="E4820" t="inlineStr">
        <is>
          <t>SALA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55107-2024</t>
        </is>
      </c>
      <c r="B4821" s="1" t="n">
        <v>45618</v>
      </c>
      <c r="C4821" s="1" t="n">
        <v>45811</v>
      </c>
      <c r="D4821" t="inlineStr">
        <is>
          <t>VÄSTMANLANDS LÄN</t>
        </is>
      </c>
      <c r="E4821" t="inlineStr">
        <is>
          <t>SALA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54869-2024</t>
        </is>
      </c>
      <c r="B4822" s="1" t="n">
        <v>45618</v>
      </c>
      <c r="C4822" s="1" t="n">
        <v>45811</v>
      </c>
      <c r="D4822" t="inlineStr">
        <is>
          <t>VÄSTMANLANDS LÄN</t>
        </is>
      </c>
      <c r="E4822" t="inlineStr">
        <is>
          <t>KÖPING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54768-2024</t>
        </is>
      </c>
      <c r="B4823" s="1" t="n">
        <v>45618</v>
      </c>
      <c r="C4823" s="1" t="n">
        <v>45811</v>
      </c>
      <c r="D4823" t="inlineStr">
        <is>
          <t>VÄSTMANLANDS LÄN</t>
        </is>
      </c>
      <c r="E4823" t="inlineStr">
        <is>
          <t>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54870-2024</t>
        </is>
      </c>
      <c r="B4824" s="1" t="n">
        <v>45618</v>
      </c>
      <c r="C4824" s="1" t="n">
        <v>45811</v>
      </c>
      <c r="D4824" t="inlineStr">
        <is>
          <t>VÄSTMANLANDS LÄN</t>
        </is>
      </c>
      <c r="E4824" t="inlineStr">
        <is>
          <t>KÖPING</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54671-2024</t>
        </is>
      </c>
      <c r="B4825" s="1" t="n">
        <v>45618</v>
      </c>
      <c r="C4825" s="1" t="n">
        <v>45811</v>
      </c>
      <c r="D4825" t="inlineStr">
        <is>
          <t>VÄSTMANLANDS LÄN</t>
        </is>
      </c>
      <c r="E4825" t="inlineStr">
        <is>
          <t>SURAHAMMAR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54959-2024</t>
        </is>
      </c>
      <c r="B4826" s="1" t="n">
        <v>45619</v>
      </c>
      <c r="C4826" s="1" t="n">
        <v>45811</v>
      </c>
      <c r="D4826" t="inlineStr">
        <is>
          <t>VÄSTMANLANDS LÄN</t>
        </is>
      </c>
      <c r="E4826" t="inlineStr">
        <is>
          <t>SALA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54960-2024</t>
        </is>
      </c>
      <c r="B4827" s="1" t="n">
        <v>45619</v>
      </c>
      <c r="C4827" s="1" t="n">
        <v>45811</v>
      </c>
      <c r="D4827" t="inlineStr">
        <is>
          <t>VÄSTMANLANDS LÄN</t>
        </is>
      </c>
      <c r="E4827" t="inlineStr">
        <is>
          <t>SALA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55195-2024</t>
        </is>
      </c>
      <c r="B4828" s="1" t="n">
        <v>45620</v>
      </c>
      <c r="C4828" s="1" t="n">
        <v>45811</v>
      </c>
      <c r="D4828" t="inlineStr">
        <is>
          <t>VÄSTMANLANDS LÄN</t>
        </is>
      </c>
      <c r="E4828" t="inlineStr">
        <is>
          <t>KÖPING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54998-2024</t>
        </is>
      </c>
      <c r="B4829" s="1" t="n">
        <v>45621</v>
      </c>
      <c r="C4829" s="1" t="n">
        <v>45811</v>
      </c>
      <c r="D4829" t="inlineStr">
        <is>
          <t>VÄSTMANLANDS LÄN</t>
        </is>
      </c>
      <c r="E4829" t="inlineStr">
        <is>
          <t>ARBOGA</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54999-2024</t>
        </is>
      </c>
      <c r="B4830" s="1" t="n">
        <v>45621</v>
      </c>
      <c r="C4830" s="1" t="n">
        <v>45811</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55004-2024</t>
        </is>
      </c>
      <c r="B4831" s="1" t="n">
        <v>45621</v>
      </c>
      <c r="C4831" s="1" t="n">
        <v>45811</v>
      </c>
      <c r="D4831" t="inlineStr">
        <is>
          <t>VÄSTMANLANDS LÄN</t>
        </is>
      </c>
      <c r="E4831" t="inlineStr">
        <is>
          <t>HALLSTAHAMMAR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55725-2024</t>
        </is>
      </c>
      <c r="B4832" s="1" t="n">
        <v>45622</v>
      </c>
      <c r="C4832" s="1" t="n">
        <v>45811</v>
      </c>
      <c r="D4832" t="inlineStr">
        <is>
          <t>VÄSTMANLANDS LÄN</t>
        </is>
      </c>
      <c r="E4832" t="inlineStr">
        <is>
          <t>SKINNSKATTEBERG</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55753-2024</t>
        </is>
      </c>
      <c r="B4833" s="1" t="n">
        <v>45623</v>
      </c>
      <c r="C4833" s="1" t="n">
        <v>45811</v>
      </c>
      <c r="D4833" t="inlineStr">
        <is>
          <t>VÄSTMANLANDS LÄN</t>
        </is>
      </c>
      <c r="E4833" t="inlineStr">
        <is>
          <t>VÄSTERÅS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55784-2024</t>
        </is>
      </c>
      <c r="B4834" s="1" t="n">
        <v>45623</v>
      </c>
      <c r="C4834" s="1" t="n">
        <v>45811</v>
      </c>
      <c r="D4834" t="inlineStr">
        <is>
          <t>VÄSTMANLANDS LÄN</t>
        </is>
      </c>
      <c r="E4834" t="inlineStr">
        <is>
          <t>SALA</t>
        </is>
      </c>
      <c r="F4834" t="inlineStr">
        <is>
          <t>Bergvik skog öst AB</t>
        </is>
      </c>
      <c r="G4834" t="n">
        <v>28.4</v>
      </c>
      <c r="H4834" t="n">
        <v>0</v>
      </c>
      <c r="I4834" t="n">
        <v>0</v>
      </c>
      <c r="J4834" t="n">
        <v>0</v>
      </c>
      <c r="K4834" t="n">
        <v>0</v>
      </c>
      <c r="L4834" t="n">
        <v>0</v>
      </c>
      <c r="M4834" t="n">
        <v>0</v>
      </c>
      <c r="N4834" t="n">
        <v>0</v>
      </c>
      <c r="O4834" t="n">
        <v>0</v>
      </c>
      <c r="P4834" t="n">
        <v>0</v>
      </c>
      <c r="Q4834" t="n">
        <v>0</v>
      </c>
      <c r="R4834" s="2" t="inlineStr"/>
    </row>
    <row r="4835" ht="15" customHeight="1">
      <c r="A4835" t="inlineStr">
        <is>
          <t>A 55801-2024</t>
        </is>
      </c>
      <c r="B4835" s="1" t="n">
        <v>45623</v>
      </c>
      <c r="C4835" s="1" t="n">
        <v>45811</v>
      </c>
      <c r="D4835" t="inlineStr">
        <is>
          <t>VÄSTMANLANDS LÄN</t>
        </is>
      </c>
      <c r="E4835" t="inlineStr">
        <is>
          <t>VÄSTERÅS</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55887-2024</t>
        </is>
      </c>
      <c r="B4836" s="1" t="n">
        <v>45623</v>
      </c>
      <c r="C4836" s="1" t="n">
        <v>45811</v>
      </c>
      <c r="D4836" t="inlineStr">
        <is>
          <t>VÄSTMANLANDS LÄN</t>
        </is>
      </c>
      <c r="E4836" t="inlineStr">
        <is>
          <t>NORBERG</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55973-2024</t>
        </is>
      </c>
      <c r="B4837" s="1" t="n">
        <v>45623</v>
      </c>
      <c r="C4837" s="1" t="n">
        <v>45811</v>
      </c>
      <c r="D4837" t="inlineStr">
        <is>
          <t>VÄSTMANLANDS LÄN</t>
        </is>
      </c>
      <c r="E4837" t="inlineStr">
        <is>
          <t>VÄSTERÅS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56159-2024</t>
        </is>
      </c>
      <c r="B4838" s="1" t="n">
        <v>45623</v>
      </c>
      <c r="C4838" s="1" t="n">
        <v>45811</v>
      </c>
      <c r="D4838" t="inlineStr">
        <is>
          <t>VÄSTMANLANDS LÄN</t>
        </is>
      </c>
      <c r="E4838" t="inlineStr">
        <is>
          <t>NORBERG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56150-2024</t>
        </is>
      </c>
      <c r="B4839" s="1" t="n">
        <v>45624</v>
      </c>
      <c r="C4839" s="1" t="n">
        <v>45811</v>
      </c>
      <c r="D4839" t="inlineStr">
        <is>
          <t>VÄSTMANLANDS LÄN</t>
        </is>
      </c>
      <c r="E4839" t="inlineStr">
        <is>
          <t>SALA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56463-2024</t>
        </is>
      </c>
      <c r="B4840" s="1" t="n">
        <v>45625</v>
      </c>
      <c r="C4840" s="1" t="n">
        <v>45811</v>
      </c>
      <c r="D4840" t="inlineStr">
        <is>
          <t>VÄSTMANLANDS LÄN</t>
        </is>
      </c>
      <c r="E4840" t="inlineStr">
        <is>
          <t>ARBOGA</t>
        </is>
      </c>
      <c r="F4840" t="inlineStr">
        <is>
          <t>Kommuner</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56540-2024</t>
        </is>
      </c>
      <c r="B4841" s="1" t="n">
        <v>45625</v>
      </c>
      <c r="C4841" s="1" t="n">
        <v>45811</v>
      </c>
      <c r="D4841" t="inlineStr">
        <is>
          <t>VÄSTMANLANDS LÄN</t>
        </is>
      </c>
      <c r="E4841" t="inlineStr">
        <is>
          <t>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56548-2024</t>
        </is>
      </c>
      <c r="B4842" s="1" t="n">
        <v>45625</v>
      </c>
      <c r="C4842" s="1" t="n">
        <v>45811</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56543-2024</t>
        </is>
      </c>
      <c r="B4843" s="1" t="n">
        <v>45625</v>
      </c>
      <c r="C4843" s="1" t="n">
        <v>45811</v>
      </c>
      <c r="D4843" t="inlineStr">
        <is>
          <t>VÄSTMANLANDS LÄN</t>
        </is>
      </c>
      <c r="E4843" t="inlineStr">
        <is>
          <t>SALA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56694-2024</t>
        </is>
      </c>
      <c r="B4844" s="1" t="n">
        <v>45627</v>
      </c>
      <c r="C4844" s="1" t="n">
        <v>45811</v>
      </c>
      <c r="D4844" t="inlineStr">
        <is>
          <t>VÄSTMANLANDS LÄN</t>
        </is>
      </c>
      <c r="E4844" t="inlineStr">
        <is>
          <t>FAGERSTA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56698-2024</t>
        </is>
      </c>
      <c r="B4845" s="1" t="n">
        <v>45627</v>
      </c>
      <c r="C4845" s="1" t="n">
        <v>45811</v>
      </c>
      <c r="D4845" t="inlineStr">
        <is>
          <t>VÄSTMANLANDS LÄN</t>
        </is>
      </c>
      <c r="E4845" t="inlineStr">
        <is>
          <t>FAGERSTA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56688-2024</t>
        </is>
      </c>
      <c r="B4846" s="1" t="n">
        <v>45627</v>
      </c>
      <c r="C4846" s="1" t="n">
        <v>45811</v>
      </c>
      <c r="D4846" t="inlineStr">
        <is>
          <t>VÄSTMANLANDS LÄN</t>
        </is>
      </c>
      <c r="E4846" t="inlineStr">
        <is>
          <t>SALA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56696-2024</t>
        </is>
      </c>
      <c r="B4847" s="1" t="n">
        <v>45627</v>
      </c>
      <c r="C4847" s="1" t="n">
        <v>45811</v>
      </c>
      <c r="D4847" t="inlineStr">
        <is>
          <t>VÄSTMANLANDS LÄN</t>
        </is>
      </c>
      <c r="E4847" t="inlineStr">
        <is>
          <t>FAGERSTA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56704-2024</t>
        </is>
      </c>
      <c r="B4848" s="1" t="n">
        <v>45627</v>
      </c>
      <c r="C4848" s="1" t="n">
        <v>45811</v>
      </c>
      <c r="D4848" t="inlineStr">
        <is>
          <t>VÄSTMANLANDS LÄN</t>
        </is>
      </c>
      <c r="E4848" t="inlineStr">
        <is>
          <t>FAGERSTA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56687-2024</t>
        </is>
      </c>
      <c r="B4849" s="1" t="n">
        <v>45627</v>
      </c>
      <c r="C4849" s="1" t="n">
        <v>45811</v>
      </c>
      <c r="D4849" t="inlineStr">
        <is>
          <t>VÄSTMANLANDS LÄN</t>
        </is>
      </c>
      <c r="E4849" t="inlineStr">
        <is>
          <t>SALA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56699-2024</t>
        </is>
      </c>
      <c r="B4850" s="1" t="n">
        <v>45627</v>
      </c>
      <c r="C4850" s="1" t="n">
        <v>45811</v>
      </c>
      <c r="D4850" t="inlineStr">
        <is>
          <t>VÄSTMANLANDS LÄN</t>
        </is>
      </c>
      <c r="E4850" t="inlineStr">
        <is>
          <t>FAGERSTA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56689-2024</t>
        </is>
      </c>
      <c r="B4851" s="1" t="n">
        <v>45627</v>
      </c>
      <c r="C4851" s="1" t="n">
        <v>45811</v>
      </c>
      <c r="D4851" t="inlineStr">
        <is>
          <t>VÄSTMANLANDS LÄN</t>
        </is>
      </c>
      <c r="E4851" t="inlineStr">
        <is>
          <t>SALA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56814-2024</t>
        </is>
      </c>
      <c r="B4852" s="1" t="n">
        <v>45628</v>
      </c>
      <c r="C4852" s="1" t="n">
        <v>45811</v>
      </c>
      <c r="D4852" t="inlineStr">
        <is>
          <t>VÄSTMANLANDS LÄN</t>
        </is>
      </c>
      <c r="E4852" t="inlineStr">
        <is>
          <t>SALA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56939-2024</t>
        </is>
      </c>
      <c r="B4853" s="1" t="n">
        <v>45628</v>
      </c>
      <c r="C4853" s="1" t="n">
        <v>45811</v>
      </c>
      <c r="D4853" t="inlineStr">
        <is>
          <t>VÄSTMANLANDS LÄN</t>
        </is>
      </c>
      <c r="E4853" t="inlineStr">
        <is>
          <t>VÄSTERÅS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56945-2024</t>
        </is>
      </c>
      <c r="B4854" s="1" t="n">
        <v>45628</v>
      </c>
      <c r="C4854" s="1" t="n">
        <v>45811</v>
      </c>
      <c r="D4854" t="inlineStr">
        <is>
          <t>VÄSTMANLANDS LÄN</t>
        </is>
      </c>
      <c r="E4854" t="inlineStr">
        <is>
          <t>VÄSTERÅS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56982-2024</t>
        </is>
      </c>
      <c r="B4855" s="1" t="n">
        <v>45628</v>
      </c>
      <c r="C4855" s="1" t="n">
        <v>45811</v>
      </c>
      <c r="D4855" t="inlineStr">
        <is>
          <t>VÄSTMANLANDS LÄN</t>
        </is>
      </c>
      <c r="E4855" t="inlineStr">
        <is>
          <t>ARBOGA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56798-2024</t>
        </is>
      </c>
      <c r="B4856" s="1" t="n">
        <v>45628</v>
      </c>
      <c r="C4856" s="1" t="n">
        <v>45811</v>
      </c>
      <c r="D4856" t="inlineStr">
        <is>
          <t>VÄSTMANLANDS LÄN</t>
        </is>
      </c>
      <c r="E4856" t="inlineStr">
        <is>
          <t>KÖPING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56902-2024</t>
        </is>
      </c>
      <c r="B4857" s="1" t="n">
        <v>45628</v>
      </c>
      <c r="C4857" s="1" t="n">
        <v>45811</v>
      </c>
      <c r="D4857" t="inlineStr">
        <is>
          <t>VÄSTMANLANDS LÄN</t>
        </is>
      </c>
      <c r="E4857" t="inlineStr">
        <is>
          <t>VÄSTERÅS</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56931-2024</t>
        </is>
      </c>
      <c r="B4858" s="1" t="n">
        <v>45628</v>
      </c>
      <c r="C4858" s="1" t="n">
        <v>45811</v>
      </c>
      <c r="D4858" t="inlineStr">
        <is>
          <t>VÄSTMANLANDS LÄN</t>
        </is>
      </c>
      <c r="E4858" t="inlineStr">
        <is>
          <t>SKINNSKATTEBERG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56948-2024</t>
        </is>
      </c>
      <c r="B4859" s="1" t="n">
        <v>45628</v>
      </c>
      <c r="C4859" s="1" t="n">
        <v>45811</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56977-2024</t>
        </is>
      </c>
      <c r="B4860" s="1" t="n">
        <v>45628</v>
      </c>
      <c r="C4860" s="1" t="n">
        <v>45811</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57160-2024</t>
        </is>
      </c>
      <c r="B4861" s="1" t="n">
        <v>45629</v>
      </c>
      <c r="C4861" s="1" t="n">
        <v>45811</v>
      </c>
      <c r="D4861" t="inlineStr">
        <is>
          <t>VÄSTMANLANDS LÄN</t>
        </is>
      </c>
      <c r="E4861" t="inlineStr">
        <is>
          <t>HALLSTAHAMMAR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57044-2024</t>
        </is>
      </c>
      <c r="B4862" s="1" t="n">
        <v>45629</v>
      </c>
      <c r="C4862" s="1" t="n">
        <v>45811</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57039-2024</t>
        </is>
      </c>
      <c r="B4863" s="1" t="n">
        <v>45629</v>
      </c>
      <c r="C4863" s="1" t="n">
        <v>45811</v>
      </c>
      <c r="D4863" t="inlineStr">
        <is>
          <t>VÄSTMANLANDS LÄN</t>
        </is>
      </c>
      <c r="E4863" t="inlineStr">
        <is>
          <t>ARBOGA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57256-2024</t>
        </is>
      </c>
      <c r="B4864" s="1" t="n">
        <v>45629</v>
      </c>
      <c r="C4864" s="1" t="n">
        <v>45811</v>
      </c>
      <c r="D4864" t="inlineStr">
        <is>
          <t>VÄSTMANLANDS LÄN</t>
        </is>
      </c>
      <c r="E4864" t="inlineStr">
        <is>
          <t>ARBOGA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57262-2024</t>
        </is>
      </c>
      <c r="B4865" s="1" t="n">
        <v>45629</v>
      </c>
      <c r="C4865" s="1" t="n">
        <v>45811</v>
      </c>
      <c r="D4865" t="inlineStr">
        <is>
          <t>VÄSTMANLANDS LÄN</t>
        </is>
      </c>
      <c r="E4865" t="inlineStr">
        <is>
          <t>ARBOGA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57297-2024</t>
        </is>
      </c>
      <c r="B4866" s="1" t="n">
        <v>45629</v>
      </c>
      <c r="C4866" s="1" t="n">
        <v>45811</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57404-2024</t>
        </is>
      </c>
      <c r="B4867" s="1" t="n">
        <v>45629</v>
      </c>
      <c r="C4867" s="1" t="n">
        <v>45811</v>
      </c>
      <c r="D4867" t="inlineStr">
        <is>
          <t>VÄSTMANLANDS LÄN</t>
        </is>
      </c>
      <c r="E4867" t="inlineStr">
        <is>
          <t>SALA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57496-2024</t>
        </is>
      </c>
      <c r="B4868" s="1" t="n">
        <v>45630</v>
      </c>
      <c r="C4868" s="1" t="n">
        <v>45811</v>
      </c>
      <c r="D4868" t="inlineStr">
        <is>
          <t>VÄSTMANLANDS LÄN</t>
        </is>
      </c>
      <c r="E4868" t="inlineStr">
        <is>
          <t>KÖPING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57597-2024</t>
        </is>
      </c>
      <c r="B4869" s="1" t="n">
        <v>45630</v>
      </c>
      <c r="C4869" s="1" t="n">
        <v>45811</v>
      </c>
      <c r="D4869" t="inlineStr">
        <is>
          <t>VÄSTMANLANDS LÄN</t>
        </is>
      </c>
      <c r="E4869" t="inlineStr">
        <is>
          <t>ARBOGA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57596-2024</t>
        </is>
      </c>
      <c r="B4870" s="1" t="n">
        <v>45630</v>
      </c>
      <c r="C4870" s="1" t="n">
        <v>45811</v>
      </c>
      <c r="D4870" t="inlineStr">
        <is>
          <t>VÄSTMANLANDS LÄN</t>
        </is>
      </c>
      <c r="E4870" t="inlineStr">
        <is>
          <t>ARBOGA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57650-2024</t>
        </is>
      </c>
      <c r="B4871" s="1" t="n">
        <v>45630</v>
      </c>
      <c r="C4871" s="1" t="n">
        <v>45811</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57636-2024</t>
        </is>
      </c>
      <c r="B4872" s="1" t="n">
        <v>45630</v>
      </c>
      <c r="C4872" s="1" t="n">
        <v>45811</v>
      </c>
      <c r="D4872" t="inlineStr">
        <is>
          <t>VÄSTMANLANDS LÄN</t>
        </is>
      </c>
      <c r="E4872" t="inlineStr">
        <is>
          <t>VÄSTERÅS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57883-2024</t>
        </is>
      </c>
      <c r="B4873" s="1" t="n">
        <v>45630</v>
      </c>
      <c r="C4873" s="1" t="n">
        <v>45811</v>
      </c>
      <c r="D4873" t="inlineStr">
        <is>
          <t>VÄSTMANLANDS LÄN</t>
        </is>
      </c>
      <c r="E4873" t="inlineStr">
        <is>
          <t>SALA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57813-2024</t>
        </is>
      </c>
      <c r="B4874" s="1" t="n">
        <v>45631</v>
      </c>
      <c r="C4874" s="1" t="n">
        <v>45811</v>
      </c>
      <c r="D4874" t="inlineStr">
        <is>
          <t>VÄSTMANLANDS LÄN</t>
        </is>
      </c>
      <c r="E4874" t="inlineStr">
        <is>
          <t>KÖPING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57823-2024</t>
        </is>
      </c>
      <c r="B4875" s="1" t="n">
        <v>45631</v>
      </c>
      <c r="C4875" s="1" t="n">
        <v>45811</v>
      </c>
      <c r="D4875" t="inlineStr">
        <is>
          <t>VÄSTMANLANDS LÄN</t>
        </is>
      </c>
      <c r="E4875" t="inlineStr">
        <is>
          <t>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57884-2024</t>
        </is>
      </c>
      <c r="B4876" s="1" t="n">
        <v>45631</v>
      </c>
      <c r="C4876" s="1" t="n">
        <v>45811</v>
      </c>
      <c r="D4876" t="inlineStr">
        <is>
          <t>VÄSTMANLANDS LÄN</t>
        </is>
      </c>
      <c r="E4876" t="inlineStr">
        <is>
          <t>ARBOGA</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57993-2024</t>
        </is>
      </c>
      <c r="B4877" s="1" t="n">
        <v>45631</v>
      </c>
      <c r="C4877" s="1" t="n">
        <v>45811</v>
      </c>
      <c r="D4877" t="inlineStr">
        <is>
          <t>VÄSTMANLANDS LÄN</t>
        </is>
      </c>
      <c r="E4877" t="inlineStr">
        <is>
          <t>NORBERG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57895-2024</t>
        </is>
      </c>
      <c r="B4878" s="1" t="n">
        <v>45631</v>
      </c>
      <c r="C4878" s="1" t="n">
        <v>45811</v>
      </c>
      <c r="D4878" t="inlineStr">
        <is>
          <t>VÄSTMANLANDS LÄN</t>
        </is>
      </c>
      <c r="E4878" t="inlineStr">
        <is>
          <t>SALA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57872-2024</t>
        </is>
      </c>
      <c r="B4879" s="1" t="n">
        <v>45631</v>
      </c>
      <c r="C4879" s="1" t="n">
        <v>45811</v>
      </c>
      <c r="D4879" t="inlineStr">
        <is>
          <t>VÄSTMANLANDS LÄN</t>
        </is>
      </c>
      <c r="E4879" t="inlineStr">
        <is>
          <t>ARBOGA</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57890-2024</t>
        </is>
      </c>
      <c r="B4880" s="1" t="n">
        <v>45631</v>
      </c>
      <c r="C4880" s="1" t="n">
        <v>45811</v>
      </c>
      <c r="D4880" t="inlineStr">
        <is>
          <t>VÄSTMANLANDS LÄN</t>
        </is>
      </c>
      <c r="E4880" t="inlineStr">
        <is>
          <t>ARBOGA</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57948-2024</t>
        </is>
      </c>
      <c r="B4881" s="1" t="n">
        <v>45631</v>
      </c>
      <c r="C4881" s="1" t="n">
        <v>45811</v>
      </c>
      <c r="D4881" t="inlineStr">
        <is>
          <t>VÄSTMANLANDS LÄN</t>
        </is>
      </c>
      <c r="E4881" t="inlineStr">
        <is>
          <t>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57975-2024</t>
        </is>
      </c>
      <c r="B4882" s="1" t="n">
        <v>45631</v>
      </c>
      <c r="C4882" s="1" t="n">
        <v>45811</v>
      </c>
      <c r="D4882" t="inlineStr">
        <is>
          <t>VÄSTMANLANDS LÄN</t>
        </is>
      </c>
      <c r="E4882" t="inlineStr">
        <is>
          <t>VÄSTERÅS</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57990-2024</t>
        </is>
      </c>
      <c r="B4883" s="1" t="n">
        <v>45631</v>
      </c>
      <c r="C4883" s="1" t="n">
        <v>45811</v>
      </c>
      <c r="D4883" t="inlineStr">
        <is>
          <t>VÄSTMANLANDS LÄN</t>
        </is>
      </c>
      <c r="E4883" t="inlineStr">
        <is>
          <t>NORBERG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58028-2024</t>
        </is>
      </c>
      <c r="B4884" s="1" t="n">
        <v>45631</v>
      </c>
      <c r="C4884" s="1" t="n">
        <v>45811</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58126-2024</t>
        </is>
      </c>
      <c r="B4885" s="1" t="n">
        <v>45632</v>
      </c>
      <c r="C4885" s="1" t="n">
        <v>45811</v>
      </c>
      <c r="D4885" t="inlineStr">
        <is>
          <t>VÄSTMANLANDS LÄN</t>
        </is>
      </c>
      <c r="E4885" t="inlineStr">
        <is>
          <t>SALA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58241-2024</t>
        </is>
      </c>
      <c r="B4886" s="1" t="n">
        <v>45632</v>
      </c>
      <c r="C4886" s="1" t="n">
        <v>45811</v>
      </c>
      <c r="D4886" t="inlineStr">
        <is>
          <t>VÄSTMANLANDS LÄN</t>
        </is>
      </c>
      <c r="E4886" t="inlineStr">
        <is>
          <t>ARBOGA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58310-2024</t>
        </is>
      </c>
      <c r="B4887" s="1" t="n">
        <v>45632</v>
      </c>
      <c r="C4887" s="1" t="n">
        <v>45811</v>
      </c>
      <c r="D4887" t="inlineStr">
        <is>
          <t>VÄSTMANLANDS LÄN</t>
        </is>
      </c>
      <c r="E4887" t="inlineStr">
        <is>
          <t>FAGERSTA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58262-2024</t>
        </is>
      </c>
      <c r="B4888" s="1" t="n">
        <v>45632</v>
      </c>
      <c r="C4888" s="1" t="n">
        <v>45811</v>
      </c>
      <c r="D4888" t="inlineStr">
        <is>
          <t>VÄSTMANLANDS LÄN</t>
        </is>
      </c>
      <c r="E4888" t="inlineStr">
        <is>
          <t>ARBOGA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58305-2024</t>
        </is>
      </c>
      <c r="B4889" s="1" t="n">
        <v>45632</v>
      </c>
      <c r="C4889" s="1" t="n">
        <v>45811</v>
      </c>
      <c r="D4889" t="inlineStr">
        <is>
          <t>VÄSTMANLANDS LÄN</t>
        </is>
      </c>
      <c r="E4889" t="inlineStr">
        <is>
          <t>FAGERSTA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58616-2024</t>
        </is>
      </c>
      <c r="B4890" s="1" t="n">
        <v>45632</v>
      </c>
      <c r="C4890" s="1" t="n">
        <v>45811</v>
      </c>
      <c r="D4890" t="inlineStr">
        <is>
          <t>VÄSTMANLANDS LÄN</t>
        </is>
      </c>
      <c r="E4890" t="inlineStr">
        <is>
          <t>NORBERG</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58460-2024</t>
        </is>
      </c>
      <c r="B4891" s="1" t="n">
        <v>45635</v>
      </c>
      <c r="C4891" s="1" t="n">
        <v>45811</v>
      </c>
      <c r="D4891" t="inlineStr">
        <is>
          <t>VÄSTMANLANDS LÄN</t>
        </is>
      </c>
      <c r="E4891" t="inlineStr">
        <is>
          <t>FAGERSTA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58464-2024</t>
        </is>
      </c>
      <c r="B4892" s="1" t="n">
        <v>45635</v>
      </c>
      <c r="C4892" s="1" t="n">
        <v>45811</v>
      </c>
      <c r="D4892" t="inlineStr">
        <is>
          <t>VÄSTMANLANDS LÄN</t>
        </is>
      </c>
      <c r="E4892" t="inlineStr">
        <is>
          <t>FAGERSTA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58468-2024</t>
        </is>
      </c>
      <c r="B4893" s="1" t="n">
        <v>45635</v>
      </c>
      <c r="C4893" s="1" t="n">
        <v>45811</v>
      </c>
      <c r="D4893" t="inlineStr">
        <is>
          <t>VÄSTMANLANDS LÄN</t>
        </is>
      </c>
      <c r="E4893" t="inlineStr">
        <is>
          <t>FAGERSTA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58594-2024</t>
        </is>
      </c>
      <c r="B4894" s="1" t="n">
        <v>45635</v>
      </c>
      <c r="C4894" s="1" t="n">
        <v>45811</v>
      </c>
      <c r="D4894" t="inlineStr">
        <is>
          <t>VÄSTMANLANDS LÄN</t>
        </is>
      </c>
      <c r="E4894" t="inlineStr">
        <is>
          <t>FAGERSTA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58651-2024</t>
        </is>
      </c>
      <c r="B4895" s="1" t="n">
        <v>45635</v>
      </c>
      <c r="C4895" s="1" t="n">
        <v>45811</v>
      </c>
      <c r="D4895" t="inlineStr">
        <is>
          <t>VÄSTMANLANDS LÄN</t>
        </is>
      </c>
      <c r="E4895" t="inlineStr">
        <is>
          <t>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58655-2024</t>
        </is>
      </c>
      <c r="B4896" s="1" t="n">
        <v>45635</v>
      </c>
      <c r="C4896" s="1" t="n">
        <v>45811</v>
      </c>
      <c r="D4896" t="inlineStr">
        <is>
          <t>VÄSTMANLANDS LÄN</t>
        </is>
      </c>
      <c r="E4896" t="inlineStr">
        <is>
          <t>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58770-2024</t>
        </is>
      </c>
      <c r="B4897" s="1" t="n">
        <v>45635</v>
      </c>
      <c r="C4897" s="1" t="n">
        <v>45811</v>
      </c>
      <c r="D4897" t="inlineStr">
        <is>
          <t>VÄSTMANLANDS LÄN</t>
        </is>
      </c>
      <c r="E4897" t="inlineStr">
        <is>
          <t>FAGERSTA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58861-2024</t>
        </is>
      </c>
      <c r="B4898" s="1" t="n">
        <v>45636</v>
      </c>
      <c r="C4898" s="1" t="n">
        <v>45811</v>
      </c>
      <c r="D4898" t="inlineStr">
        <is>
          <t>VÄSTMANLANDS LÄN</t>
        </is>
      </c>
      <c r="E4898" t="inlineStr">
        <is>
          <t>VÄSTERÅS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58957-2024</t>
        </is>
      </c>
      <c r="B4899" s="1" t="n">
        <v>45636</v>
      </c>
      <c r="C4899" s="1" t="n">
        <v>45811</v>
      </c>
      <c r="D4899" t="inlineStr">
        <is>
          <t>VÄSTMANLANDS LÄN</t>
        </is>
      </c>
      <c r="E4899" t="inlineStr">
        <is>
          <t>VÄSTERÅS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59578-2024</t>
        </is>
      </c>
      <c r="B4900" s="1" t="n">
        <v>45637</v>
      </c>
      <c r="C4900" s="1" t="n">
        <v>45811</v>
      </c>
      <c r="D4900" t="inlineStr">
        <is>
          <t>VÄSTMANLANDS LÄN</t>
        </is>
      </c>
      <c r="E4900" t="inlineStr">
        <is>
          <t>SKINNSKATTEBERG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59536-2024</t>
        </is>
      </c>
      <c r="B4901" s="1" t="n">
        <v>45638</v>
      </c>
      <c r="C4901" s="1" t="n">
        <v>45811</v>
      </c>
      <c r="D4901" t="inlineStr">
        <is>
          <t>VÄSTMANLANDS LÄN</t>
        </is>
      </c>
      <c r="E4901" t="inlineStr">
        <is>
          <t>VÄSTERÅS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59520-2024</t>
        </is>
      </c>
      <c r="B4902" s="1" t="n">
        <v>45638</v>
      </c>
      <c r="C4902" s="1" t="n">
        <v>45811</v>
      </c>
      <c r="D4902" t="inlineStr">
        <is>
          <t>VÄSTMANLANDS LÄN</t>
        </is>
      </c>
      <c r="E4902" t="inlineStr">
        <is>
          <t>VÄSTERÅS</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59860-2024</t>
        </is>
      </c>
      <c r="B4903" s="1" t="n">
        <v>45638</v>
      </c>
      <c r="C4903" s="1" t="n">
        <v>45811</v>
      </c>
      <c r="D4903" t="inlineStr">
        <is>
          <t>VÄSTMANLANDS LÄN</t>
        </is>
      </c>
      <c r="E4903" t="inlineStr">
        <is>
          <t>SALA</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59805-2024</t>
        </is>
      </c>
      <c r="B4904" s="1" t="n">
        <v>45639</v>
      </c>
      <c r="C4904" s="1" t="n">
        <v>45811</v>
      </c>
      <c r="D4904" t="inlineStr">
        <is>
          <t>VÄSTMANLANDS LÄN</t>
        </is>
      </c>
      <c r="E4904" t="inlineStr">
        <is>
          <t>KUNGSÖR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59705-2024</t>
        </is>
      </c>
      <c r="B4905" s="1" t="n">
        <v>45639</v>
      </c>
      <c r="C4905" s="1" t="n">
        <v>45811</v>
      </c>
      <c r="D4905" t="inlineStr">
        <is>
          <t>VÄSTMANLANDS LÄN</t>
        </is>
      </c>
      <c r="E4905" t="inlineStr">
        <is>
          <t>NORBERG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59747-2024</t>
        </is>
      </c>
      <c r="B4906" s="1" t="n">
        <v>45639</v>
      </c>
      <c r="C4906" s="1" t="n">
        <v>45811</v>
      </c>
      <c r="D4906" t="inlineStr">
        <is>
          <t>VÄSTMANLANDS LÄN</t>
        </is>
      </c>
      <c r="E4906" t="inlineStr">
        <is>
          <t>VÄSTERÅS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59741-2024</t>
        </is>
      </c>
      <c r="B4907" s="1" t="n">
        <v>45639</v>
      </c>
      <c r="C4907" s="1" t="n">
        <v>45811</v>
      </c>
      <c r="D4907" t="inlineStr">
        <is>
          <t>VÄSTMANLANDS LÄN</t>
        </is>
      </c>
      <c r="E4907" t="inlineStr">
        <is>
          <t>VÄSTERÅS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59740-2024</t>
        </is>
      </c>
      <c r="B4908" s="1" t="n">
        <v>45639</v>
      </c>
      <c r="C4908" s="1" t="n">
        <v>45811</v>
      </c>
      <c r="D4908" t="inlineStr">
        <is>
          <t>VÄSTMANLANDS LÄN</t>
        </is>
      </c>
      <c r="E4908" t="inlineStr">
        <is>
          <t>VÄSTERÅS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59909-2024</t>
        </is>
      </c>
      <c r="B4909" s="1" t="n">
        <v>45641</v>
      </c>
      <c r="C4909" s="1" t="n">
        <v>45811</v>
      </c>
      <c r="D4909" t="inlineStr">
        <is>
          <t>VÄSTMANLANDS LÄN</t>
        </is>
      </c>
      <c r="E4909" t="inlineStr">
        <is>
          <t>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60036-2024</t>
        </is>
      </c>
      <c r="B4910" s="1" t="n">
        <v>45642</v>
      </c>
      <c r="C4910" s="1" t="n">
        <v>45811</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60034-2024</t>
        </is>
      </c>
      <c r="B4911" s="1" t="n">
        <v>45642</v>
      </c>
      <c r="C4911" s="1" t="n">
        <v>45811</v>
      </c>
      <c r="D4911" t="inlineStr">
        <is>
          <t>VÄSTMANLANDS LÄN</t>
        </is>
      </c>
      <c r="E4911" t="inlineStr">
        <is>
          <t>SALA</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60030-2024</t>
        </is>
      </c>
      <c r="B4912" s="1" t="n">
        <v>45642</v>
      </c>
      <c r="C4912" s="1" t="n">
        <v>45811</v>
      </c>
      <c r="D4912" t="inlineStr">
        <is>
          <t>VÄSTMANLANDS LÄN</t>
        </is>
      </c>
      <c r="E4912" t="inlineStr">
        <is>
          <t>SURAHAMMAR</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60328-2024</t>
        </is>
      </c>
      <c r="B4913" s="1" t="n">
        <v>45643</v>
      </c>
      <c r="C4913" s="1" t="n">
        <v>45811</v>
      </c>
      <c r="D4913" t="inlineStr">
        <is>
          <t>VÄSTMANLANDS LÄN</t>
        </is>
      </c>
      <c r="E4913" t="inlineStr">
        <is>
          <t>SALA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60355-2024</t>
        </is>
      </c>
      <c r="B4914" s="1" t="n">
        <v>45643</v>
      </c>
      <c r="C4914" s="1" t="n">
        <v>45811</v>
      </c>
      <c r="D4914" t="inlineStr">
        <is>
          <t>VÄSTMANLANDS LÄN</t>
        </is>
      </c>
      <c r="E4914" t="inlineStr">
        <is>
          <t>SKINNSKATTEBERG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60550-2024</t>
        </is>
      </c>
      <c r="B4915" s="1" t="n">
        <v>45643</v>
      </c>
      <c r="C4915" s="1" t="n">
        <v>45811</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60548-2024</t>
        </is>
      </c>
      <c r="B4916" s="1" t="n">
        <v>45643</v>
      </c>
      <c r="C4916" s="1" t="n">
        <v>45811</v>
      </c>
      <c r="D4916" t="inlineStr">
        <is>
          <t>VÄSTMANLANDS LÄN</t>
        </is>
      </c>
      <c r="E4916" t="inlineStr">
        <is>
          <t>SALA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60547-2024</t>
        </is>
      </c>
      <c r="B4917" s="1" t="n">
        <v>45643</v>
      </c>
      <c r="C4917" s="1" t="n">
        <v>45811</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60541-2024</t>
        </is>
      </c>
      <c r="B4918" s="1" t="n">
        <v>45643</v>
      </c>
      <c r="C4918" s="1" t="n">
        <v>45811</v>
      </c>
      <c r="D4918" t="inlineStr">
        <is>
          <t>VÄSTMANLANDS LÄN</t>
        </is>
      </c>
      <c r="E4918" t="inlineStr">
        <is>
          <t>SALA</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60545-2024</t>
        </is>
      </c>
      <c r="B4919" s="1" t="n">
        <v>45643</v>
      </c>
      <c r="C4919" s="1" t="n">
        <v>45811</v>
      </c>
      <c r="D4919" t="inlineStr">
        <is>
          <t>VÄSTMANLANDS LÄN</t>
        </is>
      </c>
      <c r="E4919" t="inlineStr">
        <is>
          <t>SALA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60764-2024</t>
        </is>
      </c>
      <c r="B4920" s="1" t="n">
        <v>45644</v>
      </c>
      <c r="C4920" s="1" t="n">
        <v>45811</v>
      </c>
      <c r="D4920" t="inlineStr">
        <is>
          <t>VÄSTMANLANDS LÄN</t>
        </is>
      </c>
      <c r="E4920" t="inlineStr">
        <is>
          <t>KUNGSÖR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60818-2024</t>
        </is>
      </c>
      <c r="B4921" s="1" t="n">
        <v>45644</v>
      </c>
      <c r="C4921" s="1" t="n">
        <v>45811</v>
      </c>
      <c r="D4921" t="inlineStr">
        <is>
          <t>VÄSTMANLANDS LÄN</t>
        </is>
      </c>
      <c r="E4921" t="inlineStr">
        <is>
          <t>SALA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60736-2024</t>
        </is>
      </c>
      <c r="B4922" s="1" t="n">
        <v>45644</v>
      </c>
      <c r="C4922" s="1" t="n">
        <v>45811</v>
      </c>
      <c r="D4922" t="inlineStr">
        <is>
          <t>VÄSTMANLANDS LÄN</t>
        </is>
      </c>
      <c r="E4922" t="inlineStr">
        <is>
          <t>KUNGSÖR</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60754-2024</t>
        </is>
      </c>
      <c r="B4923" s="1" t="n">
        <v>45644</v>
      </c>
      <c r="C4923" s="1" t="n">
        <v>45811</v>
      </c>
      <c r="D4923" t="inlineStr">
        <is>
          <t>VÄSTMANLANDS LÄN</t>
        </is>
      </c>
      <c r="E4923" t="inlineStr">
        <is>
          <t>KUNGSÖR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60823-2024</t>
        </is>
      </c>
      <c r="B4924" s="1" t="n">
        <v>45644</v>
      </c>
      <c r="C4924" s="1" t="n">
        <v>45811</v>
      </c>
      <c r="D4924" t="inlineStr">
        <is>
          <t>VÄSTMANLANDS LÄN</t>
        </is>
      </c>
      <c r="E4924" t="inlineStr">
        <is>
          <t>SALA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61006-2024</t>
        </is>
      </c>
      <c r="B4925" s="1" t="n">
        <v>45645</v>
      </c>
      <c r="C4925" s="1" t="n">
        <v>45811</v>
      </c>
      <c r="D4925" t="inlineStr">
        <is>
          <t>VÄSTMANLANDS LÄN</t>
        </is>
      </c>
      <c r="E4925" t="inlineStr">
        <is>
          <t>ARBOGA</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61029-2024</t>
        </is>
      </c>
      <c r="B4926" s="1" t="n">
        <v>45645</v>
      </c>
      <c r="C4926" s="1" t="n">
        <v>45811</v>
      </c>
      <c r="D4926" t="inlineStr">
        <is>
          <t>VÄSTMANLANDS LÄN</t>
        </is>
      </c>
      <c r="E4926" t="inlineStr">
        <is>
          <t>VÄSTERÅS</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61059-2024</t>
        </is>
      </c>
      <c r="B4927" s="1" t="n">
        <v>45645</v>
      </c>
      <c r="C4927" s="1" t="n">
        <v>45811</v>
      </c>
      <c r="D4927" t="inlineStr">
        <is>
          <t>VÄSTMANLANDS LÄN</t>
        </is>
      </c>
      <c r="E4927" t="inlineStr">
        <is>
          <t>VÄSTERÅS</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61026-2024</t>
        </is>
      </c>
      <c r="B4928" s="1" t="n">
        <v>45645</v>
      </c>
      <c r="C4928" s="1" t="n">
        <v>45811</v>
      </c>
      <c r="D4928" t="inlineStr">
        <is>
          <t>VÄSTMANLANDS LÄN</t>
        </is>
      </c>
      <c r="E4928" t="inlineStr">
        <is>
          <t>ARBOGA</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61223-2024</t>
        </is>
      </c>
      <c r="B4929" s="1" t="n">
        <v>45645</v>
      </c>
      <c r="C4929" s="1" t="n">
        <v>45811</v>
      </c>
      <c r="D4929" t="inlineStr">
        <is>
          <t>VÄSTMANLANDS LÄN</t>
        </is>
      </c>
      <c r="E4929" t="inlineStr">
        <is>
          <t>KUNGSÖR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61262-2024</t>
        </is>
      </c>
      <c r="B4930" s="1" t="n">
        <v>45645</v>
      </c>
      <c r="C4930" s="1" t="n">
        <v>45811</v>
      </c>
      <c r="D4930" t="inlineStr">
        <is>
          <t>VÄSTMANLANDS LÄN</t>
        </is>
      </c>
      <c r="E4930" t="inlineStr">
        <is>
          <t>KUNGSÖR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61001-2024</t>
        </is>
      </c>
      <c r="B4931" s="1" t="n">
        <v>45645</v>
      </c>
      <c r="C4931" s="1" t="n">
        <v>45811</v>
      </c>
      <c r="D4931" t="inlineStr">
        <is>
          <t>VÄSTMANLANDS LÄN</t>
        </is>
      </c>
      <c r="E4931" t="inlineStr">
        <is>
          <t>VÄSTERÅS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61018-2024</t>
        </is>
      </c>
      <c r="B4932" s="1" t="n">
        <v>45645</v>
      </c>
      <c r="C4932" s="1" t="n">
        <v>45811</v>
      </c>
      <c r="D4932" t="inlineStr">
        <is>
          <t>VÄSTMANLANDS LÄN</t>
        </is>
      </c>
      <c r="E4932" t="inlineStr">
        <is>
          <t>ARBOGA</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61264-2024</t>
        </is>
      </c>
      <c r="B4933" s="1" t="n">
        <v>45645</v>
      </c>
      <c r="C4933" s="1" t="n">
        <v>45811</v>
      </c>
      <c r="D4933" t="inlineStr">
        <is>
          <t>VÄSTMANLANDS LÄN</t>
        </is>
      </c>
      <c r="E4933" t="inlineStr">
        <is>
          <t>KUNGSÖR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61517-2024</t>
        </is>
      </c>
      <c r="B4934" s="1" t="n">
        <v>45645</v>
      </c>
      <c r="C4934" s="1" t="n">
        <v>45811</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61618-2024</t>
        </is>
      </c>
      <c r="B4935" s="1" t="n">
        <v>45646</v>
      </c>
      <c r="C4935" s="1" t="n">
        <v>45811</v>
      </c>
      <c r="D4935" t="inlineStr">
        <is>
          <t>VÄSTMANLANDS LÄN</t>
        </is>
      </c>
      <c r="E4935" t="inlineStr">
        <is>
          <t>KÖPING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61444-2024</t>
        </is>
      </c>
      <c r="B4936" s="1" t="n">
        <v>45646</v>
      </c>
      <c r="C4936" s="1" t="n">
        <v>45811</v>
      </c>
      <c r="D4936" t="inlineStr">
        <is>
          <t>VÄSTMANLANDS LÄN</t>
        </is>
      </c>
      <c r="E4936" t="inlineStr">
        <is>
          <t>SALA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61342-2024</t>
        </is>
      </c>
      <c r="B4937" s="1" t="n">
        <v>45646</v>
      </c>
      <c r="C4937" s="1" t="n">
        <v>45811</v>
      </c>
      <c r="D4937" t="inlineStr">
        <is>
          <t>VÄSTMANLANDS LÄN</t>
        </is>
      </c>
      <c r="E4937" t="inlineStr">
        <is>
          <t>KÖPING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61681-2024</t>
        </is>
      </c>
      <c r="B4938" s="1" t="n">
        <v>45647</v>
      </c>
      <c r="C4938" s="1" t="n">
        <v>45811</v>
      </c>
      <c r="D4938" t="inlineStr">
        <is>
          <t>VÄSTMANLANDS LÄN</t>
        </is>
      </c>
      <c r="E4938" t="inlineStr">
        <is>
          <t>SALA</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61683-2024</t>
        </is>
      </c>
      <c r="B4939" s="1" t="n">
        <v>45647</v>
      </c>
      <c r="C4939" s="1" t="n">
        <v>45811</v>
      </c>
      <c r="D4939" t="inlineStr">
        <is>
          <t>VÄSTMANLANDS LÄN</t>
        </is>
      </c>
      <c r="E4939" t="inlineStr">
        <is>
          <t>SALA</t>
        </is>
      </c>
      <c r="F4939" t="inlineStr">
        <is>
          <t>Kommuner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61715-2024</t>
        </is>
      </c>
      <c r="B4940" s="1" t="n">
        <v>45648</v>
      </c>
      <c r="C4940" s="1" t="n">
        <v>45811</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61717-2024</t>
        </is>
      </c>
      <c r="B4941" s="1" t="n">
        <v>45648</v>
      </c>
      <c r="C4941" s="1" t="n">
        <v>45811</v>
      </c>
      <c r="D4941" t="inlineStr">
        <is>
          <t>VÄSTMANLANDS LÄN</t>
        </is>
      </c>
      <c r="E4941" t="inlineStr">
        <is>
          <t>SALA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191-2025</t>
        </is>
      </c>
      <c r="B4942" s="1" t="n">
        <v>45649</v>
      </c>
      <c r="C4942" s="1" t="n">
        <v>45811</v>
      </c>
      <c r="D4942" t="inlineStr">
        <is>
          <t>VÄSTMANLANDS LÄN</t>
        </is>
      </c>
      <c r="E4942" t="inlineStr">
        <is>
          <t>SALA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61734-2024</t>
        </is>
      </c>
      <c r="B4943" s="1" t="n">
        <v>45649</v>
      </c>
      <c r="C4943" s="1" t="n">
        <v>45811</v>
      </c>
      <c r="D4943" t="inlineStr">
        <is>
          <t>VÄSTMANLANDS LÄN</t>
        </is>
      </c>
      <c r="E4943" t="inlineStr">
        <is>
          <t>ARBOGA</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61994-2024</t>
        </is>
      </c>
      <c r="B4944" s="1" t="n">
        <v>45653</v>
      </c>
      <c r="C4944" s="1" t="n">
        <v>45811</v>
      </c>
      <c r="D4944" t="inlineStr">
        <is>
          <t>VÄSTMANLANDS LÄN</t>
        </is>
      </c>
      <c r="E4944" t="inlineStr">
        <is>
          <t>ARBOGA</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62004-2024</t>
        </is>
      </c>
      <c r="B4945" s="1" t="n">
        <v>45655</v>
      </c>
      <c r="C4945" s="1" t="n">
        <v>45811</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62057-2024</t>
        </is>
      </c>
      <c r="B4946" s="1" t="n">
        <v>45656</v>
      </c>
      <c r="C4946" s="1" t="n">
        <v>45811</v>
      </c>
      <c r="D4946" t="inlineStr">
        <is>
          <t>VÄSTMANLANDS LÄN</t>
        </is>
      </c>
      <c r="E4946" t="inlineStr">
        <is>
          <t>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322-2025</t>
        </is>
      </c>
      <c r="B4947" s="1" t="n">
        <v>45656</v>
      </c>
      <c r="C4947" s="1" t="n">
        <v>45811</v>
      </c>
      <c r="D4947" t="inlineStr">
        <is>
          <t>VÄSTMANLANDS LÄN</t>
        </is>
      </c>
      <c r="E4947" t="inlineStr">
        <is>
          <t>SKINNSKATTEBERG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327-2025</t>
        </is>
      </c>
      <c r="B4948" s="1" t="n">
        <v>45657</v>
      </c>
      <c r="C4948" s="1" t="n">
        <v>45811</v>
      </c>
      <c r="D4948" t="inlineStr">
        <is>
          <t>VÄSTMANLANDS LÄN</t>
        </is>
      </c>
      <c r="E4948" t="inlineStr">
        <is>
          <t>SALA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199-2025</t>
        </is>
      </c>
      <c r="B4949" s="1" t="n">
        <v>45659</v>
      </c>
      <c r="C4949" s="1" t="n">
        <v>45811</v>
      </c>
      <c r="D4949" t="inlineStr">
        <is>
          <t>VÄSTMANLANDS LÄN</t>
        </is>
      </c>
      <c r="E4949" t="inlineStr">
        <is>
          <t>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194-2025</t>
        </is>
      </c>
      <c r="B4950" s="1" t="n">
        <v>45659</v>
      </c>
      <c r="C4950" s="1" t="n">
        <v>45811</v>
      </c>
      <c r="D4950" t="inlineStr">
        <is>
          <t>VÄSTMANLANDS LÄN</t>
        </is>
      </c>
      <c r="E4950" t="inlineStr">
        <is>
          <t>FAGERSTA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508-2025</t>
        </is>
      </c>
      <c r="B4951" s="1" t="n">
        <v>45660</v>
      </c>
      <c r="C4951" s="1" t="n">
        <v>45811</v>
      </c>
      <c r="D4951" t="inlineStr">
        <is>
          <t>VÄSTMANLANDS LÄN</t>
        </is>
      </c>
      <c r="E4951" t="inlineStr">
        <is>
          <t>ARBOGA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494-2025</t>
        </is>
      </c>
      <c r="B4952" s="1" t="n">
        <v>45660</v>
      </c>
      <c r="C4952" s="1" t="n">
        <v>45811</v>
      </c>
      <c r="D4952" t="inlineStr">
        <is>
          <t>VÄSTMANLANDS LÄN</t>
        </is>
      </c>
      <c r="E4952" t="inlineStr">
        <is>
          <t>ARBOGA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669-2025</t>
        </is>
      </c>
      <c r="B4953" s="1" t="n">
        <v>45664</v>
      </c>
      <c r="C4953" s="1" t="n">
        <v>45811</v>
      </c>
      <c r="D4953" t="inlineStr">
        <is>
          <t>VÄSTMANLANDS LÄN</t>
        </is>
      </c>
      <c r="E4953" t="inlineStr">
        <is>
          <t>ARBOGA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620-2025</t>
        </is>
      </c>
      <c r="B4954" s="1" t="n">
        <v>45664</v>
      </c>
      <c r="C4954" s="1" t="n">
        <v>45811</v>
      </c>
      <c r="D4954" t="inlineStr">
        <is>
          <t>VÄSTMANLANDS LÄN</t>
        </is>
      </c>
      <c r="E4954" t="inlineStr">
        <is>
          <t>KÖPING</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744-2025</t>
        </is>
      </c>
      <c r="B4955" s="1" t="n">
        <v>45665</v>
      </c>
      <c r="C4955" s="1" t="n">
        <v>45811</v>
      </c>
      <c r="D4955" t="inlineStr">
        <is>
          <t>VÄSTMANLANDS LÄN</t>
        </is>
      </c>
      <c r="E4955" t="inlineStr">
        <is>
          <t>ARBOGA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813-2025</t>
        </is>
      </c>
      <c r="B4956" s="1" t="n">
        <v>45665</v>
      </c>
      <c r="C4956" s="1" t="n">
        <v>45811</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857-2025</t>
        </is>
      </c>
      <c r="B4957" s="1" t="n">
        <v>45665</v>
      </c>
      <c r="C4957" s="1" t="n">
        <v>45811</v>
      </c>
      <c r="D4957" t="inlineStr">
        <is>
          <t>VÄSTMANLANDS LÄN</t>
        </is>
      </c>
      <c r="E4957" t="inlineStr">
        <is>
          <t>KÖPING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876-2025</t>
        </is>
      </c>
      <c r="B4958" s="1" t="n">
        <v>45665</v>
      </c>
      <c r="C4958" s="1" t="n">
        <v>45811</v>
      </c>
      <c r="D4958" t="inlineStr">
        <is>
          <t>VÄSTMANLANDS LÄN</t>
        </is>
      </c>
      <c r="E4958" t="inlineStr">
        <is>
          <t>SALA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895-2025</t>
        </is>
      </c>
      <c r="B4959" s="1" t="n">
        <v>45665</v>
      </c>
      <c r="C4959" s="1" t="n">
        <v>45811</v>
      </c>
      <c r="D4959" t="inlineStr">
        <is>
          <t>VÄSTMANLANDS LÄN</t>
        </is>
      </c>
      <c r="E4959" t="inlineStr">
        <is>
          <t>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815-2025</t>
        </is>
      </c>
      <c r="B4960" s="1" t="n">
        <v>45665</v>
      </c>
      <c r="C4960" s="1" t="n">
        <v>45811</v>
      </c>
      <c r="D4960" t="inlineStr">
        <is>
          <t>VÄSTMANLANDS LÄN</t>
        </is>
      </c>
      <c r="E4960" t="inlineStr">
        <is>
          <t>KÖPING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922-2025</t>
        </is>
      </c>
      <c r="B4961" s="1" t="n">
        <v>45665</v>
      </c>
      <c r="C4961" s="1" t="n">
        <v>45811</v>
      </c>
      <c r="D4961" t="inlineStr">
        <is>
          <t>VÄSTMANLANDS LÄN</t>
        </is>
      </c>
      <c r="E4961" t="inlineStr">
        <is>
          <t>SALA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818-2025</t>
        </is>
      </c>
      <c r="B4962" s="1" t="n">
        <v>45665</v>
      </c>
      <c r="C4962" s="1" t="n">
        <v>45811</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1128-2025</t>
        </is>
      </c>
      <c r="B4963" s="1" t="n">
        <v>45666</v>
      </c>
      <c r="C4963" s="1" t="n">
        <v>45811</v>
      </c>
      <c r="D4963" t="inlineStr">
        <is>
          <t>VÄSTMANLANDS LÄN</t>
        </is>
      </c>
      <c r="E4963" t="inlineStr">
        <is>
          <t>SALA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996-2025</t>
        </is>
      </c>
      <c r="B4964" s="1" t="n">
        <v>45666</v>
      </c>
      <c r="C4964" s="1" t="n">
        <v>45811</v>
      </c>
      <c r="D4964" t="inlineStr">
        <is>
          <t>VÄSTMANLANDS LÄN</t>
        </is>
      </c>
      <c r="E4964" t="inlineStr">
        <is>
          <t>SALA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988-2025</t>
        </is>
      </c>
      <c r="B4965" s="1" t="n">
        <v>45666</v>
      </c>
      <c r="C4965" s="1" t="n">
        <v>45811</v>
      </c>
      <c r="D4965" t="inlineStr">
        <is>
          <t>VÄSTMANLANDS LÄN</t>
        </is>
      </c>
      <c r="E4965" t="inlineStr">
        <is>
          <t>SALA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1042-2025</t>
        </is>
      </c>
      <c r="B4966" s="1" t="n">
        <v>45666</v>
      </c>
      <c r="C4966" s="1" t="n">
        <v>45811</v>
      </c>
      <c r="D4966" t="inlineStr">
        <is>
          <t>VÄSTMANLANDS LÄN</t>
        </is>
      </c>
      <c r="E4966" t="inlineStr">
        <is>
          <t>KUNGSÖR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947-2025</t>
        </is>
      </c>
      <c r="B4967" s="1" t="n">
        <v>45666</v>
      </c>
      <c r="C4967" s="1" t="n">
        <v>45811</v>
      </c>
      <c r="D4967" t="inlineStr">
        <is>
          <t>VÄSTMANLANDS LÄN</t>
        </is>
      </c>
      <c r="E4967" t="inlineStr">
        <is>
          <t>ARBOGA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1040-2025</t>
        </is>
      </c>
      <c r="B4968" s="1" t="n">
        <v>45666</v>
      </c>
      <c r="C4968" s="1" t="n">
        <v>45811</v>
      </c>
      <c r="D4968" t="inlineStr">
        <is>
          <t>VÄSTMANLANDS LÄN</t>
        </is>
      </c>
      <c r="E4968" t="inlineStr">
        <is>
          <t>KUNGSÖR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1181-2025</t>
        </is>
      </c>
      <c r="B4969" s="1" t="n">
        <v>45667</v>
      </c>
      <c r="C4969" s="1" t="n">
        <v>45811</v>
      </c>
      <c r="D4969" t="inlineStr">
        <is>
          <t>VÄSTMANLANDS LÄN</t>
        </is>
      </c>
      <c r="E4969" t="inlineStr">
        <is>
          <t>KÖPING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1363-2025</t>
        </is>
      </c>
      <c r="B4970" s="1" t="n">
        <v>45667</v>
      </c>
      <c r="C4970" s="1" t="n">
        <v>45811</v>
      </c>
      <c r="D4970" t="inlineStr">
        <is>
          <t>VÄSTMANLANDS LÄN</t>
        </is>
      </c>
      <c r="E4970" t="inlineStr">
        <is>
          <t>ARBOGA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1375-2025</t>
        </is>
      </c>
      <c r="B4971" s="1" t="n">
        <v>45667</v>
      </c>
      <c r="C4971" s="1" t="n">
        <v>45811</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1387-2025</t>
        </is>
      </c>
      <c r="B4972" s="1" t="n">
        <v>45667</v>
      </c>
      <c r="C4972" s="1" t="n">
        <v>45811</v>
      </c>
      <c r="D4972" t="inlineStr">
        <is>
          <t>VÄSTMANLANDS LÄN</t>
        </is>
      </c>
      <c r="E4972" t="inlineStr">
        <is>
          <t>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1440-2025</t>
        </is>
      </c>
      <c r="B4973" s="1" t="n">
        <v>45669</v>
      </c>
      <c r="C4973" s="1" t="n">
        <v>45811</v>
      </c>
      <c r="D4973" t="inlineStr">
        <is>
          <t>VÄSTMANLANDS LÄN</t>
        </is>
      </c>
      <c r="E4973" t="inlineStr">
        <is>
          <t>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1569-2025</t>
        </is>
      </c>
      <c r="B4974" s="1" t="n">
        <v>45670</v>
      </c>
      <c r="C4974" s="1" t="n">
        <v>45811</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1770-2025</t>
        </is>
      </c>
      <c r="B4975" s="1" t="n">
        <v>45671</v>
      </c>
      <c r="C4975" s="1" t="n">
        <v>45811</v>
      </c>
      <c r="D4975" t="inlineStr">
        <is>
          <t>VÄSTMANLANDS LÄN</t>
        </is>
      </c>
      <c r="E4975" t="inlineStr">
        <is>
          <t>SALA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1804-2025</t>
        </is>
      </c>
      <c r="B4976" s="1" t="n">
        <v>45671</v>
      </c>
      <c r="C4976" s="1" t="n">
        <v>45811</v>
      </c>
      <c r="D4976" t="inlineStr">
        <is>
          <t>VÄSTMANLANDS LÄN</t>
        </is>
      </c>
      <c r="E4976" t="inlineStr">
        <is>
          <t>NORBERG</t>
        </is>
      </c>
      <c r="F4976" t="inlineStr">
        <is>
          <t>Övriga Aktiebolag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1926-2025</t>
        </is>
      </c>
      <c r="B4977" s="1" t="n">
        <v>45671</v>
      </c>
      <c r="C4977" s="1" t="n">
        <v>45811</v>
      </c>
      <c r="D4977" t="inlineStr">
        <is>
          <t>VÄSTMANLANDS LÄN</t>
        </is>
      </c>
      <c r="E4977" t="inlineStr">
        <is>
          <t>KÖPING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2064-2025</t>
        </is>
      </c>
      <c r="B4978" s="1" t="n">
        <v>45672</v>
      </c>
      <c r="C4978" s="1" t="n">
        <v>45811</v>
      </c>
      <c r="D4978" t="inlineStr">
        <is>
          <t>VÄSTMANLANDS LÄN</t>
        </is>
      </c>
      <c r="E4978" t="inlineStr">
        <is>
          <t>KÖPING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2071-2025</t>
        </is>
      </c>
      <c r="B4979" s="1" t="n">
        <v>45672</v>
      </c>
      <c r="C4979" s="1" t="n">
        <v>45811</v>
      </c>
      <c r="D4979" t="inlineStr">
        <is>
          <t>VÄSTMANLANDS LÄN</t>
        </is>
      </c>
      <c r="E4979" t="inlineStr">
        <is>
          <t>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2271-2025</t>
        </is>
      </c>
      <c r="B4980" s="1" t="n">
        <v>45673</v>
      </c>
      <c r="C4980" s="1" t="n">
        <v>45811</v>
      </c>
      <c r="D4980" t="inlineStr">
        <is>
          <t>VÄSTMANLANDS LÄN</t>
        </is>
      </c>
      <c r="E4980" t="inlineStr">
        <is>
          <t>SALA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2608-2025</t>
        </is>
      </c>
      <c r="B4981" s="1" t="n">
        <v>45674</v>
      </c>
      <c r="C4981" s="1" t="n">
        <v>45811</v>
      </c>
      <c r="D4981" t="inlineStr">
        <is>
          <t>VÄSTMANLANDS LÄN</t>
        </is>
      </c>
      <c r="E4981" t="inlineStr">
        <is>
          <t>KÖPING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2523-2025</t>
        </is>
      </c>
      <c r="B4982" s="1" t="n">
        <v>45674</v>
      </c>
      <c r="C4982" s="1" t="n">
        <v>45811</v>
      </c>
      <c r="D4982" t="inlineStr">
        <is>
          <t>VÄSTMANLANDS LÄN</t>
        </is>
      </c>
      <c r="E4982" t="inlineStr">
        <is>
          <t>VÄSTERÅS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2521-2025</t>
        </is>
      </c>
      <c r="B4983" s="1" t="n">
        <v>45674</v>
      </c>
      <c r="C4983" s="1" t="n">
        <v>45811</v>
      </c>
      <c r="D4983" t="inlineStr">
        <is>
          <t>VÄSTMANLANDS LÄN</t>
        </is>
      </c>
      <c r="E4983" t="inlineStr">
        <is>
          <t>SALA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2690-2025</t>
        </is>
      </c>
      <c r="B4984" s="1" t="n">
        <v>45677</v>
      </c>
      <c r="C4984" s="1" t="n">
        <v>45811</v>
      </c>
      <c r="D4984" t="inlineStr">
        <is>
          <t>VÄSTMANLANDS LÄN</t>
        </is>
      </c>
      <c r="E4984" t="inlineStr">
        <is>
          <t>ARBOGA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3354-2025</t>
        </is>
      </c>
      <c r="B4985" s="1" t="n">
        <v>45679</v>
      </c>
      <c r="C4985" s="1" t="n">
        <v>45811</v>
      </c>
      <c r="D4985" t="inlineStr">
        <is>
          <t>VÄSTMANLANDS LÄN</t>
        </is>
      </c>
      <c r="E4985" t="inlineStr">
        <is>
          <t>NORBERG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3286-2025</t>
        </is>
      </c>
      <c r="B4986" s="1" t="n">
        <v>45679</v>
      </c>
      <c r="C4986" s="1" t="n">
        <v>45811</v>
      </c>
      <c r="D4986" t="inlineStr">
        <is>
          <t>VÄSTMANLANDS LÄN</t>
        </is>
      </c>
      <c r="E4986" t="inlineStr">
        <is>
          <t>SKINNSKATTEBERG</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3229-2025</t>
        </is>
      </c>
      <c r="B4987" s="1" t="n">
        <v>45679</v>
      </c>
      <c r="C4987" s="1" t="n">
        <v>45811</v>
      </c>
      <c r="D4987" t="inlineStr">
        <is>
          <t>VÄSTMANLANDS LÄN</t>
        </is>
      </c>
      <c r="E4987" t="inlineStr">
        <is>
          <t>ARBOGA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3508-2025</t>
        </is>
      </c>
      <c r="B4988" s="1" t="n">
        <v>45680</v>
      </c>
      <c r="C4988" s="1" t="n">
        <v>45811</v>
      </c>
      <c r="D4988" t="inlineStr">
        <is>
          <t>VÄSTMANLANDS LÄN</t>
        </is>
      </c>
      <c r="E4988" t="inlineStr">
        <is>
          <t>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3546-2025</t>
        </is>
      </c>
      <c r="B4989" s="1" t="n">
        <v>45680</v>
      </c>
      <c r="C4989" s="1" t="n">
        <v>45811</v>
      </c>
      <c r="D4989" t="inlineStr">
        <is>
          <t>VÄSTMANLANDS LÄN</t>
        </is>
      </c>
      <c r="E4989" t="inlineStr">
        <is>
          <t>SALA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4486-2025</t>
        </is>
      </c>
      <c r="B4990" s="1" t="n">
        <v>45686</v>
      </c>
      <c r="C4990" s="1" t="n">
        <v>45811</v>
      </c>
      <c r="D4990" t="inlineStr">
        <is>
          <t>VÄSTMANLANDS LÄN</t>
        </is>
      </c>
      <c r="E4990" t="inlineStr">
        <is>
          <t>FAGERSTA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4393-2025</t>
        </is>
      </c>
      <c r="B4991" s="1" t="n">
        <v>45686</v>
      </c>
      <c r="C4991" s="1" t="n">
        <v>45811</v>
      </c>
      <c r="D4991" t="inlineStr">
        <is>
          <t>VÄSTMANLANDS LÄN</t>
        </is>
      </c>
      <c r="E4991" t="inlineStr">
        <is>
          <t>SKINNSKATTEBERG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4389-2025</t>
        </is>
      </c>
      <c r="B4992" s="1" t="n">
        <v>45686</v>
      </c>
      <c r="C4992" s="1" t="n">
        <v>45811</v>
      </c>
      <c r="D4992" t="inlineStr">
        <is>
          <t>VÄSTMANLANDS LÄN</t>
        </is>
      </c>
      <c r="E4992" t="inlineStr">
        <is>
          <t>SALA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4385-2025</t>
        </is>
      </c>
      <c r="B4993" s="1" t="n">
        <v>45686</v>
      </c>
      <c r="C4993" s="1" t="n">
        <v>45811</v>
      </c>
      <c r="D4993" t="inlineStr">
        <is>
          <t>VÄSTMANLANDS LÄN</t>
        </is>
      </c>
      <c r="E4993" t="inlineStr">
        <is>
          <t>SKINNSKATTEBERG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4379-2025</t>
        </is>
      </c>
      <c r="B4994" s="1" t="n">
        <v>45686</v>
      </c>
      <c r="C4994" s="1" t="n">
        <v>45811</v>
      </c>
      <c r="D4994" t="inlineStr">
        <is>
          <t>VÄSTMANLANDS LÄN</t>
        </is>
      </c>
      <c r="E4994" t="inlineStr">
        <is>
          <t>SKINNSKATTEBERG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5225-2025</t>
        </is>
      </c>
      <c r="B4995" s="1" t="n">
        <v>45691</v>
      </c>
      <c r="C4995" s="1" t="n">
        <v>45811</v>
      </c>
      <c r="D4995" t="inlineStr">
        <is>
          <t>VÄSTMANLANDS LÄN</t>
        </is>
      </c>
      <c r="E4995" t="inlineStr">
        <is>
          <t>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5032-2025</t>
        </is>
      </c>
      <c r="B4996" s="1" t="n">
        <v>45691</v>
      </c>
      <c r="C4996" s="1" t="n">
        <v>45811</v>
      </c>
      <c r="D4996" t="inlineStr">
        <is>
          <t>VÄSTMANLANDS LÄN</t>
        </is>
      </c>
      <c r="E4996" t="inlineStr">
        <is>
          <t>SALA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5363-2025</t>
        </is>
      </c>
      <c r="B4997" s="1" t="n">
        <v>45692</v>
      </c>
      <c r="C4997" s="1" t="n">
        <v>45811</v>
      </c>
      <c r="D4997" t="inlineStr">
        <is>
          <t>VÄSTMANLANDS LÄN</t>
        </is>
      </c>
      <c r="E4997" t="inlineStr">
        <is>
          <t>VÄSTERÅS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5243-2025</t>
        </is>
      </c>
      <c r="B4998" s="1" t="n">
        <v>45692</v>
      </c>
      <c r="C4998" s="1" t="n">
        <v>45811</v>
      </c>
      <c r="D4998" t="inlineStr">
        <is>
          <t>VÄSTMANLANDS LÄN</t>
        </is>
      </c>
      <c r="E4998" t="inlineStr">
        <is>
          <t>ARBOGA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5283-2025</t>
        </is>
      </c>
      <c r="B4999" s="1" t="n">
        <v>45692</v>
      </c>
      <c r="C4999" s="1" t="n">
        <v>45811</v>
      </c>
      <c r="D4999" t="inlineStr">
        <is>
          <t>VÄSTMANLANDS LÄN</t>
        </is>
      </c>
      <c r="E4999" t="inlineStr">
        <is>
          <t>FAGERSTA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5505-2025</t>
        </is>
      </c>
      <c r="B5000" s="1" t="n">
        <v>45693</v>
      </c>
      <c r="C5000" s="1" t="n">
        <v>45811</v>
      </c>
      <c r="D5000" t="inlineStr">
        <is>
          <t>VÄSTMANLANDS LÄN</t>
        </is>
      </c>
      <c r="E5000" t="inlineStr">
        <is>
          <t>SKINNSKATTEBERG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5823-2025</t>
        </is>
      </c>
      <c r="B5001" s="1" t="n">
        <v>45694</v>
      </c>
      <c r="C5001" s="1" t="n">
        <v>45811</v>
      </c>
      <c r="D5001" t="inlineStr">
        <is>
          <t>VÄSTMANLANDS LÄN</t>
        </is>
      </c>
      <c r="E5001" t="inlineStr">
        <is>
          <t>SALA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5752-2025</t>
        </is>
      </c>
      <c r="B5002" s="1" t="n">
        <v>45694</v>
      </c>
      <c r="C5002" s="1" t="n">
        <v>45811</v>
      </c>
      <c r="D5002" t="inlineStr">
        <is>
          <t>VÄSTMANLANDS LÄN</t>
        </is>
      </c>
      <c r="E5002" t="inlineStr">
        <is>
          <t>ARBOGA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5824-2025</t>
        </is>
      </c>
      <c r="B5003" s="1" t="n">
        <v>45694</v>
      </c>
      <c r="C5003" s="1" t="n">
        <v>45811</v>
      </c>
      <c r="D5003" t="inlineStr">
        <is>
          <t>VÄSTMANLANDS LÄN</t>
        </is>
      </c>
      <c r="E5003" t="inlineStr">
        <is>
          <t>SALA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6032-2025</t>
        </is>
      </c>
      <c r="B5004" s="1" t="n">
        <v>45695</v>
      </c>
      <c r="C5004" s="1" t="n">
        <v>45811</v>
      </c>
      <c r="D5004" t="inlineStr">
        <is>
          <t>VÄSTMANLANDS LÄN</t>
        </is>
      </c>
      <c r="E5004" t="inlineStr">
        <is>
          <t>SALA</t>
        </is>
      </c>
      <c r="F5004" t="inlineStr">
        <is>
          <t>Bergvik skog öst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6152-2025</t>
        </is>
      </c>
      <c r="B5005" s="1" t="n">
        <v>45695</v>
      </c>
      <c r="C5005" s="1" t="n">
        <v>45811</v>
      </c>
      <c r="D5005" t="inlineStr">
        <is>
          <t>VÄSTMANLANDS LÄN</t>
        </is>
      </c>
      <c r="E5005" t="inlineStr">
        <is>
          <t>VÄSTERÅS</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6265-2025</t>
        </is>
      </c>
      <c r="B5006" s="1" t="n">
        <v>45696</v>
      </c>
      <c r="C5006" s="1" t="n">
        <v>45811</v>
      </c>
      <c r="D5006" t="inlineStr">
        <is>
          <t>VÄSTMANLANDS LÄN</t>
        </is>
      </c>
      <c r="E5006" t="inlineStr">
        <is>
          <t>ARBOGA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6183-2025</t>
        </is>
      </c>
      <c r="B5007" s="1" t="n">
        <v>45698</v>
      </c>
      <c r="C5007" s="1" t="n">
        <v>45811</v>
      </c>
      <c r="D5007" t="inlineStr">
        <is>
          <t>VÄSTMANLANDS LÄN</t>
        </is>
      </c>
      <c r="E5007" t="inlineStr">
        <is>
          <t>SALA</t>
        </is>
      </c>
      <c r="F5007" t="inlineStr">
        <is>
          <t>Bergvik skog öst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6322-2025</t>
        </is>
      </c>
      <c r="B5008" s="1" t="n">
        <v>45698</v>
      </c>
      <c r="C5008" s="1" t="n">
        <v>45811</v>
      </c>
      <c r="D5008" t="inlineStr">
        <is>
          <t>VÄSTMANLANDS LÄN</t>
        </is>
      </c>
      <c r="E5008" t="inlineStr">
        <is>
          <t>FAGERSTA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6312-2025</t>
        </is>
      </c>
      <c r="B5009" s="1" t="n">
        <v>45698</v>
      </c>
      <c r="C5009" s="1" t="n">
        <v>45811</v>
      </c>
      <c r="D5009" t="inlineStr">
        <is>
          <t>VÄSTMANLANDS LÄN</t>
        </is>
      </c>
      <c r="E5009" t="inlineStr">
        <is>
          <t>SALA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6190-2025</t>
        </is>
      </c>
      <c r="B5010" s="1" t="n">
        <v>45698</v>
      </c>
      <c r="C5010" s="1" t="n">
        <v>45811</v>
      </c>
      <c r="D5010" t="inlineStr">
        <is>
          <t>VÄSTMANLANDS LÄN</t>
        </is>
      </c>
      <c r="E5010" t="inlineStr">
        <is>
          <t>SALA</t>
        </is>
      </c>
      <c r="F5010" t="inlineStr">
        <is>
          <t>Bergvik skog öst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6154-2025</t>
        </is>
      </c>
      <c r="B5011" s="1" t="n">
        <v>45698</v>
      </c>
      <c r="C5011" s="1" t="n">
        <v>45811</v>
      </c>
      <c r="D5011" t="inlineStr">
        <is>
          <t>VÄSTMANLANDS LÄN</t>
        </is>
      </c>
      <c r="E5011" t="inlineStr">
        <is>
          <t>SALA</t>
        </is>
      </c>
      <c r="F5011" t="inlineStr">
        <is>
          <t>Bergvik skog öst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6136-2025</t>
        </is>
      </c>
      <c r="B5012" s="1" t="n">
        <v>45698</v>
      </c>
      <c r="C5012" s="1" t="n">
        <v>45811</v>
      </c>
      <c r="D5012" t="inlineStr">
        <is>
          <t>VÄSTMANLANDS LÄN</t>
        </is>
      </c>
      <c r="E5012" t="inlineStr">
        <is>
          <t>SALA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6132-2025</t>
        </is>
      </c>
      <c r="B5013" s="1" t="n">
        <v>45698</v>
      </c>
      <c r="C5013" s="1" t="n">
        <v>45811</v>
      </c>
      <c r="D5013" t="inlineStr">
        <is>
          <t>VÄSTMANLANDS LÄN</t>
        </is>
      </c>
      <c r="E5013" t="inlineStr">
        <is>
          <t>SALA</t>
        </is>
      </c>
      <c r="F5013" t="inlineStr">
        <is>
          <t>Bergvik skog öst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6127-2025</t>
        </is>
      </c>
      <c r="B5014" s="1" t="n">
        <v>45698</v>
      </c>
      <c r="C5014" s="1" t="n">
        <v>45811</v>
      </c>
      <c r="D5014" t="inlineStr">
        <is>
          <t>VÄSTMANLANDS LÄN</t>
        </is>
      </c>
      <c r="E5014" t="inlineStr">
        <is>
          <t>SALA</t>
        </is>
      </c>
      <c r="F5014" t="inlineStr">
        <is>
          <t>Bergvik skog öst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6493-2025</t>
        </is>
      </c>
      <c r="B5015" s="1" t="n">
        <v>45699</v>
      </c>
      <c r="C5015" s="1" t="n">
        <v>45811</v>
      </c>
      <c r="D5015" t="inlineStr">
        <is>
          <t>VÄSTMANLANDS LÄN</t>
        </is>
      </c>
      <c r="E5015" t="inlineStr">
        <is>
          <t>ARBOGA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6528-2025</t>
        </is>
      </c>
      <c r="B5016" s="1" t="n">
        <v>45699</v>
      </c>
      <c r="C5016" s="1" t="n">
        <v>45811</v>
      </c>
      <c r="D5016" t="inlineStr">
        <is>
          <t>VÄSTMANLANDS LÄN</t>
        </is>
      </c>
      <c r="E5016" t="inlineStr">
        <is>
          <t>ARBOGA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6388-2025</t>
        </is>
      </c>
      <c r="B5017" s="1" t="n">
        <v>45699</v>
      </c>
      <c r="C5017" s="1" t="n">
        <v>45811</v>
      </c>
      <c r="D5017" t="inlineStr">
        <is>
          <t>VÄSTMANLANDS LÄN</t>
        </is>
      </c>
      <c r="E5017" t="inlineStr">
        <is>
          <t>NORBERG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6518-2025</t>
        </is>
      </c>
      <c r="B5018" s="1" t="n">
        <v>45699</v>
      </c>
      <c r="C5018" s="1" t="n">
        <v>45811</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6691-2025</t>
        </is>
      </c>
      <c r="B5019" s="1" t="n">
        <v>45700</v>
      </c>
      <c r="C5019" s="1" t="n">
        <v>45811</v>
      </c>
      <c r="D5019" t="inlineStr">
        <is>
          <t>VÄSTMANLANDS LÄN</t>
        </is>
      </c>
      <c r="E5019" t="inlineStr">
        <is>
          <t>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7197-2025</t>
        </is>
      </c>
      <c r="B5020" s="1" t="n">
        <v>45702</v>
      </c>
      <c r="C5020" s="1" t="n">
        <v>45811</v>
      </c>
      <c r="D5020" t="inlineStr">
        <is>
          <t>VÄSTMANLANDS LÄN</t>
        </is>
      </c>
      <c r="E5020" t="inlineStr">
        <is>
          <t>SALA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7187-2025</t>
        </is>
      </c>
      <c r="B5021" s="1" t="n">
        <v>45702</v>
      </c>
      <c r="C5021" s="1" t="n">
        <v>45811</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7245-2025</t>
        </is>
      </c>
      <c r="B5022" s="1" t="n">
        <v>45702</v>
      </c>
      <c r="C5022" s="1" t="n">
        <v>45811</v>
      </c>
      <c r="D5022" t="inlineStr">
        <is>
          <t>VÄSTMANLANDS LÄN</t>
        </is>
      </c>
      <c r="E5022" t="inlineStr">
        <is>
          <t>HALLSTAHAMMAR</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7196-2025</t>
        </is>
      </c>
      <c r="B5023" s="1" t="n">
        <v>45702</v>
      </c>
      <c r="C5023" s="1" t="n">
        <v>45811</v>
      </c>
      <c r="D5023" t="inlineStr">
        <is>
          <t>VÄSTMANLANDS LÄN</t>
        </is>
      </c>
      <c r="E5023" t="inlineStr">
        <is>
          <t>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7166-2025</t>
        </is>
      </c>
      <c r="B5024" s="1" t="n">
        <v>45702</v>
      </c>
      <c r="C5024" s="1" t="n">
        <v>45811</v>
      </c>
      <c r="D5024" t="inlineStr">
        <is>
          <t>VÄSTMANLANDS LÄN</t>
        </is>
      </c>
      <c r="E5024" t="inlineStr">
        <is>
          <t>SALA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7195-2025</t>
        </is>
      </c>
      <c r="B5025" s="1" t="n">
        <v>45702</v>
      </c>
      <c r="C5025" s="1" t="n">
        <v>45811</v>
      </c>
      <c r="D5025" t="inlineStr">
        <is>
          <t>VÄSTMANLANDS LÄN</t>
        </is>
      </c>
      <c r="E5025" t="inlineStr">
        <is>
          <t>ARBOGA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7488-2025</t>
        </is>
      </c>
      <c r="B5026" s="1" t="n">
        <v>45705</v>
      </c>
      <c r="C5026" s="1" t="n">
        <v>45811</v>
      </c>
      <c r="D5026" t="inlineStr">
        <is>
          <t>VÄSTMANLANDS LÄN</t>
        </is>
      </c>
      <c r="E5026" t="inlineStr">
        <is>
          <t>NORBERG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7469-2025</t>
        </is>
      </c>
      <c r="B5027" s="1" t="n">
        <v>45705</v>
      </c>
      <c r="C5027" s="1" t="n">
        <v>45811</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7591-2025</t>
        </is>
      </c>
      <c r="B5028" s="1" t="n">
        <v>45705</v>
      </c>
      <c r="C5028" s="1" t="n">
        <v>45811</v>
      </c>
      <c r="D5028" t="inlineStr">
        <is>
          <t>VÄSTMANLANDS LÄN</t>
        </is>
      </c>
      <c r="E5028" t="inlineStr">
        <is>
          <t>KÖPING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7459-2025</t>
        </is>
      </c>
      <c r="B5029" s="1" t="n">
        <v>45705</v>
      </c>
      <c r="C5029" s="1" t="n">
        <v>45811</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7437-2025</t>
        </is>
      </c>
      <c r="B5030" s="1" t="n">
        <v>45705</v>
      </c>
      <c r="C5030" s="1" t="n">
        <v>45811</v>
      </c>
      <c r="D5030" t="inlineStr">
        <is>
          <t>VÄSTMANLANDS LÄN</t>
        </is>
      </c>
      <c r="E5030" t="inlineStr">
        <is>
          <t>VÄSTERÅS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7417-2025</t>
        </is>
      </c>
      <c r="B5031" s="1" t="n">
        <v>45705</v>
      </c>
      <c r="C5031" s="1" t="n">
        <v>45811</v>
      </c>
      <c r="D5031" t="inlineStr">
        <is>
          <t>VÄSTMANLANDS LÄN</t>
        </is>
      </c>
      <c r="E5031" t="inlineStr">
        <is>
          <t>NORBERG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7439-2025</t>
        </is>
      </c>
      <c r="B5032" s="1" t="n">
        <v>45705</v>
      </c>
      <c r="C5032" s="1" t="n">
        <v>45811</v>
      </c>
      <c r="D5032" t="inlineStr">
        <is>
          <t>VÄSTMANLANDS LÄN</t>
        </is>
      </c>
      <c r="E5032" t="inlineStr">
        <is>
          <t>VÄSTERÅS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7380-2025</t>
        </is>
      </c>
      <c r="B5033" s="1" t="n">
        <v>45705</v>
      </c>
      <c r="C5033" s="1" t="n">
        <v>45811</v>
      </c>
      <c r="D5033" t="inlineStr">
        <is>
          <t>VÄSTMANLANDS LÄN</t>
        </is>
      </c>
      <c r="E5033" t="inlineStr">
        <is>
          <t>FAGERSTA</t>
        </is>
      </c>
      <c r="F5033" t="inlineStr">
        <is>
          <t>Bergvik skog väst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7467-2025</t>
        </is>
      </c>
      <c r="B5034" s="1" t="n">
        <v>45705</v>
      </c>
      <c r="C5034" s="1" t="n">
        <v>45811</v>
      </c>
      <c r="D5034" t="inlineStr">
        <is>
          <t>VÄSTMANLANDS LÄN</t>
        </is>
      </c>
      <c r="E5034" t="inlineStr">
        <is>
          <t>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7874-2025</t>
        </is>
      </c>
      <c r="B5035" s="1" t="n">
        <v>45706</v>
      </c>
      <c r="C5035" s="1" t="n">
        <v>45811</v>
      </c>
      <c r="D5035" t="inlineStr">
        <is>
          <t>VÄSTMANLANDS LÄN</t>
        </is>
      </c>
      <c r="E5035" t="inlineStr">
        <is>
          <t>ARBOGA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7786-2025</t>
        </is>
      </c>
      <c r="B5036" s="1" t="n">
        <v>45706</v>
      </c>
      <c r="C5036" s="1" t="n">
        <v>45811</v>
      </c>
      <c r="D5036" t="inlineStr">
        <is>
          <t>VÄSTMANLANDS LÄN</t>
        </is>
      </c>
      <c r="E5036" t="inlineStr">
        <is>
          <t>ARBOGA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7703-2025</t>
        </is>
      </c>
      <c r="B5037" s="1" t="n">
        <v>45706</v>
      </c>
      <c r="C5037" s="1" t="n">
        <v>45811</v>
      </c>
      <c r="D5037" t="inlineStr">
        <is>
          <t>VÄSTMANLANDS LÄN</t>
        </is>
      </c>
      <c r="E5037" t="inlineStr">
        <is>
          <t>SALA</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8062-2025</t>
        </is>
      </c>
      <c r="B5038" s="1" t="n">
        <v>45707</v>
      </c>
      <c r="C5038" s="1" t="n">
        <v>45811</v>
      </c>
      <c r="D5038" t="inlineStr">
        <is>
          <t>VÄSTMANLANDS LÄN</t>
        </is>
      </c>
      <c r="E5038" t="inlineStr">
        <is>
          <t>VÄSTERÅS</t>
        </is>
      </c>
      <c r="F5038" t="inlineStr">
        <is>
          <t>Övriga Aktiebolag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7952-2025</t>
        </is>
      </c>
      <c r="B5039" s="1" t="n">
        <v>45707</v>
      </c>
      <c r="C5039" s="1" t="n">
        <v>45811</v>
      </c>
      <c r="D5039" t="inlineStr">
        <is>
          <t>VÄSTMANLANDS LÄN</t>
        </is>
      </c>
      <c r="E5039" t="inlineStr">
        <is>
          <t>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8052-2025</t>
        </is>
      </c>
      <c r="B5040" s="1" t="n">
        <v>45707</v>
      </c>
      <c r="C5040" s="1" t="n">
        <v>45811</v>
      </c>
      <c r="D5040" t="inlineStr">
        <is>
          <t>VÄSTMANLANDS LÄN</t>
        </is>
      </c>
      <c r="E5040" t="inlineStr">
        <is>
          <t>VÄSTERÅS</t>
        </is>
      </c>
      <c r="F5040" t="inlineStr">
        <is>
          <t>Övriga Aktiebolag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7950-2025</t>
        </is>
      </c>
      <c r="B5041" s="1" t="n">
        <v>45707</v>
      </c>
      <c r="C5041" s="1" t="n">
        <v>45811</v>
      </c>
      <c r="D5041" t="inlineStr">
        <is>
          <t>VÄSTMANLANDS LÄN</t>
        </is>
      </c>
      <c r="E5041" t="inlineStr">
        <is>
          <t>SALA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7951-2025</t>
        </is>
      </c>
      <c r="B5042" s="1" t="n">
        <v>45707</v>
      </c>
      <c r="C5042" s="1" t="n">
        <v>45811</v>
      </c>
      <c r="D5042" t="inlineStr">
        <is>
          <t>VÄSTMANLANDS LÄN</t>
        </is>
      </c>
      <c r="E5042" t="inlineStr">
        <is>
          <t>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7948-2025</t>
        </is>
      </c>
      <c r="B5043" s="1" t="n">
        <v>45707</v>
      </c>
      <c r="C5043" s="1" t="n">
        <v>45811</v>
      </c>
      <c r="D5043" t="inlineStr">
        <is>
          <t>VÄSTMANLANDS LÄN</t>
        </is>
      </c>
      <c r="E5043" t="inlineStr">
        <is>
          <t>KÖPING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8285-2025</t>
        </is>
      </c>
      <c r="B5044" s="1" t="n">
        <v>45708</v>
      </c>
      <c r="C5044" s="1" t="n">
        <v>45811</v>
      </c>
      <c r="D5044" t="inlineStr">
        <is>
          <t>VÄSTMANLANDS LÄN</t>
        </is>
      </c>
      <c r="E5044" t="inlineStr">
        <is>
          <t>SALA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8147-2025</t>
        </is>
      </c>
      <c r="B5045" s="1" t="n">
        <v>45708</v>
      </c>
      <c r="C5045" s="1" t="n">
        <v>45811</v>
      </c>
      <c r="D5045" t="inlineStr">
        <is>
          <t>VÄSTMANLANDS LÄN</t>
        </is>
      </c>
      <c r="E5045" t="inlineStr">
        <is>
          <t>VÄSTERÅS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8358-2025</t>
        </is>
      </c>
      <c r="B5046" s="1" t="n">
        <v>45708</v>
      </c>
      <c r="C5046" s="1" t="n">
        <v>45811</v>
      </c>
      <c r="D5046" t="inlineStr">
        <is>
          <t>VÄSTMANLANDS LÄN</t>
        </is>
      </c>
      <c r="E5046" t="inlineStr">
        <is>
          <t>VÄSTERÅS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8395-2025</t>
        </is>
      </c>
      <c r="B5047" s="1" t="n">
        <v>45709</v>
      </c>
      <c r="C5047" s="1" t="n">
        <v>45811</v>
      </c>
      <c r="D5047" t="inlineStr">
        <is>
          <t>VÄSTMANLANDS LÄN</t>
        </is>
      </c>
      <c r="E5047" t="inlineStr">
        <is>
          <t>VÄSTERÅS</t>
        </is>
      </c>
      <c r="G5047" t="n">
        <v>0.9</v>
      </c>
      <c r="H5047" t="n">
        <v>0</v>
      </c>
      <c r="I5047" t="n">
        <v>0</v>
      </c>
      <c r="J5047" t="n">
        <v>0</v>
      </c>
      <c r="K5047" t="n">
        <v>0</v>
      </c>
      <c r="L5047" t="n">
        <v>0</v>
      </c>
      <c r="M5047" t="n">
        <v>0</v>
      </c>
      <c r="N5047" t="n">
        <v>0</v>
      </c>
      <c r="O5047" t="n">
        <v>0</v>
      </c>
      <c r="P5047" t="n">
        <v>0</v>
      </c>
      <c r="Q5047" t="n">
        <v>0</v>
      </c>
      <c r="R5047" s="2" t="inlineStr"/>
      <c r="U5047">
        <f>HYPERLINK("https://klasma.github.io/Logging_1980/knärot/A 8395-2025 karta knärot.png", "A 8395-2025")</f>
        <v/>
      </c>
      <c r="V5047">
        <f>HYPERLINK("https://klasma.github.io/Logging_1980/klagomål/A 8395-2025 FSC-klagomål.docx", "A 8395-2025")</f>
        <v/>
      </c>
      <c r="W5047">
        <f>HYPERLINK("https://klasma.github.io/Logging_1980/klagomålsmail/A 8395-2025 FSC-klagomål mail.docx", "A 8395-2025")</f>
        <v/>
      </c>
      <c r="X5047">
        <f>HYPERLINK("https://klasma.github.io/Logging_1980/tillsyn/A 8395-2025 tillsynsbegäran.docx", "A 8395-2025")</f>
        <v/>
      </c>
      <c r="Y5047">
        <f>HYPERLINK("https://klasma.github.io/Logging_1980/tillsynsmail/A 8395-2025 tillsynsbegäran mail.docx", "A 8395-2025")</f>
        <v/>
      </c>
    </row>
    <row r="5048" ht="15" customHeight="1">
      <c r="A5048" t="inlineStr">
        <is>
          <t>A 8525-2025</t>
        </is>
      </c>
      <c r="B5048" s="1" t="n">
        <v>45709</v>
      </c>
      <c r="C5048" s="1" t="n">
        <v>45811</v>
      </c>
      <c r="D5048" t="inlineStr">
        <is>
          <t>VÄSTMANLANDS LÄN</t>
        </is>
      </c>
      <c r="E5048" t="inlineStr">
        <is>
          <t>SKINNSKATTEBERG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8469-2025</t>
        </is>
      </c>
      <c r="B5049" s="1" t="n">
        <v>45709</v>
      </c>
      <c r="C5049" s="1" t="n">
        <v>45811</v>
      </c>
      <c r="D5049" t="inlineStr">
        <is>
          <t>VÄSTMANLANDS LÄN</t>
        </is>
      </c>
      <c r="E5049" t="inlineStr">
        <is>
          <t>KUNGSÖR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8467-2025</t>
        </is>
      </c>
      <c r="B5050" s="1" t="n">
        <v>45709</v>
      </c>
      <c r="C5050" s="1" t="n">
        <v>45811</v>
      </c>
      <c r="D5050" t="inlineStr">
        <is>
          <t>VÄSTMANLANDS LÄN</t>
        </is>
      </c>
      <c r="E5050" t="inlineStr">
        <is>
          <t>KUNGSÖR</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8477-2025</t>
        </is>
      </c>
      <c r="B5051" s="1" t="n">
        <v>45709</v>
      </c>
      <c r="C5051" s="1" t="n">
        <v>45811</v>
      </c>
      <c r="D5051" t="inlineStr">
        <is>
          <t>VÄSTMANLANDS LÄN</t>
        </is>
      </c>
      <c r="E5051" t="inlineStr">
        <is>
          <t>KUNGSÖR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8754-2025</t>
        </is>
      </c>
      <c r="B5052" s="1" t="n">
        <v>45712</v>
      </c>
      <c r="C5052" s="1" t="n">
        <v>45811</v>
      </c>
      <c r="D5052" t="inlineStr">
        <is>
          <t>VÄSTMANLANDS LÄN</t>
        </is>
      </c>
      <c r="E5052" t="inlineStr">
        <is>
          <t>ARBOGA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8822-2025</t>
        </is>
      </c>
      <c r="B5053" s="1" t="n">
        <v>45712</v>
      </c>
      <c r="C5053" s="1" t="n">
        <v>45811</v>
      </c>
      <c r="D5053" t="inlineStr">
        <is>
          <t>VÄSTMANLANDS LÄN</t>
        </is>
      </c>
      <c r="E5053" t="inlineStr">
        <is>
          <t>KÖPING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8848-2025</t>
        </is>
      </c>
      <c r="B5054" s="1" t="n">
        <v>45713</v>
      </c>
      <c r="C5054" s="1" t="n">
        <v>45811</v>
      </c>
      <c r="D5054" t="inlineStr">
        <is>
          <t>VÄSTMANLANDS LÄN</t>
        </is>
      </c>
      <c r="E5054" t="inlineStr">
        <is>
          <t>HALLSTAHAMMAR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9075-2025</t>
        </is>
      </c>
      <c r="B5055" s="1" t="n">
        <v>45713</v>
      </c>
      <c r="C5055" s="1" t="n">
        <v>45811</v>
      </c>
      <c r="D5055" t="inlineStr">
        <is>
          <t>VÄSTMANLANDS LÄN</t>
        </is>
      </c>
      <c r="E5055" t="inlineStr">
        <is>
          <t>NORBERG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9013-2025</t>
        </is>
      </c>
      <c r="B5056" s="1" t="n">
        <v>45713</v>
      </c>
      <c r="C5056" s="1" t="n">
        <v>45811</v>
      </c>
      <c r="D5056" t="inlineStr">
        <is>
          <t>VÄSTMANLANDS LÄN</t>
        </is>
      </c>
      <c r="E5056" t="inlineStr">
        <is>
          <t>NORBERG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9095-2025</t>
        </is>
      </c>
      <c r="B5057" s="1" t="n">
        <v>45713</v>
      </c>
      <c r="C5057" s="1" t="n">
        <v>45811</v>
      </c>
      <c r="D5057" t="inlineStr">
        <is>
          <t>VÄSTMANLANDS LÄN</t>
        </is>
      </c>
      <c r="E5057" t="inlineStr">
        <is>
          <t>SALA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9103-2025</t>
        </is>
      </c>
      <c r="B5058" s="1" t="n">
        <v>45713</v>
      </c>
      <c r="C5058" s="1" t="n">
        <v>45811</v>
      </c>
      <c r="D5058" t="inlineStr">
        <is>
          <t>VÄSTMANLANDS LÄN</t>
        </is>
      </c>
      <c r="E5058" t="inlineStr">
        <is>
          <t>VÄSTERÅS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9006-2025</t>
        </is>
      </c>
      <c r="B5059" s="1" t="n">
        <v>45713</v>
      </c>
      <c r="C5059" s="1" t="n">
        <v>45811</v>
      </c>
      <c r="D5059" t="inlineStr">
        <is>
          <t>VÄSTMANLANDS LÄN</t>
        </is>
      </c>
      <c r="E5059" t="inlineStr">
        <is>
          <t>SALA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9201-2025</t>
        </is>
      </c>
      <c r="B5060" s="1" t="n">
        <v>45714</v>
      </c>
      <c r="C5060" s="1" t="n">
        <v>45811</v>
      </c>
      <c r="D5060" t="inlineStr">
        <is>
          <t>VÄSTMANLANDS LÄN</t>
        </is>
      </c>
      <c r="E5060" t="inlineStr">
        <is>
          <t>NORBERG</t>
        </is>
      </c>
      <c r="F5060" t="inlineStr">
        <is>
          <t>Bergvik skog väst AB</t>
        </is>
      </c>
      <c r="G5060" t="n">
        <v>15.4</v>
      </c>
      <c r="H5060" t="n">
        <v>0</v>
      </c>
      <c r="I5060" t="n">
        <v>0</v>
      </c>
      <c r="J5060" t="n">
        <v>0</v>
      </c>
      <c r="K5060" t="n">
        <v>0</v>
      </c>
      <c r="L5060" t="n">
        <v>0</v>
      </c>
      <c r="M5060" t="n">
        <v>0</v>
      </c>
      <c r="N5060" t="n">
        <v>0</v>
      </c>
      <c r="O5060" t="n">
        <v>0</v>
      </c>
      <c r="P5060" t="n">
        <v>0</v>
      </c>
      <c r="Q5060" t="n">
        <v>0</v>
      </c>
      <c r="R5060" s="2" t="inlineStr"/>
    </row>
    <row r="5061" ht="15" customHeight="1">
      <c r="A5061" t="inlineStr">
        <is>
          <t>A 9238-2025</t>
        </is>
      </c>
      <c r="B5061" s="1" t="n">
        <v>45714</v>
      </c>
      <c r="C5061" s="1" t="n">
        <v>45811</v>
      </c>
      <c r="D5061" t="inlineStr">
        <is>
          <t>VÄSTMANLANDS LÄN</t>
        </is>
      </c>
      <c r="E5061" t="inlineStr">
        <is>
          <t>ARBOGA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9182-2025</t>
        </is>
      </c>
      <c r="B5062" s="1" t="n">
        <v>45714</v>
      </c>
      <c r="C5062" s="1" t="n">
        <v>45811</v>
      </c>
      <c r="D5062" t="inlineStr">
        <is>
          <t>VÄSTMANLANDS LÄN</t>
        </is>
      </c>
      <c r="E5062" t="inlineStr">
        <is>
          <t>NORBERG</t>
        </is>
      </c>
      <c r="F5062" t="inlineStr">
        <is>
          <t>Övriga Aktiebolag</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9627-2025</t>
        </is>
      </c>
      <c r="B5063" s="1" t="n">
        <v>45715</v>
      </c>
      <c r="C5063" s="1" t="n">
        <v>45811</v>
      </c>
      <c r="D5063" t="inlineStr">
        <is>
          <t>VÄSTMANLANDS LÄN</t>
        </is>
      </c>
      <c r="E5063" t="inlineStr">
        <is>
          <t>NORBERG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9580-2025</t>
        </is>
      </c>
      <c r="B5064" s="1" t="n">
        <v>45715</v>
      </c>
      <c r="C5064" s="1" t="n">
        <v>45811</v>
      </c>
      <c r="D5064" t="inlineStr">
        <is>
          <t>VÄSTMANLANDS LÄN</t>
        </is>
      </c>
      <c r="E5064" t="inlineStr">
        <is>
          <t>VÄSTERÅS</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9636-2025</t>
        </is>
      </c>
      <c r="B5065" s="1" t="n">
        <v>45715</v>
      </c>
      <c r="C5065" s="1" t="n">
        <v>45811</v>
      </c>
      <c r="D5065" t="inlineStr">
        <is>
          <t>VÄSTMANLANDS LÄN</t>
        </is>
      </c>
      <c r="E5065" t="inlineStr">
        <is>
          <t>VÄSTERÅS</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10099-2025</t>
        </is>
      </c>
      <c r="B5066" s="1" t="n">
        <v>45719</v>
      </c>
      <c r="C5066" s="1" t="n">
        <v>45811</v>
      </c>
      <c r="D5066" t="inlineStr">
        <is>
          <t>VÄSTMANLANDS LÄN</t>
        </is>
      </c>
      <c r="E5066" t="inlineStr">
        <is>
          <t>KÖPING</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10142-2025</t>
        </is>
      </c>
      <c r="B5067" s="1" t="n">
        <v>45719</v>
      </c>
      <c r="C5067" s="1" t="n">
        <v>45811</v>
      </c>
      <c r="D5067" t="inlineStr">
        <is>
          <t>VÄSTMANLANDS LÄN</t>
        </is>
      </c>
      <c r="E5067" t="inlineStr">
        <is>
          <t>SKINNSKATTEBERG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10096-2025</t>
        </is>
      </c>
      <c r="B5068" s="1" t="n">
        <v>45719</v>
      </c>
      <c r="C5068" s="1" t="n">
        <v>45811</v>
      </c>
      <c r="D5068" t="inlineStr">
        <is>
          <t>VÄSTMANLANDS LÄN</t>
        </is>
      </c>
      <c r="E5068" t="inlineStr">
        <is>
          <t>KÖPING</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9962-2025</t>
        </is>
      </c>
      <c r="B5069" s="1" t="n">
        <v>45719</v>
      </c>
      <c r="C5069" s="1" t="n">
        <v>45811</v>
      </c>
      <c r="D5069" t="inlineStr">
        <is>
          <t>VÄSTMANLANDS LÄN</t>
        </is>
      </c>
      <c r="E5069" t="inlineStr">
        <is>
          <t>SALA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10472-2025</t>
        </is>
      </c>
      <c r="B5070" s="1" t="n">
        <v>45720</v>
      </c>
      <c r="C5070" s="1" t="n">
        <v>45811</v>
      </c>
      <c r="D5070" t="inlineStr">
        <is>
          <t>VÄSTMANLANDS LÄN</t>
        </is>
      </c>
      <c r="E5070" t="inlineStr">
        <is>
          <t>NORBERG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10396-2025</t>
        </is>
      </c>
      <c r="B5071" s="1" t="n">
        <v>45720</v>
      </c>
      <c r="C5071" s="1" t="n">
        <v>45811</v>
      </c>
      <c r="D5071" t="inlineStr">
        <is>
          <t>VÄSTMANLANDS LÄN</t>
        </is>
      </c>
      <c r="E5071" t="inlineStr">
        <is>
          <t>SURAHAMMAR</t>
        </is>
      </c>
      <c r="F5071" t="inlineStr">
        <is>
          <t>Allmännings- och besparingsskogar</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10413-2025</t>
        </is>
      </c>
      <c r="B5072" s="1" t="n">
        <v>45720</v>
      </c>
      <c r="C5072" s="1" t="n">
        <v>45811</v>
      </c>
      <c r="D5072" t="inlineStr">
        <is>
          <t>VÄSTMANLANDS LÄN</t>
        </is>
      </c>
      <c r="E5072" t="inlineStr">
        <is>
          <t>HALLSTAHAMMAR</t>
        </is>
      </c>
      <c r="F5072" t="inlineStr">
        <is>
          <t>Allmännings- och besparingsskogar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10232-2025</t>
        </is>
      </c>
      <c r="B5073" s="1" t="n">
        <v>45720</v>
      </c>
      <c r="C5073" s="1" t="n">
        <v>45811</v>
      </c>
      <c r="D5073" t="inlineStr">
        <is>
          <t>VÄSTMANLANDS LÄN</t>
        </is>
      </c>
      <c r="E5073" t="inlineStr">
        <is>
          <t>SKINNSKATTEBERG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10380-2025</t>
        </is>
      </c>
      <c r="B5074" s="1" t="n">
        <v>45720</v>
      </c>
      <c r="C5074" s="1" t="n">
        <v>45811</v>
      </c>
      <c r="D5074" t="inlineStr">
        <is>
          <t>VÄSTMANLANDS LÄN</t>
        </is>
      </c>
      <c r="E5074" t="inlineStr">
        <is>
          <t>HALLSTAHAMMAR</t>
        </is>
      </c>
      <c r="F5074" t="inlineStr">
        <is>
          <t>Allmännings- och besparingsskogar</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10248-2025</t>
        </is>
      </c>
      <c r="B5075" s="1" t="n">
        <v>45720</v>
      </c>
      <c r="C5075" s="1" t="n">
        <v>45811</v>
      </c>
      <c r="D5075" t="inlineStr">
        <is>
          <t>VÄSTMANLANDS LÄN</t>
        </is>
      </c>
      <c r="E5075" t="inlineStr">
        <is>
          <t>SALA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10284-2025</t>
        </is>
      </c>
      <c r="B5076" s="1" t="n">
        <v>45720</v>
      </c>
      <c r="C5076" s="1" t="n">
        <v>45811</v>
      </c>
      <c r="D5076" t="inlineStr">
        <is>
          <t>VÄSTMANLANDS LÄN</t>
        </is>
      </c>
      <c r="E5076" t="inlineStr">
        <is>
          <t>ARBOGA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10250-2025</t>
        </is>
      </c>
      <c r="B5077" s="1" t="n">
        <v>45720</v>
      </c>
      <c r="C5077" s="1" t="n">
        <v>45811</v>
      </c>
      <c r="D5077" t="inlineStr">
        <is>
          <t>VÄSTMANLANDS LÄN</t>
        </is>
      </c>
      <c r="E5077" t="inlineStr">
        <is>
          <t>SALA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10322-2025</t>
        </is>
      </c>
      <c r="B5078" s="1" t="n">
        <v>45720</v>
      </c>
      <c r="C5078" s="1" t="n">
        <v>45811</v>
      </c>
      <c r="D5078" t="inlineStr">
        <is>
          <t>VÄSTMANLANDS LÄN</t>
        </is>
      </c>
      <c r="E5078" t="inlineStr">
        <is>
          <t>VÄSTERÅS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10253-2025</t>
        </is>
      </c>
      <c r="B5079" s="1" t="n">
        <v>45720</v>
      </c>
      <c r="C5079" s="1" t="n">
        <v>45811</v>
      </c>
      <c r="D5079" t="inlineStr">
        <is>
          <t>VÄSTMANLANDS LÄN</t>
        </is>
      </c>
      <c r="E5079" t="inlineStr">
        <is>
          <t>ARBOGA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10508-2025</t>
        </is>
      </c>
      <c r="B5080" s="1" t="n">
        <v>45721</v>
      </c>
      <c r="C5080" s="1" t="n">
        <v>45811</v>
      </c>
      <c r="D5080" t="inlineStr">
        <is>
          <t>VÄSTMANLANDS LÄN</t>
        </is>
      </c>
      <c r="E5080" t="inlineStr">
        <is>
          <t>SALA</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10824-2025</t>
        </is>
      </c>
      <c r="B5081" s="1" t="n">
        <v>45722</v>
      </c>
      <c r="C5081" s="1" t="n">
        <v>45811</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10820-2025</t>
        </is>
      </c>
      <c r="B5082" s="1" t="n">
        <v>45722</v>
      </c>
      <c r="C5082" s="1" t="n">
        <v>45811</v>
      </c>
      <c r="D5082" t="inlineStr">
        <is>
          <t>VÄSTMANLANDS LÄN</t>
        </is>
      </c>
      <c r="E5082" t="inlineStr">
        <is>
          <t>FAGERSTA</t>
        </is>
      </c>
      <c r="F5082" t="inlineStr">
        <is>
          <t>Sveaskog</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10913-2025</t>
        </is>
      </c>
      <c r="B5083" s="1" t="n">
        <v>45722</v>
      </c>
      <c r="C5083" s="1" t="n">
        <v>45811</v>
      </c>
      <c r="D5083" t="inlineStr">
        <is>
          <t>VÄSTMANLANDS LÄN</t>
        </is>
      </c>
      <c r="E5083" t="inlineStr">
        <is>
          <t>SALA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11153-2025</t>
        </is>
      </c>
      <c r="B5084" s="1" t="n">
        <v>45723</v>
      </c>
      <c r="C5084" s="1" t="n">
        <v>45811</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11210-2025</t>
        </is>
      </c>
      <c r="B5085" s="1" t="n">
        <v>45726</v>
      </c>
      <c r="C5085" s="1" t="n">
        <v>45811</v>
      </c>
      <c r="D5085" t="inlineStr">
        <is>
          <t>VÄSTMANLANDS LÄN</t>
        </is>
      </c>
      <c r="E5085" t="inlineStr">
        <is>
          <t>SALA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11583-2025</t>
        </is>
      </c>
      <c r="B5086" s="1" t="n">
        <v>45727</v>
      </c>
      <c r="C5086" s="1" t="n">
        <v>45811</v>
      </c>
      <c r="D5086" t="inlineStr">
        <is>
          <t>VÄSTMANLANDS LÄN</t>
        </is>
      </c>
      <c r="E5086" t="inlineStr">
        <is>
          <t>FAGERSTA</t>
        </is>
      </c>
      <c r="F5086" t="inlineStr">
        <is>
          <t>Kommuner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11696-2025</t>
        </is>
      </c>
      <c r="B5087" s="1" t="n">
        <v>45727</v>
      </c>
      <c r="C5087" s="1" t="n">
        <v>45811</v>
      </c>
      <c r="D5087" t="inlineStr">
        <is>
          <t>VÄSTMANLANDS LÄN</t>
        </is>
      </c>
      <c r="E5087" t="inlineStr">
        <is>
          <t>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11771-2025</t>
        </is>
      </c>
      <c r="B5088" s="1" t="n">
        <v>45727</v>
      </c>
      <c r="C5088" s="1" t="n">
        <v>45811</v>
      </c>
      <c r="D5088" t="inlineStr">
        <is>
          <t>VÄSTMANLANDS LÄN</t>
        </is>
      </c>
      <c r="E5088" t="inlineStr">
        <is>
          <t>KUNGSÖR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11927-2025</t>
        </is>
      </c>
      <c r="B5089" s="1" t="n">
        <v>45728</v>
      </c>
      <c r="C5089" s="1" t="n">
        <v>45811</v>
      </c>
      <c r="D5089" t="inlineStr">
        <is>
          <t>VÄSTMANLANDS LÄN</t>
        </is>
      </c>
      <c r="E5089" t="inlineStr">
        <is>
          <t>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12110-2025</t>
        </is>
      </c>
      <c r="B5090" s="1" t="n">
        <v>45729</v>
      </c>
      <c r="C5090" s="1" t="n">
        <v>45811</v>
      </c>
      <c r="D5090" t="inlineStr">
        <is>
          <t>VÄSTMANLANDS LÄN</t>
        </is>
      </c>
      <c r="E5090" t="inlineStr">
        <is>
          <t>NORBERG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12229-2025</t>
        </is>
      </c>
      <c r="B5091" s="1" t="n">
        <v>45729</v>
      </c>
      <c r="C5091" s="1" t="n">
        <v>45811</v>
      </c>
      <c r="D5091" t="inlineStr">
        <is>
          <t>VÄSTMANLANDS LÄN</t>
        </is>
      </c>
      <c r="E5091" t="inlineStr">
        <is>
          <t>VÄSTERÅS</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12293-2025</t>
        </is>
      </c>
      <c r="B5092" s="1" t="n">
        <v>45729</v>
      </c>
      <c r="C5092" s="1" t="n">
        <v>45811</v>
      </c>
      <c r="D5092" t="inlineStr">
        <is>
          <t>VÄSTMANLANDS LÄN</t>
        </is>
      </c>
      <c r="E5092" t="inlineStr">
        <is>
          <t>SALA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12526-2025</t>
        </is>
      </c>
      <c r="B5093" s="1" t="n">
        <v>45730</v>
      </c>
      <c r="C5093" s="1" t="n">
        <v>45811</v>
      </c>
      <c r="D5093" t="inlineStr">
        <is>
          <t>VÄSTMANLANDS LÄN</t>
        </is>
      </c>
      <c r="E5093" t="inlineStr">
        <is>
          <t>NORBERG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12566-2025</t>
        </is>
      </c>
      <c r="B5094" s="1" t="n">
        <v>45731</v>
      </c>
      <c r="C5094" s="1" t="n">
        <v>45811</v>
      </c>
      <c r="D5094" t="inlineStr">
        <is>
          <t>VÄSTMANLANDS LÄN</t>
        </is>
      </c>
      <c r="E5094" t="inlineStr">
        <is>
          <t>ARBOGA</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12756-2025</t>
        </is>
      </c>
      <c r="B5095" s="1" t="n">
        <v>45733</v>
      </c>
      <c r="C5095" s="1" t="n">
        <v>45811</v>
      </c>
      <c r="D5095" t="inlineStr">
        <is>
          <t>VÄSTMANLANDS LÄN</t>
        </is>
      </c>
      <c r="E5095" t="inlineStr">
        <is>
          <t>SALA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12913-2025</t>
        </is>
      </c>
      <c r="B5096" s="1" t="n">
        <v>45733</v>
      </c>
      <c r="C5096" s="1" t="n">
        <v>45811</v>
      </c>
      <c r="D5096" t="inlineStr">
        <is>
          <t>VÄSTMANLANDS LÄN</t>
        </is>
      </c>
      <c r="E5096" t="inlineStr">
        <is>
          <t>FAGERSTA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12918-2025</t>
        </is>
      </c>
      <c r="B5097" s="1" t="n">
        <v>45733</v>
      </c>
      <c r="C5097" s="1" t="n">
        <v>45811</v>
      </c>
      <c r="D5097" t="inlineStr">
        <is>
          <t>VÄSTMANLANDS LÄN</t>
        </is>
      </c>
      <c r="E5097" t="inlineStr">
        <is>
          <t>SALA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12989-2025</t>
        </is>
      </c>
      <c r="B5098" s="1" t="n">
        <v>45734</v>
      </c>
      <c r="C5098" s="1" t="n">
        <v>45811</v>
      </c>
      <c r="D5098" t="inlineStr">
        <is>
          <t>VÄSTMANLANDS LÄN</t>
        </is>
      </c>
      <c r="E5098" t="inlineStr">
        <is>
          <t>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13041-2025</t>
        </is>
      </c>
      <c r="B5099" s="1" t="n">
        <v>45734</v>
      </c>
      <c r="C5099" s="1" t="n">
        <v>45811</v>
      </c>
      <c r="D5099" t="inlineStr">
        <is>
          <t>VÄSTMANLANDS LÄN</t>
        </is>
      </c>
      <c r="E5099" t="inlineStr">
        <is>
          <t>KÖPING</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12919-2025</t>
        </is>
      </c>
      <c r="B5100" s="1" t="n">
        <v>45734</v>
      </c>
      <c r="C5100" s="1" t="n">
        <v>45811</v>
      </c>
      <c r="D5100" t="inlineStr">
        <is>
          <t>VÄSTMANLANDS LÄN</t>
        </is>
      </c>
      <c r="E5100" t="inlineStr">
        <is>
          <t>VÄSTERÅS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13127-2025</t>
        </is>
      </c>
      <c r="B5101" s="1" t="n">
        <v>45734</v>
      </c>
      <c r="C5101" s="1" t="n">
        <v>45811</v>
      </c>
      <c r="D5101" t="inlineStr">
        <is>
          <t>VÄSTMANLANDS LÄN</t>
        </is>
      </c>
      <c r="E5101" t="inlineStr">
        <is>
          <t>SALA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13042-2025</t>
        </is>
      </c>
      <c r="B5102" s="1" t="n">
        <v>45734</v>
      </c>
      <c r="C5102" s="1" t="n">
        <v>45811</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13047-2025</t>
        </is>
      </c>
      <c r="B5103" s="1" t="n">
        <v>45734</v>
      </c>
      <c r="C5103" s="1" t="n">
        <v>45811</v>
      </c>
      <c r="D5103" t="inlineStr">
        <is>
          <t>VÄSTMANLANDS LÄN</t>
        </is>
      </c>
      <c r="E5103" t="inlineStr">
        <is>
          <t>KÖPING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13049-2025</t>
        </is>
      </c>
      <c r="B5104" s="1" t="n">
        <v>45734</v>
      </c>
      <c r="C5104" s="1" t="n">
        <v>45811</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13050-2025</t>
        </is>
      </c>
      <c r="B5105" s="1" t="n">
        <v>45734</v>
      </c>
      <c r="C5105" s="1" t="n">
        <v>45811</v>
      </c>
      <c r="D5105" t="inlineStr">
        <is>
          <t>VÄSTMANLANDS LÄN</t>
        </is>
      </c>
      <c r="E5105" t="inlineStr">
        <is>
          <t>KÖPING</t>
        </is>
      </c>
      <c r="F5105" t="inlineStr">
        <is>
          <t>Sveaskog</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13043-2025</t>
        </is>
      </c>
      <c r="B5106" s="1" t="n">
        <v>45734</v>
      </c>
      <c r="C5106" s="1" t="n">
        <v>45811</v>
      </c>
      <c r="D5106" t="inlineStr">
        <is>
          <t>VÄSTMANLANDS LÄN</t>
        </is>
      </c>
      <c r="E5106" t="inlineStr">
        <is>
          <t>KÖPING</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12922-2025</t>
        </is>
      </c>
      <c r="B5107" s="1" t="n">
        <v>45734</v>
      </c>
      <c r="C5107" s="1" t="n">
        <v>45811</v>
      </c>
      <c r="D5107" t="inlineStr">
        <is>
          <t>VÄSTMANLANDS LÄN</t>
        </is>
      </c>
      <c r="E5107" t="inlineStr">
        <is>
          <t>SALA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12921-2025</t>
        </is>
      </c>
      <c r="B5108" s="1" t="n">
        <v>45734</v>
      </c>
      <c r="C5108" s="1" t="n">
        <v>45811</v>
      </c>
      <c r="D5108" t="inlineStr">
        <is>
          <t>VÄSTMANLANDS LÄN</t>
        </is>
      </c>
      <c r="E5108" t="inlineStr">
        <is>
          <t>SALA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13046-2025</t>
        </is>
      </c>
      <c r="B5109" s="1" t="n">
        <v>45734</v>
      </c>
      <c r="C5109" s="1" t="n">
        <v>45811</v>
      </c>
      <c r="D5109" t="inlineStr">
        <is>
          <t>VÄSTMANLANDS LÄN</t>
        </is>
      </c>
      <c r="E5109" t="inlineStr">
        <is>
          <t>KÖPING</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13000-2025</t>
        </is>
      </c>
      <c r="B5110" s="1" t="n">
        <v>45734</v>
      </c>
      <c r="C5110" s="1" t="n">
        <v>45811</v>
      </c>
      <c r="D5110" t="inlineStr">
        <is>
          <t>VÄSTMANLANDS LÄN</t>
        </is>
      </c>
      <c r="E5110" t="inlineStr">
        <is>
          <t>SALA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13128-2025</t>
        </is>
      </c>
      <c r="B5111" s="1" t="n">
        <v>45734</v>
      </c>
      <c r="C5111" s="1" t="n">
        <v>45811</v>
      </c>
      <c r="D5111" t="inlineStr">
        <is>
          <t>VÄSTMANLANDS LÄN</t>
        </is>
      </c>
      <c r="E5111" t="inlineStr">
        <is>
          <t>SALA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13129-2025</t>
        </is>
      </c>
      <c r="B5112" s="1" t="n">
        <v>45734</v>
      </c>
      <c r="C5112" s="1" t="n">
        <v>45811</v>
      </c>
      <c r="D5112" t="inlineStr">
        <is>
          <t>VÄSTMANLANDS LÄN</t>
        </is>
      </c>
      <c r="E5112" t="inlineStr">
        <is>
          <t>SALA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13130-2025</t>
        </is>
      </c>
      <c r="B5113" s="1" t="n">
        <v>45734</v>
      </c>
      <c r="C5113" s="1" t="n">
        <v>45811</v>
      </c>
      <c r="D5113" t="inlineStr">
        <is>
          <t>VÄSTMANLANDS LÄN</t>
        </is>
      </c>
      <c r="E5113" t="inlineStr">
        <is>
          <t>SALA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13188-2025</t>
        </is>
      </c>
      <c r="B5114" s="1" t="n">
        <v>45735</v>
      </c>
      <c r="C5114" s="1" t="n">
        <v>45811</v>
      </c>
      <c r="D5114" t="inlineStr">
        <is>
          <t>VÄSTMANLANDS LÄN</t>
        </is>
      </c>
      <c r="E5114" t="inlineStr">
        <is>
          <t>SALA</t>
        </is>
      </c>
      <c r="F5114" t="inlineStr">
        <is>
          <t>Naturvårdsverket</t>
        </is>
      </c>
      <c r="G5114" t="n">
        <v>18.4</v>
      </c>
      <c r="H5114" t="n">
        <v>0</v>
      </c>
      <c r="I5114" t="n">
        <v>0</v>
      </c>
      <c r="J5114" t="n">
        <v>0</v>
      </c>
      <c r="K5114" t="n">
        <v>0</v>
      </c>
      <c r="L5114" t="n">
        <v>0</v>
      </c>
      <c r="M5114" t="n">
        <v>0</v>
      </c>
      <c r="N5114" t="n">
        <v>0</v>
      </c>
      <c r="O5114" t="n">
        <v>0</v>
      </c>
      <c r="P5114" t="n">
        <v>0</v>
      </c>
      <c r="Q5114" t="n">
        <v>0</v>
      </c>
      <c r="R5114" s="2" t="inlineStr"/>
    </row>
    <row r="5115" ht="15" customHeight="1">
      <c r="A5115" t="inlineStr">
        <is>
          <t>A 13241-2025</t>
        </is>
      </c>
      <c r="B5115" s="1" t="n">
        <v>45735</v>
      </c>
      <c r="C5115" s="1" t="n">
        <v>45811</v>
      </c>
      <c r="D5115" t="inlineStr">
        <is>
          <t>VÄSTMANLANDS LÄN</t>
        </is>
      </c>
      <c r="E5115" t="inlineStr">
        <is>
          <t>VÄSTERÅS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13228-2025</t>
        </is>
      </c>
      <c r="B5116" s="1" t="n">
        <v>45735</v>
      </c>
      <c r="C5116" s="1" t="n">
        <v>45811</v>
      </c>
      <c r="D5116" t="inlineStr">
        <is>
          <t>VÄSTMANLANDS LÄN</t>
        </is>
      </c>
      <c r="E5116" t="inlineStr">
        <is>
          <t>VÄSTERÅS</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13386-2025</t>
        </is>
      </c>
      <c r="B5117" s="1" t="n">
        <v>45735</v>
      </c>
      <c r="C5117" s="1" t="n">
        <v>45811</v>
      </c>
      <c r="D5117" t="inlineStr">
        <is>
          <t>VÄSTMANLANDS LÄN</t>
        </is>
      </c>
      <c r="E5117" t="inlineStr">
        <is>
          <t>SURAHAMMAR</t>
        </is>
      </c>
      <c r="F5117" t="inlineStr">
        <is>
          <t>Bergvik skog väst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13338-2025</t>
        </is>
      </c>
      <c r="B5118" s="1" t="n">
        <v>45735</v>
      </c>
      <c r="C5118" s="1" t="n">
        <v>45811</v>
      </c>
      <c r="D5118" t="inlineStr">
        <is>
          <t>VÄSTMANLANDS LÄN</t>
        </is>
      </c>
      <c r="E5118" t="inlineStr">
        <is>
          <t>VÄSTERÅS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13388-2025</t>
        </is>
      </c>
      <c r="B5119" s="1" t="n">
        <v>45735</v>
      </c>
      <c r="C5119" s="1" t="n">
        <v>45811</v>
      </c>
      <c r="D5119" t="inlineStr">
        <is>
          <t>VÄSTMANLANDS LÄN</t>
        </is>
      </c>
      <c r="E5119" t="inlineStr">
        <is>
          <t>VÄSTERÅS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13239-2025</t>
        </is>
      </c>
      <c r="B5120" s="1" t="n">
        <v>45735</v>
      </c>
      <c r="C5120" s="1" t="n">
        <v>45811</v>
      </c>
      <c r="D5120" t="inlineStr">
        <is>
          <t>VÄSTMANLANDS LÄN</t>
        </is>
      </c>
      <c r="E5120" t="inlineStr">
        <is>
          <t>VÄSTERÅS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13531-2025</t>
        </is>
      </c>
      <c r="B5121" s="1" t="n">
        <v>45736</v>
      </c>
      <c r="C5121" s="1" t="n">
        <v>45811</v>
      </c>
      <c r="D5121" t="inlineStr">
        <is>
          <t>VÄSTMANLANDS LÄN</t>
        </is>
      </c>
      <c r="E5121" t="inlineStr">
        <is>
          <t>HALLSTAHAMMAR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13477-2025</t>
        </is>
      </c>
      <c r="B5122" s="1" t="n">
        <v>45736</v>
      </c>
      <c r="C5122" s="1" t="n">
        <v>45811</v>
      </c>
      <c r="D5122" t="inlineStr">
        <is>
          <t>VÄSTMANLANDS LÄN</t>
        </is>
      </c>
      <c r="E5122" t="inlineStr">
        <is>
          <t>KÖPING</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13632-2025</t>
        </is>
      </c>
      <c r="B5123" s="1" t="n">
        <v>45736</v>
      </c>
      <c r="C5123" s="1" t="n">
        <v>45811</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13471-2025</t>
        </is>
      </c>
      <c r="B5124" s="1" t="n">
        <v>45736</v>
      </c>
      <c r="C5124" s="1" t="n">
        <v>45811</v>
      </c>
      <c r="D5124" t="inlineStr">
        <is>
          <t>VÄSTMANLANDS LÄN</t>
        </is>
      </c>
      <c r="E5124" t="inlineStr">
        <is>
          <t>SALA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13495-2025</t>
        </is>
      </c>
      <c r="B5125" s="1" t="n">
        <v>45736</v>
      </c>
      <c r="C5125" s="1" t="n">
        <v>45811</v>
      </c>
      <c r="D5125" t="inlineStr">
        <is>
          <t>VÄSTMANLANDS LÄN</t>
        </is>
      </c>
      <c r="E5125" t="inlineStr">
        <is>
          <t>FAGERSTA</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13510-2025</t>
        </is>
      </c>
      <c r="B5126" s="1" t="n">
        <v>45736</v>
      </c>
      <c r="C5126" s="1" t="n">
        <v>45811</v>
      </c>
      <c r="D5126" t="inlineStr">
        <is>
          <t>VÄSTMANLANDS LÄN</t>
        </is>
      </c>
      <c r="E5126" t="inlineStr">
        <is>
          <t>HALLSTAHAMMAR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13904-2025</t>
        </is>
      </c>
      <c r="B5127" s="1" t="n">
        <v>45737</v>
      </c>
      <c r="C5127" s="1" t="n">
        <v>45811</v>
      </c>
      <c r="D5127" t="inlineStr">
        <is>
          <t>VÄSTMANLANDS LÄN</t>
        </is>
      </c>
      <c r="E5127" t="inlineStr">
        <is>
          <t>FAGERSTA</t>
        </is>
      </c>
      <c r="F5127" t="inlineStr">
        <is>
          <t>Kommuner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13847-2025</t>
        </is>
      </c>
      <c r="B5128" s="1" t="n">
        <v>45737</v>
      </c>
      <c r="C5128" s="1" t="n">
        <v>45811</v>
      </c>
      <c r="D5128" t="inlineStr">
        <is>
          <t>VÄSTMANLANDS LÄN</t>
        </is>
      </c>
      <c r="E5128" t="inlineStr">
        <is>
          <t>KÖPING</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13697-2025</t>
        </is>
      </c>
      <c r="B5129" s="1" t="n">
        <v>45737</v>
      </c>
      <c r="C5129" s="1" t="n">
        <v>45811</v>
      </c>
      <c r="D5129" t="inlineStr">
        <is>
          <t>VÄSTMANLANDS LÄN</t>
        </is>
      </c>
      <c r="E5129" t="inlineStr">
        <is>
          <t>FAGERSTA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13733-2025</t>
        </is>
      </c>
      <c r="B5130" s="1" t="n">
        <v>45737</v>
      </c>
      <c r="C5130" s="1" t="n">
        <v>45811</v>
      </c>
      <c r="D5130" t="inlineStr">
        <is>
          <t>VÄSTMANLANDS LÄN</t>
        </is>
      </c>
      <c r="E5130" t="inlineStr">
        <is>
          <t>SKINNSKATTEBERG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13838-2025</t>
        </is>
      </c>
      <c r="B5131" s="1" t="n">
        <v>45737</v>
      </c>
      <c r="C5131" s="1" t="n">
        <v>45811</v>
      </c>
      <c r="D5131" t="inlineStr">
        <is>
          <t>VÄSTMANLANDS LÄN</t>
        </is>
      </c>
      <c r="E5131" t="inlineStr">
        <is>
          <t>NORBERG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13837-2025</t>
        </is>
      </c>
      <c r="B5132" s="1" t="n">
        <v>45737</v>
      </c>
      <c r="C5132" s="1" t="n">
        <v>45811</v>
      </c>
      <c r="D5132" t="inlineStr">
        <is>
          <t>VÄSTMANLANDS LÄN</t>
        </is>
      </c>
      <c r="E5132" t="inlineStr">
        <is>
          <t>NORBERG</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13835-2025</t>
        </is>
      </c>
      <c r="B5133" s="1" t="n">
        <v>45737</v>
      </c>
      <c r="C5133" s="1" t="n">
        <v>45811</v>
      </c>
      <c r="D5133" t="inlineStr">
        <is>
          <t>VÄSTMANLANDS LÄN</t>
        </is>
      </c>
      <c r="E5133" t="inlineStr">
        <is>
          <t>NORBERG</t>
        </is>
      </c>
      <c r="F5133" t="inlineStr">
        <is>
          <t>Sveaskog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13752-2025</t>
        </is>
      </c>
      <c r="B5134" s="1" t="n">
        <v>45737</v>
      </c>
      <c r="C5134" s="1" t="n">
        <v>45811</v>
      </c>
      <c r="D5134" t="inlineStr">
        <is>
          <t>VÄSTMANLANDS LÄN</t>
        </is>
      </c>
      <c r="E5134" t="inlineStr">
        <is>
          <t>SALA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13796-2025</t>
        </is>
      </c>
      <c r="B5135" s="1" t="n">
        <v>45737</v>
      </c>
      <c r="C5135" s="1" t="n">
        <v>45811</v>
      </c>
      <c r="D5135" t="inlineStr">
        <is>
          <t>VÄSTMANLANDS LÄN</t>
        </is>
      </c>
      <c r="E5135" t="inlineStr">
        <is>
          <t>SURAHAMMAR</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13681-2025</t>
        </is>
      </c>
      <c r="B5136" s="1" t="n">
        <v>45737</v>
      </c>
      <c r="C5136" s="1" t="n">
        <v>45811</v>
      </c>
      <c r="D5136" t="inlineStr">
        <is>
          <t>VÄSTMANLANDS LÄN</t>
        </is>
      </c>
      <c r="E5136" t="inlineStr">
        <is>
          <t>KÖPING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13746-2025</t>
        </is>
      </c>
      <c r="B5137" s="1" t="n">
        <v>45737</v>
      </c>
      <c r="C5137" s="1" t="n">
        <v>45811</v>
      </c>
      <c r="D5137" t="inlineStr">
        <is>
          <t>VÄSTMANLANDS LÄN</t>
        </is>
      </c>
      <c r="E5137" t="inlineStr">
        <is>
          <t>SALA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13749-2025</t>
        </is>
      </c>
      <c r="B5138" s="1" t="n">
        <v>45737</v>
      </c>
      <c r="C5138" s="1" t="n">
        <v>45811</v>
      </c>
      <c r="D5138" t="inlineStr">
        <is>
          <t>VÄSTMANLANDS LÄN</t>
        </is>
      </c>
      <c r="E5138" t="inlineStr">
        <is>
          <t>SALA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13685-2025</t>
        </is>
      </c>
      <c r="B5139" s="1" t="n">
        <v>45737</v>
      </c>
      <c r="C5139" s="1" t="n">
        <v>45811</v>
      </c>
      <c r="D5139" t="inlineStr">
        <is>
          <t>VÄSTMANLANDS LÄN</t>
        </is>
      </c>
      <c r="E5139" t="inlineStr">
        <is>
          <t>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14041-2025</t>
        </is>
      </c>
      <c r="B5140" s="1" t="n">
        <v>45740</v>
      </c>
      <c r="C5140" s="1" t="n">
        <v>45811</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14034-2025</t>
        </is>
      </c>
      <c r="B5141" s="1" t="n">
        <v>45740</v>
      </c>
      <c r="C5141" s="1" t="n">
        <v>45811</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14237-2025</t>
        </is>
      </c>
      <c r="B5142" s="1" t="n">
        <v>45740</v>
      </c>
      <c r="C5142" s="1" t="n">
        <v>45811</v>
      </c>
      <c r="D5142" t="inlineStr">
        <is>
          <t>VÄSTMANLANDS LÄN</t>
        </is>
      </c>
      <c r="E5142" t="inlineStr">
        <is>
          <t>SKINNSKATTEBERG</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14057-2025</t>
        </is>
      </c>
      <c r="B5143" s="1" t="n">
        <v>45740</v>
      </c>
      <c r="C5143" s="1" t="n">
        <v>45811</v>
      </c>
      <c r="D5143" t="inlineStr">
        <is>
          <t>VÄSTMANLANDS LÄN</t>
        </is>
      </c>
      <c r="E5143" t="inlineStr">
        <is>
          <t>ARBOGA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14158-2025</t>
        </is>
      </c>
      <c r="B5144" s="1" t="n">
        <v>45740</v>
      </c>
      <c r="C5144" s="1" t="n">
        <v>45811</v>
      </c>
      <c r="D5144" t="inlineStr">
        <is>
          <t>VÄSTMANLANDS LÄN</t>
        </is>
      </c>
      <c r="E5144" t="inlineStr">
        <is>
          <t>NORBERG</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14112-2025</t>
        </is>
      </c>
      <c r="B5145" s="1" t="n">
        <v>45740</v>
      </c>
      <c r="C5145" s="1" t="n">
        <v>45811</v>
      </c>
      <c r="D5145" t="inlineStr">
        <is>
          <t>VÄSTMANLANDS LÄN</t>
        </is>
      </c>
      <c r="E5145" t="inlineStr">
        <is>
          <t>NORBERG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14271-2025</t>
        </is>
      </c>
      <c r="B5146" s="1" t="n">
        <v>45740</v>
      </c>
      <c r="C5146" s="1" t="n">
        <v>45811</v>
      </c>
      <c r="D5146" t="inlineStr">
        <is>
          <t>VÄSTMANLANDS LÄN</t>
        </is>
      </c>
      <c r="E5146" t="inlineStr">
        <is>
          <t>SALA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14049-2025</t>
        </is>
      </c>
      <c r="B5147" s="1" t="n">
        <v>45740</v>
      </c>
      <c r="C5147" s="1" t="n">
        <v>45811</v>
      </c>
      <c r="D5147" t="inlineStr">
        <is>
          <t>VÄSTMANLANDS LÄN</t>
        </is>
      </c>
      <c r="E5147" t="inlineStr">
        <is>
          <t>SKINNSKATTEBERG</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14024-2025</t>
        </is>
      </c>
      <c r="B5148" s="1" t="n">
        <v>45740</v>
      </c>
      <c r="C5148" s="1" t="n">
        <v>45811</v>
      </c>
      <c r="D5148" t="inlineStr">
        <is>
          <t>VÄSTMANLANDS LÄN</t>
        </is>
      </c>
      <c r="E5148" t="inlineStr">
        <is>
          <t>SALA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14044-2025</t>
        </is>
      </c>
      <c r="B5149" s="1" t="n">
        <v>45740</v>
      </c>
      <c r="C5149" s="1" t="n">
        <v>45811</v>
      </c>
      <c r="D5149" t="inlineStr">
        <is>
          <t>VÄSTMANLANDS LÄN</t>
        </is>
      </c>
      <c r="E5149" t="inlineStr">
        <is>
          <t>SKINNSKATTEBERG</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14159-2025</t>
        </is>
      </c>
      <c r="B5150" s="1" t="n">
        <v>45740</v>
      </c>
      <c r="C5150" s="1" t="n">
        <v>45811</v>
      </c>
      <c r="D5150" t="inlineStr">
        <is>
          <t>VÄSTMANLANDS LÄN</t>
        </is>
      </c>
      <c r="E5150" t="inlineStr">
        <is>
          <t>NORBERG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14268-2025</t>
        </is>
      </c>
      <c r="B5151" s="1" t="n">
        <v>45740</v>
      </c>
      <c r="C5151" s="1" t="n">
        <v>45811</v>
      </c>
      <c r="D5151" t="inlineStr">
        <is>
          <t>VÄSTMANLANDS LÄN</t>
        </is>
      </c>
      <c r="E5151" t="inlineStr">
        <is>
          <t>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14406-2025</t>
        </is>
      </c>
      <c r="B5152" s="1" t="n">
        <v>45741</v>
      </c>
      <c r="C5152" s="1" t="n">
        <v>45811</v>
      </c>
      <c r="D5152" t="inlineStr">
        <is>
          <t>VÄSTMANLANDS LÄN</t>
        </is>
      </c>
      <c r="E5152" t="inlineStr">
        <is>
          <t>ARBOGA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14541-2025</t>
        </is>
      </c>
      <c r="B5153" s="1" t="n">
        <v>45741</v>
      </c>
      <c r="C5153" s="1" t="n">
        <v>45811</v>
      </c>
      <c r="D5153" t="inlineStr">
        <is>
          <t>VÄSTMANLANDS LÄN</t>
        </is>
      </c>
      <c r="E5153" t="inlineStr">
        <is>
          <t>SKINNSKATTEBERG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14782-2025</t>
        </is>
      </c>
      <c r="B5154" s="1" t="n">
        <v>45742</v>
      </c>
      <c r="C5154" s="1" t="n">
        <v>45811</v>
      </c>
      <c r="D5154" t="inlineStr">
        <is>
          <t>VÄSTMANLANDS LÄN</t>
        </is>
      </c>
      <c r="E5154" t="inlineStr">
        <is>
          <t>FAGERSTA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14690-2025</t>
        </is>
      </c>
      <c r="B5155" s="1" t="n">
        <v>45742</v>
      </c>
      <c r="C5155" s="1" t="n">
        <v>45811</v>
      </c>
      <c r="D5155" t="inlineStr">
        <is>
          <t>VÄSTMANLANDS LÄN</t>
        </is>
      </c>
      <c r="E5155" t="inlineStr">
        <is>
          <t>SALA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14741-2025</t>
        </is>
      </c>
      <c r="B5156" s="1" t="n">
        <v>45742</v>
      </c>
      <c r="C5156" s="1" t="n">
        <v>45811</v>
      </c>
      <c r="D5156" t="inlineStr">
        <is>
          <t>VÄSTMANLANDS LÄN</t>
        </is>
      </c>
      <c r="E5156" t="inlineStr">
        <is>
          <t>ARBOGA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14590-2025</t>
        </is>
      </c>
      <c r="B5157" s="1" t="n">
        <v>45742</v>
      </c>
      <c r="C5157" s="1" t="n">
        <v>45811</v>
      </c>
      <c r="D5157" t="inlineStr">
        <is>
          <t>VÄSTMANLANDS LÄN</t>
        </is>
      </c>
      <c r="E5157" t="inlineStr">
        <is>
          <t>FAGERSTA</t>
        </is>
      </c>
      <c r="F5157" t="inlineStr">
        <is>
          <t>Kommuner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14593-2025</t>
        </is>
      </c>
      <c r="B5158" s="1" t="n">
        <v>45742</v>
      </c>
      <c r="C5158" s="1" t="n">
        <v>45811</v>
      </c>
      <c r="D5158" t="inlineStr">
        <is>
          <t>VÄSTMANLANDS LÄN</t>
        </is>
      </c>
      <c r="E5158" t="inlineStr">
        <is>
          <t>HALLSTAHAMMAR</t>
        </is>
      </c>
      <c r="F5158" t="inlineStr">
        <is>
          <t>Allmännings- och besparingsskogar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14853-2025</t>
        </is>
      </c>
      <c r="B5159" s="1" t="n">
        <v>45743</v>
      </c>
      <c r="C5159" s="1" t="n">
        <v>45811</v>
      </c>
      <c r="D5159" t="inlineStr">
        <is>
          <t>VÄSTMANLANDS LÄN</t>
        </is>
      </c>
      <c r="E5159" t="inlineStr">
        <is>
          <t>SALA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14919-2025</t>
        </is>
      </c>
      <c r="B5160" s="1" t="n">
        <v>45743</v>
      </c>
      <c r="C5160" s="1" t="n">
        <v>45811</v>
      </c>
      <c r="D5160" t="inlineStr">
        <is>
          <t>VÄSTMANLANDS LÄN</t>
        </is>
      </c>
      <c r="E5160" t="inlineStr">
        <is>
          <t>SALA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15000-2025</t>
        </is>
      </c>
      <c r="B5161" s="1" t="n">
        <v>45743</v>
      </c>
      <c r="C5161" s="1" t="n">
        <v>45811</v>
      </c>
      <c r="D5161" t="inlineStr">
        <is>
          <t>VÄSTMANLANDS LÄN</t>
        </is>
      </c>
      <c r="E5161" t="inlineStr">
        <is>
          <t>SALA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15046-2025</t>
        </is>
      </c>
      <c r="B5162" s="1" t="n">
        <v>45743</v>
      </c>
      <c r="C5162" s="1" t="n">
        <v>45811</v>
      </c>
      <c r="D5162" t="inlineStr">
        <is>
          <t>VÄSTMANLANDS LÄN</t>
        </is>
      </c>
      <c r="E5162" t="inlineStr">
        <is>
          <t>VÄSTERÅS</t>
        </is>
      </c>
      <c r="G5162" t="n">
        <v>17.7</v>
      </c>
      <c r="H5162" t="n">
        <v>0</v>
      </c>
      <c r="I5162" t="n">
        <v>0</v>
      </c>
      <c r="J5162" t="n">
        <v>0</v>
      </c>
      <c r="K5162" t="n">
        <v>0</v>
      </c>
      <c r="L5162" t="n">
        <v>0</v>
      </c>
      <c r="M5162" t="n">
        <v>0</v>
      </c>
      <c r="N5162" t="n">
        <v>0</v>
      </c>
      <c r="O5162" t="n">
        <v>0</v>
      </c>
      <c r="P5162" t="n">
        <v>0</v>
      </c>
      <c r="Q5162" t="n">
        <v>0</v>
      </c>
      <c r="R5162" s="2" t="inlineStr"/>
    </row>
    <row r="5163" ht="15" customHeight="1">
      <c r="A5163" t="inlineStr">
        <is>
          <t>A 15050-2025</t>
        </is>
      </c>
      <c r="B5163" s="1" t="n">
        <v>45743</v>
      </c>
      <c r="C5163" s="1" t="n">
        <v>45811</v>
      </c>
      <c r="D5163" t="inlineStr">
        <is>
          <t>VÄSTMANLANDS LÄN</t>
        </is>
      </c>
      <c r="E5163" t="inlineStr">
        <is>
          <t>VÄSTERÅS</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14920-2025</t>
        </is>
      </c>
      <c r="B5164" s="1" t="n">
        <v>45743</v>
      </c>
      <c r="C5164" s="1" t="n">
        <v>45811</v>
      </c>
      <c r="D5164" t="inlineStr">
        <is>
          <t>VÄSTMANLANDS LÄN</t>
        </is>
      </c>
      <c r="E5164" t="inlineStr">
        <is>
          <t>SALA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15184-2025</t>
        </is>
      </c>
      <c r="B5165" s="1" t="n">
        <v>45744</v>
      </c>
      <c r="C5165" s="1" t="n">
        <v>45811</v>
      </c>
      <c r="D5165" t="inlineStr">
        <is>
          <t>VÄSTMANLANDS LÄN</t>
        </is>
      </c>
      <c r="E5165" t="inlineStr">
        <is>
          <t>SKINNSKATTEBERG</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15193-2025</t>
        </is>
      </c>
      <c r="B5166" s="1" t="n">
        <v>45744</v>
      </c>
      <c r="C5166" s="1" t="n">
        <v>45811</v>
      </c>
      <c r="D5166" t="inlineStr">
        <is>
          <t>VÄSTMANLANDS LÄN</t>
        </is>
      </c>
      <c r="E5166" t="inlineStr">
        <is>
          <t>SALA</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15099-2025</t>
        </is>
      </c>
      <c r="B5167" s="1" t="n">
        <v>45744</v>
      </c>
      <c r="C5167" s="1" t="n">
        <v>45811</v>
      </c>
      <c r="D5167" t="inlineStr">
        <is>
          <t>VÄSTMANLANDS LÄN</t>
        </is>
      </c>
      <c r="E5167" t="inlineStr">
        <is>
          <t>SALA</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15272-2025</t>
        </is>
      </c>
      <c r="B5168" s="1" t="n">
        <v>45744</v>
      </c>
      <c r="C5168" s="1" t="n">
        <v>45811</v>
      </c>
      <c r="D5168" t="inlineStr">
        <is>
          <t>VÄSTMANLANDS LÄN</t>
        </is>
      </c>
      <c r="E5168" t="inlineStr">
        <is>
          <t>SALA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15545-2025</t>
        </is>
      </c>
      <c r="B5169" s="1" t="n">
        <v>45747</v>
      </c>
      <c r="C5169" s="1" t="n">
        <v>45811</v>
      </c>
      <c r="D5169" t="inlineStr">
        <is>
          <t>VÄSTMANLANDS LÄN</t>
        </is>
      </c>
      <c r="E5169" t="inlineStr">
        <is>
          <t>SKINNSKATTEBERG</t>
        </is>
      </c>
      <c r="G5169" t="n">
        <v>11.8</v>
      </c>
      <c r="H5169" t="n">
        <v>0</v>
      </c>
      <c r="I5169" t="n">
        <v>0</v>
      </c>
      <c r="J5169" t="n">
        <v>0</v>
      </c>
      <c r="K5169" t="n">
        <v>0</v>
      </c>
      <c r="L5169" t="n">
        <v>0</v>
      </c>
      <c r="M5169" t="n">
        <v>0</v>
      </c>
      <c r="N5169" t="n">
        <v>0</v>
      </c>
      <c r="O5169" t="n">
        <v>0</v>
      </c>
      <c r="P5169" t="n">
        <v>0</v>
      </c>
      <c r="Q5169" t="n">
        <v>0</v>
      </c>
      <c r="R5169" s="2" t="inlineStr"/>
    </row>
    <row r="5170" ht="15" customHeight="1">
      <c r="A5170" t="inlineStr">
        <is>
          <t>A 15562-2025</t>
        </is>
      </c>
      <c r="B5170" s="1" t="n">
        <v>45747</v>
      </c>
      <c r="C5170" s="1" t="n">
        <v>45811</v>
      </c>
      <c r="D5170" t="inlineStr">
        <is>
          <t>VÄSTMANLANDS LÄN</t>
        </is>
      </c>
      <c r="E5170" t="inlineStr">
        <is>
          <t>SKINNSKATTEBERG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15569-2025</t>
        </is>
      </c>
      <c r="B5171" s="1" t="n">
        <v>45747</v>
      </c>
      <c r="C5171" s="1" t="n">
        <v>45811</v>
      </c>
      <c r="D5171" t="inlineStr">
        <is>
          <t>VÄSTMANLANDS LÄN</t>
        </is>
      </c>
      <c r="E5171" t="inlineStr">
        <is>
          <t>ARBOGA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15809-2025</t>
        </is>
      </c>
      <c r="B5172" s="1" t="n">
        <v>45748</v>
      </c>
      <c r="C5172" s="1" t="n">
        <v>45811</v>
      </c>
      <c r="D5172" t="inlineStr">
        <is>
          <t>VÄSTMANLANDS LÄN</t>
        </is>
      </c>
      <c r="E5172" t="inlineStr">
        <is>
          <t>NORBERG</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15810-2025</t>
        </is>
      </c>
      <c r="B5173" s="1" t="n">
        <v>45748</v>
      </c>
      <c r="C5173" s="1" t="n">
        <v>45811</v>
      </c>
      <c r="D5173" t="inlineStr">
        <is>
          <t>VÄSTMANLANDS LÄN</t>
        </is>
      </c>
      <c r="E5173" t="inlineStr">
        <is>
          <t>NORBERG</t>
        </is>
      </c>
      <c r="F5173" t="inlineStr">
        <is>
          <t>Sveaskog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15756-2025</t>
        </is>
      </c>
      <c r="B5174" s="1" t="n">
        <v>45748</v>
      </c>
      <c r="C5174" s="1" t="n">
        <v>45811</v>
      </c>
      <c r="D5174" t="inlineStr">
        <is>
          <t>VÄSTMANLANDS LÄN</t>
        </is>
      </c>
      <c r="E5174" t="inlineStr">
        <is>
          <t>SALA</t>
        </is>
      </c>
      <c r="F5174" t="inlineStr">
        <is>
          <t>Bergvik skog öst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15681-2025</t>
        </is>
      </c>
      <c r="B5175" s="1" t="n">
        <v>45748</v>
      </c>
      <c r="C5175" s="1" t="n">
        <v>45811</v>
      </c>
      <c r="D5175" t="inlineStr">
        <is>
          <t>VÄSTMANLANDS LÄN</t>
        </is>
      </c>
      <c r="E5175" t="inlineStr">
        <is>
          <t>SALA</t>
        </is>
      </c>
      <c r="F5175" t="inlineStr">
        <is>
          <t>Bergvik skog öst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15650-2025</t>
        </is>
      </c>
      <c r="B5176" s="1" t="n">
        <v>45748</v>
      </c>
      <c r="C5176" s="1" t="n">
        <v>45811</v>
      </c>
      <c r="D5176" t="inlineStr">
        <is>
          <t>VÄSTMANLANDS LÄN</t>
        </is>
      </c>
      <c r="E5176" t="inlineStr">
        <is>
          <t>SALA</t>
        </is>
      </c>
      <c r="F5176" t="inlineStr">
        <is>
          <t>Bergvik skog öst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15812-2025</t>
        </is>
      </c>
      <c r="B5177" s="1" t="n">
        <v>45748</v>
      </c>
      <c r="C5177" s="1" t="n">
        <v>45811</v>
      </c>
      <c r="D5177" t="inlineStr">
        <is>
          <t>VÄSTMANLANDS LÄN</t>
        </is>
      </c>
      <c r="E5177" t="inlineStr">
        <is>
          <t>FAGERSTA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15858-2025</t>
        </is>
      </c>
      <c r="B5178" s="1" t="n">
        <v>45749</v>
      </c>
      <c r="C5178" s="1" t="n">
        <v>45811</v>
      </c>
      <c r="D5178" t="inlineStr">
        <is>
          <t>VÄSTMANLANDS LÄN</t>
        </is>
      </c>
      <c r="E5178" t="inlineStr">
        <is>
          <t>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16074-2025</t>
        </is>
      </c>
      <c r="B5179" s="1" t="n">
        <v>45749</v>
      </c>
      <c r="C5179" s="1" t="n">
        <v>45811</v>
      </c>
      <c r="D5179" t="inlineStr">
        <is>
          <t>VÄSTMANLANDS LÄN</t>
        </is>
      </c>
      <c r="E5179" t="inlineStr">
        <is>
          <t>VÄSTERÅS</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15901-2025</t>
        </is>
      </c>
      <c r="B5180" s="1" t="n">
        <v>45749</v>
      </c>
      <c r="C5180" s="1" t="n">
        <v>45811</v>
      </c>
      <c r="D5180" t="inlineStr">
        <is>
          <t>VÄSTMANLANDS LÄN</t>
        </is>
      </c>
      <c r="E5180" t="inlineStr">
        <is>
          <t>VÄSTERÅS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16056-2025</t>
        </is>
      </c>
      <c r="B5181" s="1" t="n">
        <v>45749</v>
      </c>
      <c r="C5181" s="1" t="n">
        <v>45811</v>
      </c>
      <c r="D5181" t="inlineStr">
        <is>
          <t>VÄSTMANLANDS LÄN</t>
        </is>
      </c>
      <c r="E5181" t="inlineStr">
        <is>
          <t>KUNGSÖR</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15907-2025</t>
        </is>
      </c>
      <c r="B5182" s="1" t="n">
        <v>45749</v>
      </c>
      <c r="C5182" s="1" t="n">
        <v>45811</v>
      </c>
      <c r="D5182" t="inlineStr">
        <is>
          <t>VÄSTMANLANDS LÄN</t>
        </is>
      </c>
      <c r="E5182" t="inlineStr">
        <is>
          <t>VÄSTERÅS</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16133-2025</t>
        </is>
      </c>
      <c r="B5183" s="1" t="n">
        <v>45750</v>
      </c>
      <c r="C5183" s="1" t="n">
        <v>45811</v>
      </c>
      <c r="D5183" t="inlineStr">
        <is>
          <t>VÄSTMANLANDS LÄN</t>
        </is>
      </c>
      <c r="E5183" t="inlineStr">
        <is>
          <t>SALA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16544-2025</t>
        </is>
      </c>
      <c r="B5184" s="1" t="n">
        <v>45751</v>
      </c>
      <c r="C5184" s="1" t="n">
        <v>45811</v>
      </c>
      <c r="D5184" t="inlineStr">
        <is>
          <t>VÄSTMANLANDS LÄN</t>
        </is>
      </c>
      <c r="E5184" t="inlineStr">
        <is>
          <t>FAGERSTA</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16545-2025</t>
        </is>
      </c>
      <c r="B5185" s="1" t="n">
        <v>45751</v>
      </c>
      <c r="C5185" s="1" t="n">
        <v>45811</v>
      </c>
      <c r="D5185" t="inlineStr">
        <is>
          <t>VÄSTMANLANDS LÄN</t>
        </is>
      </c>
      <c r="E5185" t="inlineStr">
        <is>
          <t>FAGERSTA</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16546-2025</t>
        </is>
      </c>
      <c r="B5186" s="1" t="n">
        <v>45751</v>
      </c>
      <c r="C5186" s="1" t="n">
        <v>45811</v>
      </c>
      <c r="D5186" t="inlineStr">
        <is>
          <t>VÄSTMANLANDS LÄN</t>
        </is>
      </c>
      <c r="E5186" t="inlineStr">
        <is>
          <t>FAGERSTA</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16547-2025</t>
        </is>
      </c>
      <c r="B5187" s="1" t="n">
        <v>45751</v>
      </c>
      <c r="C5187" s="1" t="n">
        <v>45811</v>
      </c>
      <c r="D5187" t="inlineStr">
        <is>
          <t>VÄSTMANLANDS LÄN</t>
        </is>
      </c>
      <c r="E5187" t="inlineStr">
        <is>
          <t>FAGERSTA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16328-2025</t>
        </is>
      </c>
      <c r="B5188" s="1" t="n">
        <v>45751</v>
      </c>
      <c r="C5188" s="1" t="n">
        <v>45811</v>
      </c>
      <c r="D5188" t="inlineStr">
        <is>
          <t>VÄSTMANLANDS LÄN</t>
        </is>
      </c>
      <c r="E5188" t="inlineStr">
        <is>
          <t>SALA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16374-2025</t>
        </is>
      </c>
      <c r="B5189" s="1" t="n">
        <v>45751</v>
      </c>
      <c r="C5189" s="1" t="n">
        <v>45811</v>
      </c>
      <c r="D5189" t="inlineStr">
        <is>
          <t>VÄSTMANLANDS LÄN</t>
        </is>
      </c>
      <c r="E5189" t="inlineStr">
        <is>
          <t>VÄSTERÅS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16565-2025</t>
        </is>
      </c>
      <c r="B5190" s="1" t="n">
        <v>45752</v>
      </c>
      <c r="C5190" s="1" t="n">
        <v>45811</v>
      </c>
      <c r="D5190" t="inlineStr">
        <is>
          <t>VÄSTMANLANDS LÄN</t>
        </is>
      </c>
      <c r="E5190" t="inlineStr">
        <is>
          <t>NORBERG</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16647-2025</t>
        </is>
      </c>
      <c r="B5191" s="1" t="n">
        <v>45754</v>
      </c>
      <c r="C5191" s="1" t="n">
        <v>45811</v>
      </c>
      <c r="D5191" t="inlineStr">
        <is>
          <t>VÄSTMANLANDS LÄN</t>
        </is>
      </c>
      <c r="E5191" t="inlineStr">
        <is>
          <t>SKINNSKATTEBERG</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16650-2025</t>
        </is>
      </c>
      <c r="B5192" s="1" t="n">
        <v>45754</v>
      </c>
      <c r="C5192" s="1" t="n">
        <v>45811</v>
      </c>
      <c r="D5192" t="inlineStr">
        <is>
          <t>VÄSTMANLANDS LÄN</t>
        </is>
      </c>
      <c r="E5192" t="inlineStr">
        <is>
          <t>SKINNSKATTEBERG</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16651-2025</t>
        </is>
      </c>
      <c r="B5193" s="1" t="n">
        <v>45754</v>
      </c>
      <c r="C5193" s="1" t="n">
        <v>45811</v>
      </c>
      <c r="D5193" t="inlineStr">
        <is>
          <t>VÄSTMANLANDS LÄN</t>
        </is>
      </c>
      <c r="E5193" t="inlineStr">
        <is>
          <t>SKINNSKATTEBERG</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16654-2025</t>
        </is>
      </c>
      <c r="B5194" s="1" t="n">
        <v>45754</v>
      </c>
      <c r="C5194" s="1" t="n">
        <v>45811</v>
      </c>
      <c r="D5194" t="inlineStr">
        <is>
          <t>VÄSTMANLANDS LÄN</t>
        </is>
      </c>
      <c r="E5194" t="inlineStr">
        <is>
          <t>SKINNSKATTEBERG</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16653-2025</t>
        </is>
      </c>
      <c r="B5195" s="1" t="n">
        <v>45754</v>
      </c>
      <c r="C5195" s="1" t="n">
        <v>45811</v>
      </c>
      <c r="D5195" t="inlineStr">
        <is>
          <t>VÄSTMANLANDS LÄN</t>
        </is>
      </c>
      <c r="E5195" t="inlineStr">
        <is>
          <t>SKINNSKATTEBERG</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16641-2025</t>
        </is>
      </c>
      <c r="B5196" s="1" t="n">
        <v>45754</v>
      </c>
      <c r="C5196" s="1" t="n">
        <v>45811</v>
      </c>
      <c r="D5196" t="inlineStr">
        <is>
          <t>VÄSTMANLANDS LÄN</t>
        </is>
      </c>
      <c r="E5196" t="inlineStr">
        <is>
          <t>SALA</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16649-2025</t>
        </is>
      </c>
      <c r="B5197" s="1" t="n">
        <v>45754</v>
      </c>
      <c r="C5197" s="1" t="n">
        <v>45811</v>
      </c>
      <c r="D5197" t="inlineStr">
        <is>
          <t>VÄSTMANLANDS LÄN</t>
        </is>
      </c>
      <c r="E5197" t="inlineStr">
        <is>
          <t>SKINNSKATTEBERG</t>
        </is>
      </c>
      <c r="F5197" t="inlineStr">
        <is>
          <t>Sveaskog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16922-2025</t>
        </is>
      </c>
      <c r="B5198" s="1" t="n">
        <v>45755</v>
      </c>
      <c r="C5198" s="1" t="n">
        <v>45811</v>
      </c>
      <c r="D5198" t="inlineStr">
        <is>
          <t>VÄSTMANLANDS LÄN</t>
        </is>
      </c>
      <c r="E5198" t="inlineStr">
        <is>
          <t>KÖPING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16910-2025</t>
        </is>
      </c>
      <c r="B5199" s="1" t="n">
        <v>45755</v>
      </c>
      <c r="C5199" s="1" t="n">
        <v>45811</v>
      </c>
      <c r="D5199" t="inlineStr">
        <is>
          <t>VÄSTMANLANDS LÄN</t>
        </is>
      </c>
      <c r="E5199" t="inlineStr">
        <is>
          <t>SKINNSKATTEBERG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17051-2025</t>
        </is>
      </c>
      <c r="B5200" s="1" t="n">
        <v>45755</v>
      </c>
      <c r="C5200" s="1" t="n">
        <v>45811</v>
      </c>
      <c r="D5200" t="inlineStr">
        <is>
          <t>VÄSTMANLANDS LÄN</t>
        </is>
      </c>
      <c r="E5200" t="inlineStr">
        <is>
          <t>SALA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17292-2025</t>
        </is>
      </c>
      <c r="B5201" s="1" t="n">
        <v>45756</v>
      </c>
      <c r="C5201" s="1" t="n">
        <v>45811</v>
      </c>
      <c r="D5201" t="inlineStr">
        <is>
          <t>VÄSTMANLANDS LÄN</t>
        </is>
      </c>
      <c r="E5201" t="inlineStr">
        <is>
          <t>SKINNSKATTEBERG</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17297-2025</t>
        </is>
      </c>
      <c r="B5202" s="1" t="n">
        <v>45756</v>
      </c>
      <c r="C5202" s="1" t="n">
        <v>45811</v>
      </c>
      <c r="D5202" t="inlineStr">
        <is>
          <t>VÄSTMANLANDS LÄN</t>
        </is>
      </c>
      <c r="E5202" t="inlineStr">
        <is>
          <t>SKINNSKATTEBERG</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17303-2025</t>
        </is>
      </c>
      <c r="B5203" s="1" t="n">
        <v>45756</v>
      </c>
      <c r="C5203" s="1" t="n">
        <v>45811</v>
      </c>
      <c r="D5203" t="inlineStr">
        <is>
          <t>VÄSTMANLANDS LÄN</t>
        </is>
      </c>
      <c r="E5203" t="inlineStr">
        <is>
          <t>SURAHAMMAR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17295-2025</t>
        </is>
      </c>
      <c r="B5204" s="1" t="n">
        <v>45756</v>
      </c>
      <c r="C5204" s="1" t="n">
        <v>45811</v>
      </c>
      <c r="D5204" t="inlineStr">
        <is>
          <t>VÄSTMANLANDS LÄN</t>
        </is>
      </c>
      <c r="E5204" t="inlineStr">
        <is>
          <t>SKINNSKATTEBERG</t>
        </is>
      </c>
      <c r="F5204" t="inlineStr">
        <is>
          <t>Sveaskog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17235-2025</t>
        </is>
      </c>
      <c r="B5205" s="1" t="n">
        <v>45756</v>
      </c>
      <c r="C5205" s="1" t="n">
        <v>45811</v>
      </c>
      <c r="D5205" t="inlineStr">
        <is>
          <t>VÄSTMANLANDS LÄN</t>
        </is>
      </c>
      <c r="E5205" t="inlineStr">
        <is>
          <t>KÖPING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17316-2025</t>
        </is>
      </c>
      <c r="B5206" s="1" t="n">
        <v>45756</v>
      </c>
      <c r="C5206" s="1" t="n">
        <v>45811</v>
      </c>
      <c r="D5206" t="inlineStr">
        <is>
          <t>VÄSTMANLANDS LÄN</t>
        </is>
      </c>
      <c r="E5206" t="inlineStr">
        <is>
          <t>SALA</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17320-2025</t>
        </is>
      </c>
      <c r="B5207" s="1" t="n">
        <v>45756</v>
      </c>
      <c r="C5207" s="1" t="n">
        <v>45811</v>
      </c>
      <c r="D5207" t="inlineStr">
        <is>
          <t>VÄSTMANLANDS LÄN</t>
        </is>
      </c>
      <c r="E5207" t="inlineStr">
        <is>
          <t>SALA</t>
        </is>
      </c>
      <c r="F5207" t="inlineStr">
        <is>
          <t>Kommuner</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17612-2025</t>
        </is>
      </c>
      <c r="B5208" s="1" t="n">
        <v>45757</v>
      </c>
      <c r="C5208" s="1" t="n">
        <v>45811</v>
      </c>
      <c r="D5208" t="inlineStr">
        <is>
          <t>VÄSTMANLANDS LÄN</t>
        </is>
      </c>
      <c r="E5208" t="inlineStr">
        <is>
          <t>FAGERSTA</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17708-2025</t>
        </is>
      </c>
      <c r="B5209" s="1" t="n">
        <v>45758</v>
      </c>
      <c r="C5209" s="1" t="n">
        <v>45811</v>
      </c>
      <c r="D5209" t="inlineStr">
        <is>
          <t>VÄSTMANLANDS LÄN</t>
        </is>
      </c>
      <c r="E5209" t="inlineStr">
        <is>
          <t>ARBOGA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17719-2025</t>
        </is>
      </c>
      <c r="B5210" s="1" t="n">
        <v>45758</v>
      </c>
      <c r="C5210" s="1" t="n">
        <v>45811</v>
      </c>
      <c r="D5210" t="inlineStr">
        <is>
          <t>VÄSTMANLANDS LÄN</t>
        </is>
      </c>
      <c r="E5210" t="inlineStr">
        <is>
          <t>SALA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17838-2025</t>
        </is>
      </c>
      <c r="B5211" s="1" t="n">
        <v>45758</v>
      </c>
      <c r="C5211" s="1" t="n">
        <v>45811</v>
      </c>
      <c r="D5211" t="inlineStr">
        <is>
          <t>VÄSTMANLANDS LÄN</t>
        </is>
      </c>
      <c r="E5211" t="inlineStr">
        <is>
          <t>SKINNSKATTEBERG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17766-2025</t>
        </is>
      </c>
      <c r="B5212" s="1" t="n">
        <v>45758</v>
      </c>
      <c r="C5212" s="1" t="n">
        <v>45811</v>
      </c>
      <c r="D5212" t="inlineStr">
        <is>
          <t>VÄSTMANLANDS LÄN</t>
        </is>
      </c>
      <c r="E5212" t="inlineStr">
        <is>
          <t>SALA</t>
        </is>
      </c>
      <c r="G5212" t="n">
        <v>16.5</v>
      </c>
      <c r="H5212" t="n">
        <v>0</v>
      </c>
      <c r="I5212" t="n">
        <v>0</v>
      </c>
      <c r="J5212" t="n">
        <v>0</v>
      </c>
      <c r="K5212" t="n">
        <v>0</v>
      </c>
      <c r="L5212" t="n">
        <v>0</v>
      </c>
      <c r="M5212" t="n">
        <v>0</v>
      </c>
      <c r="N5212" t="n">
        <v>0</v>
      </c>
      <c r="O5212" t="n">
        <v>0</v>
      </c>
      <c r="P5212" t="n">
        <v>0</v>
      </c>
      <c r="Q5212" t="n">
        <v>0</v>
      </c>
      <c r="R5212" s="2" t="inlineStr"/>
    </row>
    <row r="5213" ht="15" customHeight="1">
      <c r="A5213" t="inlineStr">
        <is>
          <t>A 17866-2025</t>
        </is>
      </c>
      <c r="B5213" s="1" t="n">
        <v>45758</v>
      </c>
      <c r="C5213" s="1" t="n">
        <v>45811</v>
      </c>
      <c r="D5213" t="inlineStr">
        <is>
          <t>VÄSTMANLANDS LÄN</t>
        </is>
      </c>
      <c r="E5213" t="inlineStr">
        <is>
          <t>SALA</t>
        </is>
      </c>
      <c r="F5213" t="inlineStr">
        <is>
          <t>Bergvik skog öst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17868-2025</t>
        </is>
      </c>
      <c r="B5214" s="1" t="n">
        <v>45758</v>
      </c>
      <c r="C5214" s="1" t="n">
        <v>45811</v>
      </c>
      <c r="D5214" t="inlineStr">
        <is>
          <t>VÄSTMANLANDS LÄN</t>
        </is>
      </c>
      <c r="E5214" t="inlineStr">
        <is>
          <t>SALA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17722-2025</t>
        </is>
      </c>
      <c r="B5215" s="1" t="n">
        <v>45758</v>
      </c>
      <c r="C5215" s="1" t="n">
        <v>45811</v>
      </c>
      <c r="D5215" t="inlineStr">
        <is>
          <t>VÄSTMANLANDS LÄN</t>
        </is>
      </c>
      <c r="E5215" t="inlineStr">
        <is>
          <t>SALA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18126-2025</t>
        </is>
      </c>
      <c r="B5216" s="1" t="n">
        <v>45761</v>
      </c>
      <c r="C5216" s="1" t="n">
        <v>45811</v>
      </c>
      <c r="D5216" t="inlineStr">
        <is>
          <t>VÄSTMANLANDS LÄN</t>
        </is>
      </c>
      <c r="E5216" t="inlineStr">
        <is>
          <t>VÄSTERÅS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18153-2025</t>
        </is>
      </c>
      <c r="B5217" s="1" t="n">
        <v>45761</v>
      </c>
      <c r="C5217" s="1" t="n">
        <v>45811</v>
      </c>
      <c r="D5217" t="inlineStr">
        <is>
          <t>VÄSTMANLANDS LÄN</t>
        </is>
      </c>
      <c r="E5217" t="inlineStr">
        <is>
          <t>VÄSTERÅS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18158-2025</t>
        </is>
      </c>
      <c r="B5218" s="1" t="n">
        <v>45761</v>
      </c>
      <c r="C5218" s="1" t="n">
        <v>45811</v>
      </c>
      <c r="D5218" t="inlineStr">
        <is>
          <t>VÄSTMANLANDS LÄN</t>
        </is>
      </c>
      <c r="E5218" t="inlineStr">
        <is>
          <t>SALA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18119-2025</t>
        </is>
      </c>
      <c r="B5219" s="1" t="n">
        <v>45761</v>
      </c>
      <c r="C5219" s="1" t="n">
        <v>45811</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18162-2025</t>
        </is>
      </c>
      <c r="B5220" s="1" t="n">
        <v>45761</v>
      </c>
      <c r="C5220" s="1" t="n">
        <v>45811</v>
      </c>
      <c r="D5220" t="inlineStr">
        <is>
          <t>VÄSTMANLANDS LÄN</t>
        </is>
      </c>
      <c r="E5220" t="inlineStr">
        <is>
          <t>KÖPING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18157-2025</t>
        </is>
      </c>
      <c r="B5221" s="1" t="n">
        <v>45761</v>
      </c>
      <c r="C5221" s="1" t="n">
        <v>45811</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18155-2025</t>
        </is>
      </c>
      <c r="B5222" s="1" t="n">
        <v>45761</v>
      </c>
      <c r="C5222" s="1" t="n">
        <v>45811</v>
      </c>
      <c r="D5222" t="inlineStr">
        <is>
          <t>VÄSTMANLANDS LÄN</t>
        </is>
      </c>
      <c r="E5222" t="inlineStr">
        <is>
          <t>VÄSTERÅS</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18131-2025</t>
        </is>
      </c>
      <c r="B5223" s="1" t="n">
        <v>45761</v>
      </c>
      <c r="C5223" s="1" t="n">
        <v>45811</v>
      </c>
      <c r="D5223" t="inlineStr">
        <is>
          <t>VÄSTMANLANDS LÄN</t>
        </is>
      </c>
      <c r="E5223" t="inlineStr">
        <is>
          <t>VÄSTERÅS</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17985-2025</t>
        </is>
      </c>
      <c r="B5224" s="1" t="n">
        <v>45761</v>
      </c>
      <c r="C5224" s="1" t="n">
        <v>45811</v>
      </c>
      <c r="D5224" t="inlineStr">
        <is>
          <t>VÄSTMANLANDS LÄN</t>
        </is>
      </c>
      <c r="E5224" t="inlineStr">
        <is>
          <t>SALA</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18409-2025</t>
        </is>
      </c>
      <c r="B5225" s="1" t="n">
        <v>45762</v>
      </c>
      <c r="C5225" s="1" t="n">
        <v>45811</v>
      </c>
      <c r="D5225" t="inlineStr">
        <is>
          <t>VÄSTMANLANDS LÄN</t>
        </is>
      </c>
      <c r="E5225" t="inlineStr">
        <is>
          <t>SKINNSKATTEBERG</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18417-2025</t>
        </is>
      </c>
      <c r="B5226" s="1" t="n">
        <v>45762</v>
      </c>
      <c r="C5226" s="1" t="n">
        <v>45811</v>
      </c>
      <c r="D5226" t="inlineStr">
        <is>
          <t>VÄSTMANLANDS LÄN</t>
        </is>
      </c>
      <c r="E5226" t="inlineStr">
        <is>
          <t>SKINNSKATTEBERG</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18416-2025</t>
        </is>
      </c>
      <c r="B5227" s="1" t="n">
        <v>45762</v>
      </c>
      <c r="C5227" s="1" t="n">
        <v>45811</v>
      </c>
      <c r="D5227" t="inlineStr">
        <is>
          <t>VÄSTMANLANDS LÄN</t>
        </is>
      </c>
      <c r="E5227" t="inlineStr">
        <is>
          <t>SKINNSKATTEBERG</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18463-2025</t>
        </is>
      </c>
      <c r="B5228" s="1" t="n">
        <v>45762</v>
      </c>
      <c r="C5228" s="1" t="n">
        <v>45811</v>
      </c>
      <c r="D5228" t="inlineStr">
        <is>
          <t>VÄSTMANLANDS LÄN</t>
        </is>
      </c>
      <c r="E5228" t="inlineStr">
        <is>
          <t>FAGERSTA</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18361-2025</t>
        </is>
      </c>
      <c r="B5229" s="1" t="n">
        <v>45762</v>
      </c>
      <c r="C5229" s="1" t="n">
        <v>45811</v>
      </c>
      <c r="D5229" t="inlineStr">
        <is>
          <t>VÄSTMANLANDS LÄN</t>
        </is>
      </c>
      <c r="E5229" t="inlineStr">
        <is>
          <t>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18366-2025</t>
        </is>
      </c>
      <c r="B5230" s="1" t="n">
        <v>45762</v>
      </c>
      <c r="C5230" s="1" t="n">
        <v>45811</v>
      </c>
      <c r="D5230" t="inlineStr">
        <is>
          <t>VÄSTMANLANDS LÄN</t>
        </is>
      </c>
      <c r="E5230" t="inlineStr">
        <is>
          <t>KÖPING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18340-2025</t>
        </is>
      </c>
      <c r="B5231" s="1" t="n">
        <v>45762</v>
      </c>
      <c r="C5231" s="1" t="n">
        <v>45811</v>
      </c>
      <c r="D5231" t="inlineStr">
        <is>
          <t>VÄSTMANLANDS LÄN</t>
        </is>
      </c>
      <c r="E5231" t="inlineStr">
        <is>
          <t>SALA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18528-2025</t>
        </is>
      </c>
      <c r="B5232" s="1" t="n">
        <v>45763</v>
      </c>
      <c r="C5232" s="1" t="n">
        <v>45811</v>
      </c>
      <c r="D5232" t="inlineStr">
        <is>
          <t>VÄSTMANLANDS LÄN</t>
        </is>
      </c>
      <c r="E5232" t="inlineStr">
        <is>
          <t>VÄSTERÅS</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18713-2025</t>
        </is>
      </c>
      <c r="B5233" s="1" t="n">
        <v>45763</v>
      </c>
      <c r="C5233" s="1" t="n">
        <v>45811</v>
      </c>
      <c r="D5233" t="inlineStr">
        <is>
          <t>VÄSTMANLANDS LÄN</t>
        </is>
      </c>
      <c r="E5233" t="inlineStr">
        <is>
          <t>SALA</t>
        </is>
      </c>
      <c r="F5233" t="inlineStr">
        <is>
          <t>Bergvik skog öst AB</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45811</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18787-2025</t>
        </is>
      </c>
      <c r="B5235" s="1" t="n">
        <v>45764</v>
      </c>
      <c r="C5235" s="1" t="n">
        <v>45811</v>
      </c>
      <c r="D5235" t="inlineStr">
        <is>
          <t>VÄSTMANLANDS LÄN</t>
        </is>
      </c>
      <c r="E5235" t="inlineStr">
        <is>
          <t>KÖPING</t>
        </is>
      </c>
      <c r="F5235" t="inlineStr">
        <is>
          <t>Sveaskog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18799-2025</t>
        </is>
      </c>
      <c r="B5236" s="1" t="n">
        <v>45764</v>
      </c>
      <c r="C5236" s="1" t="n">
        <v>45811</v>
      </c>
      <c r="D5236" t="inlineStr">
        <is>
          <t>VÄSTMANLANDS LÄN</t>
        </is>
      </c>
      <c r="E5236" t="inlineStr">
        <is>
          <t>KÖPING</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19015-2025</t>
        </is>
      </c>
      <c r="B5237" s="1" t="n">
        <v>45764</v>
      </c>
      <c r="C5237" s="1" t="n">
        <v>45811</v>
      </c>
      <c r="D5237" t="inlineStr">
        <is>
          <t>VÄSTMANLANDS LÄN</t>
        </is>
      </c>
      <c r="E5237" t="inlineStr">
        <is>
          <t>ARBOGA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19033-2025</t>
        </is>
      </c>
      <c r="B5238" s="1" t="n">
        <v>45764</v>
      </c>
      <c r="C5238" s="1" t="n">
        <v>45811</v>
      </c>
      <c r="D5238" t="inlineStr">
        <is>
          <t>VÄSTMANLANDS LÄN</t>
        </is>
      </c>
      <c r="E5238" t="inlineStr">
        <is>
          <t>SALA</t>
        </is>
      </c>
      <c r="F5238" t="inlineStr">
        <is>
          <t>Bergvik skog öst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18960-2025</t>
        </is>
      </c>
      <c r="B5239" s="1" t="n">
        <v>45764</v>
      </c>
      <c r="C5239" s="1" t="n">
        <v>45811</v>
      </c>
      <c r="D5239" t="inlineStr">
        <is>
          <t>VÄSTMANLANDS LÄN</t>
        </is>
      </c>
      <c r="E5239" t="inlineStr">
        <is>
          <t>NORBERG</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45811</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19243-2025</t>
        </is>
      </c>
      <c r="B5241" s="1" t="n">
        <v>45769</v>
      </c>
      <c r="C5241" s="1" t="n">
        <v>45811</v>
      </c>
      <c r="D5241" t="inlineStr">
        <is>
          <t>VÄSTMANLANDS LÄN</t>
        </is>
      </c>
      <c r="E5241" t="inlineStr">
        <is>
          <t>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45811</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19297-2025</t>
        </is>
      </c>
      <c r="B5243" s="1" t="n">
        <v>45769</v>
      </c>
      <c r="C5243" s="1" t="n">
        <v>45811</v>
      </c>
      <c r="D5243" t="inlineStr">
        <is>
          <t>VÄSTMANLANDS LÄN</t>
        </is>
      </c>
      <c r="E5243" t="inlineStr">
        <is>
          <t>SALA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19173-2025</t>
        </is>
      </c>
      <c r="B5244" s="1" t="n">
        <v>45769</v>
      </c>
      <c r="C5244" s="1" t="n">
        <v>45811</v>
      </c>
      <c r="D5244" t="inlineStr">
        <is>
          <t>VÄSTMANLANDS LÄN</t>
        </is>
      </c>
      <c r="E5244" t="inlineStr">
        <is>
          <t>NORBERG</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45811</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45811</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19222-2025</t>
        </is>
      </c>
      <c r="B5247" s="1" t="n">
        <v>45769</v>
      </c>
      <c r="C5247" s="1" t="n">
        <v>45811</v>
      </c>
      <c r="D5247" t="inlineStr">
        <is>
          <t>VÄSTMANLANDS LÄN</t>
        </is>
      </c>
      <c r="E5247" t="inlineStr">
        <is>
          <t>SALA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45811</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19220-2025</t>
        </is>
      </c>
      <c r="B5249" s="1" t="n">
        <v>45769</v>
      </c>
      <c r="C5249" s="1" t="n">
        <v>45811</v>
      </c>
      <c r="D5249" t="inlineStr">
        <is>
          <t>VÄSTMANLANDS LÄN</t>
        </is>
      </c>
      <c r="E5249" t="inlineStr">
        <is>
          <t>NORBERG</t>
        </is>
      </c>
      <c r="F5249" t="inlineStr">
        <is>
          <t>Övriga Aktiebolag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19153-2025</t>
        </is>
      </c>
      <c r="B5250" s="1" t="n">
        <v>45769</v>
      </c>
      <c r="C5250" s="1" t="n">
        <v>45811</v>
      </c>
      <c r="D5250" t="inlineStr">
        <is>
          <t>VÄSTMANLANDS LÄN</t>
        </is>
      </c>
      <c r="E5250" t="inlineStr">
        <is>
          <t>FAGERSTA</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19174-2025</t>
        </is>
      </c>
      <c r="B5251" s="1" t="n">
        <v>45769</v>
      </c>
      <c r="C5251" s="1" t="n">
        <v>45811</v>
      </c>
      <c r="D5251" t="inlineStr">
        <is>
          <t>VÄSTMANLANDS LÄN</t>
        </is>
      </c>
      <c r="E5251" t="inlineStr">
        <is>
          <t>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45811</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19165-2025</t>
        </is>
      </c>
      <c r="B5253" s="1" t="n">
        <v>45769</v>
      </c>
      <c r="C5253" s="1" t="n">
        <v>45811</v>
      </c>
      <c r="D5253" t="inlineStr">
        <is>
          <t>VÄSTMANLANDS LÄN</t>
        </is>
      </c>
      <c r="E5253" t="inlineStr">
        <is>
          <t>KÖPING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19377-2025</t>
        </is>
      </c>
      <c r="B5254" s="1" t="n">
        <v>45769</v>
      </c>
      <c r="C5254" s="1" t="n">
        <v>45811</v>
      </c>
      <c r="D5254" t="inlineStr">
        <is>
          <t>VÄSTMANLANDS LÄN</t>
        </is>
      </c>
      <c r="E5254" t="inlineStr">
        <is>
          <t>NORBERG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19326-2025</t>
        </is>
      </c>
      <c r="B5255" s="1" t="n">
        <v>45769</v>
      </c>
      <c r="C5255" s="1" t="n">
        <v>45811</v>
      </c>
      <c r="D5255" t="inlineStr">
        <is>
          <t>VÄSTMANLANDS LÄN</t>
        </is>
      </c>
      <c r="E5255" t="inlineStr">
        <is>
          <t>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19378-2025</t>
        </is>
      </c>
      <c r="B5256" s="1" t="n">
        <v>45769</v>
      </c>
      <c r="C5256" s="1" t="n">
        <v>45811</v>
      </c>
      <c r="D5256" t="inlineStr">
        <is>
          <t>VÄSTMANLANDS LÄN</t>
        </is>
      </c>
      <c r="E5256" t="inlineStr">
        <is>
          <t>NORBERG</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45811</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45811</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19398-2025</t>
        </is>
      </c>
      <c r="B5259" s="1" t="n">
        <v>45769</v>
      </c>
      <c r="C5259" s="1" t="n">
        <v>45811</v>
      </c>
      <c r="D5259" t="inlineStr">
        <is>
          <t>VÄSTMANLANDS LÄN</t>
        </is>
      </c>
      <c r="E5259" t="inlineStr">
        <is>
          <t>SALA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19381-2025</t>
        </is>
      </c>
      <c r="B5260" s="1" t="n">
        <v>45769</v>
      </c>
      <c r="C5260" s="1" t="n">
        <v>45811</v>
      </c>
      <c r="D5260" t="inlineStr">
        <is>
          <t>VÄSTMANLANDS LÄN</t>
        </is>
      </c>
      <c r="E5260" t="inlineStr">
        <is>
          <t>SALA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19241-2025</t>
        </is>
      </c>
      <c r="B5261" s="1" t="n">
        <v>45769</v>
      </c>
      <c r="C5261" s="1" t="n">
        <v>45811</v>
      </c>
      <c r="D5261" t="inlineStr">
        <is>
          <t>VÄSTMANLANDS LÄN</t>
        </is>
      </c>
      <c r="E5261" t="inlineStr">
        <is>
          <t>SALA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45811</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19585-2025</t>
        </is>
      </c>
      <c r="B5263" s="1" t="n">
        <v>45770</v>
      </c>
      <c r="C5263" s="1" t="n">
        <v>45811</v>
      </c>
      <c r="D5263" t="inlineStr">
        <is>
          <t>VÄSTMANLANDS LÄN</t>
        </is>
      </c>
      <c r="E5263" t="inlineStr">
        <is>
          <t>KÖPING</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19593-2025</t>
        </is>
      </c>
      <c r="B5264" s="1" t="n">
        <v>45770</v>
      </c>
      <c r="C5264" s="1" t="n">
        <v>45811</v>
      </c>
      <c r="D5264" t="inlineStr">
        <is>
          <t>VÄSTMANLANDS LÄN</t>
        </is>
      </c>
      <c r="E5264" t="inlineStr">
        <is>
          <t>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19644-2025</t>
        </is>
      </c>
      <c r="B5265" s="1" t="n">
        <v>45770</v>
      </c>
      <c r="C5265" s="1" t="n">
        <v>45811</v>
      </c>
      <c r="D5265" t="inlineStr">
        <is>
          <t>VÄSTMANLANDS LÄN</t>
        </is>
      </c>
      <c r="E5265" t="inlineStr">
        <is>
          <t>HALLSTAHAMMAR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19655-2025</t>
        </is>
      </c>
      <c r="B5266" s="1" t="n">
        <v>45770</v>
      </c>
      <c r="C5266" s="1" t="n">
        <v>45811</v>
      </c>
      <c r="D5266" t="inlineStr">
        <is>
          <t>VÄSTMANLANDS LÄN</t>
        </is>
      </c>
      <c r="E5266" t="inlineStr">
        <is>
          <t>SKINNSKATTEBERG</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19953-2025</t>
        </is>
      </c>
      <c r="B5267" s="1" t="n">
        <v>45771</v>
      </c>
      <c r="C5267" s="1" t="n">
        <v>45811</v>
      </c>
      <c r="D5267" t="inlineStr">
        <is>
          <t>VÄSTMANLANDS LÄN</t>
        </is>
      </c>
      <c r="E5267" t="inlineStr">
        <is>
          <t>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19917-2025</t>
        </is>
      </c>
      <c r="B5268" s="1" t="n">
        <v>45771</v>
      </c>
      <c r="C5268" s="1" t="n">
        <v>45811</v>
      </c>
      <c r="D5268" t="inlineStr">
        <is>
          <t>VÄSTMANLANDS LÄN</t>
        </is>
      </c>
      <c r="E5268" t="inlineStr">
        <is>
          <t>KUNGSÖR</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19888-2025</t>
        </is>
      </c>
      <c r="B5269" s="1" t="n">
        <v>45771</v>
      </c>
      <c r="C5269" s="1" t="n">
        <v>45811</v>
      </c>
      <c r="D5269" t="inlineStr">
        <is>
          <t>VÄSTMANLANDS LÄN</t>
        </is>
      </c>
      <c r="E5269" t="inlineStr">
        <is>
          <t>FAGERSTA</t>
        </is>
      </c>
      <c r="F5269" t="inlineStr">
        <is>
          <t>Sveaskog</t>
        </is>
      </c>
      <c r="G5269" t="n">
        <v>16.8</v>
      </c>
      <c r="H5269" t="n">
        <v>0</v>
      </c>
      <c r="I5269" t="n">
        <v>0</v>
      </c>
      <c r="J5269" t="n">
        <v>0</v>
      </c>
      <c r="K5269" t="n">
        <v>0</v>
      </c>
      <c r="L5269" t="n">
        <v>0</v>
      </c>
      <c r="M5269" t="n">
        <v>0</v>
      </c>
      <c r="N5269" t="n">
        <v>0</v>
      </c>
      <c r="O5269" t="n">
        <v>0</v>
      </c>
      <c r="P5269" t="n">
        <v>0</v>
      </c>
      <c r="Q5269" t="n">
        <v>0</v>
      </c>
      <c r="R5269" s="2" t="inlineStr"/>
    </row>
    <row r="5270" ht="15" customHeight="1">
      <c r="A5270" t="inlineStr">
        <is>
          <t>A 19919-2025</t>
        </is>
      </c>
      <c r="B5270" s="1" t="n">
        <v>45771</v>
      </c>
      <c r="C5270" s="1" t="n">
        <v>45811</v>
      </c>
      <c r="D5270" t="inlineStr">
        <is>
          <t>VÄSTMANLANDS LÄN</t>
        </is>
      </c>
      <c r="E5270" t="inlineStr">
        <is>
          <t>SKINNSKATTEBERG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45811</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45811</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20978-2025</t>
        </is>
      </c>
      <c r="B5273" s="1" t="n">
        <v>45777</v>
      </c>
      <c r="C5273" s="1" t="n">
        <v>45811</v>
      </c>
      <c r="D5273" t="inlineStr">
        <is>
          <t>VÄSTMANLANDS LÄN</t>
        </is>
      </c>
      <c r="E5273" t="inlineStr">
        <is>
          <t>NORBERG</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20947-2025</t>
        </is>
      </c>
      <c r="B5274" s="1" t="n">
        <v>45777</v>
      </c>
      <c r="C5274" s="1" t="n">
        <v>45811</v>
      </c>
      <c r="D5274" t="inlineStr">
        <is>
          <t>VÄSTMANLANDS LÄN</t>
        </is>
      </c>
      <c r="E5274" t="inlineStr">
        <is>
          <t>SKINNSKATTEBERG</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20949-2025</t>
        </is>
      </c>
      <c r="B5275" s="1" t="n">
        <v>45777</v>
      </c>
      <c r="C5275" s="1" t="n">
        <v>45811</v>
      </c>
      <c r="D5275" t="inlineStr">
        <is>
          <t>VÄSTMANLANDS LÄN</t>
        </is>
      </c>
      <c r="E5275" t="inlineStr">
        <is>
          <t>SKINNSKATTEBERG</t>
        </is>
      </c>
      <c r="F5275" t="inlineStr">
        <is>
          <t>Sveaskog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20926-2025</t>
        </is>
      </c>
      <c r="B5276" s="1" t="n">
        <v>45777</v>
      </c>
      <c r="C5276" s="1" t="n">
        <v>45811</v>
      </c>
      <c r="D5276" t="inlineStr">
        <is>
          <t>VÄSTMANLANDS LÄN</t>
        </is>
      </c>
      <c r="E5276" t="inlineStr">
        <is>
          <t>SKINNSKATTEBERG</t>
        </is>
      </c>
      <c r="F5276" t="inlineStr">
        <is>
          <t>Sveaskog</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21157-2025</t>
        </is>
      </c>
      <c r="B5277" s="1" t="n">
        <v>45779</v>
      </c>
      <c r="C5277" s="1" t="n">
        <v>45811</v>
      </c>
      <c r="D5277" t="inlineStr">
        <is>
          <t>VÄSTMANLANDS LÄN</t>
        </is>
      </c>
      <c r="E5277" t="inlineStr">
        <is>
          <t>KÖPING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21162-2025</t>
        </is>
      </c>
      <c r="B5278" s="1" t="n">
        <v>45779</v>
      </c>
      <c r="C5278" s="1" t="n">
        <v>45811</v>
      </c>
      <c r="D5278" t="inlineStr">
        <is>
          <t>VÄSTMANLANDS LÄN</t>
        </is>
      </c>
      <c r="E5278" t="inlineStr">
        <is>
          <t>KÖPING</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21163-2025</t>
        </is>
      </c>
      <c r="B5279" s="1" t="n">
        <v>45779</v>
      </c>
      <c r="C5279" s="1" t="n">
        <v>45811</v>
      </c>
      <c r="D5279" t="inlineStr">
        <is>
          <t>VÄSTMANLANDS LÄN</t>
        </is>
      </c>
      <c r="E5279" t="inlineStr">
        <is>
          <t>KÖPING</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21787-2025</t>
        </is>
      </c>
      <c r="B5280" s="1" t="n">
        <v>45783</v>
      </c>
      <c r="C5280" s="1" t="n">
        <v>45811</v>
      </c>
      <c r="D5280" t="inlineStr">
        <is>
          <t>VÄSTMANLANDS LÄN</t>
        </is>
      </c>
      <c r="E5280" t="inlineStr">
        <is>
          <t>KÖPING</t>
        </is>
      </c>
      <c r="F5280" t="inlineStr">
        <is>
          <t>Sveaskog</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21754-2025</t>
        </is>
      </c>
      <c r="B5281" s="1" t="n">
        <v>45783</v>
      </c>
      <c r="C5281" s="1" t="n">
        <v>45811</v>
      </c>
      <c r="D5281" t="inlineStr">
        <is>
          <t>VÄSTMANLANDS LÄN</t>
        </is>
      </c>
      <c r="E5281" t="inlineStr">
        <is>
          <t>SALA</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21783-2025</t>
        </is>
      </c>
      <c r="B5282" s="1" t="n">
        <v>45783</v>
      </c>
      <c r="C5282" s="1" t="n">
        <v>45811</v>
      </c>
      <c r="D5282" t="inlineStr">
        <is>
          <t>VÄSTMANLANDS LÄN</t>
        </is>
      </c>
      <c r="E5282" t="inlineStr">
        <is>
          <t>KÖPING</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21785-2025</t>
        </is>
      </c>
      <c r="B5283" s="1" t="n">
        <v>45783</v>
      </c>
      <c r="C5283" s="1" t="n">
        <v>45811</v>
      </c>
      <c r="D5283" t="inlineStr">
        <is>
          <t>VÄSTMANLANDS LÄN</t>
        </is>
      </c>
      <c r="E5283" t="inlineStr">
        <is>
          <t>KÖPING</t>
        </is>
      </c>
      <c r="F5283" t="inlineStr">
        <is>
          <t>Sveaskog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21691-2025</t>
        </is>
      </c>
      <c r="B5284" s="1" t="n">
        <v>45783</v>
      </c>
      <c r="C5284" s="1" t="n">
        <v>45811</v>
      </c>
      <c r="D5284" t="inlineStr">
        <is>
          <t>VÄSTMANLANDS LÄN</t>
        </is>
      </c>
      <c r="E5284" t="inlineStr">
        <is>
          <t>KÖPING</t>
        </is>
      </c>
      <c r="G5284" t="n">
        <v>10.1</v>
      </c>
      <c r="H5284" t="n">
        <v>0</v>
      </c>
      <c r="I5284" t="n">
        <v>0</v>
      </c>
      <c r="J5284" t="n">
        <v>0</v>
      </c>
      <c r="K5284" t="n">
        <v>0</v>
      </c>
      <c r="L5284" t="n">
        <v>0</v>
      </c>
      <c r="M5284" t="n">
        <v>0</v>
      </c>
      <c r="N5284" t="n">
        <v>0</v>
      </c>
      <c r="O5284" t="n">
        <v>0</v>
      </c>
      <c r="P5284" t="n">
        <v>0</v>
      </c>
      <c r="Q5284" t="n">
        <v>0</v>
      </c>
      <c r="R5284" s="2" t="inlineStr"/>
    </row>
    <row r="5285" ht="15" customHeight="1">
      <c r="A5285" t="inlineStr">
        <is>
          <t>A 21751-2025</t>
        </is>
      </c>
      <c r="B5285" s="1" t="n">
        <v>45783</v>
      </c>
      <c r="C5285" s="1" t="n">
        <v>45811</v>
      </c>
      <c r="D5285" t="inlineStr">
        <is>
          <t>VÄSTMANLANDS LÄN</t>
        </is>
      </c>
      <c r="E5285" t="inlineStr">
        <is>
          <t>SALA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21694-2025</t>
        </is>
      </c>
      <c r="B5286" s="1" t="n">
        <v>45783</v>
      </c>
      <c r="C5286" s="1" t="n">
        <v>45811</v>
      </c>
      <c r="D5286" t="inlineStr">
        <is>
          <t>VÄSTMANLANDS LÄN</t>
        </is>
      </c>
      <c r="E5286" t="inlineStr">
        <is>
          <t>VÄSTERÅS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21738-2025</t>
        </is>
      </c>
      <c r="B5287" s="1" t="n">
        <v>45783</v>
      </c>
      <c r="C5287" s="1" t="n">
        <v>45811</v>
      </c>
      <c r="D5287" t="inlineStr">
        <is>
          <t>VÄSTMANLANDS LÄN</t>
        </is>
      </c>
      <c r="E5287" t="inlineStr">
        <is>
          <t>SALA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21721-2025</t>
        </is>
      </c>
      <c r="B5288" s="1" t="n">
        <v>45783</v>
      </c>
      <c r="C5288" s="1" t="n">
        <v>45811</v>
      </c>
      <c r="D5288" t="inlineStr">
        <is>
          <t>VÄSTMANLANDS LÄN</t>
        </is>
      </c>
      <c r="E5288" t="inlineStr">
        <is>
          <t>SALA</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22025-2025</t>
        </is>
      </c>
      <c r="B5289" s="1" t="n">
        <v>45784</v>
      </c>
      <c r="C5289" s="1" t="n">
        <v>45811</v>
      </c>
      <c r="D5289" t="inlineStr">
        <is>
          <t>VÄSTMANLANDS LÄN</t>
        </is>
      </c>
      <c r="E5289" t="inlineStr">
        <is>
          <t>FAGERSTA</t>
        </is>
      </c>
      <c r="F5289" t="inlineStr">
        <is>
          <t>Kommuner</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22118-2025</t>
        </is>
      </c>
      <c r="B5290" s="1" t="n">
        <v>45785</v>
      </c>
      <c r="C5290" s="1" t="n">
        <v>45811</v>
      </c>
      <c r="D5290" t="inlineStr">
        <is>
          <t>VÄSTMANLANDS LÄN</t>
        </is>
      </c>
      <c r="E5290" t="inlineStr">
        <is>
          <t>FAGERSTA</t>
        </is>
      </c>
      <c r="F5290" t="inlineStr">
        <is>
          <t>Sveaskog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22117-2025</t>
        </is>
      </c>
      <c r="B5291" s="1" t="n">
        <v>45785</v>
      </c>
      <c r="C5291" s="1" t="n">
        <v>45811</v>
      </c>
      <c r="D5291" t="inlineStr">
        <is>
          <t>VÄSTMANLANDS LÄN</t>
        </is>
      </c>
      <c r="E5291" t="inlineStr">
        <is>
          <t>FAGERSTA</t>
        </is>
      </c>
      <c r="F5291" t="inlineStr">
        <is>
          <t>Sveaskog</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22126-2025</t>
        </is>
      </c>
      <c r="B5292" s="1" t="n">
        <v>45785</v>
      </c>
      <c r="C5292" s="1" t="n">
        <v>45811</v>
      </c>
      <c r="D5292" t="inlineStr">
        <is>
          <t>VÄSTMANLANDS LÄN</t>
        </is>
      </c>
      <c r="E5292" t="inlineStr">
        <is>
          <t>SALA</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22296-2025</t>
        </is>
      </c>
      <c r="B5293" s="1" t="n">
        <v>45786</v>
      </c>
      <c r="C5293" s="1" t="n">
        <v>45811</v>
      </c>
      <c r="D5293" t="inlineStr">
        <is>
          <t>VÄSTMANLANDS LÄN</t>
        </is>
      </c>
      <c r="E5293" t="inlineStr">
        <is>
          <t>SKINNSKATTEBERG</t>
        </is>
      </c>
      <c r="F5293" t="inlineStr">
        <is>
          <t>Sveaskog</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22299-2025</t>
        </is>
      </c>
      <c r="B5294" s="1" t="n">
        <v>45786</v>
      </c>
      <c r="C5294" s="1" t="n">
        <v>45811</v>
      </c>
      <c r="D5294" t="inlineStr">
        <is>
          <t>VÄSTMANLANDS LÄN</t>
        </is>
      </c>
      <c r="E5294" t="inlineStr">
        <is>
          <t>SKINNSKATTEBERG</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22353-2025</t>
        </is>
      </c>
      <c r="B5295" s="1" t="n">
        <v>45786</v>
      </c>
      <c r="C5295" s="1" t="n">
        <v>45811</v>
      </c>
      <c r="D5295" t="inlineStr">
        <is>
          <t>VÄSTMANLANDS LÄN</t>
        </is>
      </c>
      <c r="E5295" t="inlineStr">
        <is>
          <t>SALA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22370-2025</t>
        </is>
      </c>
      <c r="B5296" s="1" t="n">
        <v>45786</v>
      </c>
      <c r="C5296" s="1" t="n">
        <v>45811</v>
      </c>
      <c r="D5296" t="inlineStr">
        <is>
          <t>VÄSTMANLANDS LÄN</t>
        </is>
      </c>
      <c r="E5296" t="inlineStr">
        <is>
          <t>SALA</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22285-2025</t>
        </is>
      </c>
      <c r="B5297" s="1" t="n">
        <v>45786</v>
      </c>
      <c r="C5297" s="1" t="n">
        <v>45811</v>
      </c>
      <c r="D5297" t="inlineStr">
        <is>
          <t>VÄSTMANLANDS LÄN</t>
        </is>
      </c>
      <c r="E5297" t="inlineStr">
        <is>
          <t>SKINNSKATTEBERG</t>
        </is>
      </c>
      <c r="F5297" t="inlineStr">
        <is>
          <t>Sveaskog</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22301-2025</t>
        </is>
      </c>
      <c r="B5298" s="1" t="n">
        <v>45786</v>
      </c>
      <c r="C5298" s="1" t="n">
        <v>45811</v>
      </c>
      <c r="D5298" t="inlineStr">
        <is>
          <t>VÄSTMANLANDS LÄN</t>
        </is>
      </c>
      <c r="E5298" t="inlineStr">
        <is>
          <t>SKINNSKATTEBERG</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22280-2025</t>
        </is>
      </c>
      <c r="B5299" s="1" t="n">
        <v>45786</v>
      </c>
      <c r="C5299" s="1" t="n">
        <v>45811</v>
      </c>
      <c r="D5299" t="inlineStr">
        <is>
          <t>VÄSTMANLANDS LÄN</t>
        </is>
      </c>
      <c r="E5299" t="inlineStr">
        <is>
          <t>SKINNSKATTEBERG</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22675-2025</t>
        </is>
      </c>
      <c r="B5300" s="1" t="n">
        <v>45786</v>
      </c>
      <c r="C5300" s="1" t="n">
        <v>45811</v>
      </c>
      <c r="D5300" t="inlineStr">
        <is>
          <t>VÄSTMANLANDS LÄN</t>
        </is>
      </c>
      <c r="E5300" t="inlineStr">
        <is>
          <t>VÄSTERÅS</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22383-2025</t>
        </is>
      </c>
      <c r="B5301" s="1" t="n">
        <v>45786</v>
      </c>
      <c r="C5301" s="1" t="n">
        <v>45811</v>
      </c>
      <c r="D5301" t="inlineStr">
        <is>
          <t>VÄSTMANLANDS LÄN</t>
        </is>
      </c>
      <c r="E5301" t="inlineStr">
        <is>
          <t>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22738-2025</t>
        </is>
      </c>
      <c r="B5302" s="1" t="n">
        <v>45789</v>
      </c>
      <c r="C5302" s="1" t="n">
        <v>45811</v>
      </c>
      <c r="D5302" t="inlineStr">
        <is>
          <t>VÄSTMANLANDS LÄN</t>
        </is>
      </c>
      <c r="E5302" t="inlineStr">
        <is>
          <t>ARBOGA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22616-2025</t>
        </is>
      </c>
      <c r="B5303" s="1" t="n">
        <v>45789</v>
      </c>
      <c r="C5303" s="1" t="n">
        <v>45811</v>
      </c>
      <c r="D5303" t="inlineStr">
        <is>
          <t>VÄSTMANLANDS LÄN</t>
        </is>
      </c>
      <c r="E5303" t="inlineStr">
        <is>
          <t>SALA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22624-2025</t>
        </is>
      </c>
      <c r="B5304" s="1" t="n">
        <v>45789</v>
      </c>
      <c r="C5304" s="1" t="n">
        <v>45811</v>
      </c>
      <c r="D5304" t="inlineStr">
        <is>
          <t>VÄSTMANLANDS LÄN</t>
        </is>
      </c>
      <c r="E5304" t="inlineStr">
        <is>
          <t>SALA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22625-2025</t>
        </is>
      </c>
      <c r="B5305" s="1" t="n">
        <v>45789</v>
      </c>
      <c r="C5305" s="1" t="n">
        <v>45811</v>
      </c>
      <c r="D5305" t="inlineStr">
        <is>
          <t>VÄSTMANLANDS LÄN</t>
        </is>
      </c>
      <c r="E5305" t="inlineStr">
        <is>
          <t>SALA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22627-2025</t>
        </is>
      </c>
      <c r="B5306" s="1" t="n">
        <v>45789</v>
      </c>
      <c r="C5306" s="1" t="n">
        <v>45811</v>
      </c>
      <c r="D5306" t="inlineStr">
        <is>
          <t>VÄSTMANLANDS LÄN</t>
        </is>
      </c>
      <c r="E5306" t="inlineStr">
        <is>
          <t>NORBERG</t>
        </is>
      </c>
      <c r="F5306" t="inlineStr">
        <is>
          <t>Bergvik skog väst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22735-2025</t>
        </is>
      </c>
      <c r="B5307" s="1" t="n">
        <v>45789</v>
      </c>
      <c r="C5307" s="1" t="n">
        <v>45811</v>
      </c>
      <c r="D5307" t="inlineStr">
        <is>
          <t>VÄSTMANLANDS LÄN</t>
        </is>
      </c>
      <c r="E5307" t="inlineStr">
        <is>
          <t>ARBOGA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45811</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23045-2025</t>
        </is>
      </c>
      <c r="B5309" s="1" t="n">
        <v>45790</v>
      </c>
      <c r="C5309" s="1" t="n">
        <v>45811</v>
      </c>
      <c r="D5309" t="inlineStr">
        <is>
          <t>VÄSTMANLANDS LÄN</t>
        </is>
      </c>
      <c r="E5309" t="inlineStr">
        <is>
          <t>KÖPING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23131-2025</t>
        </is>
      </c>
      <c r="B5310" s="1" t="n">
        <v>45791</v>
      </c>
      <c r="C5310" s="1" t="n">
        <v>45811</v>
      </c>
      <c r="D5310" t="inlineStr">
        <is>
          <t>VÄSTMANLANDS LÄN</t>
        </is>
      </c>
      <c r="E5310" t="inlineStr">
        <is>
          <t>SKINNSKATTEBERG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23433-2025</t>
        </is>
      </c>
      <c r="B5311" s="1" t="n">
        <v>45792</v>
      </c>
      <c r="C5311" s="1" t="n">
        <v>45811</v>
      </c>
      <c r="D5311" t="inlineStr">
        <is>
          <t>VÄSTMANLANDS LÄN</t>
        </is>
      </c>
      <c r="E5311" t="inlineStr">
        <is>
          <t>NORBERG</t>
        </is>
      </c>
      <c r="F5311" t="inlineStr">
        <is>
          <t>Övriga Aktiebolag</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23611-2025</t>
        </is>
      </c>
      <c r="B5312" s="1" t="n">
        <v>45792</v>
      </c>
      <c r="C5312" s="1" t="n">
        <v>45811</v>
      </c>
      <c r="D5312" t="inlineStr">
        <is>
          <t>VÄSTMANLANDS LÄN</t>
        </is>
      </c>
      <c r="E5312" t="inlineStr">
        <is>
          <t>SKINNSKATTEBERG</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23624-2025</t>
        </is>
      </c>
      <c r="B5313" s="1" t="n">
        <v>45792</v>
      </c>
      <c r="C5313" s="1" t="n">
        <v>45811</v>
      </c>
      <c r="D5313" t="inlineStr">
        <is>
          <t>VÄSTMANLANDS LÄN</t>
        </is>
      </c>
      <c r="E5313" t="inlineStr">
        <is>
          <t>SKINNSKATTEBERG</t>
        </is>
      </c>
      <c r="F5313" t="inlineStr">
        <is>
          <t>Sveaskog</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23625-2025</t>
        </is>
      </c>
      <c r="B5314" s="1" t="n">
        <v>45792</v>
      </c>
      <c r="C5314" s="1" t="n">
        <v>45811</v>
      </c>
      <c r="D5314" t="inlineStr">
        <is>
          <t>VÄSTMANLANDS LÄN</t>
        </is>
      </c>
      <c r="E5314" t="inlineStr">
        <is>
          <t>SKINNSKATTEBERG</t>
        </is>
      </c>
      <c r="F5314" t="inlineStr">
        <is>
          <t>Sveaskog</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23418-2025</t>
        </is>
      </c>
      <c r="B5315" s="1" t="n">
        <v>45792</v>
      </c>
      <c r="C5315" s="1" t="n">
        <v>45811</v>
      </c>
      <c r="D5315" t="inlineStr">
        <is>
          <t>VÄSTMANLANDS LÄN</t>
        </is>
      </c>
      <c r="E5315" t="inlineStr">
        <is>
          <t>NORBERG</t>
        </is>
      </c>
      <c r="F5315" t="inlineStr">
        <is>
          <t>Övriga Aktiebolag</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23621-2025</t>
        </is>
      </c>
      <c r="B5316" s="1" t="n">
        <v>45792</v>
      </c>
      <c r="C5316" s="1" t="n">
        <v>45811</v>
      </c>
      <c r="D5316" t="inlineStr">
        <is>
          <t>VÄSTMANLANDS LÄN</t>
        </is>
      </c>
      <c r="E5316" t="inlineStr">
        <is>
          <t>SKINNSKATTEBERG</t>
        </is>
      </c>
      <c r="F5316" t="inlineStr">
        <is>
          <t>Sveaskog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23569-2025</t>
        </is>
      </c>
      <c r="B5317" s="1" t="n">
        <v>45792</v>
      </c>
      <c r="C5317" s="1" t="n">
        <v>45811</v>
      </c>
      <c r="D5317" t="inlineStr">
        <is>
          <t>VÄSTMANLANDS LÄN</t>
        </is>
      </c>
      <c r="E5317" t="inlineStr">
        <is>
          <t>VÄSTERÅS</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23876-2025</t>
        </is>
      </c>
      <c r="B5318" s="1" t="n">
        <v>45793</v>
      </c>
      <c r="C5318" s="1" t="n">
        <v>45811</v>
      </c>
      <c r="D5318" t="inlineStr">
        <is>
          <t>VÄSTMANLANDS LÄN</t>
        </is>
      </c>
      <c r="E5318" t="inlineStr">
        <is>
          <t>NORBERG</t>
        </is>
      </c>
      <c r="F5318" t="inlineStr">
        <is>
          <t>Bergvik skog väst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23810-2025</t>
        </is>
      </c>
      <c r="B5319" s="1" t="n">
        <v>45793</v>
      </c>
      <c r="C5319" s="1" t="n">
        <v>45811</v>
      </c>
      <c r="D5319" t="inlineStr">
        <is>
          <t>VÄSTMANLANDS LÄN</t>
        </is>
      </c>
      <c r="E5319" t="inlineStr">
        <is>
          <t>SALA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23804-2025</t>
        </is>
      </c>
      <c r="B5320" s="1" t="n">
        <v>45793</v>
      </c>
      <c r="C5320" s="1" t="n">
        <v>45811</v>
      </c>
      <c r="D5320" t="inlineStr">
        <is>
          <t>VÄSTMANLANDS LÄN</t>
        </is>
      </c>
      <c r="E5320" t="inlineStr">
        <is>
          <t>SALA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23860-2025</t>
        </is>
      </c>
      <c r="B5321" s="1" t="n">
        <v>45793</v>
      </c>
      <c r="C5321" s="1" t="n">
        <v>45811</v>
      </c>
      <c r="D5321" t="inlineStr">
        <is>
          <t>VÄSTMANLANDS LÄN</t>
        </is>
      </c>
      <c r="E5321" t="inlineStr">
        <is>
          <t>NORBERG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24145-2025</t>
        </is>
      </c>
      <c r="B5322" s="1" t="n">
        <v>45796</v>
      </c>
      <c r="C5322" s="1" t="n">
        <v>45811</v>
      </c>
      <c r="D5322" t="inlineStr">
        <is>
          <t>VÄSTMANLANDS LÄN</t>
        </is>
      </c>
      <c r="E5322" t="inlineStr">
        <is>
          <t>ARBOGA</t>
        </is>
      </c>
      <c r="F5322" t="inlineStr">
        <is>
          <t>Sveaskog</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24244-2025</t>
        </is>
      </c>
      <c r="B5323" s="1" t="n">
        <v>45796</v>
      </c>
      <c r="C5323" s="1" t="n">
        <v>45811</v>
      </c>
      <c r="D5323" t="inlineStr">
        <is>
          <t>VÄSTMANLANDS LÄN</t>
        </is>
      </c>
      <c r="E5323" t="inlineStr">
        <is>
          <t>ARBOGA</t>
        </is>
      </c>
      <c r="F5323" t="inlineStr">
        <is>
          <t>Sveaskog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24169-2025</t>
        </is>
      </c>
      <c r="B5324" s="1" t="n">
        <v>45796</v>
      </c>
      <c r="C5324" s="1" t="n">
        <v>45811</v>
      </c>
      <c r="D5324" t="inlineStr">
        <is>
          <t>VÄSTMANLANDS LÄN</t>
        </is>
      </c>
      <c r="E5324" t="inlineStr">
        <is>
          <t>SALA</t>
        </is>
      </c>
      <c r="F5324" t="inlineStr">
        <is>
          <t>Sveaskog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45811</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24410-2025</t>
        </is>
      </c>
      <c r="B5326" s="1" t="n">
        <v>45797</v>
      </c>
      <c r="C5326" s="1" t="n">
        <v>45811</v>
      </c>
      <c r="D5326" t="inlineStr">
        <is>
          <t>VÄSTMANLANDS LÄN</t>
        </is>
      </c>
      <c r="E5326" t="inlineStr">
        <is>
          <t>SALA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24478-2025</t>
        </is>
      </c>
      <c r="B5327" s="1" t="n">
        <v>45798</v>
      </c>
      <c r="C5327" s="1" t="n">
        <v>45811</v>
      </c>
      <c r="D5327" t="inlineStr">
        <is>
          <t>VÄSTMANLANDS LÄN</t>
        </is>
      </c>
      <c r="E5327" t="inlineStr">
        <is>
          <t>KÖPING</t>
        </is>
      </c>
      <c r="F5327" t="inlineStr">
        <is>
          <t>Sveaskog</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24473-2025</t>
        </is>
      </c>
      <c r="B5328" s="1" t="n">
        <v>45798</v>
      </c>
      <c r="C5328" s="1" t="n">
        <v>45811</v>
      </c>
      <c r="D5328" t="inlineStr">
        <is>
          <t>VÄSTMANLANDS LÄN</t>
        </is>
      </c>
      <c r="E5328" t="inlineStr">
        <is>
          <t>KÖPING</t>
        </is>
      </c>
      <c r="F5328" t="inlineStr">
        <is>
          <t>Sveaskog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24475-2025</t>
        </is>
      </c>
      <c r="B5329" s="1" t="n">
        <v>45798</v>
      </c>
      <c r="C5329" s="1" t="n">
        <v>45811</v>
      </c>
      <c r="D5329" t="inlineStr">
        <is>
          <t>VÄSTMANLANDS LÄN</t>
        </is>
      </c>
      <c r="E5329" t="inlineStr">
        <is>
          <t>KÖPING</t>
        </is>
      </c>
      <c r="F5329" t="inlineStr">
        <is>
          <t>Sveaskog</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24460-2025</t>
        </is>
      </c>
      <c r="B5330" s="1" t="n">
        <v>45798</v>
      </c>
      <c r="C5330" s="1" t="n">
        <v>45811</v>
      </c>
      <c r="D5330" t="inlineStr">
        <is>
          <t>VÄSTMANLANDS LÄN</t>
        </is>
      </c>
      <c r="E5330" t="inlineStr">
        <is>
          <t>SALA</t>
        </is>
      </c>
      <c r="F5330" t="inlineStr">
        <is>
          <t>Bergvik skog öst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24546-2025</t>
        </is>
      </c>
      <c r="B5331" s="1" t="n">
        <v>45798</v>
      </c>
      <c r="C5331" s="1" t="n">
        <v>45811</v>
      </c>
      <c r="D5331" t="inlineStr">
        <is>
          <t>VÄSTMANLANDS LÄN</t>
        </is>
      </c>
      <c r="E5331" t="inlineStr">
        <is>
          <t>VÄSTERÅS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24469-2025</t>
        </is>
      </c>
      <c r="B5332" s="1" t="n">
        <v>45798</v>
      </c>
      <c r="C5332" s="1" t="n">
        <v>45811</v>
      </c>
      <c r="D5332" t="inlineStr">
        <is>
          <t>VÄSTMANLANDS LÄN</t>
        </is>
      </c>
      <c r="E5332" t="inlineStr">
        <is>
          <t>KÖPING</t>
        </is>
      </c>
      <c r="F5332" t="inlineStr">
        <is>
          <t>Sveaskog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24472-2025</t>
        </is>
      </c>
      <c r="B5333" s="1" t="n">
        <v>45798</v>
      </c>
      <c r="C5333" s="1" t="n">
        <v>45811</v>
      </c>
      <c r="D5333" t="inlineStr">
        <is>
          <t>VÄSTMANLANDS LÄN</t>
        </is>
      </c>
      <c r="E5333" t="inlineStr">
        <is>
          <t>KÖPING</t>
        </is>
      </c>
      <c r="F5333" t="inlineStr">
        <is>
          <t>Sveaskog</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24463-2025</t>
        </is>
      </c>
      <c r="B5334" s="1" t="n">
        <v>45798</v>
      </c>
      <c r="C5334" s="1" t="n">
        <v>45811</v>
      </c>
      <c r="D5334" t="inlineStr">
        <is>
          <t>VÄSTMANLANDS LÄN</t>
        </is>
      </c>
      <c r="E5334" t="inlineStr">
        <is>
          <t>SALA</t>
        </is>
      </c>
      <c r="F5334" t="inlineStr">
        <is>
          <t>Bergvik skog öst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24477-2025</t>
        </is>
      </c>
      <c r="B5335" s="1" t="n">
        <v>45798</v>
      </c>
      <c r="C5335" s="1" t="n">
        <v>45811</v>
      </c>
      <c r="D5335" t="inlineStr">
        <is>
          <t>VÄSTMANLANDS LÄN</t>
        </is>
      </c>
      <c r="E5335" t="inlineStr">
        <is>
          <t>KÖPING</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45811</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24479-2025</t>
        </is>
      </c>
      <c r="B5337" s="1" t="n">
        <v>45798</v>
      </c>
      <c r="C5337" s="1" t="n">
        <v>45811</v>
      </c>
      <c r="D5337" t="inlineStr">
        <is>
          <t>VÄSTMANLANDS LÄN</t>
        </is>
      </c>
      <c r="E5337" t="inlineStr">
        <is>
          <t>KÖPING</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24471-2025</t>
        </is>
      </c>
      <c r="B5338" s="1" t="n">
        <v>45798</v>
      </c>
      <c r="C5338" s="1" t="n">
        <v>45811</v>
      </c>
      <c r="D5338" t="inlineStr">
        <is>
          <t>VÄSTMANLANDS LÄN</t>
        </is>
      </c>
      <c r="E5338" t="inlineStr">
        <is>
          <t>KÖPING</t>
        </is>
      </c>
      <c r="F5338" t="inlineStr">
        <is>
          <t>Sveaskog</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24910-2025</t>
        </is>
      </c>
      <c r="B5339" s="1" t="n">
        <v>45799</v>
      </c>
      <c r="C5339" s="1" t="n">
        <v>45811</v>
      </c>
      <c r="D5339" t="inlineStr">
        <is>
          <t>VÄSTMANLANDS LÄN</t>
        </is>
      </c>
      <c r="E5339" t="inlineStr">
        <is>
          <t>SALA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24865-2025</t>
        </is>
      </c>
      <c r="B5340" s="1" t="n">
        <v>45799</v>
      </c>
      <c r="C5340" s="1" t="n">
        <v>45811</v>
      </c>
      <c r="D5340" t="inlineStr">
        <is>
          <t>VÄSTMANLANDS LÄN</t>
        </is>
      </c>
      <c r="E5340" t="inlineStr">
        <is>
          <t>NORBERG</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25543-2025</t>
        </is>
      </c>
      <c r="B5341" s="1" t="n">
        <v>45803</v>
      </c>
      <c r="C5341" s="1" t="n">
        <v>45811</v>
      </c>
      <c r="D5341" t="inlineStr">
        <is>
          <t>VÄSTMANLANDS LÄN</t>
        </is>
      </c>
      <c r="E5341" t="inlineStr">
        <is>
          <t>KÖPING</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25568-2025</t>
        </is>
      </c>
      <c r="B5342" s="1" t="n">
        <v>45803</v>
      </c>
      <c r="C5342" s="1" t="n">
        <v>45811</v>
      </c>
      <c r="D5342" t="inlineStr">
        <is>
          <t>VÄSTMANLANDS LÄN</t>
        </is>
      </c>
      <c r="E5342" t="inlineStr">
        <is>
          <t>VÄSTERÅS</t>
        </is>
      </c>
      <c r="F5342" t="inlineStr">
        <is>
          <t>Allmännings- och besparingsskogar</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25972-2025</t>
        </is>
      </c>
      <c r="B5343" s="1" t="n">
        <v>45804</v>
      </c>
      <c r="C5343" s="1" t="n">
        <v>45811</v>
      </c>
      <c r="D5343" t="inlineStr">
        <is>
          <t>VÄSTMANLANDS LÄN</t>
        </is>
      </c>
      <c r="E5343" t="inlineStr">
        <is>
          <t>FAGERSTA</t>
        </is>
      </c>
      <c r="F5343" t="inlineStr">
        <is>
          <t>Sveaskog</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26044-2025</t>
        </is>
      </c>
      <c r="B5344" s="1" t="n">
        <v>45804</v>
      </c>
      <c r="C5344" s="1" t="n">
        <v>45811</v>
      </c>
      <c r="D5344" t="inlineStr">
        <is>
          <t>VÄSTMANLANDS LÄN</t>
        </is>
      </c>
      <c r="E5344" t="inlineStr">
        <is>
          <t>ARBOGA</t>
        </is>
      </c>
      <c r="G5344" t="n">
        <v>31.3</v>
      </c>
      <c r="H5344" t="n">
        <v>0</v>
      </c>
      <c r="I5344" t="n">
        <v>0</v>
      </c>
      <c r="J5344" t="n">
        <v>0</v>
      </c>
      <c r="K5344" t="n">
        <v>0</v>
      </c>
      <c r="L5344" t="n">
        <v>0</v>
      </c>
      <c r="M5344" t="n">
        <v>0</v>
      </c>
      <c r="N5344" t="n">
        <v>0</v>
      </c>
      <c r="O5344" t="n">
        <v>0</v>
      </c>
      <c r="P5344" t="n">
        <v>0</v>
      </c>
      <c r="Q5344" t="n">
        <v>0</v>
      </c>
      <c r="R5344" s="2" t="inlineStr"/>
    </row>
    <row r="5345" ht="15" customHeight="1">
      <c r="A5345" t="inlineStr">
        <is>
          <t>A 25846-2025</t>
        </is>
      </c>
      <c r="B5345" s="1" t="n">
        <v>45804</v>
      </c>
      <c r="C5345" s="1" t="n">
        <v>45811</v>
      </c>
      <c r="D5345" t="inlineStr">
        <is>
          <t>VÄSTMANLANDS LÄN</t>
        </is>
      </c>
      <c r="E5345" t="inlineStr">
        <is>
          <t>SKINNSKATTEBERG</t>
        </is>
      </c>
      <c r="F5345" t="inlineStr">
        <is>
          <t>Sveaskog</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25845-2025</t>
        </is>
      </c>
      <c r="B5346" s="1" t="n">
        <v>45804</v>
      </c>
      <c r="C5346" s="1" t="n">
        <v>45811</v>
      </c>
      <c r="D5346" t="inlineStr">
        <is>
          <t>VÄSTMANLANDS LÄN</t>
        </is>
      </c>
      <c r="E5346" t="inlineStr">
        <is>
          <t>SKINNSKATTEBERG</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26164-2025</t>
        </is>
      </c>
      <c r="B5347" s="1" t="n">
        <v>45805</v>
      </c>
      <c r="C5347" s="1" t="n">
        <v>45811</v>
      </c>
      <c r="D5347" t="inlineStr">
        <is>
          <t>VÄSTMANLANDS LÄN</t>
        </is>
      </c>
      <c r="E5347" t="inlineStr">
        <is>
          <t>FAGERSTA</t>
        </is>
      </c>
      <c r="F5347" t="inlineStr">
        <is>
          <t>Sveaskog</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26163-2025</t>
        </is>
      </c>
      <c r="B5348" s="1" t="n">
        <v>45805</v>
      </c>
      <c r="C5348" s="1" t="n">
        <v>45811</v>
      </c>
      <c r="D5348" t="inlineStr">
        <is>
          <t>VÄSTMANLANDS LÄN</t>
        </is>
      </c>
      <c r="E5348" t="inlineStr">
        <is>
          <t>FAGERSTA</t>
        </is>
      </c>
      <c r="F5348" t="inlineStr">
        <is>
          <t>Sveaskog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26165-2025</t>
        </is>
      </c>
      <c r="B5349" s="1" t="n">
        <v>45805</v>
      </c>
      <c r="C5349" s="1" t="n">
        <v>45811</v>
      </c>
      <c r="D5349" t="inlineStr">
        <is>
          <t>VÄSTMANLANDS LÄN</t>
        </is>
      </c>
      <c r="E5349" t="inlineStr">
        <is>
          <t>FAGERSTA</t>
        </is>
      </c>
      <c r="F5349" t="inlineStr">
        <is>
          <t>Sveaskog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26847-2025</t>
        </is>
      </c>
      <c r="B5350" s="1" t="n">
        <v>45810</v>
      </c>
      <c r="C5350" s="1" t="n">
        <v>45811</v>
      </c>
      <c r="D5350" t="inlineStr">
        <is>
          <t>VÄSTMANLANDS LÄN</t>
        </is>
      </c>
      <c r="E5350" t="inlineStr">
        <is>
          <t>KÖPING</t>
        </is>
      </c>
      <c r="F5350" t="inlineStr">
        <is>
          <t>Sveaskog</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26862-2025</t>
        </is>
      </c>
      <c r="B5351" s="1" t="n">
        <v>45810</v>
      </c>
      <c r="C5351" s="1" t="n">
        <v>45811</v>
      </c>
      <c r="D5351" t="inlineStr">
        <is>
          <t>VÄSTMANLANDS LÄN</t>
        </is>
      </c>
      <c r="E5351" t="inlineStr">
        <is>
          <t>KÖPING</t>
        </is>
      </c>
      <c r="F5351" t="inlineStr">
        <is>
          <t>Sveaskog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26652-2025</t>
        </is>
      </c>
      <c r="B5352" s="1" t="n">
        <v>45810</v>
      </c>
      <c r="C5352" s="1" t="n">
        <v>45811</v>
      </c>
      <c r="D5352" t="inlineStr">
        <is>
          <t>VÄSTMANLANDS LÄN</t>
        </is>
      </c>
      <c r="E5352" t="inlineStr">
        <is>
          <t>FAGERSTA</t>
        </is>
      </c>
      <c r="F5352" t="inlineStr">
        <is>
          <t>Bergvik skog väst AB</t>
        </is>
      </c>
      <c r="G5352" t="n">
        <v>22.6</v>
      </c>
      <c r="H5352" t="n">
        <v>0</v>
      </c>
      <c r="I5352" t="n">
        <v>0</v>
      </c>
      <c r="J5352" t="n">
        <v>0</v>
      </c>
      <c r="K5352" t="n">
        <v>0</v>
      </c>
      <c r="L5352" t="n">
        <v>0</v>
      </c>
      <c r="M5352" t="n">
        <v>0</v>
      </c>
      <c r="N5352" t="n">
        <v>0</v>
      </c>
      <c r="O5352" t="n">
        <v>0</v>
      </c>
      <c r="P5352" t="n">
        <v>0</v>
      </c>
      <c r="Q5352" t="n">
        <v>0</v>
      </c>
      <c r="R5352" s="2" t="inlineStr"/>
    </row>
    <row r="5353" ht="15" customHeight="1">
      <c r="A5353" t="inlineStr">
        <is>
          <t>A 26839-2025</t>
        </is>
      </c>
      <c r="B5353" s="1" t="n">
        <v>45810</v>
      </c>
      <c r="C5353" s="1" t="n">
        <v>45811</v>
      </c>
      <c r="D5353" t="inlineStr">
        <is>
          <t>VÄSTMANLANDS LÄN</t>
        </is>
      </c>
      <c r="E5353" t="inlineStr">
        <is>
          <t>KÖPING</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26661-2025</t>
        </is>
      </c>
      <c r="B5354" s="1" t="n">
        <v>45810</v>
      </c>
      <c r="C5354" s="1" t="n">
        <v>45811</v>
      </c>
      <c r="D5354" t="inlineStr">
        <is>
          <t>VÄSTMANLANDS LÄN</t>
        </is>
      </c>
      <c r="E5354" t="inlineStr">
        <is>
          <t>SALA</t>
        </is>
      </c>
      <c r="G5354" t="n">
        <v>3.5</v>
      </c>
      <c r="H5354" t="n">
        <v>0</v>
      </c>
      <c r="I5354" t="n">
        <v>0</v>
      </c>
      <c r="J5354" t="n">
        <v>0</v>
      </c>
      <c r="K5354" t="n">
        <v>0</v>
      </c>
      <c r="L5354" t="n">
        <v>0</v>
      </c>
      <c r="M5354" t="n">
        <v>0</v>
      </c>
      <c r="N5354" t="n">
        <v>0</v>
      </c>
      <c r="O5354" t="n">
        <v>0</v>
      </c>
      <c r="P5354" t="n">
        <v>0</v>
      </c>
      <c r="Q5354" t="n">
        <v>0</v>
      </c>
      <c r="R5354" s="2" t="inlineStr"/>
    </row>
    <row r="5355">
      <c r="A5355" t="inlineStr">
        <is>
          <t>A 26845-2025</t>
        </is>
      </c>
      <c r="B5355" s="1" t="n">
        <v>45810</v>
      </c>
      <c r="C5355" s="1" t="n">
        <v>45811</v>
      </c>
      <c r="D5355" t="inlineStr">
        <is>
          <t>VÄSTMANLANDS LÄN</t>
        </is>
      </c>
      <c r="E5355" t="inlineStr">
        <is>
          <t>KÖPING</t>
        </is>
      </c>
      <c r="F5355" t="inlineStr">
        <is>
          <t>Sveaskog</t>
        </is>
      </c>
      <c r="G5355" t="n">
        <v>5.9</v>
      </c>
      <c r="H5355" t="n">
        <v>0</v>
      </c>
      <c r="I5355" t="n">
        <v>0</v>
      </c>
      <c r="J5355" t="n">
        <v>0</v>
      </c>
      <c r="K5355" t="n">
        <v>0</v>
      </c>
      <c r="L5355" t="n">
        <v>0</v>
      </c>
      <c r="M5355" t="n">
        <v>0</v>
      </c>
      <c r="N5355" t="n">
        <v>0</v>
      </c>
      <c r="O5355" t="n">
        <v>0</v>
      </c>
      <c r="P5355" t="n">
        <v>0</v>
      </c>
      <c r="Q5355" t="n">
        <v>0</v>
      </c>
      <c r="R5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2025-06-03T18:06:17Z</dcterms:created>
  <dcterms:modified xmlns:dcterms="http://purl.org/dc/terms/" xmlns:xsi="http://www.w3.org/2001/XMLSchema-instance" xsi:type="dcterms:W3CDTF">2025-06-03T18:06:22Z</dcterms:modified>
</cp:coreProperties>
</file>