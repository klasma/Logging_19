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505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69056-2020</t>
        </is>
      </c>
      <c r="B2" s="1" t="n">
        <v>44187</v>
      </c>
      <c r="C2" s="1" t="n">
        <v>45724</v>
      </c>
      <c r="D2" t="inlineStr">
        <is>
          <t>VÄSTMANLANDS LÄN</t>
        </is>
      </c>
      <c r="E2" t="inlineStr">
        <is>
          <t>SURAHAMMAR</t>
        </is>
      </c>
      <c r="F2" t="inlineStr">
        <is>
          <t>Bergvik skog väst AB</t>
        </is>
      </c>
      <c r="G2" t="n">
        <v>11.5</v>
      </c>
      <c r="H2" t="n">
        <v>7</v>
      </c>
      <c r="I2" t="n">
        <v>13</v>
      </c>
      <c r="J2" t="n">
        <v>22</v>
      </c>
      <c r="K2" t="n">
        <v>5</v>
      </c>
      <c r="L2" t="n">
        <v>0</v>
      </c>
      <c r="M2" t="n">
        <v>0</v>
      </c>
      <c r="N2" t="n">
        <v>0</v>
      </c>
      <c r="O2" t="n">
        <v>27</v>
      </c>
      <c r="P2" t="n">
        <v>5</v>
      </c>
      <c r="Q2" t="n">
        <v>42</v>
      </c>
      <c r="R2" s="2" t="inlineStr">
        <is>
          <t>Hängticka
Ostticka
Rynkskinn
Spadskinn
Vågticka
Barrpraktbagge
Blå taggsvamp
Brunpudrad nållav
Dofttaggsvamp
Duvhök
Grantaggsvamp
Gropticka
Hapalopilus aurantiacus
Leptoporus erubescens
Motaggsvamp
Orange taggsvamp
Skorpgrynna
Skrovlig flatbagge
Skrovlig taggsvamp
Svart taggsvamp
Svartvit taggsvamp
Tallriska
Talltita
Timmertickgnagare
Tretåig hackspett
Ullticka
Vintertagging
Brandticka
Bronshjon
Dropptaggsvamp
Flagellkvastmossa
Grovticka
Grön sköldmossa
Grönpyrola
Gullgröppa
Mindre märgborre
Plattlummer
Stubbspretmossa
Vågbandad barkbock
Zontaggsvamp
Sångsvan
Revlummer</t>
        </is>
      </c>
      <c r="S2">
        <f>HYPERLINK("https://klasma.github.io/Logging_1907/artfynd/A 69056-2020 artfynd.xlsx", "A 69056-2020")</f>
        <v/>
      </c>
      <c r="T2">
        <f>HYPERLINK("https://klasma.github.io/Logging_1907/kartor/A 69056-2020 karta.png", "A 69056-2020")</f>
        <v/>
      </c>
      <c r="V2">
        <f>HYPERLINK("https://klasma.github.io/Logging_1907/klagomål/A 69056-2020 FSC-klagomål.docx", "A 69056-2020")</f>
        <v/>
      </c>
      <c r="W2">
        <f>HYPERLINK("https://klasma.github.io/Logging_1907/klagomålsmail/A 69056-2020 FSC-klagomål mail.docx", "A 69056-2020")</f>
        <v/>
      </c>
      <c r="X2">
        <f>HYPERLINK("https://klasma.github.io/Logging_1907/tillsyn/A 69056-2020 tillsynsbegäran.docx", "A 69056-2020")</f>
        <v/>
      </c>
      <c r="Y2">
        <f>HYPERLINK("https://klasma.github.io/Logging_1907/tillsynsmail/A 69056-2020 tillsynsbegäran mail.docx", "A 69056-2020")</f>
        <v/>
      </c>
      <c r="Z2">
        <f>HYPERLINK("https://klasma.github.io/Logging_1907/fåglar/A 69056-2020 prioriterade fågelarter.docx", "A 69056-2020")</f>
        <v/>
      </c>
    </row>
    <row r="3" ht="15" customHeight="1">
      <c r="A3" t="inlineStr">
        <is>
          <t>A 31280-2024</t>
        </is>
      </c>
      <c r="B3" s="1" t="n">
        <v>45504</v>
      </c>
      <c r="C3" s="1" t="n">
        <v>45724</v>
      </c>
      <c r="D3" t="inlineStr">
        <is>
          <t>VÄSTMANLANDS LÄN</t>
        </is>
      </c>
      <c r="E3" t="inlineStr">
        <is>
          <t>SURAHAMMAR</t>
        </is>
      </c>
      <c r="F3" t="inlineStr">
        <is>
          <t>Allmännings- och besparingsskogar</t>
        </is>
      </c>
      <c r="G3" t="n">
        <v>6.9</v>
      </c>
      <c r="H3" t="n">
        <v>3</v>
      </c>
      <c r="I3" t="n">
        <v>13</v>
      </c>
      <c r="J3" t="n">
        <v>14</v>
      </c>
      <c r="K3" t="n">
        <v>5</v>
      </c>
      <c r="L3" t="n">
        <v>0</v>
      </c>
      <c r="M3" t="n">
        <v>0</v>
      </c>
      <c r="N3" t="n">
        <v>0</v>
      </c>
      <c r="O3" t="n">
        <v>19</v>
      </c>
      <c r="P3" t="n">
        <v>5</v>
      </c>
      <c r="Q3" t="n">
        <v>34</v>
      </c>
      <c r="R3" s="2" t="inlineStr">
        <is>
          <t>Knärot
Liten hornflikmossa
Spadskinn
Torrmusseron
Vågticka
Grantaggsvamp
Gropticka
Gränsticka
Hapalopilus aurantiacus
Leptoporus erubescens
Leptoporus mollis
Nordtagging
Persiljespindling
Svart taggsvamp
Svartvit taggsvamp
Ullticka
Vaddporing
Vedskivlav
Vedtrappmossa
Bollvitmossa
Bronshjon
Fjällig taggsvamp s.str.
Flagellkvastmossa
Grönpyrola
Kattfotslav
Kornknutmossa
Mindre märgborre
Skarp dropptaggsvamp
Smal svampklubba
Thomsons trägnagare
Vedticka
Vågbandad barkbock
Mindre vattensalamander
Fläcknycklar</t>
        </is>
      </c>
      <c r="S3">
        <f>HYPERLINK("https://klasma.github.io/Logging_1907/artfynd/A 31280-2024 artfynd.xlsx", "A 31280-2024")</f>
        <v/>
      </c>
      <c r="T3">
        <f>HYPERLINK("https://klasma.github.io/Logging_1907/kartor/A 31280-2024 karta.png", "A 31280-2024")</f>
        <v/>
      </c>
      <c r="U3">
        <f>HYPERLINK("https://klasma.github.io/Logging_1907/knärot/A 31280-2024 karta knärot.png", "A 31280-2024")</f>
        <v/>
      </c>
      <c r="V3">
        <f>HYPERLINK("https://klasma.github.io/Logging_1907/klagomål/A 31280-2024 FSC-klagomål.docx", "A 31280-2024")</f>
        <v/>
      </c>
      <c r="W3">
        <f>HYPERLINK("https://klasma.github.io/Logging_1907/klagomålsmail/A 31280-2024 FSC-klagomål mail.docx", "A 31280-2024")</f>
        <v/>
      </c>
      <c r="X3">
        <f>HYPERLINK("https://klasma.github.io/Logging_1907/tillsyn/A 31280-2024 tillsynsbegäran.docx", "A 31280-2024")</f>
        <v/>
      </c>
      <c r="Y3">
        <f>HYPERLINK("https://klasma.github.io/Logging_1907/tillsynsmail/A 31280-2024 tillsynsbegäran mail.docx", "A 31280-2024")</f>
        <v/>
      </c>
    </row>
    <row r="4" ht="15" customHeight="1">
      <c r="A4" t="inlineStr">
        <is>
          <t>A 12276-2023</t>
        </is>
      </c>
      <c r="B4" s="1" t="n">
        <v>44995</v>
      </c>
      <c r="C4" s="1" t="n">
        <v>45724</v>
      </c>
      <c r="D4" t="inlineStr">
        <is>
          <t>VÄSTMANLANDS LÄN</t>
        </is>
      </c>
      <c r="E4" t="inlineStr">
        <is>
          <t>SALA</t>
        </is>
      </c>
      <c r="G4" t="n">
        <v>28.6</v>
      </c>
      <c r="H4" t="n">
        <v>6</v>
      </c>
      <c r="I4" t="n">
        <v>12</v>
      </c>
      <c r="J4" t="n">
        <v>12</v>
      </c>
      <c r="K4" t="n">
        <v>7</v>
      </c>
      <c r="L4" t="n">
        <v>0</v>
      </c>
      <c r="M4" t="n">
        <v>0</v>
      </c>
      <c r="N4" t="n">
        <v>0</v>
      </c>
      <c r="O4" t="n">
        <v>19</v>
      </c>
      <c r="P4" t="n">
        <v>7</v>
      </c>
      <c r="Q4" t="n">
        <v>33</v>
      </c>
      <c r="R4" s="2" t="inlineStr">
        <is>
          <t>Knärot
Laxporing
Rynkskinn
Smal skuggbagge
Tallbarksvartbagge
Ulltickeporing
Vågticka
Gransotdyna
Granvivel
Gränsticka
Mindre hackspett
Motaggsvamp
Spillkråka
Svartvit taggsvamp
Såpfingersvamp
Tallticka
Talltita
Ullticka
Vedtrappmossa
Björksplintborre
Brandticka
Bronshjon
Ljus vedstrit
Mindre märgborre
Platt fjädermossa
Skarp dropptaggsvamp
Thomsons trägnagare
Thymalus limbatus
Vanlig flatbagge
Vedticka
Vågbandad barkbock
Tjäder
Mindre vattensalamander</t>
        </is>
      </c>
      <c r="S4">
        <f>HYPERLINK("https://klasma.github.io/Logging_1981/artfynd/A 12276-2023 artfynd.xlsx", "A 12276-2023")</f>
        <v/>
      </c>
      <c r="T4">
        <f>HYPERLINK("https://klasma.github.io/Logging_1981/kartor/A 12276-2023 karta.png", "A 12276-2023")</f>
        <v/>
      </c>
      <c r="U4">
        <f>HYPERLINK("https://klasma.github.io/Logging_1981/knärot/A 12276-2023 karta knärot.png", "A 12276-2023")</f>
        <v/>
      </c>
      <c r="V4">
        <f>HYPERLINK("https://klasma.github.io/Logging_1981/klagomål/A 12276-2023 FSC-klagomål.docx", "A 12276-2023")</f>
        <v/>
      </c>
      <c r="W4">
        <f>HYPERLINK("https://klasma.github.io/Logging_1981/klagomålsmail/A 12276-2023 FSC-klagomål mail.docx", "A 12276-2023")</f>
        <v/>
      </c>
      <c r="X4">
        <f>HYPERLINK("https://klasma.github.io/Logging_1981/tillsyn/A 12276-2023 tillsynsbegäran.docx", "A 12276-2023")</f>
        <v/>
      </c>
      <c r="Y4">
        <f>HYPERLINK("https://klasma.github.io/Logging_1981/tillsynsmail/A 12276-2023 tillsynsbegäran mail.docx", "A 12276-2023")</f>
        <v/>
      </c>
      <c r="Z4">
        <f>HYPERLINK("https://klasma.github.io/Logging_1981/fåglar/A 12276-2023 prioriterade fågelarter.docx", "A 12276-2023")</f>
        <v/>
      </c>
    </row>
    <row r="5" ht="15" customHeight="1">
      <c r="A5" t="inlineStr">
        <is>
          <t>A 4086-2025</t>
        </is>
      </c>
      <c r="B5" s="1" t="n">
        <v>45684</v>
      </c>
      <c r="C5" s="1" t="n">
        <v>45724</v>
      </c>
      <c r="D5" t="inlineStr">
        <is>
          <t>VÄSTMANLANDS LÄN</t>
        </is>
      </c>
      <c r="E5" t="inlineStr">
        <is>
          <t>SURAHAMMAR</t>
        </is>
      </c>
      <c r="F5" t="inlineStr">
        <is>
          <t>Bergvik skog väst AB</t>
        </is>
      </c>
      <c r="G5" t="n">
        <v>20.5</v>
      </c>
      <c r="H5" t="n">
        <v>7</v>
      </c>
      <c r="I5" t="n">
        <v>10</v>
      </c>
      <c r="J5" t="n">
        <v>11</v>
      </c>
      <c r="K5" t="n">
        <v>6</v>
      </c>
      <c r="L5" t="n">
        <v>0</v>
      </c>
      <c r="M5" t="n">
        <v>0</v>
      </c>
      <c r="N5" t="n">
        <v>0</v>
      </c>
      <c r="O5" t="n">
        <v>17</v>
      </c>
      <c r="P5" t="n">
        <v>6</v>
      </c>
      <c r="Q5" t="n">
        <v>32</v>
      </c>
      <c r="R5" s="2" t="inlineStr">
        <is>
          <t>Goliatmusseron
Knärot
Lakritsmusseron
Rotfingersvamp
Rynkskinn
Vågticka
Dofttaggsvamp
Grantaggsvamp
Gropticka
Gul taggsvamp
Motaggsvamp
Orange taggsvamp
Rosenticka
Rödvingetrast
Skrovlig taggsvamp
Svinrot
Ullticka
Blodticka
Dropptaggsvamp
Flagellkvastmossa
Grönpyrola
Gullgröppa
Mindre märgborre
Rödgul trumpetsvamp
Skarp dropptaggsvamp
Vedticka
Zontaggsvamp
Fläcknycklar
Blåsippa
Gullviva
Mattlummer
Revlummer</t>
        </is>
      </c>
      <c r="S5">
        <f>HYPERLINK("https://klasma.github.io/Logging_1907/artfynd/A 4086-2025 artfynd.xlsx", "A 4086-2025")</f>
        <v/>
      </c>
      <c r="T5">
        <f>HYPERLINK("https://klasma.github.io/Logging_1907/kartor/A 4086-2025 karta.png", "A 4086-2025")</f>
        <v/>
      </c>
      <c r="U5">
        <f>HYPERLINK("https://klasma.github.io/Logging_1907/knärot/A 4086-2025 karta knärot.png", "A 4086-2025")</f>
        <v/>
      </c>
      <c r="V5">
        <f>HYPERLINK("https://klasma.github.io/Logging_1907/klagomål/A 4086-2025 FSC-klagomål.docx", "A 4086-2025")</f>
        <v/>
      </c>
      <c r="W5">
        <f>HYPERLINK("https://klasma.github.io/Logging_1907/klagomålsmail/A 4086-2025 FSC-klagomål mail.docx", "A 4086-2025")</f>
        <v/>
      </c>
      <c r="X5">
        <f>HYPERLINK("https://klasma.github.io/Logging_1907/tillsyn/A 4086-2025 tillsynsbegäran.docx", "A 4086-2025")</f>
        <v/>
      </c>
      <c r="Y5">
        <f>HYPERLINK("https://klasma.github.io/Logging_1907/tillsynsmail/A 4086-2025 tillsynsbegäran mail.docx", "A 4086-2025")</f>
        <v/>
      </c>
      <c r="Z5">
        <f>HYPERLINK("https://klasma.github.io/Logging_1907/fåglar/A 4086-2025 prioriterade fågelarter.docx", "A 4086-2025")</f>
        <v/>
      </c>
    </row>
    <row r="6" ht="15" customHeight="1">
      <c r="A6" t="inlineStr">
        <is>
          <t>A 65027-2023</t>
        </is>
      </c>
      <c r="B6" s="1" t="n">
        <v>45282</v>
      </c>
      <c r="C6" s="1" t="n">
        <v>45724</v>
      </c>
      <c r="D6" t="inlineStr">
        <is>
          <t>VÄSTMANLANDS LÄN</t>
        </is>
      </c>
      <c r="E6" t="inlineStr">
        <is>
          <t>SURAHAMMAR</t>
        </is>
      </c>
      <c r="F6" t="inlineStr">
        <is>
          <t>Bergvik skog väst AB</t>
        </is>
      </c>
      <c r="G6" t="n">
        <v>7.2</v>
      </c>
      <c r="H6" t="n">
        <v>8</v>
      </c>
      <c r="I6" t="n">
        <v>9</v>
      </c>
      <c r="J6" t="n">
        <v>8</v>
      </c>
      <c r="K6" t="n">
        <v>0</v>
      </c>
      <c r="L6" t="n">
        <v>0</v>
      </c>
      <c r="M6" t="n">
        <v>0</v>
      </c>
      <c r="N6" t="n">
        <v>0</v>
      </c>
      <c r="O6" t="n">
        <v>8</v>
      </c>
      <c r="P6" t="n">
        <v>0</v>
      </c>
      <c r="Q6" t="n">
        <v>22</v>
      </c>
      <c r="R6" s="2" t="inlineStr">
        <is>
          <t>Björktrast
Motaggsvamp
Praktvaxskivling
Scharlakansvaxskivling
Spillkråka
Stornopping
Svinrot
Talltita
Blodvaxskivling
Grå vaxskivling
Gul vaxskivling
Kamjordstjärna
Mindre märgborre
Mönjevaxskivling
Spröd vaxskivling
Vit vaxskivling
Ängsvaxskivling
Järnsparv
Sångsvan
Kopparödla
Fläcknycklar
Nattviol</t>
        </is>
      </c>
      <c r="S6">
        <f>HYPERLINK("https://klasma.github.io/Logging_1907/artfynd/A 65027-2023 artfynd.xlsx", "A 65027-2023")</f>
        <v/>
      </c>
      <c r="T6">
        <f>HYPERLINK("https://klasma.github.io/Logging_1907/kartor/A 65027-2023 karta.png", "A 65027-2023")</f>
        <v/>
      </c>
      <c r="V6">
        <f>HYPERLINK("https://klasma.github.io/Logging_1907/klagomål/A 65027-2023 FSC-klagomål.docx", "A 65027-2023")</f>
        <v/>
      </c>
      <c r="W6">
        <f>HYPERLINK("https://klasma.github.io/Logging_1907/klagomålsmail/A 65027-2023 FSC-klagomål mail.docx", "A 65027-2023")</f>
        <v/>
      </c>
      <c r="X6">
        <f>HYPERLINK("https://klasma.github.io/Logging_1907/tillsyn/A 65027-2023 tillsynsbegäran.docx", "A 65027-2023")</f>
        <v/>
      </c>
      <c r="Y6">
        <f>HYPERLINK("https://klasma.github.io/Logging_1907/tillsynsmail/A 65027-2023 tillsynsbegäran mail.docx", "A 65027-2023")</f>
        <v/>
      </c>
      <c r="Z6">
        <f>HYPERLINK("https://klasma.github.io/Logging_1907/fåglar/A 65027-2023 prioriterade fågelarter.docx", "A 65027-2023")</f>
        <v/>
      </c>
    </row>
    <row r="7" ht="15" customHeight="1">
      <c r="A7" t="inlineStr">
        <is>
          <t>A 44181-2023</t>
        </is>
      </c>
      <c r="B7" s="1" t="n">
        <v>45188</v>
      </c>
      <c r="C7" s="1" t="n">
        <v>45724</v>
      </c>
      <c r="D7" t="inlineStr">
        <is>
          <t>VÄSTMANLANDS LÄN</t>
        </is>
      </c>
      <c r="E7" t="inlineStr">
        <is>
          <t>SALA</t>
        </is>
      </c>
      <c r="G7" t="n">
        <v>19.5</v>
      </c>
      <c r="H7" t="n">
        <v>2</v>
      </c>
      <c r="I7" t="n">
        <v>5</v>
      </c>
      <c r="J7" t="n">
        <v>10</v>
      </c>
      <c r="K7" t="n">
        <v>6</v>
      </c>
      <c r="L7" t="n">
        <v>0</v>
      </c>
      <c r="M7" t="n">
        <v>0</v>
      </c>
      <c r="N7" t="n">
        <v>0</v>
      </c>
      <c r="O7" t="n">
        <v>16</v>
      </c>
      <c r="P7" t="n">
        <v>6</v>
      </c>
      <c r="Q7" t="n">
        <v>21</v>
      </c>
      <c r="R7" s="2" t="inlineStr">
        <is>
          <t>Goliatmusseron
Lakritsmusseron
Lammticka
Rotfingersvamp
Ruttaggsvamp
Tallgråticka
Blå taggsvamp
Gulsparv
Leptoporus erubescens
Mjölsvärting
Motaggsvamp
Rödvingetrast
Skrovlig taggsvamp
Tallriska
Talltaggsvamp
Tallticka
Brandticka
Dropptaggsvamp
Nästlav
Skarp dropptaggsvamp
Tallfingersvamp</t>
        </is>
      </c>
      <c r="S7">
        <f>HYPERLINK("https://klasma.github.io/Logging_1981/artfynd/A 44181-2023 artfynd.xlsx", "A 44181-2023")</f>
        <v/>
      </c>
      <c r="T7">
        <f>HYPERLINK("https://klasma.github.io/Logging_1981/kartor/A 44181-2023 karta.png", "A 44181-2023")</f>
        <v/>
      </c>
      <c r="V7">
        <f>HYPERLINK("https://klasma.github.io/Logging_1981/klagomål/A 44181-2023 FSC-klagomål.docx", "A 44181-2023")</f>
        <v/>
      </c>
      <c r="W7">
        <f>HYPERLINK("https://klasma.github.io/Logging_1981/klagomålsmail/A 44181-2023 FSC-klagomål mail.docx", "A 44181-2023")</f>
        <v/>
      </c>
      <c r="X7">
        <f>HYPERLINK("https://klasma.github.io/Logging_1981/tillsyn/A 44181-2023 tillsynsbegäran.docx", "A 44181-2023")</f>
        <v/>
      </c>
      <c r="Y7">
        <f>HYPERLINK("https://klasma.github.io/Logging_1981/tillsynsmail/A 44181-2023 tillsynsbegäran mail.docx", "A 44181-2023")</f>
        <v/>
      </c>
      <c r="Z7">
        <f>HYPERLINK("https://klasma.github.io/Logging_1981/fåglar/A 44181-2023 prioriterade fågelarter.docx", "A 44181-2023")</f>
        <v/>
      </c>
    </row>
    <row r="8" ht="15" customHeight="1">
      <c r="A8" t="inlineStr">
        <is>
          <t>A 62438-2019</t>
        </is>
      </c>
      <c r="B8" s="1" t="n">
        <v>43788</v>
      </c>
      <c r="C8" s="1" t="n">
        <v>45724</v>
      </c>
      <c r="D8" t="inlineStr">
        <is>
          <t>VÄSTMANLANDS LÄN</t>
        </is>
      </c>
      <c r="E8" t="inlineStr">
        <is>
          <t>VÄSTERÅS</t>
        </is>
      </c>
      <c r="G8" t="n">
        <v>10</v>
      </c>
      <c r="H8" t="n">
        <v>4</v>
      </c>
      <c r="I8" t="n">
        <v>7</v>
      </c>
      <c r="J8" t="n">
        <v>5</v>
      </c>
      <c r="K8" t="n">
        <v>4</v>
      </c>
      <c r="L8" t="n">
        <v>0</v>
      </c>
      <c r="M8" t="n">
        <v>0</v>
      </c>
      <c r="N8" t="n">
        <v>0</v>
      </c>
      <c r="O8" t="n">
        <v>9</v>
      </c>
      <c r="P8" t="n">
        <v>4</v>
      </c>
      <c r="Q8" t="n">
        <v>19</v>
      </c>
      <c r="R8" s="2" t="inlineStr">
        <is>
          <t>Blackticka
Knärot
Rynkskinn
Ulltickeporing
Gransotdyna
Kilporing
Leptoporus mollis
Rosenticka
Ullticka
Brandticka
Bronshjon
Grovticka
Grönpyrola
Gulnål
Stubbspretmossa
Trubbfjädermossa
Blåsippa
Mattlummer
Revlummer</t>
        </is>
      </c>
      <c r="S8">
        <f>HYPERLINK("https://klasma.github.io/Logging_1980/artfynd/A 62438-2019 artfynd.xlsx", "A 62438-2019")</f>
        <v/>
      </c>
      <c r="T8">
        <f>HYPERLINK("https://klasma.github.io/Logging_1980/kartor/A 62438-2019 karta.png", "A 62438-2019")</f>
        <v/>
      </c>
      <c r="U8">
        <f>HYPERLINK("https://klasma.github.io/Logging_1980/knärot/A 62438-2019 karta knärot.png", "A 62438-2019")</f>
        <v/>
      </c>
      <c r="V8">
        <f>HYPERLINK("https://klasma.github.io/Logging_1980/klagomål/A 62438-2019 FSC-klagomål.docx", "A 62438-2019")</f>
        <v/>
      </c>
      <c r="W8">
        <f>HYPERLINK("https://klasma.github.io/Logging_1980/klagomålsmail/A 62438-2019 FSC-klagomål mail.docx", "A 62438-2019")</f>
        <v/>
      </c>
      <c r="X8">
        <f>HYPERLINK("https://klasma.github.io/Logging_1980/tillsyn/A 62438-2019 tillsynsbegäran.docx", "A 62438-2019")</f>
        <v/>
      </c>
      <c r="Y8">
        <f>HYPERLINK("https://klasma.github.io/Logging_1980/tillsynsmail/A 62438-2019 tillsynsbegäran mail.docx", "A 62438-2019")</f>
        <v/>
      </c>
    </row>
    <row r="9" ht="15" customHeight="1">
      <c r="A9" t="inlineStr">
        <is>
          <t>A 63049-2019</t>
        </is>
      </c>
      <c r="B9" s="1" t="n">
        <v>43791</v>
      </c>
      <c r="C9" s="1" t="n">
        <v>45724</v>
      </c>
      <c r="D9" t="inlineStr">
        <is>
          <t>VÄSTMANLANDS LÄN</t>
        </is>
      </c>
      <c r="E9" t="inlineStr">
        <is>
          <t>NORBERG</t>
        </is>
      </c>
      <c r="F9" t="inlineStr">
        <is>
          <t>Bergvik skog väst AB</t>
        </is>
      </c>
      <c r="G9" t="n">
        <v>28.9</v>
      </c>
      <c r="H9" t="n">
        <v>4</v>
      </c>
      <c r="I9" t="n">
        <v>9</v>
      </c>
      <c r="J9" t="n">
        <v>7</v>
      </c>
      <c r="K9" t="n">
        <v>2</v>
      </c>
      <c r="L9" t="n">
        <v>0</v>
      </c>
      <c r="M9" t="n">
        <v>0</v>
      </c>
      <c r="N9" t="n">
        <v>0</v>
      </c>
      <c r="O9" t="n">
        <v>9</v>
      </c>
      <c r="P9" t="n">
        <v>2</v>
      </c>
      <c r="Q9" t="n">
        <v>19</v>
      </c>
      <c r="R9" s="2" t="inlineStr">
        <is>
          <t>Knärot
Rynkskinn
Garnlav
Orange taggsvamp
Spillkråka
Svart taggsvamp
Tallticka
Ullticka
Vedtrappmossa
Blomkålssvamp
Bronshjon
Dropptaggsvamp
Flagellkvastmossa
Korallrot
Rostfläck
Skarp dropptaggsvamp
Vedticka
Zontaggsvamp
Fläcknycklar</t>
        </is>
      </c>
      <c r="S9">
        <f>HYPERLINK("https://klasma.github.io/Logging_1962/artfynd/A 63049-2019 artfynd.xlsx", "A 63049-2019")</f>
        <v/>
      </c>
      <c r="T9">
        <f>HYPERLINK("https://klasma.github.io/Logging_1962/kartor/A 63049-2019 karta.png", "A 63049-2019")</f>
        <v/>
      </c>
      <c r="U9">
        <f>HYPERLINK("https://klasma.github.io/Logging_1962/knärot/A 63049-2019 karta knärot.png", "A 63049-2019")</f>
        <v/>
      </c>
      <c r="V9">
        <f>HYPERLINK("https://klasma.github.io/Logging_1962/klagomål/A 63049-2019 FSC-klagomål.docx", "A 63049-2019")</f>
        <v/>
      </c>
      <c r="W9">
        <f>HYPERLINK("https://klasma.github.io/Logging_1962/klagomålsmail/A 63049-2019 FSC-klagomål mail.docx", "A 63049-2019")</f>
        <v/>
      </c>
      <c r="X9">
        <f>HYPERLINK("https://klasma.github.io/Logging_1962/tillsyn/A 63049-2019 tillsynsbegäran.docx", "A 63049-2019")</f>
        <v/>
      </c>
      <c r="Y9">
        <f>HYPERLINK("https://klasma.github.io/Logging_1962/tillsynsmail/A 63049-2019 tillsynsbegäran mail.docx", "A 63049-2019")</f>
        <v/>
      </c>
      <c r="Z9">
        <f>HYPERLINK("https://klasma.github.io/Logging_1962/fåglar/A 63049-2019 prioriterade fågelarter.docx", "A 63049-2019")</f>
        <v/>
      </c>
    </row>
    <row r="10" ht="15" customHeight="1">
      <c r="A10" t="inlineStr">
        <is>
          <t>A 18213-2022</t>
        </is>
      </c>
      <c r="B10" s="1" t="n">
        <v>44684</v>
      </c>
      <c r="C10" s="1" t="n">
        <v>45724</v>
      </c>
      <c r="D10" t="inlineStr">
        <is>
          <t>VÄSTMANLANDS LÄN</t>
        </is>
      </c>
      <c r="E10" t="inlineStr">
        <is>
          <t>VÄSTERÅS</t>
        </is>
      </c>
      <c r="G10" t="n">
        <v>11.5</v>
      </c>
      <c r="H10" t="n">
        <v>1</v>
      </c>
      <c r="I10" t="n">
        <v>8</v>
      </c>
      <c r="J10" t="n">
        <v>8</v>
      </c>
      <c r="K10" t="n">
        <v>1</v>
      </c>
      <c r="L10" t="n">
        <v>1</v>
      </c>
      <c r="M10" t="n">
        <v>0</v>
      </c>
      <c r="N10" t="n">
        <v>0</v>
      </c>
      <c r="O10" t="n">
        <v>10</v>
      </c>
      <c r="P10" t="n">
        <v>2</v>
      </c>
      <c r="Q10" t="n">
        <v>18</v>
      </c>
      <c r="R10" s="2" t="inlineStr">
        <is>
          <t>Rökpipsvamp
Almsprängticka
Blekticka
Brödmärgsticka
Kandelabersvamp
Koralltaggsvamp
Skinntagging
Tallticka
Ullticka
Veckticka
Blåmossa
Grovticka
Grön sköldmossa
Gul vaxskivling
Guldlockmossa
Hasselticka
Rävticka
Ängsvaxskivling</t>
        </is>
      </c>
      <c r="S10">
        <f>HYPERLINK("https://klasma.github.io/Logging_1980/artfynd/A 18213-2022 artfynd.xlsx", "A 18213-2022")</f>
        <v/>
      </c>
      <c r="T10">
        <f>HYPERLINK("https://klasma.github.io/Logging_1980/kartor/A 18213-2022 karta.png", "A 18213-2022")</f>
        <v/>
      </c>
      <c r="V10">
        <f>HYPERLINK("https://klasma.github.io/Logging_1980/klagomål/A 18213-2022 FSC-klagomål.docx", "A 18213-2022")</f>
        <v/>
      </c>
      <c r="W10">
        <f>HYPERLINK("https://klasma.github.io/Logging_1980/klagomålsmail/A 18213-2022 FSC-klagomål mail.docx", "A 18213-2022")</f>
        <v/>
      </c>
      <c r="X10">
        <f>HYPERLINK("https://klasma.github.io/Logging_1980/tillsyn/A 18213-2022 tillsynsbegäran.docx", "A 18213-2022")</f>
        <v/>
      </c>
      <c r="Y10">
        <f>HYPERLINK("https://klasma.github.io/Logging_1980/tillsynsmail/A 18213-2022 tillsynsbegäran mail.docx", "A 18213-2022")</f>
        <v/>
      </c>
    </row>
    <row r="11" ht="15" customHeight="1">
      <c r="A11" t="inlineStr">
        <is>
          <t>A 10782-2020</t>
        </is>
      </c>
      <c r="B11" s="1" t="n">
        <v>43888</v>
      </c>
      <c r="C11" s="1" t="n">
        <v>45724</v>
      </c>
      <c r="D11" t="inlineStr">
        <is>
          <t>VÄSTMANLANDS LÄN</t>
        </is>
      </c>
      <c r="E11" t="inlineStr">
        <is>
          <t>NORBERG</t>
        </is>
      </c>
      <c r="F11" t="inlineStr">
        <is>
          <t>Bergvik skog väst AB</t>
        </is>
      </c>
      <c r="G11" t="n">
        <v>31</v>
      </c>
      <c r="H11" t="n">
        <v>4</v>
      </c>
      <c r="I11" t="n">
        <v>10</v>
      </c>
      <c r="J11" t="n">
        <v>5</v>
      </c>
      <c r="K11" t="n">
        <v>1</v>
      </c>
      <c r="L11" t="n">
        <v>0</v>
      </c>
      <c r="M11" t="n">
        <v>0</v>
      </c>
      <c r="N11" t="n">
        <v>0</v>
      </c>
      <c r="O11" t="n">
        <v>6</v>
      </c>
      <c r="P11" t="n">
        <v>1</v>
      </c>
      <c r="Q11" t="n">
        <v>17</v>
      </c>
      <c r="R11" s="2" t="inlineStr">
        <is>
          <t>Knärot
Garnlav
Motaggsvamp
Tallticka
Ullticka
Vedtrappmossa
Blomkålssvamp
Bollvitmossa
Dropptaggsvamp
Grön sköldmossa
Grönpyrola
Kambräken
Plattlummer
Rödgul trumpetsvamp
Skarp dropptaggsvamp
Vedticka
Blåsippa</t>
        </is>
      </c>
      <c r="S11">
        <f>HYPERLINK("https://klasma.github.io/Logging_1962/artfynd/A 10782-2020 artfynd.xlsx", "A 10782-2020")</f>
        <v/>
      </c>
      <c r="T11">
        <f>HYPERLINK("https://klasma.github.io/Logging_1962/kartor/A 10782-2020 karta.png", "A 10782-2020")</f>
        <v/>
      </c>
      <c r="U11">
        <f>HYPERLINK("https://klasma.github.io/Logging_1962/knärot/A 10782-2020 karta knärot.png", "A 10782-2020")</f>
        <v/>
      </c>
      <c r="V11">
        <f>HYPERLINK("https://klasma.github.io/Logging_1962/klagomål/A 10782-2020 FSC-klagomål.docx", "A 10782-2020")</f>
        <v/>
      </c>
      <c r="W11">
        <f>HYPERLINK("https://klasma.github.io/Logging_1962/klagomålsmail/A 10782-2020 FSC-klagomål mail.docx", "A 10782-2020")</f>
        <v/>
      </c>
      <c r="X11">
        <f>HYPERLINK("https://klasma.github.io/Logging_1962/tillsyn/A 10782-2020 tillsynsbegäran.docx", "A 10782-2020")</f>
        <v/>
      </c>
      <c r="Y11">
        <f>HYPERLINK("https://klasma.github.io/Logging_1962/tillsynsmail/A 10782-2020 tillsynsbegäran mail.docx", "A 10782-2020")</f>
        <v/>
      </c>
    </row>
    <row r="12" ht="15" customHeight="1">
      <c r="A12" t="inlineStr">
        <is>
          <t>A 50121-2023</t>
        </is>
      </c>
      <c r="B12" s="1" t="n">
        <v>45215</v>
      </c>
      <c r="C12" s="1" t="n">
        <v>45724</v>
      </c>
      <c r="D12" t="inlineStr">
        <is>
          <t>VÄSTMANLANDS LÄN</t>
        </is>
      </c>
      <c r="E12" t="inlineStr">
        <is>
          <t>KUNGSÖR</t>
        </is>
      </c>
      <c r="F12" t="inlineStr">
        <is>
          <t>Kommuner</t>
        </is>
      </c>
      <c r="G12" t="n">
        <v>7.7</v>
      </c>
      <c r="H12" t="n">
        <v>2</v>
      </c>
      <c r="I12" t="n">
        <v>8</v>
      </c>
      <c r="J12" t="n">
        <v>8</v>
      </c>
      <c r="K12" t="n">
        <v>1</v>
      </c>
      <c r="L12" t="n">
        <v>0</v>
      </c>
      <c r="M12" t="n">
        <v>0</v>
      </c>
      <c r="N12" t="n">
        <v>0</v>
      </c>
      <c r="O12" t="n">
        <v>9</v>
      </c>
      <c r="P12" t="n">
        <v>1</v>
      </c>
      <c r="Q12" t="n">
        <v>17</v>
      </c>
      <c r="R12" s="2" t="inlineStr">
        <is>
          <t>Knärot
Motaggsvamp
Orange taggsvamp
Reliktbock
Skrovlig taggsvamp
Spillkråka
Tallticka
Ullticka
Vaddporing
Björksplintborre
Blodticka
Blomkålssvamp
Bronshjon
Dropptaggsvamp
Grovticka
Mindre märgborre
Rävticka</t>
        </is>
      </c>
      <c r="S12">
        <f>HYPERLINK("https://klasma.github.io/Logging_1960/artfynd/A 50121-2023 artfynd.xlsx", "A 50121-2023")</f>
        <v/>
      </c>
      <c r="T12">
        <f>HYPERLINK("https://klasma.github.io/Logging_1960/kartor/A 50121-2023 karta.png", "A 50121-2023")</f>
        <v/>
      </c>
      <c r="U12">
        <f>HYPERLINK("https://klasma.github.io/Logging_1960/knärot/A 50121-2023 karta knärot.png", "A 50121-2023")</f>
        <v/>
      </c>
      <c r="V12">
        <f>HYPERLINK("https://klasma.github.io/Logging_1960/klagomål/A 50121-2023 FSC-klagomål.docx", "A 50121-2023")</f>
        <v/>
      </c>
      <c r="W12">
        <f>HYPERLINK("https://klasma.github.io/Logging_1960/klagomålsmail/A 50121-2023 FSC-klagomål mail.docx", "A 50121-2023")</f>
        <v/>
      </c>
      <c r="X12">
        <f>HYPERLINK("https://klasma.github.io/Logging_1960/tillsyn/A 50121-2023 tillsynsbegäran.docx", "A 50121-2023")</f>
        <v/>
      </c>
      <c r="Y12">
        <f>HYPERLINK("https://klasma.github.io/Logging_1960/tillsynsmail/A 50121-2023 tillsynsbegäran mail.docx", "A 50121-2023")</f>
        <v/>
      </c>
      <c r="Z12">
        <f>HYPERLINK("https://klasma.github.io/Logging_1960/fåglar/A 50121-2023 prioriterade fågelarter.docx", "A 50121-2023")</f>
        <v/>
      </c>
    </row>
    <row r="13" ht="15" customHeight="1">
      <c r="A13" t="inlineStr">
        <is>
          <t>A 12116-2023</t>
        </is>
      </c>
      <c r="B13" s="1" t="n">
        <v>44995</v>
      </c>
      <c r="C13" s="1" t="n">
        <v>45724</v>
      </c>
      <c r="D13" t="inlineStr">
        <is>
          <t>VÄSTMANLANDS LÄN</t>
        </is>
      </c>
      <c r="E13" t="inlineStr">
        <is>
          <t>SURAHAMMAR</t>
        </is>
      </c>
      <c r="G13" t="n">
        <v>9.300000000000001</v>
      </c>
      <c r="H13" t="n">
        <v>16</v>
      </c>
      <c r="I13" t="n">
        <v>0</v>
      </c>
      <c r="J13" t="n">
        <v>7</v>
      </c>
      <c r="K13" t="n">
        <v>1</v>
      </c>
      <c r="L13" t="n">
        <v>1</v>
      </c>
      <c r="M13" t="n">
        <v>0</v>
      </c>
      <c r="N13" t="n">
        <v>0</v>
      </c>
      <c r="O13" t="n">
        <v>9</v>
      </c>
      <c r="P13" t="n">
        <v>2</v>
      </c>
      <c r="Q13" t="n">
        <v>16</v>
      </c>
      <c r="R13" s="2" t="inlineStr">
        <is>
          <t>Tornseglare
Stare
Björktrast
Duvhök
Havsörn
Rosenfink
Rödvingetrast
Spillkråka
Stenfalk
Enkelbeckasin
Gråspett
Gröngöling
Göktyta
Nattskärra
Skogsduva
Törnskata</t>
        </is>
      </c>
      <c r="S13">
        <f>HYPERLINK("https://klasma.github.io/Logging_1907/artfynd/A 12116-2023 artfynd.xlsx", "A 12116-2023")</f>
        <v/>
      </c>
      <c r="T13">
        <f>HYPERLINK("https://klasma.github.io/Logging_1907/kartor/A 12116-2023 karta.png", "A 12116-2023")</f>
        <v/>
      </c>
      <c r="V13">
        <f>HYPERLINK("https://klasma.github.io/Logging_1907/klagomål/A 12116-2023 FSC-klagomål.docx", "A 12116-2023")</f>
        <v/>
      </c>
      <c r="W13">
        <f>HYPERLINK("https://klasma.github.io/Logging_1907/klagomålsmail/A 12116-2023 FSC-klagomål mail.docx", "A 12116-2023")</f>
        <v/>
      </c>
      <c r="X13">
        <f>HYPERLINK("https://klasma.github.io/Logging_1907/tillsyn/A 12116-2023 tillsynsbegäran.docx", "A 12116-2023")</f>
        <v/>
      </c>
      <c r="Y13">
        <f>HYPERLINK("https://klasma.github.io/Logging_1907/tillsynsmail/A 12116-2023 tillsynsbegäran mail.docx", "A 12116-2023")</f>
        <v/>
      </c>
      <c r="Z13">
        <f>HYPERLINK("https://klasma.github.io/Logging_1907/fåglar/A 12116-2023 prioriterade fågelarter.docx", "A 12116-2023")</f>
        <v/>
      </c>
    </row>
    <row r="14" ht="15" customHeight="1">
      <c r="A14" t="inlineStr">
        <is>
          <t>A 46468-2024</t>
        </is>
      </c>
      <c r="B14" s="1" t="n">
        <v>45582</v>
      </c>
      <c r="C14" s="1" t="n">
        <v>45724</v>
      </c>
      <c r="D14" t="inlineStr">
        <is>
          <t>VÄSTMANLANDS LÄN</t>
        </is>
      </c>
      <c r="E14" t="inlineStr">
        <is>
          <t>SURAHAMMAR</t>
        </is>
      </c>
      <c r="F14" t="inlineStr">
        <is>
          <t>Bergvik skog väst AB</t>
        </is>
      </c>
      <c r="G14" t="n">
        <v>9</v>
      </c>
      <c r="H14" t="n">
        <v>4</v>
      </c>
      <c r="I14" t="n">
        <v>8</v>
      </c>
      <c r="J14" t="n">
        <v>4</v>
      </c>
      <c r="K14" t="n">
        <v>0</v>
      </c>
      <c r="L14" t="n">
        <v>0</v>
      </c>
      <c r="M14" t="n">
        <v>0</v>
      </c>
      <c r="N14" t="n">
        <v>0</v>
      </c>
      <c r="O14" t="n">
        <v>4</v>
      </c>
      <c r="P14" t="n">
        <v>0</v>
      </c>
      <c r="Q14" t="n">
        <v>16</v>
      </c>
      <c r="R14" s="2" t="inlineStr">
        <is>
          <t>Barrpraktbagge
Furustumpbagge
Motaggsvamp
Vedskivlav
Bronshjon
Dropptaggsvamp
Grönpyrola
Mindre märgborre
Skarp dropptaggsvamp
Thomsons trägnagare
Trådticka
Vedticka
Gröngöling
Tjäder
Fläcknycklar
Revlummer</t>
        </is>
      </c>
      <c r="S14">
        <f>HYPERLINK("https://klasma.github.io/Logging_1907/artfynd/A 46468-2024 artfynd.xlsx", "A 46468-2024")</f>
        <v/>
      </c>
      <c r="T14">
        <f>HYPERLINK("https://klasma.github.io/Logging_1907/kartor/A 46468-2024 karta.png", "A 46468-2024")</f>
        <v/>
      </c>
      <c r="V14">
        <f>HYPERLINK("https://klasma.github.io/Logging_1907/klagomål/A 46468-2024 FSC-klagomål.docx", "A 46468-2024")</f>
        <v/>
      </c>
      <c r="W14">
        <f>HYPERLINK("https://klasma.github.io/Logging_1907/klagomålsmail/A 46468-2024 FSC-klagomål mail.docx", "A 46468-2024")</f>
        <v/>
      </c>
      <c r="X14">
        <f>HYPERLINK("https://klasma.github.io/Logging_1907/tillsyn/A 46468-2024 tillsynsbegäran.docx", "A 46468-2024")</f>
        <v/>
      </c>
      <c r="Y14">
        <f>HYPERLINK("https://klasma.github.io/Logging_1907/tillsynsmail/A 46468-2024 tillsynsbegäran mail.docx", "A 46468-2024")</f>
        <v/>
      </c>
      <c r="Z14">
        <f>HYPERLINK("https://klasma.github.io/Logging_1907/fåglar/A 46468-2024 prioriterade fågelarter.docx", "A 46468-2024")</f>
        <v/>
      </c>
    </row>
    <row r="15" ht="15" customHeight="1">
      <c r="A15" t="inlineStr">
        <is>
          <t>A 24725-2021</t>
        </is>
      </c>
      <c r="B15" s="1" t="n">
        <v>44340</v>
      </c>
      <c r="C15" s="1" t="n">
        <v>45724</v>
      </c>
      <c r="D15" t="inlineStr">
        <is>
          <t>VÄSTMANLANDS LÄN</t>
        </is>
      </c>
      <c r="E15" t="inlineStr">
        <is>
          <t>SURAHAMMAR</t>
        </is>
      </c>
      <c r="F15" t="inlineStr">
        <is>
          <t>Bergvik skog väst AB</t>
        </is>
      </c>
      <c r="G15" t="n">
        <v>13</v>
      </c>
      <c r="H15" t="n">
        <v>5</v>
      </c>
      <c r="I15" t="n">
        <v>6</v>
      </c>
      <c r="J15" t="n">
        <v>6</v>
      </c>
      <c r="K15" t="n">
        <v>0</v>
      </c>
      <c r="L15" t="n">
        <v>0</v>
      </c>
      <c r="M15" t="n">
        <v>0</v>
      </c>
      <c r="N15" t="n">
        <v>0</v>
      </c>
      <c r="O15" t="n">
        <v>6</v>
      </c>
      <c r="P15" t="n">
        <v>0</v>
      </c>
      <c r="Q15" t="n">
        <v>15</v>
      </c>
      <c r="R15" s="2" t="inlineStr">
        <is>
          <t>Björktrast
Blå taggsvamp
Motaggsvamp
Orange taggsvamp
Skrovlig taggsvamp
Talltita
Dropptaggsvamp
Grönpyrola
Gullgröppa
Mindre märgborre
Skarp dropptaggsvamp
Zontaggsvamp
Åkergroda
Vanlig groda
Vanlig padda</t>
        </is>
      </c>
      <c r="S15">
        <f>HYPERLINK("https://klasma.github.io/Logging_1907/artfynd/A 24725-2021 artfynd.xlsx", "A 24725-2021")</f>
        <v/>
      </c>
      <c r="T15">
        <f>HYPERLINK("https://klasma.github.io/Logging_1907/kartor/A 24725-2021 karta.png", "A 24725-2021")</f>
        <v/>
      </c>
      <c r="V15">
        <f>HYPERLINK("https://klasma.github.io/Logging_1907/klagomål/A 24725-2021 FSC-klagomål.docx", "A 24725-2021")</f>
        <v/>
      </c>
      <c r="W15">
        <f>HYPERLINK("https://klasma.github.io/Logging_1907/klagomålsmail/A 24725-2021 FSC-klagomål mail.docx", "A 24725-2021")</f>
        <v/>
      </c>
      <c r="X15">
        <f>HYPERLINK("https://klasma.github.io/Logging_1907/tillsyn/A 24725-2021 tillsynsbegäran.docx", "A 24725-2021")</f>
        <v/>
      </c>
      <c r="Y15">
        <f>HYPERLINK("https://klasma.github.io/Logging_1907/tillsynsmail/A 24725-2021 tillsynsbegäran mail.docx", "A 24725-2021")</f>
        <v/>
      </c>
      <c r="Z15">
        <f>HYPERLINK("https://klasma.github.io/Logging_1907/fåglar/A 24725-2021 prioriterade fågelarter.docx", "A 24725-2021")</f>
        <v/>
      </c>
    </row>
    <row r="16" ht="15" customHeight="1">
      <c r="A16" t="inlineStr">
        <is>
          <t>A 67268-2021</t>
        </is>
      </c>
      <c r="B16" s="1" t="n">
        <v>44523</v>
      </c>
      <c r="C16" s="1" t="n">
        <v>45724</v>
      </c>
      <c r="D16" t="inlineStr">
        <is>
          <t>VÄSTMANLANDS LÄN</t>
        </is>
      </c>
      <c r="E16" t="inlineStr">
        <is>
          <t>VÄSTERÅS</t>
        </is>
      </c>
      <c r="G16" t="n">
        <v>4.6</v>
      </c>
      <c r="H16" t="n">
        <v>6</v>
      </c>
      <c r="I16" t="n">
        <v>7</v>
      </c>
      <c r="J16" t="n">
        <v>3</v>
      </c>
      <c r="K16" t="n">
        <v>4</v>
      </c>
      <c r="L16" t="n">
        <v>0</v>
      </c>
      <c r="M16" t="n">
        <v>0</v>
      </c>
      <c r="N16" t="n">
        <v>0</v>
      </c>
      <c r="O16" t="n">
        <v>7</v>
      </c>
      <c r="P16" t="n">
        <v>4</v>
      </c>
      <c r="Q16" t="n">
        <v>15</v>
      </c>
      <c r="R16" s="2" t="inlineStr">
        <is>
          <t>Bombmurkla
Knärot
Kungsfiskare
Rynkskinn
Gransotdyna
Spillkråka
Ullticka
Brandticka
Dropptaggsvamp
Grön sköldmossa
Grönpyrola
Kamjordstjärna
Trådticka
Vedticka
Blåsippa</t>
        </is>
      </c>
      <c r="S16">
        <f>HYPERLINK("https://klasma.github.io/Logging_1980/artfynd/A 67268-2021 artfynd.xlsx", "A 67268-2021")</f>
        <v/>
      </c>
      <c r="T16">
        <f>HYPERLINK("https://klasma.github.io/Logging_1980/kartor/A 67268-2021 karta.png", "A 67268-2021")</f>
        <v/>
      </c>
      <c r="U16">
        <f>HYPERLINK("https://klasma.github.io/Logging_1980/knärot/A 67268-2021 karta knärot.png", "A 67268-2021")</f>
        <v/>
      </c>
      <c r="V16">
        <f>HYPERLINK("https://klasma.github.io/Logging_1980/klagomål/A 67268-2021 FSC-klagomål.docx", "A 67268-2021")</f>
        <v/>
      </c>
      <c r="W16">
        <f>HYPERLINK("https://klasma.github.io/Logging_1980/klagomålsmail/A 67268-2021 FSC-klagomål mail.docx", "A 67268-2021")</f>
        <v/>
      </c>
      <c r="X16">
        <f>HYPERLINK("https://klasma.github.io/Logging_1980/tillsyn/A 67268-2021 tillsynsbegäran.docx", "A 67268-2021")</f>
        <v/>
      </c>
      <c r="Y16">
        <f>HYPERLINK("https://klasma.github.io/Logging_1980/tillsynsmail/A 67268-2021 tillsynsbegäran mail.docx", "A 67268-2021")</f>
        <v/>
      </c>
      <c r="Z16">
        <f>HYPERLINK("https://klasma.github.io/Logging_1980/fåglar/A 67268-2021 prioriterade fågelarter.docx", "A 67268-2021")</f>
        <v/>
      </c>
    </row>
    <row r="17" ht="15" customHeight="1">
      <c r="A17" t="inlineStr">
        <is>
          <t>A 52775-2022</t>
        </is>
      </c>
      <c r="B17" s="1" t="n">
        <v>44871</v>
      </c>
      <c r="C17" s="1" t="n">
        <v>45724</v>
      </c>
      <c r="D17" t="inlineStr">
        <is>
          <t>VÄSTMANLANDS LÄN</t>
        </is>
      </c>
      <c r="E17" t="inlineStr">
        <is>
          <t>VÄSTERÅS</t>
        </is>
      </c>
      <c r="G17" t="n">
        <v>8.6</v>
      </c>
      <c r="H17" t="n">
        <v>2</v>
      </c>
      <c r="I17" t="n">
        <v>9</v>
      </c>
      <c r="J17" t="n">
        <v>4</v>
      </c>
      <c r="K17" t="n">
        <v>1</v>
      </c>
      <c r="L17" t="n">
        <v>1</v>
      </c>
      <c r="M17" t="n">
        <v>0</v>
      </c>
      <c r="N17" t="n">
        <v>0</v>
      </c>
      <c r="O17" t="n">
        <v>6</v>
      </c>
      <c r="P17" t="n">
        <v>2</v>
      </c>
      <c r="Q17" t="n">
        <v>15</v>
      </c>
      <c r="R17" s="2" t="inlineStr">
        <is>
          <t>Raggtaggsvamp
Knärot
Orange taggsvamp
Spillkråka
Tallticka
Ullticka
Blodticka
Blåmossa
Bronshjon
Dropptaggsvamp
Grovticka
Grönpyrola
Smal svampklubba
Trådticka
Vedticka</t>
        </is>
      </c>
      <c r="S17">
        <f>HYPERLINK("https://klasma.github.io/Logging_1980/artfynd/A 52775-2022 artfynd.xlsx", "A 52775-2022")</f>
        <v/>
      </c>
      <c r="T17">
        <f>HYPERLINK("https://klasma.github.io/Logging_1980/kartor/A 52775-2022 karta.png", "A 52775-2022")</f>
        <v/>
      </c>
      <c r="U17">
        <f>HYPERLINK("https://klasma.github.io/Logging_1980/knärot/A 52775-2022 karta knärot.png", "A 52775-2022")</f>
        <v/>
      </c>
      <c r="V17">
        <f>HYPERLINK("https://klasma.github.io/Logging_1980/klagomål/A 52775-2022 FSC-klagomål.docx", "A 52775-2022")</f>
        <v/>
      </c>
      <c r="W17">
        <f>HYPERLINK("https://klasma.github.io/Logging_1980/klagomålsmail/A 52775-2022 FSC-klagomål mail.docx", "A 52775-2022")</f>
        <v/>
      </c>
      <c r="X17">
        <f>HYPERLINK("https://klasma.github.io/Logging_1980/tillsyn/A 52775-2022 tillsynsbegäran.docx", "A 52775-2022")</f>
        <v/>
      </c>
      <c r="Y17">
        <f>HYPERLINK("https://klasma.github.io/Logging_1980/tillsynsmail/A 52775-2022 tillsynsbegäran mail.docx", "A 52775-2022")</f>
        <v/>
      </c>
      <c r="Z17">
        <f>HYPERLINK("https://klasma.github.io/Logging_1980/fåglar/A 52775-2022 prioriterade fågelarter.docx", "A 52775-2022")</f>
        <v/>
      </c>
    </row>
    <row r="18" ht="15" customHeight="1">
      <c r="A18" t="inlineStr">
        <is>
          <t>A 34759-2023</t>
        </is>
      </c>
      <c r="B18" s="1" t="n">
        <v>45139</v>
      </c>
      <c r="C18" s="1" t="n">
        <v>45724</v>
      </c>
      <c r="D18" t="inlineStr">
        <is>
          <t>VÄSTMANLANDS LÄN</t>
        </is>
      </c>
      <c r="E18" t="inlineStr">
        <is>
          <t>SURAHAMMAR</t>
        </is>
      </c>
      <c r="F18" t="inlineStr">
        <is>
          <t>Bergvik skog väst AB</t>
        </is>
      </c>
      <c r="G18" t="n">
        <v>38.3</v>
      </c>
      <c r="H18" t="n">
        <v>6</v>
      </c>
      <c r="I18" t="n">
        <v>5</v>
      </c>
      <c r="J18" t="n">
        <v>7</v>
      </c>
      <c r="K18" t="n">
        <v>1</v>
      </c>
      <c r="L18" t="n">
        <v>0</v>
      </c>
      <c r="M18" t="n">
        <v>0</v>
      </c>
      <c r="N18" t="n">
        <v>0</v>
      </c>
      <c r="O18" t="n">
        <v>8</v>
      </c>
      <c r="P18" t="n">
        <v>1</v>
      </c>
      <c r="Q18" t="n">
        <v>15</v>
      </c>
      <c r="R18" s="2" t="inlineStr">
        <is>
          <t>Knärot
Blå taggsvamp
Grantaggsvamp
Motaggsvamp
Skogshare
Spillkråka
Talltita
Ullticka
Dropptaggsvamp
Grönpyrola
Mindre märgborre
Plattlummer
Vedticka
Mattlummer
Revlummer</t>
        </is>
      </c>
      <c r="S18">
        <f>HYPERLINK("https://klasma.github.io/Logging_1907/artfynd/A 34759-2023 artfynd.xlsx", "A 34759-2023")</f>
        <v/>
      </c>
      <c r="T18">
        <f>HYPERLINK("https://klasma.github.io/Logging_1907/kartor/A 34759-2023 karta.png", "A 34759-2023")</f>
        <v/>
      </c>
      <c r="U18">
        <f>HYPERLINK("https://klasma.github.io/Logging_1907/knärot/A 34759-2023 karta knärot.png", "A 34759-2023")</f>
        <v/>
      </c>
      <c r="V18">
        <f>HYPERLINK("https://klasma.github.io/Logging_1907/klagomål/A 34759-2023 FSC-klagomål.docx", "A 34759-2023")</f>
        <v/>
      </c>
      <c r="W18">
        <f>HYPERLINK("https://klasma.github.io/Logging_1907/klagomålsmail/A 34759-2023 FSC-klagomål mail.docx", "A 34759-2023")</f>
        <v/>
      </c>
      <c r="X18">
        <f>HYPERLINK("https://klasma.github.io/Logging_1907/tillsyn/A 34759-2023 tillsynsbegäran.docx", "A 34759-2023")</f>
        <v/>
      </c>
      <c r="Y18">
        <f>HYPERLINK("https://klasma.github.io/Logging_1907/tillsynsmail/A 34759-2023 tillsynsbegäran mail.docx", "A 34759-2023")</f>
        <v/>
      </c>
      <c r="Z18">
        <f>HYPERLINK("https://klasma.github.io/Logging_1907/fåglar/A 34759-2023 prioriterade fågelarter.docx", "A 34759-2023")</f>
        <v/>
      </c>
    </row>
    <row r="19" ht="15" customHeight="1">
      <c r="A19" t="inlineStr">
        <is>
          <t>A 22024-2020</t>
        </is>
      </c>
      <c r="B19" s="1" t="n">
        <v>43959</v>
      </c>
      <c r="C19" s="1" t="n">
        <v>45724</v>
      </c>
      <c r="D19" t="inlineStr">
        <is>
          <t>VÄSTMANLANDS LÄN</t>
        </is>
      </c>
      <c r="E19" t="inlineStr">
        <is>
          <t>SURAHAMMAR</t>
        </is>
      </c>
      <c r="F19" t="inlineStr">
        <is>
          <t>Kommuner</t>
        </is>
      </c>
      <c r="G19" t="n">
        <v>19.1</v>
      </c>
      <c r="H19" t="n">
        <v>2</v>
      </c>
      <c r="I19" t="n">
        <v>4</v>
      </c>
      <c r="J19" t="n">
        <v>5</v>
      </c>
      <c r="K19" t="n">
        <v>4</v>
      </c>
      <c r="L19" t="n">
        <v>0</v>
      </c>
      <c r="M19" t="n">
        <v>0</v>
      </c>
      <c r="N19" t="n">
        <v>0</v>
      </c>
      <c r="O19" t="n">
        <v>9</v>
      </c>
      <c r="P19" t="n">
        <v>4</v>
      </c>
      <c r="Q19" t="n">
        <v>14</v>
      </c>
      <c r="R19" s="2" t="inlineStr">
        <is>
          <t>Hängticka
Knärot
Rynkskinn
Vågticka
Garnlav
Granticka
Gropticka
Tallticka
Ullticka
Blomkålssvamp
Brandticka
Gullgröppa
Vedticka
Revlummer</t>
        </is>
      </c>
      <c r="S19">
        <f>HYPERLINK("https://klasma.github.io/Logging_1907/artfynd/A 22024-2020 artfynd.xlsx", "A 22024-2020")</f>
        <v/>
      </c>
      <c r="T19">
        <f>HYPERLINK("https://klasma.github.io/Logging_1907/kartor/A 22024-2020 karta.png", "A 22024-2020")</f>
        <v/>
      </c>
      <c r="U19">
        <f>HYPERLINK("https://klasma.github.io/Logging_1907/knärot/A 22024-2020 karta knärot.png", "A 22024-2020")</f>
        <v/>
      </c>
      <c r="V19">
        <f>HYPERLINK("https://klasma.github.io/Logging_1907/klagomål/A 22024-2020 FSC-klagomål.docx", "A 22024-2020")</f>
        <v/>
      </c>
      <c r="W19">
        <f>HYPERLINK("https://klasma.github.io/Logging_1907/klagomålsmail/A 22024-2020 FSC-klagomål mail.docx", "A 22024-2020")</f>
        <v/>
      </c>
      <c r="X19">
        <f>HYPERLINK("https://klasma.github.io/Logging_1907/tillsyn/A 22024-2020 tillsynsbegäran.docx", "A 22024-2020")</f>
        <v/>
      </c>
      <c r="Y19">
        <f>HYPERLINK("https://klasma.github.io/Logging_1907/tillsynsmail/A 22024-2020 tillsynsbegäran mail.docx", "A 22024-2020")</f>
        <v/>
      </c>
    </row>
    <row r="20" ht="15" customHeight="1">
      <c r="A20" t="inlineStr">
        <is>
          <t>A 47850-2022</t>
        </is>
      </c>
      <c r="B20" s="1" t="n">
        <v>44855</v>
      </c>
      <c r="C20" s="1" t="n">
        <v>45724</v>
      </c>
      <c r="D20" t="inlineStr">
        <is>
          <t>VÄSTMANLANDS LÄN</t>
        </is>
      </c>
      <c r="E20" t="inlineStr">
        <is>
          <t>SALA</t>
        </is>
      </c>
      <c r="F20" t="inlineStr">
        <is>
          <t>Bergvik skog öst AB</t>
        </is>
      </c>
      <c r="G20" t="n">
        <v>4.7</v>
      </c>
      <c r="H20" t="n">
        <v>0</v>
      </c>
      <c r="I20" t="n">
        <v>4</v>
      </c>
      <c r="J20" t="n">
        <v>9</v>
      </c>
      <c r="K20" t="n">
        <v>1</v>
      </c>
      <c r="L20" t="n">
        <v>0</v>
      </c>
      <c r="M20" t="n">
        <v>0</v>
      </c>
      <c r="N20" t="n">
        <v>0</v>
      </c>
      <c r="O20" t="n">
        <v>10</v>
      </c>
      <c r="P20" t="n">
        <v>1</v>
      </c>
      <c r="Q20" t="n">
        <v>14</v>
      </c>
      <c r="R20" s="2" t="inlineStr">
        <is>
          <t>Raggbock
Garnlav
Hapalopilus aurantiacus
Kolflarnlav
Kortskaftad ärgspik
Motaggsvamp
Rosenticka
Ullticka
Vedskivlav
Vedtrappmossa
Flagellkvastmossa
Grönpyrola
Sotlav
Vedticka</t>
        </is>
      </c>
      <c r="S20">
        <f>HYPERLINK("https://klasma.github.io/Logging_1981/artfynd/A 47850-2022 artfynd.xlsx", "A 47850-2022")</f>
        <v/>
      </c>
      <c r="T20">
        <f>HYPERLINK("https://klasma.github.io/Logging_1981/kartor/A 47850-2022 karta.png", "A 47850-2022")</f>
        <v/>
      </c>
      <c r="V20">
        <f>HYPERLINK("https://klasma.github.io/Logging_1981/klagomål/A 47850-2022 FSC-klagomål.docx", "A 47850-2022")</f>
        <v/>
      </c>
      <c r="W20">
        <f>HYPERLINK("https://klasma.github.io/Logging_1981/klagomålsmail/A 47850-2022 FSC-klagomål mail.docx", "A 47850-2022")</f>
        <v/>
      </c>
      <c r="X20">
        <f>HYPERLINK("https://klasma.github.io/Logging_1981/tillsyn/A 47850-2022 tillsynsbegäran.docx", "A 47850-2022")</f>
        <v/>
      </c>
      <c r="Y20">
        <f>HYPERLINK("https://klasma.github.io/Logging_1981/tillsynsmail/A 47850-2022 tillsynsbegäran mail.docx", "A 47850-2022")</f>
        <v/>
      </c>
    </row>
    <row r="21" ht="15" customHeight="1">
      <c r="A21" t="inlineStr">
        <is>
          <t>A 48349-2022</t>
        </is>
      </c>
      <c r="B21" s="1" t="n">
        <v>44858</v>
      </c>
      <c r="C21" s="1" t="n">
        <v>45724</v>
      </c>
      <c r="D21" t="inlineStr">
        <is>
          <t>VÄSTMANLANDS LÄN</t>
        </is>
      </c>
      <c r="E21" t="inlineStr">
        <is>
          <t>SURAHAMMAR</t>
        </is>
      </c>
      <c r="G21" t="n">
        <v>5.3</v>
      </c>
      <c r="H21" t="n">
        <v>4</v>
      </c>
      <c r="I21" t="n">
        <v>6</v>
      </c>
      <c r="J21" t="n">
        <v>6</v>
      </c>
      <c r="K21" t="n">
        <v>1</v>
      </c>
      <c r="L21" t="n">
        <v>0</v>
      </c>
      <c r="M21" t="n">
        <v>0</v>
      </c>
      <c r="N21" t="n">
        <v>0</v>
      </c>
      <c r="O21" t="n">
        <v>7</v>
      </c>
      <c r="P21" t="n">
        <v>1</v>
      </c>
      <c r="Q21" t="n">
        <v>14</v>
      </c>
      <c r="R21" s="2" t="inlineStr">
        <is>
          <t>Knärot
Grantaggsvamp
Motaggsvamp
Spillkråka
Tallticka
Talltita
Vedtrappmossa
Blomkålssvamp
Bollvitmossa
Bronshjon
Mindre märgborre
Vedticka
Vågbandad barkbock
Revlummer</t>
        </is>
      </c>
      <c r="S21">
        <f>HYPERLINK("https://klasma.github.io/Logging_1907/artfynd/A 48349-2022 artfynd.xlsx", "A 48349-2022")</f>
        <v/>
      </c>
      <c r="T21">
        <f>HYPERLINK("https://klasma.github.io/Logging_1907/kartor/A 48349-2022 karta.png", "A 48349-2022")</f>
        <v/>
      </c>
      <c r="U21">
        <f>HYPERLINK("https://klasma.github.io/Logging_1907/knärot/A 48349-2022 karta knärot.png", "A 48349-2022")</f>
        <v/>
      </c>
      <c r="V21">
        <f>HYPERLINK("https://klasma.github.io/Logging_1907/klagomål/A 48349-2022 FSC-klagomål.docx", "A 48349-2022")</f>
        <v/>
      </c>
      <c r="W21">
        <f>HYPERLINK("https://klasma.github.io/Logging_1907/klagomålsmail/A 48349-2022 FSC-klagomål mail.docx", "A 48349-2022")</f>
        <v/>
      </c>
      <c r="X21">
        <f>HYPERLINK("https://klasma.github.io/Logging_1907/tillsyn/A 48349-2022 tillsynsbegäran.docx", "A 48349-2022")</f>
        <v/>
      </c>
      <c r="Y21">
        <f>HYPERLINK("https://klasma.github.io/Logging_1907/tillsynsmail/A 48349-2022 tillsynsbegäran mail.docx", "A 48349-2022")</f>
        <v/>
      </c>
      <c r="Z21">
        <f>HYPERLINK("https://klasma.github.io/Logging_1907/fåglar/A 48349-2022 prioriterade fågelarter.docx", "A 48349-2022")</f>
        <v/>
      </c>
    </row>
    <row r="22" ht="15" customHeight="1">
      <c r="A22" t="inlineStr">
        <is>
          <t>A 10792-2020</t>
        </is>
      </c>
      <c r="B22" s="1" t="n">
        <v>43888</v>
      </c>
      <c r="C22" s="1" t="n">
        <v>45724</v>
      </c>
      <c r="D22" t="inlineStr">
        <is>
          <t>VÄSTMANLANDS LÄN</t>
        </is>
      </c>
      <c r="E22" t="inlineStr">
        <is>
          <t>FAGERSTA</t>
        </is>
      </c>
      <c r="F22" t="inlineStr">
        <is>
          <t>Bergvik skog väst AB</t>
        </is>
      </c>
      <c r="G22" t="n">
        <v>29.3</v>
      </c>
      <c r="H22" t="n">
        <v>2</v>
      </c>
      <c r="I22" t="n">
        <v>7</v>
      </c>
      <c r="J22" t="n">
        <v>3</v>
      </c>
      <c r="K22" t="n">
        <v>2</v>
      </c>
      <c r="L22" t="n">
        <v>0</v>
      </c>
      <c r="M22" t="n">
        <v>0</v>
      </c>
      <c r="N22" t="n">
        <v>0</v>
      </c>
      <c r="O22" t="n">
        <v>5</v>
      </c>
      <c r="P22" t="n">
        <v>2</v>
      </c>
      <c r="Q22" t="n">
        <v>13</v>
      </c>
      <c r="R22" s="2" t="inlineStr">
        <is>
          <t>Knärot
Rynkskinn
Tallticka
Ullticka
Vedtrappmossa
Blodticka
Dropptaggsvamp
Grönpyrola
Jättesvampmal
Nästlav
Skarp dropptaggsvamp
Vedticka
Revlummer</t>
        </is>
      </c>
      <c r="S22">
        <f>HYPERLINK("https://klasma.github.io/Logging_1982/artfynd/A 10792-2020 artfynd.xlsx", "A 10792-2020")</f>
        <v/>
      </c>
      <c r="T22">
        <f>HYPERLINK("https://klasma.github.io/Logging_1982/kartor/A 10792-2020 karta.png", "A 10792-2020")</f>
        <v/>
      </c>
      <c r="U22">
        <f>HYPERLINK("https://klasma.github.io/Logging_1982/knärot/A 10792-2020 karta knärot.png", "A 10792-2020")</f>
        <v/>
      </c>
      <c r="V22">
        <f>HYPERLINK("https://klasma.github.io/Logging_1982/klagomål/A 10792-2020 FSC-klagomål.docx", "A 10792-2020")</f>
        <v/>
      </c>
      <c r="W22">
        <f>HYPERLINK("https://klasma.github.io/Logging_1982/klagomålsmail/A 10792-2020 FSC-klagomål mail.docx", "A 10792-2020")</f>
        <v/>
      </c>
      <c r="X22">
        <f>HYPERLINK("https://klasma.github.io/Logging_1982/tillsyn/A 10792-2020 tillsynsbegäran.docx", "A 10792-2020")</f>
        <v/>
      </c>
      <c r="Y22">
        <f>HYPERLINK("https://klasma.github.io/Logging_1982/tillsynsmail/A 10792-2020 tillsynsbegäran mail.docx", "A 10792-2020")</f>
        <v/>
      </c>
    </row>
    <row r="23" ht="15" customHeight="1">
      <c r="A23" t="inlineStr">
        <is>
          <t>A 17626-2023</t>
        </is>
      </c>
      <c r="B23" s="1" t="n">
        <v>45036</v>
      </c>
      <c r="C23" s="1" t="n">
        <v>45724</v>
      </c>
      <c r="D23" t="inlineStr">
        <is>
          <t>VÄSTMANLANDS LÄN</t>
        </is>
      </c>
      <c r="E23" t="inlineStr">
        <is>
          <t>SURAHAMMAR</t>
        </is>
      </c>
      <c r="G23" t="n">
        <v>5.6</v>
      </c>
      <c r="H23" t="n">
        <v>3</v>
      </c>
      <c r="I23" t="n">
        <v>7</v>
      </c>
      <c r="J23" t="n">
        <v>3</v>
      </c>
      <c r="K23" t="n">
        <v>1</v>
      </c>
      <c r="L23" t="n">
        <v>0</v>
      </c>
      <c r="M23" t="n">
        <v>0</v>
      </c>
      <c r="N23" t="n">
        <v>0</v>
      </c>
      <c r="O23" t="n">
        <v>4</v>
      </c>
      <c r="P23" t="n">
        <v>1</v>
      </c>
      <c r="Q23" t="n">
        <v>13</v>
      </c>
      <c r="R23" s="2" t="inlineStr">
        <is>
          <t>Knärot
Granticka
Gropticka
Ullticka
Blomkålssvamp
Grönpyrola
Gullgröppa
Kamjordstjärna
Stubbspretmossa
Trådticka
Vedticka
Mattlummer
Revlummer</t>
        </is>
      </c>
      <c r="S23">
        <f>HYPERLINK("https://klasma.github.io/Logging_1907/artfynd/A 17626-2023 artfynd.xlsx", "A 17626-2023")</f>
        <v/>
      </c>
      <c r="T23">
        <f>HYPERLINK("https://klasma.github.io/Logging_1907/kartor/A 17626-2023 karta.png", "A 17626-2023")</f>
        <v/>
      </c>
      <c r="U23">
        <f>HYPERLINK("https://klasma.github.io/Logging_1907/knärot/A 17626-2023 karta knärot.png", "A 17626-2023")</f>
        <v/>
      </c>
      <c r="V23">
        <f>HYPERLINK("https://klasma.github.io/Logging_1907/klagomål/A 17626-2023 FSC-klagomål.docx", "A 17626-2023")</f>
        <v/>
      </c>
      <c r="W23">
        <f>HYPERLINK("https://klasma.github.io/Logging_1907/klagomålsmail/A 17626-2023 FSC-klagomål mail.docx", "A 17626-2023")</f>
        <v/>
      </c>
      <c r="X23">
        <f>HYPERLINK("https://klasma.github.io/Logging_1907/tillsyn/A 17626-2023 tillsynsbegäran.docx", "A 17626-2023")</f>
        <v/>
      </c>
      <c r="Y23">
        <f>HYPERLINK("https://klasma.github.io/Logging_1907/tillsynsmail/A 17626-2023 tillsynsbegäran mail.docx", "A 17626-2023")</f>
        <v/>
      </c>
    </row>
    <row r="24" ht="15" customHeight="1">
      <c r="A24" t="inlineStr">
        <is>
          <t>A 40942-2023</t>
        </is>
      </c>
      <c r="B24" s="1" t="n">
        <v>45169</v>
      </c>
      <c r="C24" s="1" t="n">
        <v>45724</v>
      </c>
      <c r="D24" t="inlineStr">
        <is>
          <t>VÄSTMANLANDS LÄN</t>
        </is>
      </c>
      <c r="E24" t="inlineStr">
        <is>
          <t>SURAHAMMAR</t>
        </is>
      </c>
      <c r="F24" t="inlineStr">
        <is>
          <t>Bergvik skog väst AB</t>
        </is>
      </c>
      <c r="G24" t="n">
        <v>7.6</v>
      </c>
      <c r="H24" t="n">
        <v>6</v>
      </c>
      <c r="I24" t="n">
        <v>3</v>
      </c>
      <c r="J24" t="n">
        <v>7</v>
      </c>
      <c r="K24" t="n">
        <v>0</v>
      </c>
      <c r="L24" t="n">
        <v>0</v>
      </c>
      <c r="M24" t="n">
        <v>0</v>
      </c>
      <c r="N24" t="n">
        <v>0</v>
      </c>
      <c r="O24" t="n">
        <v>7</v>
      </c>
      <c r="P24" t="n">
        <v>0</v>
      </c>
      <c r="Q24" t="n">
        <v>13</v>
      </c>
      <c r="R24" s="2" t="inlineStr">
        <is>
          <t>Järpe
Motaggsvamp
Skogshare
Spillkråka
Svartvit taggsvamp
Svinrot
Talltita
Mindre märgborre
Vårärt
Zontaggsvamp
Åkergroda
Fläcknycklar
Blåsippa</t>
        </is>
      </c>
      <c r="S24">
        <f>HYPERLINK("https://klasma.github.io/Logging_1907/artfynd/A 40942-2023 artfynd.xlsx", "A 40942-2023")</f>
        <v/>
      </c>
      <c r="T24">
        <f>HYPERLINK("https://klasma.github.io/Logging_1907/kartor/A 40942-2023 karta.png", "A 40942-2023")</f>
        <v/>
      </c>
      <c r="V24">
        <f>HYPERLINK("https://klasma.github.io/Logging_1907/klagomål/A 40942-2023 FSC-klagomål.docx", "A 40942-2023")</f>
        <v/>
      </c>
      <c r="W24">
        <f>HYPERLINK("https://klasma.github.io/Logging_1907/klagomålsmail/A 40942-2023 FSC-klagomål mail.docx", "A 40942-2023")</f>
        <v/>
      </c>
      <c r="X24">
        <f>HYPERLINK("https://klasma.github.io/Logging_1907/tillsyn/A 40942-2023 tillsynsbegäran.docx", "A 40942-2023")</f>
        <v/>
      </c>
      <c r="Y24">
        <f>HYPERLINK("https://klasma.github.io/Logging_1907/tillsynsmail/A 40942-2023 tillsynsbegäran mail.docx", "A 40942-2023")</f>
        <v/>
      </c>
      <c r="Z24">
        <f>HYPERLINK("https://klasma.github.io/Logging_1907/fåglar/A 40942-2023 prioriterade fågelarter.docx", "A 40942-2023")</f>
        <v/>
      </c>
    </row>
    <row r="25" ht="15" customHeight="1">
      <c r="A25" t="inlineStr">
        <is>
          <t>A 23016-2024</t>
        </is>
      </c>
      <c r="B25" s="1" t="n">
        <v>45450</v>
      </c>
      <c r="C25" s="1" t="n">
        <v>45724</v>
      </c>
      <c r="D25" t="inlineStr">
        <is>
          <t>VÄSTMANLANDS LÄN</t>
        </is>
      </c>
      <c r="E25" t="inlineStr">
        <is>
          <t>SKINNSKATTEBERG</t>
        </is>
      </c>
      <c r="F25" t="inlineStr">
        <is>
          <t>Kommuner</t>
        </is>
      </c>
      <c r="G25" t="n">
        <v>5.8</v>
      </c>
      <c r="H25" t="n">
        <v>11</v>
      </c>
      <c r="I25" t="n">
        <v>0</v>
      </c>
      <c r="J25" t="n">
        <v>7</v>
      </c>
      <c r="K25" t="n">
        <v>0</v>
      </c>
      <c r="L25" t="n">
        <v>0</v>
      </c>
      <c r="M25" t="n">
        <v>0</v>
      </c>
      <c r="N25" t="n">
        <v>0</v>
      </c>
      <c r="O25" t="n">
        <v>7</v>
      </c>
      <c r="P25" t="n">
        <v>0</v>
      </c>
      <c r="Q25" t="n">
        <v>12</v>
      </c>
      <c r="R25" s="2" t="inlineStr">
        <is>
          <t>Entita
Grönsångare
Järpe
Spillkråka
Svartvit flugsnappare
Svinrot
Tretåig hackspett
Sångsvan
Fläcknycklar
Grönvit nattviol
Nattviol
Nattviol × grönvit nattviol</t>
        </is>
      </c>
      <c r="S25">
        <f>HYPERLINK("https://klasma.github.io/Logging_1904/artfynd/A 23016-2024 artfynd.xlsx", "A 23016-2024")</f>
        <v/>
      </c>
      <c r="T25">
        <f>HYPERLINK("https://klasma.github.io/Logging_1904/kartor/A 23016-2024 karta.png", "A 23016-2024")</f>
        <v/>
      </c>
      <c r="V25">
        <f>HYPERLINK("https://klasma.github.io/Logging_1904/klagomål/A 23016-2024 FSC-klagomål.docx", "A 23016-2024")</f>
        <v/>
      </c>
      <c r="W25">
        <f>HYPERLINK("https://klasma.github.io/Logging_1904/klagomålsmail/A 23016-2024 FSC-klagomål mail.docx", "A 23016-2024")</f>
        <v/>
      </c>
      <c r="X25">
        <f>HYPERLINK("https://klasma.github.io/Logging_1904/tillsyn/A 23016-2024 tillsynsbegäran.docx", "A 23016-2024")</f>
        <v/>
      </c>
      <c r="Y25">
        <f>HYPERLINK("https://klasma.github.io/Logging_1904/tillsynsmail/A 23016-2024 tillsynsbegäran mail.docx", "A 23016-2024")</f>
        <v/>
      </c>
      <c r="Z25">
        <f>HYPERLINK("https://klasma.github.io/Logging_1904/fåglar/A 23016-2024 prioriterade fågelarter.docx", "A 23016-2024")</f>
        <v/>
      </c>
    </row>
    <row r="26" ht="15" customHeight="1">
      <c r="A26" t="inlineStr">
        <is>
          <t>A 25573-2024</t>
        </is>
      </c>
      <c r="B26" s="1" t="n">
        <v>45463</v>
      </c>
      <c r="C26" s="1" t="n">
        <v>45724</v>
      </c>
      <c r="D26" t="inlineStr">
        <is>
          <t>VÄSTMANLANDS LÄN</t>
        </is>
      </c>
      <c r="E26" t="inlineStr">
        <is>
          <t>SURAHAMMAR</t>
        </is>
      </c>
      <c r="F26" t="inlineStr">
        <is>
          <t>Bergvik skog väst AB</t>
        </is>
      </c>
      <c r="G26" t="n">
        <v>20.3</v>
      </c>
      <c r="H26" t="n">
        <v>2</v>
      </c>
      <c r="I26" t="n">
        <v>5</v>
      </c>
      <c r="J26" t="n">
        <v>5</v>
      </c>
      <c r="K26" t="n">
        <v>2</v>
      </c>
      <c r="L26" t="n">
        <v>0</v>
      </c>
      <c r="M26" t="n">
        <v>0</v>
      </c>
      <c r="N26" t="n">
        <v>0</v>
      </c>
      <c r="O26" t="n">
        <v>7</v>
      </c>
      <c r="P26" t="n">
        <v>2</v>
      </c>
      <c r="Q26" t="n">
        <v>12</v>
      </c>
      <c r="R26" s="2" t="inlineStr">
        <is>
          <t>Knärot
Vågticka
Gropticka
Krusfrö
Motaggsvamp
Skrovlig taggsvamp
Talltita
Blodticka
Dropptaggsvamp
Gullgröppa
Mindre märgborre
Vedticka</t>
        </is>
      </c>
      <c r="S26">
        <f>HYPERLINK("https://klasma.github.io/Logging_1907/artfynd/A 25573-2024 artfynd.xlsx", "A 25573-2024")</f>
        <v/>
      </c>
      <c r="T26">
        <f>HYPERLINK("https://klasma.github.io/Logging_1907/kartor/A 25573-2024 karta.png", "A 25573-2024")</f>
        <v/>
      </c>
      <c r="U26">
        <f>HYPERLINK("https://klasma.github.io/Logging_1907/knärot/A 25573-2024 karta knärot.png", "A 25573-2024")</f>
        <v/>
      </c>
      <c r="V26">
        <f>HYPERLINK("https://klasma.github.io/Logging_1907/klagomål/A 25573-2024 FSC-klagomål.docx", "A 25573-2024")</f>
        <v/>
      </c>
      <c r="W26">
        <f>HYPERLINK("https://klasma.github.io/Logging_1907/klagomålsmail/A 25573-2024 FSC-klagomål mail.docx", "A 25573-2024")</f>
        <v/>
      </c>
      <c r="X26">
        <f>HYPERLINK("https://klasma.github.io/Logging_1907/tillsyn/A 25573-2024 tillsynsbegäran.docx", "A 25573-2024")</f>
        <v/>
      </c>
      <c r="Y26">
        <f>HYPERLINK("https://klasma.github.io/Logging_1907/tillsynsmail/A 25573-2024 tillsynsbegäran mail.docx", "A 25573-2024")</f>
        <v/>
      </c>
      <c r="Z26">
        <f>HYPERLINK("https://klasma.github.io/Logging_1907/fåglar/A 25573-2024 prioriterade fågelarter.docx", "A 25573-2024")</f>
        <v/>
      </c>
    </row>
    <row r="27" ht="15" customHeight="1">
      <c r="A27" t="inlineStr">
        <is>
          <t>A 8676-2020</t>
        </is>
      </c>
      <c r="B27" s="1" t="n">
        <v>43878</v>
      </c>
      <c r="C27" s="1" t="n">
        <v>45724</v>
      </c>
      <c r="D27" t="inlineStr">
        <is>
          <t>VÄSTMANLANDS LÄN</t>
        </is>
      </c>
      <c r="E27" t="inlineStr">
        <is>
          <t>FAGERSTA</t>
        </is>
      </c>
      <c r="F27" t="inlineStr">
        <is>
          <t>Övriga Aktiebolag</t>
        </is>
      </c>
      <c r="G27" t="n">
        <v>16</v>
      </c>
      <c r="H27" t="n">
        <v>2</v>
      </c>
      <c r="I27" t="n">
        <v>6</v>
      </c>
      <c r="J27" t="n">
        <v>4</v>
      </c>
      <c r="K27" t="n">
        <v>1</v>
      </c>
      <c r="L27" t="n">
        <v>0</v>
      </c>
      <c r="M27" t="n">
        <v>0</v>
      </c>
      <c r="N27" t="n">
        <v>0</v>
      </c>
      <c r="O27" t="n">
        <v>5</v>
      </c>
      <c r="P27" t="n">
        <v>1</v>
      </c>
      <c r="Q27" t="n">
        <v>11</v>
      </c>
      <c r="R27" s="2" t="inlineStr">
        <is>
          <t>Knärot
Lunglav
Motaggsvamp
Ullticka
Vedtrappmossa
Bronshjon
Bårdlav
Grön sköldmossa
Gulnål
Stuplav
Vedticka</t>
        </is>
      </c>
      <c r="S27">
        <f>HYPERLINK("https://klasma.github.io/Logging_1982/artfynd/A 8676-2020 artfynd.xlsx", "A 8676-2020")</f>
        <v/>
      </c>
      <c r="T27">
        <f>HYPERLINK("https://klasma.github.io/Logging_1982/kartor/A 8676-2020 karta.png", "A 8676-2020")</f>
        <v/>
      </c>
      <c r="U27">
        <f>HYPERLINK("https://klasma.github.io/Logging_1982/knärot/A 8676-2020 karta knärot.png", "A 8676-2020")</f>
        <v/>
      </c>
      <c r="V27">
        <f>HYPERLINK("https://klasma.github.io/Logging_1982/klagomål/A 8676-2020 FSC-klagomål.docx", "A 8676-2020")</f>
        <v/>
      </c>
      <c r="W27">
        <f>HYPERLINK("https://klasma.github.io/Logging_1982/klagomålsmail/A 8676-2020 FSC-klagomål mail.docx", "A 8676-2020")</f>
        <v/>
      </c>
      <c r="X27">
        <f>HYPERLINK("https://klasma.github.io/Logging_1982/tillsyn/A 8676-2020 tillsynsbegäran.docx", "A 8676-2020")</f>
        <v/>
      </c>
      <c r="Y27">
        <f>HYPERLINK("https://klasma.github.io/Logging_1982/tillsynsmail/A 8676-2020 tillsynsbegäran mail.docx", "A 8676-2020")</f>
        <v/>
      </c>
    </row>
    <row r="28" ht="15" customHeight="1">
      <c r="A28" t="inlineStr">
        <is>
          <t>A 25683-2023</t>
        </is>
      </c>
      <c r="B28" s="1" t="n">
        <v>45089</v>
      </c>
      <c r="C28" s="1" t="n">
        <v>45724</v>
      </c>
      <c r="D28" t="inlineStr">
        <is>
          <t>VÄSTMANLANDS LÄN</t>
        </is>
      </c>
      <c r="E28" t="inlineStr">
        <is>
          <t>VÄSTERÅS</t>
        </is>
      </c>
      <c r="F28" t="inlineStr">
        <is>
          <t>Kommuner</t>
        </is>
      </c>
      <c r="G28" t="n">
        <v>14</v>
      </c>
      <c r="H28" t="n">
        <v>7</v>
      </c>
      <c r="I28" t="n">
        <v>3</v>
      </c>
      <c r="J28" t="n">
        <v>6</v>
      </c>
      <c r="K28" t="n">
        <v>0</v>
      </c>
      <c r="L28" t="n">
        <v>0</v>
      </c>
      <c r="M28" t="n">
        <v>0</v>
      </c>
      <c r="N28" t="n">
        <v>0</v>
      </c>
      <c r="O28" t="n">
        <v>6</v>
      </c>
      <c r="P28" t="n">
        <v>0</v>
      </c>
      <c r="Q28" t="n">
        <v>11</v>
      </c>
      <c r="R28" s="2" t="inlineStr">
        <is>
          <t>Fransfladdermus
Nordfladdermus
Spillkråka
Sävsparv
Talltita
Ullticka
Brandticka
Bronshjon
Thomsons trägnagare
Större brunfladdermus
Vattenfladdermus</t>
        </is>
      </c>
      <c r="S28">
        <f>HYPERLINK("https://klasma.github.io/Logging_1980/artfynd/A 25683-2023 artfynd.xlsx", "A 25683-2023")</f>
        <v/>
      </c>
      <c r="T28">
        <f>HYPERLINK("https://klasma.github.io/Logging_1980/kartor/A 25683-2023 karta.png", "A 25683-2023")</f>
        <v/>
      </c>
      <c r="V28">
        <f>HYPERLINK("https://klasma.github.io/Logging_1980/klagomål/A 25683-2023 FSC-klagomål.docx", "A 25683-2023")</f>
        <v/>
      </c>
      <c r="W28">
        <f>HYPERLINK("https://klasma.github.io/Logging_1980/klagomålsmail/A 25683-2023 FSC-klagomål mail.docx", "A 25683-2023")</f>
        <v/>
      </c>
      <c r="X28">
        <f>HYPERLINK("https://klasma.github.io/Logging_1980/tillsyn/A 25683-2023 tillsynsbegäran.docx", "A 25683-2023")</f>
        <v/>
      </c>
      <c r="Y28">
        <f>HYPERLINK("https://klasma.github.io/Logging_1980/tillsynsmail/A 25683-2023 tillsynsbegäran mail.docx", "A 25683-2023")</f>
        <v/>
      </c>
      <c r="Z28">
        <f>HYPERLINK("https://klasma.github.io/Logging_1980/fåglar/A 25683-2023 prioriterade fågelarter.docx", "A 25683-2023")</f>
        <v/>
      </c>
    </row>
    <row r="29" ht="15" customHeight="1">
      <c r="A29" t="inlineStr">
        <is>
          <t>A 65022-2023</t>
        </is>
      </c>
      <c r="B29" s="1" t="n">
        <v>45282</v>
      </c>
      <c r="C29" s="1" t="n">
        <v>45724</v>
      </c>
      <c r="D29" t="inlineStr">
        <is>
          <t>VÄSTMANLANDS LÄN</t>
        </is>
      </c>
      <c r="E29" t="inlineStr">
        <is>
          <t>SURAHAMMAR</t>
        </is>
      </c>
      <c r="F29" t="inlineStr">
        <is>
          <t>Bergvik skog väst AB</t>
        </is>
      </c>
      <c r="G29" t="n">
        <v>11</v>
      </c>
      <c r="H29" t="n">
        <v>5</v>
      </c>
      <c r="I29" t="n">
        <v>5</v>
      </c>
      <c r="J29" t="n">
        <v>3</v>
      </c>
      <c r="K29" t="n">
        <v>1</v>
      </c>
      <c r="L29" t="n">
        <v>0</v>
      </c>
      <c r="M29" t="n">
        <v>0</v>
      </c>
      <c r="N29" t="n">
        <v>0</v>
      </c>
      <c r="O29" t="n">
        <v>4</v>
      </c>
      <c r="P29" t="n">
        <v>1</v>
      </c>
      <c r="Q29" t="n">
        <v>11</v>
      </c>
      <c r="R29" s="2" t="inlineStr">
        <is>
          <t>Knärot
Spillkråka
Ullticka
Vedtrappmossa
Bronshjon
Grovticka
Grönpyrola
Plattlummer
Rödgul trumpetsvamp
Mattlummer
Revlummer</t>
        </is>
      </c>
      <c r="S29">
        <f>HYPERLINK("https://klasma.github.io/Logging_1907/artfynd/A 65022-2023 artfynd.xlsx", "A 65022-2023")</f>
        <v/>
      </c>
      <c r="T29">
        <f>HYPERLINK("https://klasma.github.io/Logging_1907/kartor/A 65022-2023 karta.png", "A 65022-2023")</f>
        <v/>
      </c>
      <c r="U29">
        <f>HYPERLINK("https://klasma.github.io/Logging_1907/knärot/A 65022-2023 karta knärot.png", "A 65022-2023")</f>
        <v/>
      </c>
      <c r="V29">
        <f>HYPERLINK("https://klasma.github.io/Logging_1907/klagomål/A 65022-2023 FSC-klagomål.docx", "A 65022-2023")</f>
        <v/>
      </c>
      <c r="W29">
        <f>HYPERLINK("https://klasma.github.io/Logging_1907/klagomålsmail/A 65022-2023 FSC-klagomål mail.docx", "A 65022-2023")</f>
        <v/>
      </c>
      <c r="X29">
        <f>HYPERLINK("https://klasma.github.io/Logging_1907/tillsyn/A 65022-2023 tillsynsbegäran.docx", "A 65022-2023")</f>
        <v/>
      </c>
      <c r="Y29">
        <f>HYPERLINK("https://klasma.github.io/Logging_1907/tillsynsmail/A 65022-2023 tillsynsbegäran mail.docx", "A 65022-2023")</f>
        <v/>
      </c>
      <c r="Z29">
        <f>HYPERLINK("https://klasma.github.io/Logging_1907/fåglar/A 65022-2023 prioriterade fågelarter.docx", "A 65022-2023")</f>
        <v/>
      </c>
    </row>
    <row r="30" ht="15" customHeight="1">
      <c r="A30" t="inlineStr">
        <is>
          <t>A 22353-2024</t>
        </is>
      </c>
      <c r="B30" s="1" t="n">
        <v>45446</v>
      </c>
      <c r="C30" s="1" t="n">
        <v>45724</v>
      </c>
      <c r="D30" t="inlineStr">
        <is>
          <t>VÄSTMANLANDS LÄN</t>
        </is>
      </c>
      <c r="E30" t="inlineStr">
        <is>
          <t>SALA</t>
        </is>
      </c>
      <c r="G30" t="n">
        <v>9.5</v>
      </c>
      <c r="H30" t="n">
        <v>3</v>
      </c>
      <c r="I30" t="n">
        <v>3</v>
      </c>
      <c r="J30" t="n">
        <v>5</v>
      </c>
      <c r="K30" t="n">
        <v>2</v>
      </c>
      <c r="L30" t="n">
        <v>0</v>
      </c>
      <c r="M30" t="n">
        <v>0</v>
      </c>
      <c r="N30" t="n">
        <v>0</v>
      </c>
      <c r="O30" t="n">
        <v>7</v>
      </c>
      <c r="P30" t="n">
        <v>2</v>
      </c>
      <c r="Q30" t="n">
        <v>11</v>
      </c>
      <c r="R30" s="2" t="inlineStr">
        <is>
          <t>Knärot
Laxporing
Brunpudrad nållav
Dofttaggsvamp
Skogstrappmossa
Vedskivlav
Vedtrappmossa
Gulnål
Plattlummer
Vedticka
Blåsippa</t>
        </is>
      </c>
      <c r="S30">
        <f>HYPERLINK("https://klasma.github.io/Logging_1981/artfynd/A 22353-2024 artfynd.xlsx", "A 22353-2024")</f>
        <v/>
      </c>
      <c r="T30">
        <f>HYPERLINK("https://klasma.github.io/Logging_1981/kartor/A 22353-2024 karta.png", "A 22353-2024")</f>
        <v/>
      </c>
      <c r="U30">
        <f>HYPERLINK("https://klasma.github.io/Logging_1981/knärot/A 22353-2024 karta knärot.png", "A 22353-2024")</f>
        <v/>
      </c>
      <c r="V30">
        <f>HYPERLINK("https://klasma.github.io/Logging_1981/klagomål/A 22353-2024 FSC-klagomål.docx", "A 22353-2024")</f>
        <v/>
      </c>
      <c r="W30">
        <f>HYPERLINK("https://klasma.github.io/Logging_1981/klagomålsmail/A 22353-2024 FSC-klagomål mail.docx", "A 22353-2024")</f>
        <v/>
      </c>
      <c r="X30">
        <f>HYPERLINK("https://klasma.github.io/Logging_1981/tillsyn/A 22353-2024 tillsynsbegäran.docx", "A 22353-2024")</f>
        <v/>
      </c>
      <c r="Y30">
        <f>HYPERLINK("https://klasma.github.io/Logging_1981/tillsynsmail/A 22353-2024 tillsynsbegäran mail.docx", "A 22353-2024")</f>
        <v/>
      </c>
    </row>
    <row r="31" ht="15" customHeight="1">
      <c r="A31" t="inlineStr">
        <is>
          <t>A 34028-2024</t>
        </is>
      </c>
      <c r="B31" s="1" t="n">
        <v>45523</v>
      </c>
      <c r="C31" s="1" t="n">
        <v>45724</v>
      </c>
      <c r="D31" t="inlineStr">
        <is>
          <t>VÄSTMANLANDS LÄN</t>
        </is>
      </c>
      <c r="E31" t="inlineStr">
        <is>
          <t>SURAHAMMAR</t>
        </is>
      </c>
      <c r="F31" t="inlineStr">
        <is>
          <t>Övriga Aktiebolag</t>
        </is>
      </c>
      <c r="G31" t="n">
        <v>16.4</v>
      </c>
      <c r="H31" t="n">
        <v>2</v>
      </c>
      <c r="I31" t="n">
        <v>4</v>
      </c>
      <c r="J31" t="n">
        <v>4</v>
      </c>
      <c r="K31" t="n">
        <v>2</v>
      </c>
      <c r="L31" t="n">
        <v>0</v>
      </c>
      <c r="M31" t="n">
        <v>0</v>
      </c>
      <c r="N31" t="n">
        <v>0</v>
      </c>
      <c r="O31" t="n">
        <v>6</v>
      </c>
      <c r="P31" t="n">
        <v>2</v>
      </c>
      <c r="Q31" t="n">
        <v>11</v>
      </c>
      <c r="R31" s="2" t="inlineStr">
        <is>
          <t>Gräddticka
Knärot
Garnlav
Granticka
Kortskaftad ärgspik
Ullticka
Brandticka
Dropptaggsvamp
Mindre märgborre
Skarp dropptaggsvamp
Tjäder</t>
        </is>
      </c>
      <c r="S31">
        <f>HYPERLINK("https://klasma.github.io/Logging_1907/artfynd/A 34028-2024 artfynd.xlsx", "A 34028-2024")</f>
        <v/>
      </c>
      <c r="T31">
        <f>HYPERLINK("https://klasma.github.io/Logging_1907/kartor/A 34028-2024 karta.png", "A 34028-2024")</f>
        <v/>
      </c>
      <c r="U31">
        <f>HYPERLINK("https://klasma.github.io/Logging_1907/knärot/A 34028-2024 karta knärot.png", "A 34028-2024")</f>
        <v/>
      </c>
      <c r="V31">
        <f>HYPERLINK("https://klasma.github.io/Logging_1907/klagomål/A 34028-2024 FSC-klagomål.docx", "A 34028-2024")</f>
        <v/>
      </c>
      <c r="W31">
        <f>HYPERLINK("https://klasma.github.io/Logging_1907/klagomålsmail/A 34028-2024 FSC-klagomål mail.docx", "A 34028-2024")</f>
        <v/>
      </c>
      <c r="X31">
        <f>HYPERLINK("https://klasma.github.io/Logging_1907/tillsyn/A 34028-2024 tillsynsbegäran.docx", "A 34028-2024")</f>
        <v/>
      </c>
      <c r="Y31">
        <f>HYPERLINK("https://klasma.github.io/Logging_1907/tillsynsmail/A 34028-2024 tillsynsbegäran mail.docx", "A 34028-2024")</f>
        <v/>
      </c>
      <c r="Z31">
        <f>HYPERLINK("https://klasma.github.io/Logging_1907/fåglar/A 34028-2024 prioriterade fågelarter.docx", "A 34028-2024")</f>
        <v/>
      </c>
    </row>
    <row r="32" ht="15" customHeight="1">
      <c r="A32" t="inlineStr">
        <is>
          <t>A 21236-2021</t>
        </is>
      </c>
      <c r="B32" s="1" t="n">
        <v>44314</v>
      </c>
      <c r="C32" s="1" t="n">
        <v>45724</v>
      </c>
      <c r="D32" t="inlineStr">
        <is>
          <t>VÄSTMANLANDS LÄN</t>
        </is>
      </c>
      <c r="E32" t="inlineStr">
        <is>
          <t>SURAHAMMAR</t>
        </is>
      </c>
      <c r="F32" t="inlineStr">
        <is>
          <t>Bergvik skog väst AB</t>
        </is>
      </c>
      <c r="G32" t="n">
        <v>11.1</v>
      </c>
      <c r="H32" t="n">
        <v>5</v>
      </c>
      <c r="I32" t="n">
        <v>4</v>
      </c>
      <c r="J32" t="n">
        <v>2</v>
      </c>
      <c r="K32" t="n">
        <v>1</v>
      </c>
      <c r="L32" t="n">
        <v>0</v>
      </c>
      <c r="M32" t="n">
        <v>0</v>
      </c>
      <c r="N32" t="n">
        <v>0</v>
      </c>
      <c r="O32" t="n">
        <v>3</v>
      </c>
      <c r="P32" t="n">
        <v>1</v>
      </c>
      <c r="Q32" t="n">
        <v>10</v>
      </c>
      <c r="R32" s="2" t="inlineStr">
        <is>
          <t>Bombmurkla
Skogshare
Talltita
Fjällig taggsvamp s.str.
Grönpyrola
Tibast
Vårärt
Fläcknycklar
Blåsippa
Revlummer</t>
        </is>
      </c>
      <c r="S32">
        <f>HYPERLINK("https://klasma.github.io/Logging_1907/artfynd/A 21236-2021 artfynd.xlsx", "A 21236-2021")</f>
        <v/>
      </c>
      <c r="T32">
        <f>HYPERLINK("https://klasma.github.io/Logging_1907/kartor/A 21236-2021 karta.png", "A 21236-2021")</f>
        <v/>
      </c>
      <c r="V32">
        <f>HYPERLINK("https://klasma.github.io/Logging_1907/klagomål/A 21236-2021 FSC-klagomål.docx", "A 21236-2021")</f>
        <v/>
      </c>
      <c r="W32">
        <f>HYPERLINK("https://klasma.github.io/Logging_1907/klagomålsmail/A 21236-2021 FSC-klagomål mail.docx", "A 21236-2021")</f>
        <v/>
      </c>
      <c r="X32">
        <f>HYPERLINK("https://klasma.github.io/Logging_1907/tillsyn/A 21236-2021 tillsynsbegäran.docx", "A 21236-2021")</f>
        <v/>
      </c>
      <c r="Y32">
        <f>HYPERLINK("https://klasma.github.io/Logging_1907/tillsynsmail/A 21236-2021 tillsynsbegäran mail.docx", "A 21236-2021")</f>
        <v/>
      </c>
      <c r="Z32">
        <f>HYPERLINK("https://klasma.github.io/Logging_1907/fåglar/A 21236-2021 prioriterade fågelarter.docx", "A 21236-2021")</f>
        <v/>
      </c>
    </row>
    <row r="33" ht="15" customHeight="1">
      <c r="A33" t="inlineStr">
        <is>
          <t>A 29632-2022</t>
        </is>
      </c>
      <c r="B33" s="1" t="n">
        <v>44754</v>
      </c>
      <c r="C33" s="1" t="n">
        <v>45724</v>
      </c>
      <c r="D33" t="inlineStr">
        <is>
          <t>VÄSTMANLANDS LÄN</t>
        </is>
      </c>
      <c r="E33" t="inlineStr">
        <is>
          <t>VÄSTERÅS</t>
        </is>
      </c>
      <c r="G33" t="n">
        <v>10.6</v>
      </c>
      <c r="H33" t="n">
        <v>4</v>
      </c>
      <c r="I33" t="n">
        <v>4</v>
      </c>
      <c r="J33" t="n">
        <v>4</v>
      </c>
      <c r="K33" t="n">
        <v>1</v>
      </c>
      <c r="L33" t="n">
        <v>0</v>
      </c>
      <c r="M33" t="n">
        <v>0</v>
      </c>
      <c r="N33" t="n">
        <v>0</v>
      </c>
      <c r="O33" t="n">
        <v>5</v>
      </c>
      <c r="P33" t="n">
        <v>1</v>
      </c>
      <c r="Q33" t="n">
        <v>10</v>
      </c>
      <c r="R33" s="2" t="inlineStr">
        <is>
          <t>Knärot
Brunpudrad nållav
Orange taggsvamp
Spillkråka
Tretåig hackspett
Fjällig taggsvamp s.str.
Grönpyrola
Skarp dropptaggsvamp
Vedticka
Blåsippa</t>
        </is>
      </c>
      <c r="S33">
        <f>HYPERLINK("https://klasma.github.io/Logging_1980/artfynd/A 29632-2022 artfynd.xlsx", "A 29632-2022")</f>
        <v/>
      </c>
      <c r="T33">
        <f>HYPERLINK("https://klasma.github.io/Logging_1980/kartor/A 29632-2022 karta.png", "A 29632-2022")</f>
        <v/>
      </c>
      <c r="U33">
        <f>HYPERLINK("https://klasma.github.io/Logging_1980/knärot/A 29632-2022 karta knärot.png", "A 29632-2022")</f>
        <v/>
      </c>
      <c r="V33">
        <f>HYPERLINK("https://klasma.github.io/Logging_1980/klagomål/A 29632-2022 FSC-klagomål.docx", "A 29632-2022")</f>
        <v/>
      </c>
      <c r="W33">
        <f>HYPERLINK("https://klasma.github.io/Logging_1980/klagomålsmail/A 29632-2022 FSC-klagomål mail.docx", "A 29632-2022")</f>
        <v/>
      </c>
      <c r="X33">
        <f>HYPERLINK("https://klasma.github.io/Logging_1980/tillsyn/A 29632-2022 tillsynsbegäran.docx", "A 29632-2022")</f>
        <v/>
      </c>
      <c r="Y33">
        <f>HYPERLINK("https://klasma.github.io/Logging_1980/tillsynsmail/A 29632-2022 tillsynsbegäran mail.docx", "A 29632-2022")</f>
        <v/>
      </c>
      <c r="Z33">
        <f>HYPERLINK("https://klasma.github.io/Logging_1980/fåglar/A 29632-2022 prioriterade fågelarter.docx", "A 29632-2022")</f>
        <v/>
      </c>
    </row>
    <row r="34" ht="15" customHeight="1">
      <c r="A34" t="inlineStr">
        <is>
          <t>A 61543-2023</t>
        </is>
      </c>
      <c r="B34" s="1" t="n">
        <v>45261</v>
      </c>
      <c r="C34" s="1" t="n">
        <v>45724</v>
      </c>
      <c r="D34" t="inlineStr">
        <is>
          <t>VÄSTMANLANDS LÄN</t>
        </is>
      </c>
      <c r="E34" t="inlineStr">
        <is>
          <t>VÄSTERÅS</t>
        </is>
      </c>
      <c r="G34" t="n">
        <v>5.4</v>
      </c>
      <c r="H34" t="n">
        <v>8</v>
      </c>
      <c r="I34" t="n">
        <v>1</v>
      </c>
      <c r="J34" t="n">
        <v>6</v>
      </c>
      <c r="K34" t="n">
        <v>1</v>
      </c>
      <c r="L34" t="n">
        <v>1</v>
      </c>
      <c r="M34" t="n">
        <v>0</v>
      </c>
      <c r="N34" t="n">
        <v>0</v>
      </c>
      <c r="O34" t="n">
        <v>8</v>
      </c>
      <c r="P34" t="n">
        <v>2</v>
      </c>
      <c r="Q34" t="n">
        <v>10</v>
      </c>
      <c r="R34" s="2" t="inlineStr">
        <is>
          <t>Ädellav
Stare
Duvhök
Entita
Fjällvråk
Gulsparv
Havsörn
Kungsörn
Scharlakansskål
Gröngöling</t>
        </is>
      </c>
      <c r="S34">
        <f>HYPERLINK("https://klasma.github.io/Logging_1980/artfynd/A 61543-2023 artfynd.xlsx", "A 61543-2023")</f>
        <v/>
      </c>
      <c r="T34">
        <f>HYPERLINK("https://klasma.github.io/Logging_1980/kartor/A 61543-2023 karta.png", "A 61543-2023")</f>
        <v/>
      </c>
      <c r="V34">
        <f>HYPERLINK("https://klasma.github.io/Logging_1980/klagomål/A 61543-2023 FSC-klagomål.docx", "A 61543-2023")</f>
        <v/>
      </c>
      <c r="W34">
        <f>HYPERLINK("https://klasma.github.io/Logging_1980/klagomålsmail/A 61543-2023 FSC-klagomål mail.docx", "A 61543-2023")</f>
        <v/>
      </c>
      <c r="X34">
        <f>HYPERLINK("https://klasma.github.io/Logging_1980/tillsyn/A 61543-2023 tillsynsbegäran.docx", "A 61543-2023")</f>
        <v/>
      </c>
      <c r="Y34">
        <f>HYPERLINK("https://klasma.github.io/Logging_1980/tillsynsmail/A 61543-2023 tillsynsbegäran mail.docx", "A 61543-2023")</f>
        <v/>
      </c>
      <c r="Z34">
        <f>HYPERLINK("https://klasma.github.io/Logging_1980/fåglar/A 61543-2023 prioriterade fågelarter.docx", "A 61543-2023")</f>
        <v/>
      </c>
    </row>
    <row r="35" ht="15" customHeight="1">
      <c r="A35" t="inlineStr">
        <is>
          <t>A 20389-2024</t>
        </is>
      </c>
      <c r="B35" s="1" t="n">
        <v>45435</v>
      </c>
      <c r="C35" s="1" t="n">
        <v>45724</v>
      </c>
      <c r="D35" t="inlineStr">
        <is>
          <t>VÄSTMANLANDS LÄN</t>
        </is>
      </c>
      <c r="E35" t="inlineStr">
        <is>
          <t>SURAHAMMAR</t>
        </is>
      </c>
      <c r="G35" t="n">
        <v>1.5</v>
      </c>
      <c r="H35" t="n">
        <v>2</v>
      </c>
      <c r="I35" t="n">
        <v>6</v>
      </c>
      <c r="J35" t="n">
        <v>3</v>
      </c>
      <c r="K35" t="n">
        <v>1</v>
      </c>
      <c r="L35" t="n">
        <v>0</v>
      </c>
      <c r="M35" t="n">
        <v>0</v>
      </c>
      <c r="N35" t="n">
        <v>0</v>
      </c>
      <c r="O35" t="n">
        <v>4</v>
      </c>
      <c r="P35" t="n">
        <v>1</v>
      </c>
      <c r="Q35" t="n">
        <v>10</v>
      </c>
      <c r="R35" s="2" t="inlineStr">
        <is>
          <t>Knärot
Gropticka
Ullticka
Vedtrappmossa
Bollvitmossa
Bronshjon
Grön sköldmossa
Rödgul trumpetsvamp
Vedticka
Vågbandad barkbock</t>
        </is>
      </c>
      <c r="S35">
        <f>HYPERLINK("https://klasma.github.io/Logging_1907/artfynd/A 20389-2024 artfynd.xlsx", "A 20389-2024")</f>
        <v/>
      </c>
      <c r="T35">
        <f>HYPERLINK("https://klasma.github.io/Logging_1907/kartor/A 20389-2024 karta.png", "A 20389-2024")</f>
        <v/>
      </c>
      <c r="U35">
        <f>HYPERLINK("https://klasma.github.io/Logging_1907/knärot/A 20389-2024 karta knärot.png", "A 20389-2024")</f>
        <v/>
      </c>
      <c r="V35">
        <f>HYPERLINK("https://klasma.github.io/Logging_1907/klagomål/A 20389-2024 FSC-klagomål.docx", "A 20389-2024")</f>
        <v/>
      </c>
      <c r="W35">
        <f>HYPERLINK("https://klasma.github.io/Logging_1907/klagomålsmail/A 20389-2024 FSC-klagomål mail.docx", "A 20389-2024")</f>
        <v/>
      </c>
      <c r="X35">
        <f>HYPERLINK("https://klasma.github.io/Logging_1907/tillsyn/A 20389-2024 tillsynsbegäran.docx", "A 20389-2024")</f>
        <v/>
      </c>
      <c r="Y35">
        <f>HYPERLINK("https://klasma.github.io/Logging_1907/tillsynsmail/A 20389-2024 tillsynsbegäran mail.docx", "A 20389-2024")</f>
        <v/>
      </c>
    </row>
    <row r="36" ht="15" customHeight="1">
      <c r="A36" t="inlineStr">
        <is>
          <t>A 34040-2024</t>
        </is>
      </c>
      <c r="B36" s="1" t="n">
        <v>45523</v>
      </c>
      <c r="C36" s="1" t="n">
        <v>45724</v>
      </c>
      <c r="D36" t="inlineStr">
        <is>
          <t>VÄSTMANLANDS LÄN</t>
        </is>
      </c>
      <c r="E36" t="inlineStr">
        <is>
          <t>SURAHAMMAR</t>
        </is>
      </c>
      <c r="F36" t="inlineStr">
        <is>
          <t>Övriga Aktiebolag</t>
        </is>
      </c>
      <c r="G36" t="n">
        <v>6.4</v>
      </c>
      <c r="H36" t="n">
        <v>3</v>
      </c>
      <c r="I36" t="n">
        <v>4</v>
      </c>
      <c r="J36" t="n">
        <v>5</v>
      </c>
      <c r="K36" t="n">
        <v>1</v>
      </c>
      <c r="L36" t="n">
        <v>0</v>
      </c>
      <c r="M36" t="n">
        <v>0</v>
      </c>
      <c r="N36" t="n">
        <v>0</v>
      </c>
      <c r="O36" t="n">
        <v>6</v>
      </c>
      <c r="P36" t="n">
        <v>1</v>
      </c>
      <c r="Q36" t="n">
        <v>10</v>
      </c>
      <c r="R36" s="2" t="inlineStr">
        <is>
          <t>Knärot
Gränsticka
Spillkråka
Talltita
Ullticka
Vedtrappmossa
Bronshjon
Grönpyrola
Mindre märgborre
Vedticka</t>
        </is>
      </c>
      <c r="S36">
        <f>HYPERLINK("https://klasma.github.io/Logging_1907/artfynd/A 34040-2024 artfynd.xlsx", "A 34040-2024")</f>
        <v/>
      </c>
      <c r="T36">
        <f>HYPERLINK("https://klasma.github.io/Logging_1907/kartor/A 34040-2024 karta.png", "A 34040-2024")</f>
        <v/>
      </c>
      <c r="U36">
        <f>HYPERLINK("https://klasma.github.io/Logging_1907/knärot/A 34040-2024 karta knärot.png", "A 34040-2024")</f>
        <v/>
      </c>
      <c r="V36">
        <f>HYPERLINK("https://klasma.github.io/Logging_1907/klagomål/A 34040-2024 FSC-klagomål.docx", "A 34040-2024")</f>
        <v/>
      </c>
      <c r="W36">
        <f>HYPERLINK("https://klasma.github.io/Logging_1907/klagomålsmail/A 34040-2024 FSC-klagomål mail.docx", "A 34040-2024")</f>
        <v/>
      </c>
      <c r="X36">
        <f>HYPERLINK("https://klasma.github.io/Logging_1907/tillsyn/A 34040-2024 tillsynsbegäran.docx", "A 34040-2024")</f>
        <v/>
      </c>
      <c r="Y36">
        <f>HYPERLINK("https://klasma.github.io/Logging_1907/tillsynsmail/A 34040-2024 tillsynsbegäran mail.docx", "A 34040-2024")</f>
        <v/>
      </c>
      <c r="Z36">
        <f>HYPERLINK("https://klasma.github.io/Logging_1907/fåglar/A 34040-2024 prioriterade fågelarter.docx", "A 34040-2024")</f>
        <v/>
      </c>
    </row>
    <row r="37" ht="15" customHeight="1">
      <c r="A37" t="inlineStr">
        <is>
          <t>A 52016-2019</t>
        </is>
      </c>
      <c r="B37" s="1" t="n">
        <v>43742</v>
      </c>
      <c r="C37" s="1" t="n">
        <v>45724</v>
      </c>
      <c r="D37" t="inlineStr">
        <is>
          <t>VÄSTMANLANDS LÄN</t>
        </is>
      </c>
      <c r="E37" t="inlineStr">
        <is>
          <t>VÄSTERÅS</t>
        </is>
      </c>
      <c r="G37" t="n">
        <v>12.1</v>
      </c>
      <c r="H37" t="n">
        <v>1</v>
      </c>
      <c r="I37" t="n">
        <v>6</v>
      </c>
      <c r="J37" t="n">
        <v>2</v>
      </c>
      <c r="K37" t="n">
        <v>0</v>
      </c>
      <c r="L37" t="n">
        <v>0</v>
      </c>
      <c r="M37" t="n">
        <v>0</v>
      </c>
      <c r="N37" t="n">
        <v>0</v>
      </c>
      <c r="O37" t="n">
        <v>2</v>
      </c>
      <c r="P37" t="n">
        <v>0</v>
      </c>
      <c r="Q37" t="n">
        <v>9</v>
      </c>
      <c r="R37" s="2" t="inlineStr">
        <is>
          <t>Ullticka
Vedtrappmossa
Bronshjon
Fjällig taggsvamp s.str.
Platt fjädermossa
Rödgul trumpetsvamp
Skinnlav
Vedticka
Blåsippa</t>
        </is>
      </c>
      <c r="S37">
        <f>HYPERLINK("https://klasma.github.io/Logging_1980/artfynd/A 52016-2019 artfynd.xlsx", "A 52016-2019")</f>
        <v/>
      </c>
      <c r="T37">
        <f>HYPERLINK("https://klasma.github.io/Logging_1980/kartor/A 52016-2019 karta.png", "A 52016-2019")</f>
        <v/>
      </c>
      <c r="V37">
        <f>HYPERLINK("https://klasma.github.io/Logging_1980/klagomål/A 52016-2019 FSC-klagomål.docx", "A 52016-2019")</f>
        <v/>
      </c>
      <c r="W37">
        <f>HYPERLINK("https://klasma.github.io/Logging_1980/klagomålsmail/A 52016-2019 FSC-klagomål mail.docx", "A 52016-2019")</f>
        <v/>
      </c>
      <c r="X37">
        <f>HYPERLINK("https://klasma.github.io/Logging_1980/tillsyn/A 52016-2019 tillsynsbegäran.docx", "A 52016-2019")</f>
        <v/>
      </c>
      <c r="Y37">
        <f>HYPERLINK("https://klasma.github.io/Logging_1980/tillsynsmail/A 52016-2019 tillsynsbegäran mail.docx", "A 52016-2019")</f>
        <v/>
      </c>
    </row>
    <row r="38" ht="15" customHeight="1">
      <c r="A38" t="inlineStr">
        <is>
          <t>A 22907-2023</t>
        </is>
      </c>
      <c r="B38" s="1" t="n">
        <v>45070</v>
      </c>
      <c r="C38" s="1" t="n">
        <v>45724</v>
      </c>
      <c r="D38" t="inlineStr">
        <is>
          <t>VÄSTMANLANDS LÄN</t>
        </is>
      </c>
      <c r="E38" t="inlineStr">
        <is>
          <t>SURAHAMMAR</t>
        </is>
      </c>
      <c r="F38" t="inlineStr">
        <is>
          <t>Bergvik skog väst AB</t>
        </is>
      </c>
      <c r="G38" t="n">
        <v>8.300000000000001</v>
      </c>
      <c r="H38" t="n">
        <v>6</v>
      </c>
      <c r="I38" t="n">
        <v>1</v>
      </c>
      <c r="J38" t="n">
        <v>4</v>
      </c>
      <c r="K38" t="n">
        <v>0</v>
      </c>
      <c r="L38" t="n">
        <v>0</v>
      </c>
      <c r="M38" t="n">
        <v>0</v>
      </c>
      <c r="N38" t="n">
        <v>0</v>
      </c>
      <c r="O38" t="n">
        <v>4</v>
      </c>
      <c r="P38" t="n">
        <v>0</v>
      </c>
      <c r="Q38" t="n">
        <v>9</v>
      </c>
      <c r="R38" s="2" t="inlineStr">
        <is>
          <t>Slåtterfibbla
Spillkråka
Svinrot
Talltita
Barkticka
Fläcknycklar
Grönvit nattviol
Mattlummer
Revlummer</t>
        </is>
      </c>
      <c r="S38">
        <f>HYPERLINK("https://klasma.github.io/Logging_1907/artfynd/A 22907-2023 artfynd.xlsx", "A 22907-2023")</f>
        <v/>
      </c>
      <c r="T38">
        <f>HYPERLINK("https://klasma.github.io/Logging_1907/kartor/A 22907-2023 karta.png", "A 22907-2023")</f>
        <v/>
      </c>
      <c r="V38">
        <f>HYPERLINK("https://klasma.github.io/Logging_1907/klagomål/A 22907-2023 FSC-klagomål.docx", "A 22907-2023")</f>
        <v/>
      </c>
      <c r="W38">
        <f>HYPERLINK("https://klasma.github.io/Logging_1907/klagomålsmail/A 22907-2023 FSC-klagomål mail.docx", "A 22907-2023")</f>
        <v/>
      </c>
      <c r="X38">
        <f>HYPERLINK("https://klasma.github.io/Logging_1907/tillsyn/A 22907-2023 tillsynsbegäran.docx", "A 22907-2023")</f>
        <v/>
      </c>
      <c r="Y38">
        <f>HYPERLINK("https://klasma.github.io/Logging_1907/tillsynsmail/A 22907-2023 tillsynsbegäran mail.docx", "A 22907-2023")</f>
        <v/>
      </c>
      <c r="Z38">
        <f>HYPERLINK("https://klasma.github.io/Logging_1907/fåglar/A 22907-2023 prioriterade fågelarter.docx", "A 22907-2023")</f>
        <v/>
      </c>
    </row>
    <row r="39" ht="15" customHeight="1">
      <c r="A39" t="inlineStr">
        <is>
          <t>A 23039-2023</t>
        </is>
      </c>
      <c r="B39" s="1" t="n">
        <v>45074</v>
      </c>
      <c r="C39" s="1" t="n">
        <v>45724</v>
      </c>
      <c r="D39" t="inlineStr">
        <is>
          <t>VÄSTMANLANDS LÄN</t>
        </is>
      </c>
      <c r="E39" t="inlineStr">
        <is>
          <t>SURAHAMMAR</t>
        </is>
      </c>
      <c r="F39" t="inlineStr">
        <is>
          <t>Allmännings- och besparingsskogar</t>
        </is>
      </c>
      <c r="G39" t="n">
        <v>19.4</v>
      </c>
      <c r="H39" t="n">
        <v>8</v>
      </c>
      <c r="I39" t="n">
        <v>2</v>
      </c>
      <c r="J39" t="n">
        <v>1</v>
      </c>
      <c r="K39" t="n">
        <v>1</v>
      </c>
      <c r="L39" t="n">
        <v>0</v>
      </c>
      <c r="M39" t="n">
        <v>0</v>
      </c>
      <c r="N39" t="n">
        <v>0</v>
      </c>
      <c r="O39" t="n">
        <v>2</v>
      </c>
      <c r="P39" t="n">
        <v>1</v>
      </c>
      <c r="Q39" t="n">
        <v>9</v>
      </c>
      <c r="R39" s="2" t="inlineStr">
        <is>
          <t>Knärot
Spillkråka
Grönpyrola
Plattlummer
Nattskärra
Åkergroda
Fläcknycklar
Mattlummer
Revlummer</t>
        </is>
      </c>
      <c r="S39">
        <f>HYPERLINK("https://klasma.github.io/Logging_1907/artfynd/A 23039-2023 artfynd.xlsx", "A 23039-2023")</f>
        <v/>
      </c>
      <c r="T39">
        <f>HYPERLINK("https://klasma.github.io/Logging_1907/kartor/A 23039-2023 karta.png", "A 23039-2023")</f>
        <v/>
      </c>
      <c r="U39">
        <f>HYPERLINK("https://klasma.github.io/Logging_1907/knärot/A 23039-2023 karta knärot.png", "A 23039-2023")</f>
        <v/>
      </c>
      <c r="V39">
        <f>HYPERLINK("https://klasma.github.io/Logging_1907/klagomål/A 23039-2023 FSC-klagomål.docx", "A 23039-2023")</f>
        <v/>
      </c>
      <c r="W39">
        <f>HYPERLINK("https://klasma.github.io/Logging_1907/klagomålsmail/A 23039-2023 FSC-klagomål mail.docx", "A 23039-2023")</f>
        <v/>
      </c>
      <c r="X39">
        <f>HYPERLINK("https://klasma.github.io/Logging_1907/tillsyn/A 23039-2023 tillsynsbegäran.docx", "A 23039-2023")</f>
        <v/>
      </c>
      <c r="Y39">
        <f>HYPERLINK("https://klasma.github.io/Logging_1907/tillsynsmail/A 23039-2023 tillsynsbegäran mail.docx", "A 23039-2023")</f>
        <v/>
      </c>
      <c r="Z39">
        <f>HYPERLINK("https://klasma.github.io/Logging_1907/fåglar/A 23039-2023 prioriterade fågelarter.docx", "A 23039-2023")</f>
        <v/>
      </c>
    </row>
    <row r="40" ht="15" customHeight="1">
      <c r="A40" t="inlineStr">
        <is>
          <t>A 33878-2019</t>
        </is>
      </c>
      <c r="B40" s="1" t="n">
        <v>43653</v>
      </c>
      <c r="C40" s="1" t="n">
        <v>45724</v>
      </c>
      <c r="D40" t="inlineStr">
        <is>
          <t>VÄSTMANLANDS LÄN</t>
        </is>
      </c>
      <c r="E40" t="inlineStr">
        <is>
          <t>SURAHAMMAR</t>
        </is>
      </c>
      <c r="F40" t="inlineStr">
        <is>
          <t>Kyrkan</t>
        </is>
      </c>
      <c r="G40" t="n">
        <v>0.7</v>
      </c>
      <c r="H40" t="n">
        <v>2</v>
      </c>
      <c r="I40" t="n">
        <v>5</v>
      </c>
      <c r="J40" t="n">
        <v>2</v>
      </c>
      <c r="K40" t="n">
        <v>0</v>
      </c>
      <c r="L40" t="n">
        <v>0</v>
      </c>
      <c r="M40" t="n">
        <v>0</v>
      </c>
      <c r="N40" t="n">
        <v>0</v>
      </c>
      <c r="O40" t="n">
        <v>2</v>
      </c>
      <c r="P40" t="n">
        <v>0</v>
      </c>
      <c r="Q40" t="n">
        <v>8</v>
      </c>
      <c r="R40" s="2" t="inlineStr">
        <is>
          <t>Sotnätfjäril
Spillkråka
Bollvitmossa
Kornig nållav
Stubbspretmossa
Svart trolldruva
Vårärt
Blåsippa</t>
        </is>
      </c>
      <c r="S40">
        <f>HYPERLINK("https://klasma.github.io/Logging_1907/artfynd/A 33878-2019 artfynd.xlsx", "A 33878-2019")</f>
        <v/>
      </c>
      <c r="T40">
        <f>HYPERLINK("https://klasma.github.io/Logging_1907/kartor/A 33878-2019 karta.png", "A 33878-2019")</f>
        <v/>
      </c>
      <c r="V40">
        <f>HYPERLINK("https://klasma.github.io/Logging_1907/klagomål/A 33878-2019 FSC-klagomål.docx", "A 33878-2019")</f>
        <v/>
      </c>
      <c r="W40">
        <f>HYPERLINK("https://klasma.github.io/Logging_1907/klagomålsmail/A 33878-2019 FSC-klagomål mail.docx", "A 33878-2019")</f>
        <v/>
      </c>
      <c r="X40">
        <f>HYPERLINK("https://klasma.github.io/Logging_1907/tillsyn/A 33878-2019 tillsynsbegäran.docx", "A 33878-2019")</f>
        <v/>
      </c>
      <c r="Y40">
        <f>HYPERLINK("https://klasma.github.io/Logging_1907/tillsynsmail/A 33878-2019 tillsynsbegäran mail.docx", "A 33878-2019")</f>
        <v/>
      </c>
      <c r="Z40">
        <f>HYPERLINK("https://klasma.github.io/Logging_1907/fåglar/A 33878-2019 prioriterade fågelarter.docx", "A 33878-2019")</f>
        <v/>
      </c>
    </row>
    <row r="41" ht="15" customHeight="1">
      <c r="A41" t="inlineStr">
        <is>
          <t>A 40495-2024</t>
        </is>
      </c>
      <c r="B41" s="1" t="n">
        <v>45555</v>
      </c>
      <c r="C41" s="1" t="n">
        <v>45724</v>
      </c>
      <c r="D41" t="inlineStr">
        <is>
          <t>VÄSTMANLANDS LÄN</t>
        </is>
      </c>
      <c r="E41" t="inlineStr">
        <is>
          <t>SALA</t>
        </is>
      </c>
      <c r="G41" t="n">
        <v>3.1</v>
      </c>
      <c r="H41" t="n">
        <v>1</v>
      </c>
      <c r="I41" t="n">
        <v>3</v>
      </c>
      <c r="J41" t="n">
        <v>4</v>
      </c>
      <c r="K41" t="n">
        <v>1</v>
      </c>
      <c r="L41" t="n">
        <v>0</v>
      </c>
      <c r="M41" t="n">
        <v>0</v>
      </c>
      <c r="N41" t="n">
        <v>0</v>
      </c>
      <c r="O41" t="n">
        <v>5</v>
      </c>
      <c r="P41" t="n">
        <v>1</v>
      </c>
      <c r="Q41" t="n">
        <v>8</v>
      </c>
      <c r="R41" s="2" t="inlineStr">
        <is>
          <t>Knärot
Asppraktbagge
Skorpgelélav
Veckticka
Vedskivlav
Blåmossa
Bronshjon
Dropptaggsvamp</t>
        </is>
      </c>
      <c r="S41">
        <f>HYPERLINK("https://klasma.github.io/Logging_1981/artfynd/A 40495-2024 artfynd.xlsx", "A 40495-2024")</f>
        <v/>
      </c>
      <c r="T41">
        <f>HYPERLINK("https://klasma.github.io/Logging_1981/kartor/A 40495-2024 karta.png", "A 40495-2024")</f>
        <v/>
      </c>
      <c r="U41">
        <f>HYPERLINK("https://klasma.github.io/Logging_1981/knärot/A 40495-2024 karta knärot.png", "A 40495-2024")</f>
        <v/>
      </c>
      <c r="V41">
        <f>HYPERLINK("https://klasma.github.io/Logging_1981/klagomål/A 40495-2024 FSC-klagomål.docx", "A 40495-2024")</f>
        <v/>
      </c>
      <c r="W41">
        <f>HYPERLINK("https://klasma.github.io/Logging_1981/klagomålsmail/A 40495-2024 FSC-klagomål mail.docx", "A 40495-2024")</f>
        <v/>
      </c>
      <c r="X41">
        <f>HYPERLINK("https://klasma.github.io/Logging_1981/tillsyn/A 40495-2024 tillsynsbegäran.docx", "A 40495-2024")</f>
        <v/>
      </c>
      <c r="Y41">
        <f>HYPERLINK("https://klasma.github.io/Logging_1981/tillsynsmail/A 40495-2024 tillsynsbegäran mail.docx", "A 40495-2024")</f>
        <v/>
      </c>
    </row>
    <row r="42" ht="15" customHeight="1">
      <c r="A42" t="inlineStr">
        <is>
          <t>A 22765-2019</t>
        </is>
      </c>
      <c r="B42" s="1" t="n">
        <v>43588</v>
      </c>
      <c r="C42" s="1" t="n">
        <v>45724</v>
      </c>
      <c r="D42" t="inlineStr">
        <is>
          <t>VÄSTMANLANDS LÄN</t>
        </is>
      </c>
      <c r="E42" t="inlineStr">
        <is>
          <t>VÄSTERÅS</t>
        </is>
      </c>
      <c r="G42" t="n">
        <v>14.2</v>
      </c>
      <c r="H42" t="n">
        <v>0</v>
      </c>
      <c r="I42" t="n">
        <v>2</v>
      </c>
      <c r="J42" t="n">
        <v>3</v>
      </c>
      <c r="K42" t="n">
        <v>0</v>
      </c>
      <c r="L42" t="n">
        <v>1</v>
      </c>
      <c r="M42" t="n">
        <v>1</v>
      </c>
      <c r="N42" t="n">
        <v>0</v>
      </c>
      <c r="O42" t="n">
        <v>5</v>
      </c>
      <c r="P42" t="n">
        <v>2</v>
      </c>
      <c r="Q42" t="n">
        <v>7</v>
      </c>
      <c r="R42" s="2" t="inlineStr">
        <is>
          <t>Skogsalm
Ask
Aspstumpbagge
Björkstumpbagge
Tallticka
Blomkålssvamp
Blåmossa</t>
        </is>
      </c>
      <c r="S42">
        <f>HYPERLINK("https://klasma.github.io/Logging_1980/artfynd/A 22765-2019 artfynd.xlsx", "A 22765-2019")</f>
        <v/>
      </c>
      <c r="T42">
        <f>HYPERLINK("https://klasma.github.io/Logging_1980/kartor/A 22765-2019 karta.png", "A 22765-2019")</f>
        <v/>
      </c>
      <c r="V42">
        <f>HYPERLINK("https://klasma.github.io/Logging_1980/klagomål/A 22765-2019 FSC-klagomål.docx", "A 22765-2019")</f>
        <v/>
      </c>
      <c r="W42">
        <f>HYPERLINK("https://klasma.github.io/Logging_1980/klagomålsmail/A 22765-2019 FSC-klagomål mail.docx", "A 22765-2019")</f>
        <v/>
      </c>
      <c r="X42">
        <f>HYPERLINK("https://klasma.github.io/Logging_1980/tillsyn/A 22765-2019 tillsynsbegäran.docx", "A 22765-2019")</f>
        <v/>
      </c>
      <c r="Y42">
        <f>HYPERLINK("https://klasma.github.io/Logging_1980/tillsynsmail/A 22765-2019 tillsynsbegäran mail.docx", "A 22765-2019")</f>
        <v/>
      </c>
    </row>
    <row r="43" ht="15" customHeight="1">
      <c r="A43" t="inlineStr">
        <is>
          <t>A 68939-2021</t>
        </is>
      </c>
      <c r="B43" s="1" t="n">
        <v>44530</v>
      </c>
      <c r="C43" s="1" t="n">
        <v>45724</v>
      </c>
      <c r="D43" t="inlineStr">
        <is>
          <t>VÄSTMANLANDS LÄN</t>
        </is>
      </c>
      <c r="E43" t="inlineStr">
        <is>
          <t>ARBOGA</t>
        </is>
      </c>
      <c r="F43" t="inlineStr">
        <is>
          <t>Kommuner</t>
        </is>
      </c>
      <c r="G43" t="n">
        <v>10</v>
      </c>
      <c r="H43" t="n">
        <v>7</v>
      </c>
      <c r="I43" t="n">
        <v>0</v>
      </c>
      <c r="J43" t="n">
        <v>1</v>
      </c>
      <c r="K43" t="n">
        <v>2</v>
      </c>
      <c r="L43" t="n">
        <v>0</v>
      </c>
      <c r="M43" t="n">
        <v>0</v>
      </c>
      <c r="N43" t="n">
        <v>0</v>
      </c>
      <c r="O43" t="n">
        <v>3</v>
      </c>
      <c r="P43" t="n">
        <v>2</v>
      </c>
      <c r="Q43" t="n">
        <v>7</v>
      </c>
      <c r="R43" s="2" t="inlineStr">
        <is>
          <t>Hussvala
Stare
Gulsparv
Grönsiska
Järnsparv
Kungsfågel
Trana</t>
        </is>
      </c>
      <c r="S43">
        <f>HYPERLINK("https://klasma.github.io/Logging_1984/artfynd/A 68939-2021 artfynd.xlsx", "A 68939-2021")</f>
        <v/>
      </c>
      <c r="T43">
        <f>HYPERLINK("https://klasma.github.io/Logging_1984/kartor/A 68939-2021 karta.png", "A 68939-2021")</f>
        <v/>
      </c>
      <c r="V43">
        <f>HYPERLINK("https://klasma.github.io/Logging_1984/klagomål/A 68939-2021 FSC-klagomål.docx", "A 68939-2021")</f>
        <v/>
      </c>
      <c r="W43">
        <f>HYPERLINK("https://klasma.github.io/Logging_1984/klagomålsmail/A 68939-2021 FSC-klagomål mail.docx", "A 68939-2021")</f>
        <v/>
      </c>
      <c r="X43">
        <f>HYPERLINK("https://klasma.github.io/Logging_1984/tillsyn/A 68939-2021 tillsynsbegäran.docx", "A 68939-2021")</f>
        <v/>
      </c>
      <c r="Y43">
        <f>HYPERLINK("https://klasma.github.io/Logging_1984/tillsynsmail/A 68939-2021 tillsynsbegäran mail.docx", "A 68939-2021")</f>
        <v/>
      </c>
      <c r="Z43">
        <f>HYPERLINK("https://klasma.github.io/Logging_1984/fåglar/A 68939-2021 prioriterade fågelarter.docx", "A 68939-2021")</f>
        <v/>
      </c>
    </row>
    <row r="44" ht="15" customHeight="1">
      <c r="A44" t="inlineStr">
        <is>
          <t>A 62039-2023</t>
        </is>
      </c>
      <c r="B44" s="1" t="n">
        <v>45265</v>
      </c>
      <c r="C44" s="1" t="n">
        <v>45724</v>
      </c>
      <c r="D44" t="inlineStr">
        <is>
          <t>VÄSTMANLANDS LÄN</t>
        </is>
      </c>
      <c r="E44" t="inlineStr">
        <is>
          <t>KUNGSÖR</t>
        </is>
      </c>
      <c r="G44" t="n">
        <v>20.2</v>
      </c>
      <c r="H44" t="n">
        <v>3</v>
      </c>
      <c r="I44" t="n">
        <v>3</v>
      </c>
      <c r="J44" t="n">
        <v>2</v>
      </c>
      <c r="K44" t="n">
        <v>0</v>
      </c>
      <c r="L44" t="n">
        <v>0</v>
      </c>
      <c r="M44" t="n">
        <v>0</v>
      </c>
      <c r="N44" t="n">
        <v>0</v>
      </c>
      <c r="O44" t="n">
        <v>2</v>
      </c>
      <c r="P44" t="n">
        <v>0</v>
      </c>
      <c r="Q44" t="n">
        <v>7</v>
      </c>
      <c r="R44" s="2" t="inlineStr">
        <is>
          <t>Spillkråka
Ullticka
Björksplintborre
Mindre märgborre
Vågbandad barkbock
Vanlig groda
Blåsippa</t>
        </is>
      </c>
      <c r="S44">
        <f>HYPERLINK("https://klasma.github.io/Logging_1960/artfynd/A 62039-2023 artfynd.xlsx", "A 62039-2023")</f>
        <v/>
      </c>
      <c r="T44">
        <f>HYPERLINK("https://klasma.github.io/Logging_1960/kartor/A 62039-2023 karta.png", "A 62039-2023")</f>
        <v/>
      </c>
      <c r="V44">
        <f>HYPERLINK("https://klasma.github.io/Logging_1960/klagomål/A 62039-2023 FSC-klagomål.docx", "A 62039-2023")</f>
        <v/>
      </c>
      <c r="W44">
        <f>HYPERLINK("https://klasma.github.io/Logging_1960/klagomålsmail/A 62039-2023 FSC-klagomål mail.docx", "A 62039-2023")</f>
        <v/>
      </c>
      <c r="X44">
        <f>HYPERLINK("https://klasma.github.io/Logging_1960/tillsyn/A 62039-2023 tillsynsbegäran.docx", "A 62039-2023")</f>
        <v/>
      </c>
      <c r="Y44">
        <f>HYPERLINK("https://klasma.github.io/Logging_1960/tillsynsmail/A 62039-2023 tillsynsbegäran mail.docx", "A 62039-2023")</f>
        <v/>
      </c>
      <c r="Z44">
        <f>HYPERLINK("https://klasma.github.io/Logging_1960/fåglar/A 62039-2023 prioriterade fågelarter.docx", "A 62039-2023")</f>
        <v/>
      </c>
    </row>
    <row r="45" ht="15" customHeight="1">
      <c r="A45" t="inlineStr">
        <is>
          <t>A 7772-2024</t>
        </is>
      </c>
      <c r="B45" s="1" t="n">
        <v>45349</v>
      </c>
      <c r="C45" s="1" t="n">
        <v>45724</v>
      </c>
      <c r="D45" t="inlineStr">
        <is>
          <t>VÄSTMANLANDS LÄN</t>
        </is>
      </c>
      <c r="E45" t="inlineStr">
        <is>
          <t>KUNGSÖR</t>
        </is>
      </c>
      <c r="G45" t="n">
        <v>21</v>
      </c>
      <c r="H45" t="n">
        <v>4</v>
      </c>
      <c r="I45" t="n">
        <v>2</v>
      </c>
      <c r="J45" t="n">
        <v>3</v>
      </c>
      <c r="K45" t="n">
        <v>0</v>
      </c>
      <c r="L45" t="n">
        <v>0</v>
      </c>
      <c r="M45" t="n">
        <v>0</v>
      </c>
      <c r="N45" t="n">
        <v>0</v>
      </c>
      <c r="O45" t="n">
        <v>3</v>
      </c>
      <c r="P45" t="n">
        <v>0</v>
      </c>
      <c r="Q45" t="n">
        <v>7</v>
      </c>
      <c r="R45" s="2" t="inlineStr">
        <is>
          <t>Björktrast
Spillkråka
Ullticka
Björksplintborre
Mindre märgborre
Vanlig groda
Blåsippa</t>
        </is>
      </c>
      <c r="S45">
        <f>HYPERLINK("https://klasma.github.io/Logging_1960/artfynd/A 7772-2024 artfynd.xlsx", "A 7772-2024")</f>
        <v/>
      </c>
      <c r="T45">
        <f>HYPERLINK("https://klasma.github.io/Logging_1960/kartor/A 7772-2024 karta.png", "A 7772-2024")</f>
        <v/>
      </c>
      <c r="V45">
        <f>HYPERLINK("https://klasma.github.io/Logging_1960/klagomål/A 7772-2024 FSC-klagomål.docx", "A 7772-2024")</f>
        <v/>
      </c>
      <c r="W45">
        <f>HYPERLINK("https://klasma.github.io/Logging_1960/klagomålsmail/A 7772-2024 FSC-klagomål mail.docx", "A 7772-2024")</f>
        <v/>
      </c>
      <c r="X45">
        <f>HYPERLINK("https://klasma.github.io/Logging_1960/tillsyn/A 7772-2024 tillsynsbegäran.docx", "A 7772-2024")</f>
        <v/>
      </c>
      <c r="Y45">
        <f>HYPERLINK("https://klasma.github.io/Logging_1960/tillsynsmail/A 7772-2024 tillsynsbegäran mail.docx", "A 7772-2024")</f>
        <v/>
      </c>
      <c r="Z45">
        <f>HYPERLINK("https://klasma.github.io/Logging_1960/fåglar/A 7772-2024 prioriterade fågelarter.docx", "A 7772-2024")</f>
        <v/>
      </c>
    </row>
    <row r="46" ht="15" customHeight="1">
      <c r="A46" t="inlineStr">
        <is>
          <t>A 31125-2024</t>
        </is>
      </c>
      <c r="B46" s="1" t="n">
        <v>45502</v>
      </c>
      <c r="C46" s="1" t="n">
        <v>45724</v>
      </c>
      <c r="D46" t="inlineStr">
        <is>
          <t>VÄSTMANLANDS LÄN</t>
        </is>
      </c>
      <c r="E46" t="inlineStr">
        <is>
          <t>SURAHAMMAR</t>
        </is>
      </c>
      <c r="G46" t="n">
        <v>5.3</v>
      </c>
      <c r="H46" t="n">
        <v>2</v>
      </c>
      <c r="I46" t="n">
        <v>3</v>
      </c>
      <c r="J46" t="n">
        <v>1</v>
      </c>
      <c r="K46" t="n">
        <v>2</v>
      </c>
      <c r="L46" t="n">
        <v>0</v>
      </c>
      <c r="M46" t="n">
        <v>0</v>
      </c>
      <c r="N46" t="n">
        <v>0</v>
      </c>
      <c r="O46" t="n">
        <v>3</v>
      </c>
      <c r="P46" t="n">
        <v>2</v>
      </c>
      <c r="Q46" t="n">
        <v>7</v>
      </c>
      <c r="R46" s="2" t="inlineStr">
        <is>
          <t>Bombmurkla
Vågticka
Veckticka
Barkticka
Gulnål
Svart trolldruva
Blåsippa</t>
        </is>
      </c>
      <c r="S46">
        <f>HYPERLINK("https://klasma.github.io/Logging_1907/artfynd/A 31125-2024 artfynd.xlsx", "A 31125-2024")</f>
        <v/>
      </c>
      <c r="T46">
        <f>HYPERLINK("https://klasma.github.io/Logging_1907/kartor/A 31125-2024 karta.png", "A 31125-2024")</f>
        <v/>
      </c>
      <c r="V46">
        <f>HYPERLINK("https://klasma.github.io/Logging_1907/klagomål/A 31125-2024 FSC-klagomål.docx", "A 31125-2024")</f>
        <v/>
      </c>
      <c r="W46">
        <f>HYPERLINK("https://klasma.github.io/Logging_1907/klagomålsmail/A 31125-2024 FSC-klagomål mail.docx", "A 31125-2024")</f>
        <v/>
      </c>
      <c r="X46">
        <f>HYPERLINK("https://klasma.github.io/Logging_1907/tillsyn/A 31125-2024 tillsynsbegäran.docx", "A 31125-2024")</f>
        <v/>
      </c>
      <c r="Y46">
        <f>HYPERLINK("https://klasma.github.io/Logging_1907/tillsynsmail/A 31125-2024 tillsynsbegäran mail.docx", "A 31125-2024")</f>
        <v/>
      </c>
    </row>
    <row r="47" ht="15" customHeight="1">
      <c r="A47" t="inlineStr">
        <is>
          <t>A 39293-2024</t>
        </is>
      </c>
      <c r="B47" s="1" t="n">
        <v>45551</v>
      </c>
      <c r="C47" s="1" t="n">
        <v>45724</v>
      </c>
      <c r="D47" t="inlineStr">
        <is>
          <t>VÄSTMANLANDS LÄN</t>
        </is>
      </c>
      <c r="E47" t="inlineStr">
        <is>
          <t>KÖPING</t>
        </is>
      </c>
      <c r="G47" t="n">
        <v>19.2</v>
      </c>
      <c r="H47" t="n">
        <v>2</v>
      </c>
      <c r="I47" t="n">
        <v>4</v>
      </c>
      <c r="J47" t="n">
        <v>2</v>
      </c>
      <c r="K47" t="n">
        <v>0</v>
      </c>
      <c r="L47" t="n">
        <v>0</v>
      </c>
      <c r="M47" t="n">
        <v>0</v>
      </c>
      <c r="N47" t="n">
        <v>0</v>
      </c>
      <c r="O47" t="n">
        <v>2</v>
      </c>
      <c r="P47" t="n">
        <v>0</v>
      </c>
      <c r="Q47" t="n">
        <v>7</v>
      </c>
      <c r="R47" s="2" t="inlineStr">
        <is>
          <t>Motaggsvamp
Spillkråka
Blodticka
Dropptaggsvamp
Grönpyrola
Mindre märgborre
Fläcknycklar</t>
        </is>
      </c>
      <c r="S47">
        <f>HYPERLINK("https://klasma.github.io/Logging_1983/artfynd/A 39293-2024 artfynd.xlsx", "A 39293-2024")</f>
        <v/>
      </c>
      <c r="T47">
        <f>HYPERLINK("https://klasma.github.io/Logging_1983/kartor/A 39293-2024 karta.png", "A 39293-2024")</f>
        <v/>
      </c>
      <c r="V47">
        <f>HYPERLINK("https://klasma.github.io/Logging_1983/klagomål/A 39293-2024 FSC-klagomål.docx", "A 39293-2024")</f>
        <v/>
      </c>
      <c r="W47">
        <f>HYPERLINK("https://klasma.github.io/Logging_1983/klagomålsmail/A 39293-2024 FSC-klagomål mail.docx", "A 39293-2024")</f>
        <v/>
      </c>
      <c r="X47">
        <f>HYPERLINK("https://klasma.github.io/Logging_1983/tillsyn/A 39293-2024 tillsynsbegäran.docx", "A 39293-2024")</f>
        <v/>
      </c>
      <c r="Y47">
        <f>HYPERLINK("https://klasma.github.io/Logging_1983/tillsynsmail/A 39293-2024 tillsynsbegäran mail.docx", "A 39293-2024")</f>
        <v/>
      </c>
      <c r="Z47">
        <f>HYPERLINK("https://klasma.github.io/Logging_1983/fåglar/A 39293-2024 prioriterade fågelarter.docx", "A 39293-2024")</f>
        <v/>
      </c>
    </row>
    <row r="48" ht="15" customHeight="1">
      <c r="A48" t="inlineStr">
        <is>
          <t>A 9092-2025</t>
        </is>
      </c>
      <c r="B48" s="1" t="n">
        <v>45713</v>
      </c>
      <c r="C48" s="1" t="n">
        <v>45724</v>
      </c>
      <c r="D48" t="inlineStr">
        <is>
          <t>VÄSTMANLANDS LÄN</t>
        </is>
      </c>
      <c r="E48" t="inlineStr">
        <is>
          <t>SALA</t>
        </is>
      </c>
      <c r="G48" t="n">
        <v>11</v>
      </c>
      <c r="H48" t="n">
        <v>0</v>
      </c>
      <c r="I48" t="n">
        <v>2</v>
      </c>
      <c r="J48" t="n">
        <v>2</v>
      </c>
      <c r="K48" t="n">
        <v>2</v>
      </c>
      <c r="L48" t="n">
        <v>1</v>
      </c>
      <c r="M48" t="n">
        <v>0</v>
      </c>
      <c r="N48" t="n">
        <v>0</v>
      </c>
      <c r="O48" t="n">
        <v>5</v>
      </c>
      <c r="P48" t="n">
        <v>3</v>
      </c>
      <c r="Q48" t="n">
        <v>7</v>
      </c>
      <c r="R48" s="2" t="inlineStr">
        <is>
          <t>Ask
Grangråticka
Gyllenspindling
Dofttaggsvamp
Orange taggsvamp
Anisspindling
Fjällig taggsvamp s.str.</t>
        </is>
      </c>
      <c r="S48">
        <f>HYPERLINK("https://klasma.github.io/Logging_1981/artfynd/A 9092-2025 artfynd.xlsx", "A 9092-2025")</f>
        <v/>
      </c>
      <c r="T48">
        <f>HYPERLINK("https://klasma.github.io/Logging_1981/kartor/A 9092-2025 karta.png", "A 9092-2025")</f>
        <v/>
      </c>
      <c r="V48">
        <f>HYPERLINK("https://klasma.github.io/Logging_1981/klagomål/A 9092-2025 FSC-klagomål.docx", "A 9092-2025")</f>
        <v/>
      </c>
      <c r="W48">
        <f>HYPERLINK("https://klasma.github.io/Logging_1981/klagomålsmail/A 9092-2025 FSC-klagomål mail.docx", "A 9092-2025")</f>
        <v/>
      </c>
      <c r="X48">
        <f>HYPERLINK("https://klasma.github.io/Logging_1981/tillsyn/A 9092-2025 tillsynsbegäran.docx", "A 9092-2025")</f>
        <v/>
      </c>
      <c r="Y48">
        <f>HYPERLINK("https://klasma.github.io/Logging_1981/tillsynsmail/A 9092-2025 tillsynsbegäran mail.docx", "A 9092-2025")</f>
        <v/>
      </c>
    </row>
    <row r="49" ht="15" customHeight="1">
      <c r="A49" t="inlineStr">
        <is>
          <t>A 31163-2019</t>
        </is>
      </c>
      <c r="B49" s="1" t="n">
        <v>43640</v>
      </c>
      <c r="C49" s="1" t="n">
        <v>45724</v>
      </c>
      <c r="D49" t="inlineStr">
        <is>
          <t>VÄSTMANLANDS LÄN</t>
        </is>
      </c>
      <c r="E49" t="inlineStr">
        <is>
          <t>SALA</t>
        </is>
      </c>
      <c r="G49" t="n">
        <v>9.699999999999999</v>
      </c>
      <c r="H49" t="n">
        <v>2</v>
      </c>
      <c r="I49" t="n">
        <v>3</v>
      </c>
      <c r="J49" t="n">
        <v>1</v>
      </c>
      <c r="K49" t="n">
        <v>1</v>
      </c>
      <c r="L49" t="n">
        <v>0</v>
      </c>
      <c r="M49" t="n">
        <v>0</v>
      </c>
      <c r="N49" t="n">
        <v>0</v>
      </c>
      <c r="O49" t="n">
        <v>2</v>
      </c>
      <c r="P49" t="n">
        <v>1</v>
      </c>
      <c r="Q49" t="n">
        <v>6</v>
      </c>
      <c r="R49" s="2" t="inlineStr">
        <is>
          <t>Knärot
Ullticka
Bronshjon
Dropptaggsvamp
Vedticka
Mattlummer</t>
        </is>
      </c>
      <c r="S49">
        <f>HYPERLINK("https://klasma.github.io/Logging_1981/artfynd/A 31163-2019 artfynd.xlsx", "A 31163-2019")</f>
        <v/>
      </c>
      <c r="T49">
        <f>HYPERLINK("https://klasma.github.io/Logging_1981/kartor/A 31163-2019 karta.png", "A 31163-2019")</f>
        <v/>
      </c>
      <c r="U49">
        <f>HYPERLINK("https://klasma.github.io/Logging_1981/knärot/A 31163-2019 karta knärot.png", "A 31163-2019")</f>
        <v/>
      </c>
      <c r="V49">
        <f>HYPERLINK("https://klasma.github.io/Logging_1981/klagomål/A 31163-2019 FSC-klagomål.docx", "A 31163-2019")</f>
        <v/>
      </c>
      <c r="W49">
        <f>HYPERLINK("https://klasma.github.io/Logging_1981/klagomålsmail/A 31163-2019 FSC-klagomål mail.docx", "A 31163-2019")</f>
        <v/>
      </c>
      <c r="X49">
        <f>HYPERLINK("https://klasma.github.io/Logging_1981/tillsyn/A 31163-2019 tillsynsbegäran.docx", "A 31163-2019")</f>
        <v/>
      </c>
      <c r="Y49">
        <f>HYPERLINK("https://klasma.github.io/Logging_1981/tillsynsmail/A 31163-2019 tillsynsbegäran mail.docx", "A 31163-2019")</f>
        <v/>
      </c>
    </row>
    <row r="50" ht="15" customHeight="1">
      <c r="A50" t="inlineStr">
        <is>
          <t>A 33529-2021</t>
        </is>
      </c>
      <c r="B50" s="1" t="n">
        <v>44377</v>
      </c>
      <c r="C50" s="1" t="n">
        <v>45724</v>
      </c>
      <c r="D50" t="inlineStr">
        <is>
          <t>VÄSTMANLANDS LÄN</t>
        </is>
      </c>
      <c r="E50" t="inlineStr">
        <is>
          <t>KÖPING</t>
        </is>
      </c>
      <c r="G50" t="n">
        <v>5.3</v>
      </c>
      <c r="H50" t="n">
        <v>1</v>
      </c>
      <c r="I50" t="n">
        <v>1</v>
      </c>
      <c r="J50" t="n">
        <v>4</v>
      </c>
      <c r="K50" t="n">
        <v>1</v>
      </c>
      <c r="L50" t="n">
        <v>0</v>
      </c>
      <c r="M50" t="n">
        <v>0</v>
      </c>
      <c r="N50" t="n">
        <v>0</v>
      </c>
      <c r="O50" t="n">
        <v>5</v>
      </c>
      <c r="P50" t="n">
        <v>1</v>
      </c>
      <c r="Q50" t="n">
        <v>6</v>
      </c>
      <c r="R50" s="2" t="inlineStr">
        <is>
          <t>Knärot
Brunpudrad nållav
Dofttaggsvamp
Ullticka
Vedtrappmossa
Vedticka</t>
        </is>
      </c>
      <c r="S50">
        <f>HYPERLINK("https://klasma.github.io/Logging_1983/artfynd/A 33529-2021 artfynd.xlsx", "A 33529-2021")</f>
        <v/>
      </c>
      <c r="T50">
        <f>HYPERLINK("https://klasma.github.io/Logging_1983/kartor/A 33529-2021 karta.png", "A 33529-2021")</f>
        <v/>
      </c>
      <c r="U50">
        <f>HYPERLINK("https://klasma.github.io/Logging_1983/knärot/A 33529-2021 karta knärot.png", "A 33529-2021")</f>
        <v/>
      </c>
      <c r="V50">
        <f>HYPERLINK("https://klasma.github.io/Logging_1983/klagomål/A 33529-2021 FSC-klagomål.docx", "A 33529-2021")</f>
        <v/>
      </c>
      <c r="W50">
        <f>HYPERLINK("https://klasma.github.io/Logging_1983/klagomålsmail/A 33529-2021 FSC-klagomål mail.docx", "A 33529-2021")</f>
        <v/>
      </c>
      <c r="X50">
        <f>HYPERLINK("https://klasma.github.io/Logging_1983/tillsyn/A 33529-2021 tillsynsbegäran.docx", "A 33529-2021")</f>
        <v/>
      </c>
      <c r="Y50">
        <f>HYPERLINK("https://klasma.github.io/Logging_1983/tillsynsmail/A 33529-2021 tillsynsbegäran mail.docx", "A 33529-2021")</f>
        <v/>
      </c>
    </row>
    <row r="51" ht="15" customHeight="1">
      <c r="A51" t="inlineStr">
        <is>
          <t>A 38021-2021</t>
        </is>
      </c>
      <c r="B51" s="1" t="n">
        <v>44404</v>
      </c>
      <c r="C51" s="1" t="n">
        <v>45724</v>
      </c>
      <c r="D51" t="inlineStr">
        <is>
          <t>VÄSTMANLANDS LÄN</t>
        </is>
      </c>
      <c r="E51" t="inlineStr">
        <is>
          <t>SALA</t>
        </is>
      </c>
      <c r="G51" t="n">
        <v>8</v>
      </c>
      <c r="H51" t="n">
        <v>2</v>
      </c>
      <c r="I51" t="n">
        <v>0</v>
      </c>
      <c r="J51" t="n">
        <v>5</v>
      </c>
      <c r="K51" t="n">
        <v>1</v>
      </c>
      <c r="L51" t="n">
        <v>0</v>
      </c>
      <c r="M51" t="n">
        <v>0</v>
      </c>
      <c r="N51" t="n">
        <v>0</v>
      </c>
      <c r="O51" t="n">
        <v>6</v>
      </c>
      <c r="P51" t="n">
        <v>1</v>
      </c>
      <c r="Q51" t="n">
        <v>6</v>
      </c>
      <c r="R51" s="2" t="inlineStr">
        <is>
          <t>Knärot
Garnlav
Orange taggsvamp
Tallticka
Talltita
Ullticka</t>
        </is>
      </c>
      <c r="S51">
        <f>HYPERLINK("https://klasma.github.io/Logging_1981/artfynd/A 38021-2021 artfynd.xlsx", "A 38021-2021")</f>
        <v/>
      </c>
      <c r="T51">
        <f>HYPERLINK("https://klasma.github.io/Logging_1981/kartor/A 38021-2021 karta.png", "A 38021-2021")</f>
        <v/>
      </c>
      <c r="U51">
        <f>HYPERLINK("https://klasma.github.io/Logging_1981/knärot/A 38021-2021 karta knärot.png", "A 38021-2021")</f>
        <v/>
      </c>
      <c r="V51">
        <f>HYPERLINK("https://klasma.github.io/Logging_1981/klagomål/A 38021-2021 FSC-klagomål.docx", "A 38021-2021")</f>
        <v/>
      </c>
      <c r="W51">
        <f>HYPERLINK("https://klasma.github.io/Logging_1981/klagomålsmail/A 38021-2021 FSC-klagomål mail.docx", "A 38021-2021")</f>
        <v/>
      </c>
      <c r="X51">
        <f>HYPERLINK("https://klasma.github.io/Logging_1981/tillsyn/A 38021-2021 tillsynsbegäran.docx", "A 38021-2021")</f>
        <v/>
      </c>
      <c r="Y51">
        <f>HYPERLINK("https://klasma.github.io/Logging_1981/tillsynsmail/A 38021-2021 tillsynsbegäran mail.docx", "A 38021-2021")</f>
        <v/>
      </c>
      <c r="Z51">
        <f>HYPERLINK("https://klasma.github.io/Logging_1981/fåglar/A 38021-2021 prioriterade fågelarter.docx", "A 38021-2021")</f>
        <v/>
      </c>
    </row>
    <row r="52" ht="15" customHeight="1">
      <c r="A52" t="inlineStr">
        <is>
          <t>A 66349-2021</t>
        </is>
      </c>
      <c r="B52" s="1" t="n">
        <v>44518</v>
      </c>
      <c r="C52" s="1" t="n">
        <v>45724</v>
      </c>
      <c r="D52" t="inlineStr">
        <is>
          <t>VÄSTMANLANDS LÄN</t>
        </is>
      </c>
      <c r="E52" t="inlineStr">
        <is>
          <t>SURAHAMMAR</t>
        </is>
      </c>
      <c r="F52" t="inlineStr">
        <is>
          <t>Sveaskog</t>
        </is>
      </c>
      <c r="G52" t="n">
        <v>6</v>
      </c>
      <c r="H52" t="n">
        <v>3</v>
      </c>
      <c r="I52" t="n">
        <v>2</v>
      </c>
      <c r="J52" t="n">
        <v>3</v>
      </c>
      <c r="K52" t="n">
        <v>0</v>
      </c>
      <c r="L52" t="n">
        <v>0</v>
      </c>
      <c r="M52" t="n">
        <v>0</v>
      </c>
      <c r="N52" t="n">
        <v>0</v>
      </c>
      <c r="O52" t="n">
        <v>3</v>
      </c>
      <c r="P52" t="n">
        <v>0</v>
      </c>
      <c r="Q52" t="n">
        <v>6</v>
      </c>
      <c r="R52" s="2" t="inlineStr">
        <is>
          <t>Krusfrö
Spillkråka
Talltita
Björksplintborre
Bronshjon
Fläcknycklar</t>
        </is>
      </c>
      <c r="S52">
        <f>HYPERLINK("https://klasma.github.io/Logging_1907/artfynd/A 66349-2021 artfynd.xlsx", "A 66349-2021")</f>
        <v/>
      </c>
      <c r="T52">
        <f>HYPERLINK("https://klasma.github.io/Logging_1907/kartor/A 66349-2021 karta.png", "A 66349-2021")</f>
        <v/>
      </c>
      <c r="V52">
        <f>HYPERLINK("https://klasma.github.io/Logging_1907/klagomål/A 66349-2021 FSC-klagomål.docx", "A 66349-2021")</f>
        <v/>
      </c>
      <c r="W52">
        <f>HYPERLINK("https://klasma.github.io/Logging_1907/klagomålsmail/A 66349-2021 FSC-klagomål mail.docx", "A 66349-2021")</f>
        <v/>
      </c>
      <c r="X52">
        <f>HYPERLINK("https://klasma.github.io/Logging_1907/tillsyn/A 66349-2021 tillsynsbegäran.docx", "A 66349-2021")</f>
        <v/>
      </c>
      <c r="Y52">
        <f>HYPERLINK("https://klasma.github.io/Logging_1907/tillsynsmail/A 66349-2021 tillsynsbegäran mail.docx", "A 66349-2021")</f>
        <v/>
      </c>
      <c r="Z52">
        <f>HYPERLINK("https://klasma.github.io/Logging_1907/fåglar/A 66349-2021 prioriterade fågelarter.docx", "A 66349-2021")</f>
        <v/>
      </c>
    </row>
    <row r="53" ht="15" customHeight="1">
      <c r="A53" t="inlineStr">
        <is>
          <t>A 6178-2023</t>
        </is>
      </c>
      <c r="B53" s="1" t="n">
        <v>44964</v>
      </c>
      <c r="C53" s="1" t="n">
        <v>45724</v>
      </c>
      <c r="D53" t="inlineStr">
        <is>
          <t>VÄSTMANLANDS LÄN</t>
        </is>
      </c>
      <c r="E53" t="inlineStr">
        <is>
          <t>VÄSTERÅS</t>
        </is>
      </c>
      <c r="G53" t="n">
        <v>3.4</v>
      </c>
      <c r="H53" t="n">
        <v>6</v>
      </c>
      <c r="I53" t="n">
        <v>0</v>
      </c>
      <c r="J53" t="n">
        <v>4</v>
      </c>
      <c r="K53" t="n">
        <v>0</v>
      </c>
      <c r="L53" t="n">
        <v>0</v>
      </c>
      <c r="M53" t="n">
        <v>1</v>
      </c>
      <c r="N53" t="n">
        <v>0</v>
      </c>
      <c r="O53" t="n">
        <v>5</v>
      </c>
      <c r="P53" t="n">
        <v>1</v>
      </c>
      <c r="Q53" t="n">
        <v>6</v>
      </c>
      <c r="R53" s="2" t="inlineStr">
        <is>
          <t>Ortolansparv
Björktrast
Buskskvätta
Gulsparv
Vaktel
Göktyta</t>
        </is>
      </c>
      <c r="S53">
        <f>HYPERLINK("https://klasma.github.io/Logging_1980/artfynd/A 6178-2023 artfynd.xlsx", "A 6178-2023")</f>
        <v/>
      </c>
      <c r="T53">
        <f>HYPERLINK("https://klasma.github.io/Logging_1980/kartor/A 6178-2023 karta.png", "A 6178-2023")</f>
        <v/>
      </c>
      <c r="V53">
        <f>HYPERLINK("https://klasma.github.io/Logging_1980/klagomål/A 6178-2023 FSC-klagomål.docx", "A 6178-2023")</f>
        <v/>
      </c>
      <c r="W53">
        <f>HYPERLINK("https://klasma.github.io/Logging_1980/klagomålsmail/A 6178-2023 FSC-klagomål mail.docx", "A 6178-2023")</f>
        <v/>
      </c>
      <c r="X53">
        <f>HYPERLINK("https://klasma.github.io/Logging_1980/tillsyn/A 6178-2023 tillsynsbegäran.docx", "A 6178-2023")</f>
        <v/>
      </c>
      <c r="Y53">
        <f>HYPERLINK("https://klasma.github.io/Logging_1980/tillsynsmail/A 6178-2023 tillsynsbegäran mail.docx", "A 6178-2023")</f>
        <v/>
      </c>
      <c r="Z53">
        <f>HYPERLINK("https://klasma.github.io/Logging_1980/fåglar/A 6178-2023 prioriterade fågelarter.docx", "A 6178-2023")</f>
        <v/>
      </c>
    </row>
    <row r="54" ht="15" customHeight="1">
      <c r="A54" t="inlineStr">
        <is>
          <t>A 13994-2023</t>
        </is>
      </c>
      <c r="B54" s="1" t="n">
        <v>45007</v>
      </c>
      <c r="C54" s="1" t="n">
        <v>45724</v>
      </c>
      <c r="D54" t="inlineStr">
        <is>
          <t>VÄSTMANLANDS LÄN</t>
        </is>
      </c>
      <c r="E54" t="inlineStr">
        <is>
          <t>SURAHAMMAR</t>
        </is>
      </c>
      <c r="F54" t="inlineStr">
        <is>
          <t>Bergvik skog väst AB</t>
        </is>
      </c>
      <c r="G54" t="n">
        <v>14.2</v>
      </c>
      <c r="H54" t="n">
        <v>3</v>
      </c>
      <c r="I54" t="n">
        <v>2</v>
      </c>
      <c r="J54" t="n">
        <v>2</v>
      </c>
      <c r="K54" t="n">
        <v>1</v>
      </c>
      <c r="L54" t="n">
        <v>0</v>
      </c>
      <c r="M54" t="n">
        <v>0</v>
      </c>
      <c r="N54" t="n">
        <v>0</v>
      </c>
      <c r="O54" t="n">
        <v>3</v>
      </c>
      <c r="P54" t="n">
        <v>1</v>
      </c>
      <c r="Q54" t="n">
        <v>6</v>
      </c>
      <c r="R54" s="2" t="inlineStr">
        <is>
          <t>Knärot
Spillkråka
Tallticka
Mindre märgborre
Vedticka
Mattlummer</t>
        </is>
      </c>
      <c r="S54">
        <f>HYPERLINK("https://klasma.github.io/Logging_1907/artfynd/A 13994-2023 artfynd.xlsx", "A 13994-2023")</f>
        <v/>
      </c>
      <c r="T54">
        <f>HYPERLINK("https://klasma.github.io/Logging_1907/kartor/A 13994-2023 karta.png", "A 13994-2023")</f>
        <v/>
      </c>
      <c r="U54">
        <f>HYPERLINK("https://klasma.github.io/Logging_1907/knärot/A 13994-2023 karta knärot.png", "A 13994-2023")</f>
        <v/>
      </c>
      <c r="V54">
        <f>HYPERLINK("https://klasma.github.io/Logging_1907/klagomål/A 13994-2023 FSC-klagomål.docx", "A 13994-2023")</f>
        <v/>
      </c>
      <c r="W54">
        <f>HYPERLINK("https://klasma.github.io/Logging_1907/klagomålsmail/A 13994-2023 FSC-klagomål mail.docx", "A 13994-2023")</f>
        <v/>
      </c>
      <c r="X54">
        <f>HYPERLINK("https://klasma.github.io/Logging_1907/tillsyn/A 13994-2023 tillsynsbegäran.docx", "A 13994-2023")</f>
        <v/>
      </c>
      <c r="Y54">
        <f>HYPERLINK("https://klasma.github.io/Logging_1907/tillsynsmail/A 13994-2023 tillsynsbegäran mail.docx", "A 13994-2023")</f>
        <v/>
      </c>
      <c r="Z54">
        <f>HYPERLINK("https://klasma.github.io/Logging_1907/fåglar/A 13994-2023 prioriterade fågelarter.docx", "A 13994-2023")</f>
        <v/>
      </c>
    </row>
    <row r="55" ht="15" customHeight="1">
      <c r="A55" t="inlineStr">
        <is>
          <t>A 23229-2023</t>
        </is>
      </c>
      <c r="B55" s="1" t="n">
        <v>45075</v>
      </c>
      <c r="C55" s="1" t="n">
        <v>45724</v>
      </c>
      <c r="D55" t="inlineStr">
        <is>
          <t>VÄSTMANLANDS LÄN</t>
        </is>
      </c>
      <c r="E55" t="inlineStr">
        <is>
          <t>SALA</t>
        </is>
      </c>
      <c r="G55" t="n">
        <v>20.8</v>
      </c>
      <c r="H55" t="n">
        <v>1</v>
      </c>
      <c r="I55" t="n">
        <v>2</v>
      </c>
      <c r="J55" t="n">
        <v>2</v>
      </c>
      <c r="K55" t="n">
        <v>2</v>
      </c>
      <c r="L55" t="n">
        <v>0</v>
      </c>
      <c r="M55" t="n">
        <v>0</v>
      </c>
      <c r="N55" t="n">
        <v>0</v>
      </c>
      <c r="O55" t="n">
        <v>4</v>
      </c>
      <c r="P55" t="n">
        <v>2</v>
      </c>
      <c r="Q55" t="n">
        <v>6</v>
      </c>
      <c r="R55" s="2" t="inlineStr">
        <is>
          <t>Knärot
Rynkskinn
Ullticka
Vedtrappmossa
Blodticka
Vedticka</t>
        </is>
      </c>
      <c r="S55">
        <f>HYPERLINK("https://klasma.github.io/Logging_1981/artfynd/A 23229-2023 artfynd.xlsx", "A 23229-2023")</f>
        <v/>
      </c>
      <c r="T55">
        <f>HYPERLINK("https://klasma.github.io/Logging_1981/kartor/A 23229-2023 karta.png", "A 23229-2023")</f>
        <v/>
      </c>
      <c r="U55">
        <f>HYPERLINK("https://klasma.github.io/Logging_1981/knärot/A 23229-2023 karta knärot.png", "A 23229-2023")</f>
        <v/>
      </c>
      <c r="V55">
        <f>HYPERLINK("https://klasma.github.io/Logging_1981/klagomål/A 23229-2023 FSC-klagomål.docx", "A 23229-2023")</f>
        <v/>
      </c>
      <c r="W55">
        <f>HYPERLINK("https://klasma.github.io/Logging_1981/klagomålsmail/A 23229-2023 FSC-klagomål mail.docx", "A 23229-2023")</f>
        <v/>
      </c>
      <c r="X55">
        <f>HYPERLINK("https://klasma.github.io/Logging_1981/tillsyn/A 23229-2023 tillsynsbegäran.docx", "A 23229-2023")</f>
        <v/>
      </c>
      <c r="Y55">
        <f>HYPERLINK("https://klasma.github.io/Logging_1981/tillsynsmail/A 23229-2023 tillsynsbegäran mail.docx", "A 23229-2023")</f>
        <v/>
      </c>
    </row>
    <row r="56" ht="15" customHeight="1">
      <c r="A56" t="inlineStr">
        <is>
          <t>A 55259-2023</t>
        </is>
      </c>
      <c r="B56" s="1" t="n">
        <v>45237</v>
      </c>
      <c r="C56" s="1" t="n">
        <v>45724</v>
      </c>
      <c r="D56" t="inlineStr">
        <is>
          <t>VÄSTMANLANDS LÄN</t>
        </is>
      </c>
      <c r="E56" t="inlineStr">
        <is>
          <t>SALA</t>
        </is>
      </c>
      <c r="G56" t="n">
        <v>1.6</v>
      </c>
      <c r="H56" t="n">
        <v>2</v>
      </c>
      <c r="I56" t="n">
        <v>2</v>
      </c>
      <c r="J56" t="n">
        <v>2</v>
      </c>
      <c r="K56" t="n">
        <v>1</v>
      </c>
      <c r="L56" t="n">
        <v>0</v>
      </c>
      <c r="M56" t="n">
        <v>0</v>
      </c>
      <c r="N56" t="n">
        <v>0</v>
      </c>
      <c r="O56" t="n">
        <v>3</v>
      </c>
      <c r="P56" t="n">
        <v>1</v>
      </c>
      <c r="Q56" t="n">
        <v>6</v>
      </c>
      <c r="R56" s="2" t="inlineStr">
        <is>
          <t>Knärot
Dofttaggsvamp
Gul taggsvamp
Fjällig taggsvamp s.str.
Skarp dropptaggsvamp
Blåsippa</t>
        </is>
      </c>
      <c r="S56">
        <f>HYPERLINK("https://klasma.github.io/Logging_1981/artfynd/A 55259-2023 artfynd.xlsx", "A 55259-2023")</f>
        <v/>
      </c>
      <c r="T56">
        <f>HYPERLINK("https://klasma.github.io/Logging_1981/kartor/A 55259-2023 karta.png", "A 55259-2023")</f>
        <v/>
      </c>
      <c r="U56">
        <f>HYPERLINK("https://klasma.github.io/Logging_1981/knärot/A 55259-2023 karta knärot.png", "A 55259-2023")</f>
        <v/>
      </c>
      <c r="V56">
        <f>HYPERLINK("https://klasma.github.io/Logging_1981/klagomål/A 55259-2023 FSC-klagomål.docx", "A 55259-2023")</f>
        <v/>
      </c>
      <c r="W56">
        <f>HYPERLINK("https://klasma.github.io/Logging_1981/klagomålsmail/A 55259-2023 FSC-klagomål mail.docx", "A 55259-2023")</f>
        <v/>
      </c>
      <c r="X56">
        <f>HYPERLINK("https://klasma.github.io/Logging_1981/tillsyn/A 55259-2023 tillsynsbegäran.docx", "A 55259-2023")</f>
        <v/>
      </c>
      <c r="Y56">
        <f>HYPERLINK("https://klasma.github.io/Logging_1981/tillsynsmail/A 55259-2023 tillsynsbegäran mail.docx", "A 55259-2023")</f>
        <v/>
      </c>
    </row>
    <row r="57" ht="15" customHeight="1">
      <c r="A57" t="inlineStr">
        <is>
          <t>A 7791-2024</t>
        </is>
      </c>
      <c r="B57" s="1" t="n">
        <v>45348</v>
      </c>
      <c r="C57" s="1" t="n">
        <v>45724</v>
      </c>
      <c r="D57" t="inlineStr">
        <is>
          <t>VÄSTMANLANDS LÄN</t>
        </is>
      </c>
      <c r="E57" t="inlineStr">
        <is>
          <t>SURAHAMMAR</t>
        </is>
      </c>
      <c r="G57" t="n">
        <v>9.6</v>
      </c>
      <c r="H57" t="n">
        <v>2</v>
      </c>
      <c r="I57" t="n">
        <v>4</v>
      </c>
      <c r="J57" t="n">
        <v>1</v>
      </c>
      <c r="K57" t="n">
        <v>0</v>
      </c>
      <c r="L57" t="n">
        <v>0</v>
      </c>
      <c r="M57" t="n">
        <v>0</v>
      </c>
      <c r="N57" t="n">
        <v>0</v>
      </c>
      <c r="O57" t="n">
        <v>1</v>
      </c>
      <c r="P57" t="n">
        <v>0</v>
      </c>
      <c r="Q57" t="n">
        <v>6</v>
      </c>
      <c r="R57" s="2" t="inlineStr">
        <is>
          <t>Talltita
Blomkålssvamp
Bronshjon
Mörk vedstrit
Vedticka
Tjäder</t>
        </is>
      </c>
      <c r="S57">
        <f>HYPERLINK("https://klasma.github.io/Logging_1907/artfynd/A 7791-2024 artfynd.xlsx", "A 7791-2024")</f>
        <v/>
      </c>
      <c r="T57">
        <f>HYPERLINK("https://klasma.github.io/Logging_1907/kartor/A 7791-2024 karta.png", "A 7791-2024")</f>
        <v/>
      </c>
      <c r="V57">
        <f>HYPERLINK("https://klasma.github.io/Logging_1907/klagomål/A 7791-2024 FSC-klagomål.docx", "A 7791-2024")</f>
        <v/>
      </c>
      <c r="W57">
        <f>HYPERLINK("https://klasma.github.io/Logging_1907/klagomålsmail/A 7791-2024 FSC-klagomål mail.docx", "A 7791-2024")</f>
        <v/>
      </c>
      <c r="X57">
        <f>HYPERLINK("https://klasma.github.io/Logging_1907/tillsyn/A 7791-2024 tillsynsbegäran.docx", "A 7791-2024")</f>
        <v/>
      </c>
      <c r="Y57">
        <f>HYPERLINK("https://klasma.github.io/Logging_1907/tillsynsmail/A 7791-2024 tillsynsbegäran mail.docx", "A 7791-2024")</f>
        <v/>
      </c>
      <c r="Z57">
        <f>HYPERLINK("https://klasma.github.io/Logging_1907/fåglar/A 7791-2024 prioriterade fågelarter.docx", "A 7791-2024")</f>
        <v/>
      </c>
    </row>
    <row r="58" ht="15" customHeight="1">
      <c r="A58" t="inlineStr">
        <is>
          <t>A 24778-2024</t>
        </is>
      </c>
      <c r="B58" s="1" t="n">
        <v>45460</v>
      </c>
      <c r="C58" s="1" t="n">
        <v>45724</v>
      </c>
      <c r="D58" t="inlineStr">
        <is>
          <t>VÄSTMANLANDS LÄN</t>
        </is>
      </c>
      <c r="E58" t="inlineStr">
        <is>
          <t>VÄSTERÅS</t>
        </is>
      </c>
      <c r="F58" t="inlineStr">
        <is>
          <t>Kommuner</t>
        </is>
      </c>
      <c r="G58" t="n">
        <v>6.2</v>
      </c>
      <c r="H58" t="n">
        <v>2</v>
      </c>
      <c r="I58" t="n">
        <v>2</v>
      </c>
      <c r="J58" t="n">
        <v>0</v>
      </c>
      <c r="K58" t="n">
        <v>0</v>
      </c>
      <c r="L58" t="n">
        <v>1</v>
      </c>
      <c r="M58" t="n">
        <v>1</v>
      </c>
      <c r="N58" t="n">
        <v>0</v>
      </c>
      <c r="O58" t="n">
        <v>2</v>
      </c>
      <c r="P58" t="n">
        <v>2</v>
      </c>
      <c r="Q58" t="n">
        <v>6</v>
      </c>
      <c r="R58" s="2" t="inlineStr">
        <is>
          <t>Skogsalm
Ask
Myskbock
Svart trolldruva
Mistel
Blåsippa</t>
        </is>
      </c>
      <c r="S58">
        <f>HYPERLINK("https://klasma.github.io/Logging_1980/artfynd/A 24778-2024 artfynd.xlsx", "A 24778-2024")</f>
        <v/>
      </c>
      <c r="T58">
        <f>HYPERLINK("https://klasma.github.io/Logging_1980/kartor/A 24778-2024 karta.png", "A 24778-2024")</f>
        <v/>
      </c>
      <c r="V58">
        <f>HYPERLINK("https://klasma.github.io/Logging_1980/klagomål/A 24778-2024 FSC-klagomål.docx", "A 24778-2024")</f>
        <v/>
      </c>
      <c r="W58">
        <f>HYPERLINK("https://klasma.github.io/Logging_1980/klagomålsmail/A 24778-2024 FSC-klagomål mail.docx", "A 24778-2024")</f>
        <v/>
      </c>
      <c r="X58">
        <f>HYPERLINK("https://klasma.github.io/Logging_1980/tillsyn/A 24778-2024 tillsynsbegäran.docx", "A 24778-2024")</f>
        <v/>
      </c>
      <c r="Y58">
        <f>HYPERLINK("https://klasma.github.io/Logging_1980/tillsynsmail/A 24778-2024 tillsynsbegäran mail.docx", "A 24778-2024")</f>
        <v/>
      </c>
    </row>
    <row r="59" ht="15" customHeight="1">
      <c r="A59" t="inlineStr">
        <is>
          <t>A 25265-2024</t>
        </is>
      </c>
      <c r="B59" s="1" t="n">
        <v>45462</v>
      </c>
      <c r="C59" s="1" t="n">
        <v>45724</v>
      </c>
      <c r="D59" t="inlineStr">
        <is>
          <t>VÄSTMANLANDS LÄN</t>
        </is>
      </c>
      <c r="E59" t="inlineStr">
        <is>
          <t>SALA</t>
        </is>
      </c>
      <c r="G59" t="n">
        <v>9.6</v>
      </c>
      <c r="H59" t="n">
        <v>3</v>
      </c>
      <c r="I59" t="n">
        <v>1</v>
      </c>
      <c r="J59" t="n">
        <v>2</v>
      </c>
      <c r="K59" t="n">
        <v>1</v>
      </c>
      <c r="L59" t="n">
        <v>0</v>
      </c>
      <c r="M59" t="n">
        <v>0</v>
      </c>
      <c r="N59" t="n">
        <v>0</v>
      </c>
      <c r="O59" t="n">
        <v>3</v>
      </c>
      <c r="P59" t="n">
        <v>1</v>
      </c>
      <c r="Q59" t="n">
        <v>6</v>
      </c>
      <c r="R59" s="2" t="inlineStr">
        <is>
          <t>Knärot
Grönhjon
Ullticka
Vedticka
Tjäder
Revlummer</t>
        </is>
      </c>
      <c r="S59">
        <f>HYPERLINK("https://klasma.github.io/Logging_1981/artfynd/A 25265-2024 artfynd.xlsx", "A 25265-2024")</f>
        <v/>
      </c>
      <c r="T59">
        <f>HYPERLINK("https://klasma.github.io/Logging_1981/kartor/A 25265-2024 karta.png", "A 25265-2024")</f>
        <v/>
      </c>
      <c r="U59">
        <f>HYPERLINK("https://klasma.github.io/Logging_1981/knärot/A 25265-2024 karta knärot.png", "A 25265-2024")</f>
        <v/>
      </c>
      <c r="V59">
        <f>HYPERLINK("https://klasma.github.io/Logging_1981/klagomål/A 25265-2024 FSC-klagomål.docx", "A 25265-2024")</f>
        <v/>
      </c>
      <c r="W59">
        <f>HYPERLINK("https://klasma.github.io/Logging_1981/klagomålsmail/A 25265-2024 FSC-klagomål mail.docx", "A 25265-2024")</f>
        <v/>
      </c>
      <c r="X59">
        <f>HYPERLINK("https://klasma.github.io/Logging_1981/tillsyn/A 25265-2024 tillsynsbegäran.docx", "A 25265-2024")</f>
        <v/>
      </c>
      <c r="Y59">
        <f>HYPERLINK("https://klasma.github.io/Logging_1981/tillsynsmail/A 25265-2024 tillsynsbegäran mail.docx", "A 25265-2024")</f>
        <v/>
      </c>
      <c r="Z59">
        <f>HYPERLINK("https://klasma.github.io/Logging_1981/fåglar/A 25265-2024 prioriterade fågelarter.docx", "A 25265-2024")</f>
        <v/>
      </c>
    </row>
    <row r="60" ht="15" customHeight="1">
      <c r="A60" t="inlineStr">
        <is>
          <t>A 42686-2024</t>
        </is>
      </c>
      <c r="B60" s="1" t="n">
        <v>45566</v>
      </c>
      <c r="C60" s="1" t="n">
        <v>45724</v>
      </c>
      <c r="D60" t="inlineStr">
        <is>
          <t>VÄSTMANLANDS LÄN</t>
        </is>
      </c>
      <c r="E60" t="inlineStr">
        <is>
          <t>NORBERG</t>
        </is>
      </c>
      <c r="G60" t="n">
        <v>7</v>
      </c>
      <c r="H60" t="n">
        <v>1</v>
      </c>
      <c r="I60" t="n">
        <v>3</v>
      </c>
      <c r="J60" t="n">
        <v>2</v>
      </c>
      <c r="K60" t="n">
        <v>1</v>
      </c>
      <c r="L60" t="n">
        <v>0</v>
      </c>
      <c r="M60" t="n">
        <v>0</v>
      </c>
      <c r="N60" t="n">
        <v>0</v>
      </c>
      <c r="O60" t="n">
        <v>3</v>
      </c>
      <c r="P60" t="n">
        <v>1</v>
      </c>
      <c r="Q60" t="n">
        <v>6</v>
      </c>
      <c r="R60" s="2" t="inlineStr">
        <is>
          <t>Knärot
Tallticka
Ullticka
Bollvitmossa
Skinnlav
Vedticka</t>
        </is>
      </c>
      <c r="S60">
        <f>HYPERLINK("https://klasma.github.io/Logging_1962/artfynd/A 42686-2024 artfynd.xlsx", "A 42686-2024")</f>
        <v/>
      </c>
      <c r="T60">
        <f>HYPERLINK("https://klasma.github.io/Logging_1962/kartor/A 42686-2024 karta.png", "A 42686-2024")</f>
        <v/>
      </c>
      <c r="U60">
        <f>HYPERLINK("https://klasma.github.io/Logging_1962/knärot/A 42686-2024 karta knärot.png", "A 42686-2024")</f>
        <v/>
      </c>
      <c r="V60">
        <f>HYPERLINK("https://klasma.github.io/Logging_1962/klagomål/A 42686-2024 FSC-klagomål.docx", "A 42686-2024")</f>
        <v/>
      </c>
      <c r="W60">
        <f>HYPERLINK("https://klasma.github.io/Logging_1962/klagomålsmail/A 42686-2024 FSC-klagomål mail.docx", "A 42686-2024")</f>
        <v/>
      </c>
      <c r="X60">
        <f>HYPERLINK("https://klasma.github.io/Logging_1962/tillsyn/A 42686-2024 tillsynsbegäran.docx", "A 42686-2024")</f>
        <v/>
      </c>
      <c r="Y60">
        <f>HYPERLINK("https://klasma.github.io/Logging_1962/tillsynsmail/A 42686-2024 tillsynsbegäran mail.docx", "A 42686-2024")</f>
        <v/>
      </c>
    </row>
    <row r="61" ht="15" customHeight="1">
      <c r="A61" t="inlineStr">
        <is>
          <t>A 44798-2024</t>
        </is>
      </c>
      <c r="B61" s="1" t="n">
        <v>45574</v>
      </c>
      <c r="C61" s="1" t="n">
        <v>45724</v>
      </c>
      <c r="D61" t="inlineStr">
        <is>
          <t>VÄSTMANLANDS LÄN</t>
        </is>
      </c>
      <c r="E61" t="inlineStr">
        <is>
          <t>SURAHAMMAR</t>
        </is>
      </c>
      <c r="F61" t="inlineStr">
        <is>
          <t>Bergvik skog väst AB</t>
        </is>
      </c>
      <c r="G61" t="n">
        <v>4.4</v>
      </c>
      <c r="H61" t="n">
        <v>0</v>
      </c>
      <c r="I61" t="n">
        <v>1</v>
      </c>
      <c r="J61" t="n">
        <v>4</v>
      </c>
      <c r="K61" t="n">
        <v>1</v>
      </c>
      <c r="L61" t="n">
        <v>0</v>
      </c>
      <c r="M61" t="n">
        <v>0</v>
      </c>
      <c r="N61" t="n">
        <v>0</v>
      </c>
      <c r="O61" t="n">
        <v>5</v>
      </c>
      <c r="P61" t="n">
        <v>1</v>
      </c>
      <c r="Q61" t="n">
        <v>6</v>
      </c>
      <c r="R61" s="2" t="inlineStr">
        <is>
          <t>Rosetticka
Brunklöver
Persiljespindling
Svinrot
Ullticka
Brandticka</t>
        </is>
      </c>
      <c r="S61">
        <f>HYPERLINK("https://klasma.github.io/Logging_1907/artfynd/A 44798-2024 artfynd.xlsx", "A 44798-2024")</f>
        <v/>
      </c>
      <c r="T61">
        <f>HYPERLINK("https://klasma.github.io/Logging_1907/kartor/A 44798-2024 karta.png", "A 44798-2024")</f>
        <v/>
      </c>
      <c r="V61">
        <f>HYPERLINK("https://klasma.github.io/Logging_1907/klagomål/A 44798-2024 FSC-klagomål.docx", "A 44798-2024")</f>
        <v/>
      </c>
      <c r="W61">
        <f>HYPERLINK("https://klasma.github.io/Logging_1907/klagomålsmail/A 44798-2024 FSC-klagomål mail.docx", "A 44798-2024")</f>
        <v/>
      </c>
      <c r="X61">
        <f>HYPERLINK("https://klasma.github.io/Logging_1907/tillsyn/A 44798-2024 tillsynsbegäran.docx", "A 44798-2024")</f>
        <v/>
      </c>
      <c r="Y61">
        <f>HYPERLINK("https://klasma.github.io/Logging_1907/tillsynsmail/A 44798-2024 tillsynsbegäran mail.docx", "A 44798-2024")</f>
        <v/>
      </c>
    </row>
    <row r="62" ht="15" customHeight="1">
      <c r="A62" t="inlineStr">
        <is>
          <t>A 45441-2024</t>
        </is>
      </c>
      <c r="B62" s="1" t="n">
        <v>45576</v>
      </c>
      <c r="C62" s="1" t="n">
        <v>45724</v>
      </c>
      <c r="D62" t="inlineStr">
        <is>
          <t>VÄSTMANLANDS LÄN</t>
        </is>
      </c>
      <c r="E62" t="inlineStr">
        <is>
          <t>SALA</t>
        </is>
      </c>
      <c r="G62" t="n">
        <v>3.4</v>
      </c>
      <c r="H62" t="n">
        <v>0</v>
      </c>
      <c r="I62" t="n">
        <v>2</v>
      </c>
      <c r="J62" t="n">
        <v>4</v>
      </c>
      <c r="K62" t="n">
        <v>0</v>
      </c>
      <c r="L62" t="n">
        <v>0</v>
      </c>
      <c r="M62" t="n">
        <v>0</v>
      </c>
      <c r="N62" t="n">
        <v>0</v>
      </c>
      <c r="O62" t="n">
        <v>4</v>
      </c>
      <c r="P62" t="n">
        <v>0</v>
      </c>
      <c r="Q62" t="n">
        <v>6</v>
      </c>
      <c r="R62" s="2" t="inlineStr">
        <is>
          <t>Garnlav
Leptoporus mollis
Tallticka
Ullticka
Bronshjon
Vedticka</t>
        </is>
      </c>
      <c r="S62">
        <f>HYPERLINK("https://klasma.github.io/Logging_1981/artfynd/A 45441-2024 artfynd.xlsx", "A 45441-2024")</f>
        <v/>
      </c>
      <c r="T62">
        <f>HYPERLINK("https://klasma.github.io/Logging_1981/kartor/A 45441-2024 karta.png", "A 45441-2024")</f>
        <v/>
      </c>
      <c r="V62">
        <f>HYPERLINK("https://klasma.github.io/Logging_1981/klagomål/A 45441-2024 FSC-klagomål.docx", "A 45441-2024")</f>
        <v/>
      </c>
      <c r="W62">
        <f>HYPERLINK("https://klasma.github.io/Logging_1981/klagomålsmail/A 45441-2024 FSC-klagomål mail.docx", "A 45441-2024")</f>
        <v/>
      </c>
      <c r="X62">
        <f>HYPERLINK("https://klasma.github.io/Logging_1981/tillsyn/A 45441-2024 tillsynsbegäran.docx", "A 45441-2024")</f>
        <v/>
      </c>
      <c r="Y62">
        <f>HYPERLINK("https://klasma.github.io/Logging_1981/tillsynsmail/A 45441-2024 tillsynsbegäran mail.docx", "A 45441-2024")</f>
        <v/>
      </c>
    </row>
    <row r="63" ht="15" customHeight="1">
      <c r="A63" t="inlineStr">
        <is>
          <t>A 27670-2019</t>
        </is>
      </c>
      <c r="B63" s="1" t="n">
        <v>43619</v>
      </c>
      <c r="C63" s="1" t="n">
        <v>45724</v>
      </c>
      <c r="D63" t="inlineStr">
        <is>
          <t>VÄSTMANLANDS LÄN</t>
        </is>
      </c>
      <c r="E63" t="inlineStr">
        <is>
          <t>SKINNSKATTEBERG</t>
        </is>
      </c>
      <c r="F63" t="inlineStr">
        <is>
          <t>Sveaskog</t>
        </is>
      </c>
      <c r="G63" t="n">
        <v>0.9</v>
      </c>
      <c r="H63" t="n">
        <v>5</v>
      </c>
      <c r="I63" t="n">
        <v>0</v>
      </c>
      <c r="J63" t="n">
        <v>2</v>
      </c>
      <c r="K63" t="n">
        <v>0</v>
      </c>
      <c r="L63" t="n">
        <v>0</v>
      </c>
      <c r="M63" t="n">
        <v>0</v>
      </c>
      <c r="N63" t="n">
        <v>0</v>
      </c>
      <c r="O63" t="n">
        <v>2</v>
      </c>
      <c r="P63" t="n">
        <v>0</v>
      </c>
      <c r="Q63" t="n">
        <v>5</v>
      </c>
      <c r="R63" s="2" t="inlineStr">
        <is>
          <t>Björktrast
Talltita
Gröngöling
Kungsfågel
Nattviol</t>
        </is>
      </c>
      <c r="S63">
        <f>HYPERLINK("https://klasma.github.io/Logging_1904/artfynd/A 27670-2019 artfynd.xlsx", "A 27670-2019")</f>
        <v/>
      </c>
      <c r="T63">
        <f>HYPERLINK("https://klasma.github.io/Logging_1904/kartor/A 27670-2019 karta.png", "A 27670-2019")</f>
        <v/>
      </c>
      <c r="V63">
        <f>HYPERLINK("https://klasma.github.io/Logging_1904/klagomål/A 27670-2019 FSC-klagomål.docx", "A 27670-2019")</f>
        <v/>
      </c>
      <c r="W63">
        <f>HYPERLINK("https://klasma.github.io/Logging_1904/klagomålsmail/A 27670-2019 FSC-klagomål mail.docx", "A 27670-2019")</f>
        <v/>
      </c>
      <c r="X63">
        <f>HYPERLINK("https://klasma.github.io/Logging_1904/tillsyn/A 27670-2019 tillsynsbegäran.docx", "A 27670-2019")</f>
        <v/>
      </c>
      <c r="Y63">
        <f>HYPERLINK("https://klasma.github.io/Logging_1904/tillsynsmail/A 27670-2019 tillsynsbegäran mail.docx", "A 27670-2019")</f>
        <v/>
      </c>
      <c r="Z63">
        <f>HYPERLINK("https://klasma.github.io/Logging_1904/fåglar/A 27670-2019 prioriterade fågelarter.docx", "A 27670-2019")</f>
        <v/>
      </c>
    </row>
    <row r="64" ht="15" customHeight="1">
      <c r="A64" t="inlineStr">
        <is>
          <t>A 7193-2020</t>
        </is>
      </c>
      <c r="B64" s="1" t="n">
        <v>43868</v>
      </c>
      <c r="C64" s="1" t="n">
        <v>45724</v>
      </c>
      <c r="D64" t="inlineStr">
        <is>
          <t>VÄSTMANLANDS LÄN</t>
        </is>
      </c>
      <c r="E64" t="inlineStr">
        <is>
          <t>NORBERG</t>
        </is>
      </c>
      <c r="G64" t="n">
        <v>14.6</v>
      </c>
      <c r="H64" t="n">
        <v>1</v>
      </c>
      <c r="I64" t="n">
        <v>3</v>
      </c>
      <c r="J64" t="n">
        <v>1</v>
      </c>
      <c r="K64" t="n">
        <v>1</v>
      </c>
      <c r="L64" t="n">
        <v>0</v>
      </c>
      <c r="M64" t="n">
        <v>0</v>
      </c>
      <c r="N64" t="n">
        <v>0</v>
      </c>
      <c r="O64" t="n">
        <v>2</v>
      </c>
      <c r="P64" t="n">
        <v>1</v>
      </c>
      <c r="Q64" t="n">
        <v>5</v>
      </c>
      <c r="R64" s="2" t="inlineStr">
        <is>
          <t>Knärot
Ullticka
Grönpyrola
Rävticka
Vedticka</t>
        </is>
      </c>
      <c r="S64">
        <f>HYPERLINK("https://klasma.github.io/Logging_1962/artfynd/A 7193-2020 artfynd.xlsx", "A 7193-2020")</f>
        <v/>
      </c>
      <c r="T64">
        <f>HYPERLINK("https://klasma.github.io/Logging_1962/kartor/A 7193-2020 karta.png", "A 7193-2020")</f>
        <v/>
      </c>
      <c r="U64">
        <f>HYPERLINK("https://klasma.github.io/Logging_1962/knärot/A 7193-2020 karta knärot.png", "A 7193-2020")</f>
        <v/>
      </c>
      <c r="V64">
        <f>HYPERLINK("https://klasma.github.io/Logging_1962/klagomål/A 7193-2020 FSC-klagomål.docx", "A 7193-2020")</f>
        <v/>
      </c>
      <c r="W64">
        <f>HYPERLINK("https://klasma.github.io/Logging_1962/klagomålsmail/A 7193-2020 FSC-klagomål mail.docx", "A 7193-2020")</f>
        <v/>
      </c>
      <c r="X64">
        <f>HYPERLINK("https://klasma.github.io/Logging_1962/tillsyn/A 7193-2020 tillsynsbegäran.docx", "A 7193-2020")</f>
        <v/>
      </c>
      <c r="Y64">
        <f>HYPERLINK("https://klasma.github.io/Logging_1962/tillsynsmail/A 7193-2020 tillsynsbegäran mail.docx", "A 7193-2020")</f>
        <v/>
      </c>
    </row>
    <row r="65" ht="15" customHeight="1">
      <c r="A65" t="inlineStr">
        <is>
          <t>A 54934-2020</t>
        </is>
      </c>
      <c r="B65" s="1" t="n">
        <v>44127</v>
      </c>
      <c r="C65" s="1" t="n">
        <v>45724</v>
      </c>
      <c r="D65" t="inlineStr">
        <is>
          <t>VÄSTMANLANDS LÄN</t>
        </is>
      </c>
      <c r="E65" t="inlineStr">
        <is>
          <t>SALA</t>
        </is>
      </c>
      <c r="G65" t="n">
        <v>13</v>
      </c>
      <c r="H65" t="n">
        <v>1</v>
      </c>
      <c r="I65" t="n">
        <v>1</v>
      </c>
      <c r="J65" t="n">
        <v>2</v>
      </c>
      <c r="K65" t="n">
        <v>2</v>
      </c>
      <c r="L65" t="n">
        <v>0</v>
      </c>
      <c r="M65" t="n">
        <v>0</v>
      </c>
      <c r="N65" t="n">
        <v>0</v>
      </c>
      <c r="O65" t="n">
        <v>4</v>
      </c>
      <c r="P65" t="n">
        <v>2</v>
      </c>
      <c r="Q65" t="n">
        <v>5</v>
      </c>
      <c r="R65" s="2" t="inlineStr">
        <is>
          <t>Knärot
Rynkskinn
Ullticka
Vedtrappmossa
Vedticka</t>
        </is>
      </c>
      <c r="S65">
        <f>HYPERLINK("https://klasma.github.io/Logging_1981/artfynd/A 54934-2020 artfynd.xlsx", "A 54934-2020")</f>
        <v/>
      </c>
      <c r="T65">
        <f>HYPERLINK("https://klasma.github.io/Logging_1981/kartor/A 54934-2020 karta.png", "A 54934-2020")</f>
        <v/>
      </c>
      <c r="U65">
        <f>HYPERLINK("https://klasma.github.io/Logging_1981/knärot/A 54934-2020 karta knärot.png", "A 54934-2020")</f>
        <v/>
      </c>
      <c r="V65">
        <f>HYPERLINK("https://klasma.github.io/Logging_1981/klagomål/A 54934-2020 FSC-klagomål.docx", "A 54934-2020")</f>
        <v/>
      </c>
      <c r="W65">
        <f>HYPERLINK("https://klasma.github.io/Logging_1981/klagomålsmail/A 54934-2020 FSC-klagomål mail.docx", "A 54934-2020")</f>
        <v/>
      </c>
      <c r="X65">
        <f>HYPERLINK("https://klasma.github.io/Logging_1981/tillsyn/A 54934-2020 tillsynsbegäran.docx", "A 54934-2020")</f>
        <v/>
      </c>
      <c r="Y65">
        <f>HYPERLINK("https://klasma.github.io/Logging_1981/tillsynsmail/A 54934-2020 tillsynsbegäran mail.docx", "A 54934-2020")</f>
        <v/>
      </c>
    </row>
    <row r="66" ht="15" customHeight="1">
      <c r="A66" t="inlineStr">
        <is>
          <t>A 13993-2021</t>
        </is>
      </c>
      <c r="B66" s="1" t="n">
        <v>44277</v>
      </c>
      <c r="C66" s="1" t="n">
        <v>45724</v>
      </c>
      <c r="D66" t="inlineStr">
        <is>
          <t>VÄSTMANLANDS LÄN</t>
        </is>
      </c>
      <c r="E66" t="inlineStr">
        <is>
          <t>SALA</t>
        </is>
      </c>
      <c r="G66" t="n">
        <v>27.6</v>
      </c>
      <c r="H66" t="n">
        <v>3</v>
      </c>
      <c r="I66" t="n">
        <v>1</v>
      </c>
      <c r="J66" t="n">
        <v>2</v>
      </c>
      <c r="K66" t="n">
        <v>0</v>
      </c>
      <c r="L66" t="n">
        <v>0</v>
      </c>
      <c r="M66" t="n">
        <v>0</v>
      </c>
      <c r="N66" t="n">
        <v>0</v>
      </c>
      <c r="O66" t="n">
        <v>2</v>
      </c>
      <c r="P66" t="n">
        <v>0</v>
      </c>
      <c r="Q66" t="n">
        <v>5</v>
      </c>
      <c r="R66" s="2" t="inlineStr">
        <is>
          <t>Motaggsvamp
Talltita
Dropptaggsvamp
Nattskärra
Tjäder</t>
        </is>
      </c>
      <c r="S66">
        <f>HYPERLINK("https://klasma.github.io/Logging_1981/artfynd/A 13993-2021 artfynd.xlsx", "A 13993-2021")</f>
        <v/>
      </c>
      <c r="T66">
        <f>HYPERLINK("https://klasma.github.io/Logging_1981/kartor/A 13993-2021 karta.png", "A 13993-2021")</f>
        <v/>
      </c>
      <c r="V66">
        <f>HYPERLINK("https://klasma.github.io/Logging_1981/klagomål/A 13993-2021 FSC-klagomål.docx", "A 13993-2021")</f>
        <v/>
      </c>
      <c r="W66">
        <f>HYPERLINK("https://klasma.github.io/Logging_1981/klagomålsmail/A 13993-2021 FSC-klagomål mail.docx", "A 13993-2021")</f>
        <v/>
      </c>
      <c r="X66">
        <f>HYPERLINK("https://klasma.github.io/Logging_1981/tillsyn/A 13993-2021 tillsynsbegäran.docx", "A 13993-2021")</f>
        <v/>
      </c>
      <c r="Y66">
        <f>HYPERLINK("https://klasma.github.io/Logging_1981/tillsynsmail/A 13993-2021 tillsynsbegäran mail.docx", "A 13993-2021")</f>
        <v/>
      </c>
      <c r="Z66">
        <f>HYPERLINK("https://klasma.github.io/Logging_1981/fåglar/A 13993-2021 prioriterade fågelarter.docx", "A 13993-2021")</f>
        <v/>
      </c>
    </row>
    <row r="67" ht="15" customHeight="1">
      <c r="A67" t="inlineStr">
        <is>
          <t>A 56299-2021</t>
        </is>
      </c>
      <c r="B67" s="1" t="n">
        <v>44477</v>
      </c>
      <c r="C67" s="1" t="n">
        <v>45724</v>
      </c>
      <c r="D67" t="inlineStr">
        <is>
          <t>VÄSTMANLANDS LÄN</t>
        </is>
      </c>
      <c r="E67" t="inlineStr">
        <is>
          <t>SURAHAMMAR</t>
        </is>
      </c>
      <c r="F67" t="inlineStr">
        <is>
          <t>Bergvik skog väst AB</t>
        </is>
      </c>
      <c r="G67" t="n">
        <v>8</v>
      </c>
      <c r="H67" t="n">
        <v>1</v>
      </c>
      <c r="I67" t="n">
        <v>3</v>
      </c>
      <c r="J67" t="n">
        <v>2</v>
      </c>
      <c r="K67" t="n">
        <v>0</v>
      </c>
      <c r="L67" t="n">
        <v>0</v>
      </c>
      <c r="M67" t="n">
        <v>0</v>
      </c>
      <c r="N67" t="n">
        <v>0</v>
      </c>
      <c r="O67" t="n">
        <v>2</v>
      </c>
      <c r="P67" t="n">
        <v>0</v>
      </c>
      <c r="Q67" t="n">
        <v>5</v>
      </c>
      <c r="R67" s="2" t="inlineStr">
        <is>
          <t>Större flatbagge
Tretåig hackspett
Björksplintborre
Korallblylav
Skinnlav</t>
        </is>
      </c>
      <c r="S67">
        <f>HYPERLINK("https://klasma.github.io/Logging_1907/artfynd/A 56299-2021 artfynd.xlsx", "A 56299-2021")</f>
        <v/>
      </c>
      <c r="T67">
        <f>HYPERLINK("https://klasma.github.io/Logging_1907/kartor/A 56299-2021 karta.png", "A 56299-2021")</f>
        <v/>
      </c>
      <c r="V67">
        <f>HYPERLINK("https://klasma.github.io/Logging_1907/klagomål/A 56299-2021 FSC-klagomål.docx", "A 56299-2021")</f>
        <v/>
      </c>
      <c r="W67">
        <f>HYPERLINK("https://klasma.github.io/Logging_1907/klagomålsmail/A 56299-2021 FSC-klagomål mail.docx", "A 56299-2021")</f>
        <v/>
      </c>
      <c r="X67">
        <f>HYPERLINK("https://klasma.github.io/Logging_1907/tillsyn/A 56299-2021 tillsynsbegäran.docx", "A 56299-2021")</f>
        <v/>
      </c>
      <c r="Y67">
        <f>HYPERLINK("https://klasma.github.io/Logging_1907/tillsynsmail/A 56299-2021 tillsynsbegäran mail.docx", "A 56299-2021")</f>
        <v/>
      </c>
      <c r="Z67">
        <f>HYPERLINK("https://klasma.github.io/Logging_1907/fåglar/A 56299-2021 prioriterade fågelarter.docx", "A 56299-2021")</f>
        <v/>
      </c>
    </row>
    <row r="68" ht="15" customHeight="1">
      <c r="A68" t="inlineStr">
        <is>
          <t>A 1182-2022</t>
        </is>
      </c>
      <c r="B68" s="1" t="n">
        <v>44572</v>
      </c>
      <c r="C68" s="1" t="n">
        <v>45724</v>
      </c>
      <c r="D68" t="inlineStr">
        <is>
          <t>VÄSTMANLANDS LÄN</t>
        </is>
      </c>
      <c r="E68" t="inlineStr">
        <is>
          <t>SALA</t>
        </is>
      </c>
      <c r="G68" t="n">
        <v>3.8</v>
      </c>
      <c r="H68" t="n">
        <v>2</v>
      </c>
      <c r="I68" t="n">
        <v>2</v>
      </c>
      <c r="J68" t="n">
        <v>2</v>
      </c>
      <c r="K68" t="n">
        <v>1</v>
      </c>
      <c r="L68" t="n">
        <v>0</v>
      </c>
      <c r="M68" t="n">
        <v>0</v>
      </c>
      <c r="N68" t="n">
        <v>0</v>
      </c>
      <c r="O68" t="n">
        <v>3</v>
      </c>
      <c r="P68" t="n">
        <v>1</v>
      </c>
      <c r="Q68" t="n">
        <v>5</v>
      </c>
      <c r="R68" s="2" t="inlineStr">
        <is>
          <t>Knärot
Ullticka
Vedtrappmossa
Dvärghäxört
Grön sköldmossa</t>
        </is>
      </c>
      <c r="S68">
        <f>HYPERLINK("https://klasma.github.io/Logging_1981/artfynd/A 1182-2022 artfynd.xlsx", "A 1182-2022")</f>
        <v/>
      </c>
      <c r="T68">
        <f>HYPERLINK("https://klasma.github.io/Logging_1981/kartor/A 1182-2022 karta.png", "A 1182-2022")</f>
        <v/>
      </c>
      <c r="U68">
        <f>HYPERLINK("https://klasma.github.io/Logging_1981/knärot/A 1182-2022 karta knärot.png", "A 1182-2022")</f>
        <v/>
      </c>
      <c r="V68">
        <f>HYPERLINK("https://klasma.github.io/Logging_1981/klagomål/A 1182-2022 FSC-klagomål.docx", "A 1182-2022")</f>
        <v/>
      </c>
      <c r="W68">
        <f>HYPERLINK("https://klasma.github.io/Logging_1981/klagomålsmail/A 1182-2022 FSC-klagomål mail.docx", "A 1182-2022")</f>
        <v/>
      </c>
      <c r="X68">
        <f>HYPERLINK("https://klasma.github.io/Logging_1981/tillsyn/A 1182-2022 tillsynsbegäran.docx", "A 1182-2022")</f>
        <v/>
      </c>
      <c r="Y68">
        <f>HYPERLINK("https://klasma.github.io/Logging_1981/tillsynsmail/A 1182-2022 tillsynsbegäran mail.docx", "A 1182-2022")</f>
        <v/>
      </c>
    </row>
    <row r="69" ht="15" customHeight="1">
      <c r="A69" t="inlineStr">
        <is>
          <t>A 14622-2023</t>
        </is>
      </c>
      <c r="B69" s="1" t="n">
        <v>45013</v>
      </c>
      <c r="C69" s="1" t="n">
        <v>45724</v>
      </c>
      <c r="D69" t="inlineStr">
        <is>
          <t>VÄSTMANLANDS LÄN</t>
        </is>
      </c>
      <c r="E69" t="inlineStr">
        <is>
          <t>NORBERG</t>
        </is>
      </c>
      <c r="G69" t="n">
        <v>2.2</v>
      </c>
      <c r="H69" t="n">
        <v>2</v>
      </c>
      <c r="I69" t="n">
        <v>2</v>
      </c>
      <c r="J69" t="n">
        <v>2</v>
      </c>
      <c r="K69" t="n">
        <v>0</v>
      </c>
      <c r="L69" t="n">
        <v>0</v>
      </c>
      <c r="M69" t="n">
        <v>0</v>
      </c>
      <c r="N69" t="n">
        <v>0</v>
      </c>
      <c r="O69" t="n">
        <v>2</v>
      </c>
      <c r="P69" t="n">
        <v>0</v>
      </c>
      <c r="Q69" t="n">
        <v>5</v>
      </c>
      <c r="R69" s="2" t="inlineStr">
        <is>
          <t>Mindre hackspett
Ullticka
Blomkålssvamp
Mindre märgborre
Blåsippa</t>
        </is>
      </c>
      <c r="S69">
        <f>HYPERLINK("https://klasma.github.io/Logging_1962/artfynd/A 14622-2023 artfynd.xlsx", "A 14622-2023")</f>
        <v/>
      </c>
      <c r="T69">
        <f>HYPERLINK("https://klasma.github.io/Logging_1962/kartor/A 14622-2023 karta.png", "A 14622-2023")</f>
        <v/>
      </c>
      <c r="V69">
        <f>HYPERLINK("https://klasma.github.io/Logging_1962/klagomål/A 14622-2023 FSC-klagomål.docx", "A 14622-2023")</f>
        <v/>
      </c>
      <c r="W69">
        <f>HYPERLINK("https://klasma.github.io/Logging_1962/klagomålsmail/A 14622-2023 FSC-klagomål mail.docx", "A 14622-2023")</f>
        <v/>
      </c>
      <c r="X69">
        <f>HYPERLINK("https://klasma.github.io/Logging_1962/tillsyn/A 14622-2023 tillsynsbegäran.docx", "A 14622-2023")</f>
        <v/>
      </c>
      <c r="Y69">
        <f>HYPERLINK("https://klasma.github.io/Logging_1962/tillsynsmail/A 14622-2023 tillsynsbegäran mail.docx", "A 14622-2023")</f>
        <v/>
      </c>
      <c r="Z69">
        <f>HYPERLINK("https://klasma.github.io/Logging_1962/fåglar/A 14622-2023 prioriterade fågelarter.docx", "A 14622-2023")</f>
        <v/>
      </c>
    </row>
    <row r="70" ht="15" customHeight="1">
      <c r="A70" t="inlineStr">
        <is>
          <t>A 23221-2023</t>
        </is>
      </c>
      <c r="B70" s="1" t="n">
        <v>45075</v>
      </c>
      <c r="C70" s="1" t="n">
        <v>45724</v>
      </c>
      <c r="D70" t="inlineStr">
        <is>
          <t>VÄSTMANLANDS LÄN</t>
        </is>
      </c>
      <c r="E70" t="inlineStr">
        <is>
          <t>SALA</t>
        </is>
      </c>
      <c r="G70" t="n">
        <v>26.3</v>
      </c>
      <c r="H70" t="n">
        <v>2</v>
      </c>
      <c r="I70" t="n">
        <v>3</v>
      </c>
      <c r="J70" t="n">
        <v>1</v>
      </c>
      <c r="K70" t="n">
        <v>1</v>
      </c>
      <c r="L70" t="n">
        <v>0</v>
      </c>
      <c r="M70" t="n">
        <v>0</v>
      </c>
      <c r="N70" t="n">
        <v>0</v>
      </c>
      <c r="O70" t="n">
        <v>2</v>
      </c>
      <c r="P70" t="n">
        <v>1</v>
      </c>
      <c r="Q70" t="n">
        <v>5</v>
      </c>
      <c r="R70" s="2" t="inlineStr">
        <is>
          <t>Knärot
Spillkråka
Blomkålssvamp
Brandticka
Grönpyrola</t>
        </is>
      </c>
      <c r="S70">
        <f>HYPERLINK("https://klasma.github.io/Logging_1981/artfynd/A 23221-2023 artfynd.xlsx", "A 23221-2023")</f>
        <v/>
      </c>
      <c r="T70">
        <f>HYPERLINK("https://klasma.github.io/Logging_1981/kartor/A 23221-2023 karta.png", "A 23221-2023")</f>
        <v/>
      </c>
      <c r="U70">
        <f>HYPERLINK("https://klasma.github.io/Logging_1981/knärot/A 23221-2023 karta knärot.png", "A 23221-2023")</f>
        <v/>
      </c>
      <c r="V70">
        <f>HYPERLINK("https://klasma.github.io/Logging_1981/klagomål/A 23221-2023 FSC-klagomål.docx", "A 23221-2023")</f>
        <v/>
      </c>
      <c r="W70">
        <f>HYPERLINK("https://klasma.github.io/Logging_1981/klagomålsmail/A 23221-2023 FSC-klagomål mail.docx", "A 23221-2023")</f>
        <v/>
      </c>
      <c r="X70">
        <f>HYPERLINK("https://klasma.github.io/Logging_1981/tillsyn/A 23221-2023 tillsynsbegäran.docx", "A 23221-2023")</f>
        <v/>
      </c>
      <c r="Y70">
        <f>HYPERLINK("https://klasma.github.io/Logging_1981/tillsynsmail/A 23221-2023 tillsynsbegäran mail.docx", "A 23221-2023")</f>
        <v/>
      </c>
      <c r="Z70">
        <f>HYPERLINK("https://klasma.github.io/Logging_1981/fåglar/A 23221-2023 prioriterade fågelarter.docx", "A 23221-2023")</f>
        <v/>
      </c>
    </row>
    <row r="71" ht="15" customHeight="1">
      <c r="A71" t="inlineStr">
        <is>
          <t>A 24089-2023</t>
        </is>
      </c>
      <c r="B71" s="1" t="n">
        <v>45079</v>
      </c>
      <c r="C71" s="1" t="n">
        <v>45724</v>
      </c>
      <c r="D71" t="inlineStr">
        <is>
          <t>VÄSTMANLANDS LÄN</t>
        </is>
      </c>
      <c r="E71" t="inlineStr">
        <is>
          <t>SKINNSKATTEBERG</t>
        </is>
      </c>
      <c r="F71" t="inlineStr">
        <is>
          <t>Sveaskog</t>
        </is>
      </c>
      <c r="G71" t="n">
        <v>3.5</v>
      </c>
      <c r="H71" t="n">
        <v>1</v>
      </c>
      <c r="I71" t="n">
        <v>4</v>
      </c>
      <c r="J71" t="n">
        <v>0</v>
      </c>
      <c r="K71" t="n">
        <v>0</v>
      </c>
      <c r="L71" t="n">
        <v>0</v>
      </c>
      <c r="M71" t="n">
        <v>0</v>
      </c>
      <c r="N71" t="n">
        <v>0</v>
      </c>
      <c r="O71" t="n">
        <v>0</v>
      </c>
      <c r="P71" t="n">
        <v>0</v>
      </c>
      <c r="Q71" t="n">
        <v>5</v>
      </c>
      <c r="R71" s="2" t="inlineStr">
        <is>
          <t>Svart trolldruva
Tibast
Underviol
Vårärt
Blåsippa</t>
        </is>
      </c>
      <c r="S71">
        <f>HYPERLINK("https://klasma.github.io/Logging_1904/artfynd/A 24089-2023 artfynd.xlsx", "A 24089-2023")</f>
        <v/>
      </c>
      <c r="T71">
        <f>HYPERLINK("https://klasma.github.io/Logging_1904/kartor/A 24089-2023 karta.png", "A 24089-2023")</f>
        <v/>
      </c>
      <c r="V71">
        <f>HYPERLINK("https://klasma.github.io/Logging_1904/klagomål/A 24089-2023 FSC-klagomål.docx", "A 24089-2023")</f>
        <v/>
      </c>
      <c r="W71">
        <f>HYPERLINK("https://klasma.github.io/Logging_1904/klagomålsmail/A 24089-2023 FSC-klagomål mail.docx", "A 24089-2023")</f>
        <v/>
      </c>
      <c r="X71">
        <f>HYPERLINK("https://klasma.github.io/Logging_1904/tillsyn/A 24089-2023 tillsynsbegäran.docx", "A 24089-2023")</f>
        <v/>
      </c>
      <c r="Y71">
        <f>HYPERLINK("https://klasma.github.io/Logging_1904/tillsynsmail/A 24089-2023 tillsynsbegäran mail.docx", "A 24089-2023")</f>
        <v/>
      </c>
    </row>
    <row r="72" ht="15" customHeight="1">
      <c r="A72" t="inlineStr">
        <is>
          <t>A 54719-2023</t>
        </is>
      </c>
      <c r="B72" s="1" t="n">
        <v>45236</v>
      </c>
      <c r="C72" s="1" t="n">
        <v>45724</v>
      </c>
      <c r="D72" t="inlineStr">
        <is>
          <t>VÄSTMANLANDS LÄN</t>
        </is>
      </c>
      <c r="E72" t="inlineStr">
        <is>
          <t>SALA</t>
        </is>
      </c>
      <c r="G72" t="n">
        <v>5.8</v>
      </c>
      <c r="H72" t="n">
        <v>3</v>
      </c>
      <c r="I72" t="n">
        <v>0</v>
      </c>
      <c r="J72" t="n">
        <v>2</v>
      </c>
      <c r="K72" t="n">
        <v>2</v>
      </c>
      <c r="L72" t="n">
        <v>0</v>
      </c>
      <c r="M72" t="n">
        <v>0</v>
      </c>
      <c r="N72" t="n">
        <v>0</v>
      </c>
      <c r="O72" t="n">
        <v>4</v>
      </c>
      <c r="P72" t="n">
        <v>2</v>
      </c>
      <c r="Q72" t="n">
        <v>5</v>
      </c>
      <c r="R72" s="2" t="inlineStr">
        <is>
          <t>Knärot
Vågticka
Gropticka
Spillkråka
Blåsippa</t>
        </is>
      </c>
      <c r="S72">
        <f>HYPERLINK("https://klasma.github.io/Logging_1981/artfynd/A 54719-2023 artfynd.xlsx", "A 54719-2023")</f>
        <v/>
      </c>
      <c r="T72">
        <f>HYPERLINK("https://klasma.github.io/Logging_1981/kartor/A 54719-2023 karta.png", "A 54719-2023")</f>
        <v/>
      </c>
      <c r="U72">
        <f>HYPERLINK("https://klasma.github.io/Logging_1981/knärot/A 54719-2023 karta knärot.png", "A 54719-2023")</f>
        <v/>
      </c>
      <c r="V72">
        <f>HYPERLINK("https://klasma.github.io/Logging_1981/klagomål/A 54719-2023 FSC-klagomål.docx", "A 54719-2023")</f>
        <v/>
      </c>
      <c r="W72">
        <f>HYPERLINK("https://klasma.github.io/Logging_1981/klagomålsmail/A 54719-2023 FSC-klagomål mail.docx", "A 54719-2023")</f>
        <v/>
      </c>
      <c r="X72">
        <f>HYPERLINK("https://klasma.github.io/Logging_1981/tillsyn/A 54719-2023 tillsynsbegäran.docx", "A 54719-2023")</f>
        <v/>
      </c>
      <c r="Y72">
        <f>HYPERLINK("https://klasma.github.io/Logging_1981/tillsynsmail/A 54719-2023 tillsynsbegäran mail.docx", "A 54719-2023")</f>
        <v/>
      </c>
      <c r="Z72">
        <f>HYPERLINK("https://klasma.github.io/Logging_1981/fåglar/A 54719-2023 prioriterade fågelarter.docx", "A 54719-2023")</f>
        <v/>
      </c>
    </row>
    <row r="73" ht="15" customHeight="1">
      <c r="A73" t="inlineStr">
        <is>
          <t>A 3566-2024</t>
        </is>
      </c>
      <c r="B73" s="1" t="n">
        <v>45320</v>
      </c>
      <c r="C73" s="1" t="n">
        <v>45724</v>
      </c>
      <c r="D73" t="inlineStr">
        <is>
          <t>VÄSTMANLANDS LÄN</t>
        </is>
      </c>
      <c r="E73" t="inlineStr">
        <is>
          <t>SALA</t>
        </is>
      </c>
      <c r="F73" t="inlineStr">
        <is>
          <t>Kommuner</t>
        </is>
      </c>
      <c r="G73" t="n">
        <v>4.3</v>
      </c>
      <c r="H73" t="n">
        <v>3</v>
      </c>
      <c r="I73" t="n">
        <v>1</v>
      </c>
      <c r="J73" t="n">
        <v>0</v>
      </c>
      <c r="K73" t="n">
        <v>2</v>
      </c>
      <c r="L73" t="n">
        <v>0</v>
      </c>
      <c r="M73" t="n">
        <v>0</v>
      </c>
      <c r="N73" t="n">
        <v>0</v>
      </c>
      <c r="O73" t="n">
        <v>2</v>
      </c>
      <c r="P73" t="n">
        <v>2</v>
      </c>
      <c r="Q73" t="n">
        <v>5</v>
      </c>
      <c r="R73" s="2" t="inlineStr">
        <is>
          <t>Knärot
Vågticka
Vedticka
Fläcknycklar
Mattlummer</t>
        </is>
      </c>
      <c r="S73">
        <f>HYPERLINK("https://klasma.github.io/Logging_1981/artfynd/A 3566-2024 artfynd.xlsx", "A 3566-2024")</f>
        <v/>
      </c>
      <c r="T73">
        <f>HYPERLINK("https://klasma.github.io/Logging_1981/kartor/A 3566-2024 karta.png", "A 3566-2024")</f>
        <v/>
      </c>
      <c r="U73">
        <f>HYPERLINK("https://klasma.github.io/Logging_1981/knärot/A 3566-2024 karta knärot.png", "A 3566-2024")</f>
        <v/>
      </c>
      <c r="V73">
        <f>HYPERLINK("https://klasma.github.io/Logging_1981/klagomål/A 3566-2024 FSC-klagomål.docx", "A 3566-2024")</f>
        <v/>
      </c>
      <c r="W73">
        <f>HYPERLINK("https://klasma.github.io/Logging_1981/klagomålsmail/A 3566-2024 FSC-klagomål mail.docx", "A 3566-2024")</f>
        <v/>
      </c>
      <c r="X73">
        <f>HYPERLINK("https://klasma.github.io/Logging_1981/tillsyn/A 3566-2024 tillsynsbegäran.docx", "A 3566-2024")</f>
        <v/>
      </c>
      <c r="Y73">
        <f>HYPERLINK("https://klasma.github.io/Logging_1981/tillsynsmail/A 3566-2024 tillsynsbegäran mail.docx", "A 3566-2024")</f>
        <v/>
      </c>
    </row>
    <row r="74" ht="15" customHeight="1">
      <c r="A74" t="inlineStr">
        <is>
          <t>A 12718-2024</t>
        </is>
      </c>
      <c r="B74" s="1" t="n">
        <v>45384</v>
      </c>
      <c r="C74" s="1" t="n">
        <v>45724</v>
      </c>
      <c r="D74" t="inlineStr">
        <is>
          <t>VÄSTMANLANDS LÄN</t>
        </is>
      </c>
      <c r="E74" t="inlineStr">
        <is>
          <t>KÖPING</t>
        </is>
      </c>
      <c r="F74" t="inlineStr">
        <is>
          <t>Allmännings- och besparingsskogar</t>
        </is>
      </c>
      <c r="G74" t="n">
        <v>11</v>
      </c>
      <c r="H74" t="n">
        <v>1</v>
      </c>
      <c r="I74" t="n">
        <v>4</v>
      </c>
      <c r="J74" t="n">
        <v>0</v>
      </c>
      <c r="K74" t="n">
        <v>1</v>
      </c>
      <c r="L74" t="n">
        <v>0</v>
      </c>
      <c r="M74" t="n">
        <v>0</v>
      </c>
      <c r="N74" t="n">
        <v>0</v>
      </c>
      <c r="O74" t="n">
        <v>1</v>
      </c>
      <c r="P74" t="n">
        <v>1</v>
      </c>
      <c r="Q74" t="n">
        <v>5</v>
      </c>
      <c r="R74" s="2" t="inlineStr">
        <is>
          <t>Knärot
Kornknutmossa
Mörk husmossa
Tibast
Västlig hakmossa</t>
        </is>
      </c>
      <c r="S74">
        <f>HYPERLINK("https://klasma.github.io/Logging_1983/artfynd/A 12718-2024 artfynd.xlsx", "A 12718-2024")</f>
        <v/>
      </c>
      <c r="T74">
        <f>HYPERLINK("https://klasma.github.io/Logging_1983/kartor/A 12718-2024 karta.png", "A 12718-2024")</f>
        <v/>
      </c>
      <c r="U74">
        <f>HYPERLINK("https://klasma.github.io/Logging_1983/knärot/A 12718-2024 karta knärot.png", "A 12718-2024")</f>
        <v/>
      </c>
      <c r="V74">
        <f>HYPERLINK("https://klasma.github.io/Logging_1983/klagomål/A 12718-2024 FSC-klagomål.docx", "A 12718-2024")</f>
        <v/>
      </c>
      <c r="W74">
        <f>HYPERLINK("https://klasma.github.io/Logging_1983/klagomålsmail/A 12718-2024 FSC-klagomål mail.docx", "A 12718-2024")</f>
        <v/>
      </c>
      <c r="X74">
        <f>HYPERLINK("https://klasma.github.io/Logging_1983/tillsyn/A 12718-2024 tillsynsbegäran.docx", "A 12718-2024")</f>
        <v/>
      </c>
      <c r="Y74">
        <f>HYPERLINK("https://klasma.github.io/Logging_1983/tillsynsmail/A 12718-2024 tillsynsbegäran mail.docx", "A 12718-2024")</f>
        <v/>
      </c>
    </row>
    <row r="75" ht="15" customHeight="1">
      <c r="A75" t="inlineStr">
        <is>
          <t>A 27263-2024</t>
        </is>
      </c>
      <c r="B75" s="1" t="n">
        <v>45471</v>
      </c>
      <c r="C75" s="1" t="n">
        <v>45724</v>
      </c>
      <c r="D75" t="inlineStr">
        <is>
          <t>VÄSTMANLANDS LÄN</t>
        </is>
      </c>
      <c r="E75" t="inlineStr">
        <is>
          <t>SALA</t>
        </is>
      </c>
      <c r="G75" t="n">
        <v>9.6</v>
      </c>
      <c r="H75" t="n">
        <v>0</v>
      </c>
      <c r="I75" t="n">
        <v>2</v>
      </c>
      <c r="J75" t="n">
        <v>3</v>
      </c>
      <c r="K75" t="n">
        <v>0</v>
      </c>
      <c r="L75" t="n">
        <v>0</v>
      </c>
      <c r="M75" t="n">
        <v>0</v>
      </c>
      <c r="N75" t="n">
        <v>0</v>
      </c>
      <c r="O75" t="n">
        <v>3</v>
      </c>
      <c r="P75" t="n">
        <v>0</v>
      </c>
      <c r="Q75" t="n">
        <v>5</v>
      </c>
      <c r="R75" s="2" t="inlineStr">
        <is>
          <t>Motaggsvamp
Skrovlig taggsvamp
Tallriska
Dropptaggsvamp
Tallfingersvamp</t>
        </is>
      </c>
      <c r="S75">
        <f>HYPERLINK("https://klasma.github.io/Logging_1981/artfynd/A 27263-2024 artfynd.xlsx", "A 27263-2024")</f>
        <v/>
      </c>
      <c r="T75">
        <f>HYPERLINK("https://klasma.github.io/Logging_1981/kartor/A 27263-2024 karta.png", "A 27263-2024")</f>
        <v/>
      </c>
      <c r="V75">
        <f>HYPERLINK("https://klasma.github.io/Logging_1981/klagomål/A 27263-2024 FSC-klagomål.docx", "A 27263-2024")</f>
        <v/>
      </c>
      <c r="W75">
        <f>HYPERLINK("https://klasma.github.io/Logging_1981/klagomålsmail/A 27263-2024 FSC-klagomål mail.docx", "A 27263-2024")</f>
        <v/>
      </c>
      <c r="X75">
        <f>HYPERLINK("https://klasma.github.io/Logging_1981/tillsyn/A 27263-2024 tillsynsbegäran.docx", "A 27263-2024")</f>
        <v/>
      </c>
      <c r="Y75">
        <f>HYPERLINK("https://klasma.github.io/Logging_1981/tillsynsmail/A 27263-2024 tillsynsbegäran mail.docx", "A 27263-2024")</f>
        <v/>
      </c>
    </row>
    <row r="76" ht="15" customHeight="1">
      <c r="A76" t="inlineStr">
        <is>
          <t>A 39720-2024</t>
        </is>
      </c>
      <c r="B76" s="1" t="n">
        <v>45552</v>
      </c>
      <c r="C76" s="1" t="n">
        <v>45724</v>
      </c>
      <c r="D76" t="inlineStr">
        <is>
          <t>VÄSTMANLANDS LÄN</t>
        </is>
      </c>
      <c r="E76" t="inlineStr">
        <is>
          <t>KÖPING</t>
        </is>
      </c>
      <c r="G76" t="n">
        <v>12.1</v>
      </c>
      <c r="H76" t="n">
        <v>1</v>
      </c>
      <c r="I76" t="n">
        <v>1</v>
      </c>
      <c r="J76" t="n">
        <v>3</v>
      </c>
      <c r="K76" t="n">
        <v>1</v>
      </c>
      <c r="L76" t="n">
        <v>0</v>
      </c>
      <c r="M76" t="n">
        <v>0</v>
      </c>
      <c r="N76" t="n">
        <v>0</v>
      </c>
      <c r="O76" t="n">
        <v>4</v>
      </c>
      <c r="P76" t="n">
        <v>1</v>
      </c>
      <c r="Q76" t="n">
        <v>5</v>
      </c>
      <c r="R76" s="2" t="inlineStr">
        <is>
          <t>Knärot
Motaggsvamp
Skogshare
Ullticka
Dropptaggsvamp</t>
        </is>
      </c>
      <c r="S76">
        <f>HYPERLINK("https://klasma.github.io/Logging_1983/artfynd/A 39720-2024 artfynd.xlsx", "A 39720-2024")</f>
        <v/>
      </c>
      <c r="T76">
        <f>HYPERLINK("https://klasma.github.io/Logging_1983/kartor/A 39720-2024 karta.png", "A 39720-2024")</f>
        <v/>
      </c>
      <c r="U76">
        <f>HYPERLINK("https://klasma.github.io/Logging_1983/knärot/A 39720-2024 karta knärot.png", "A 39720-2024")</f>
        <v/>
      </c>
      <c r="V76">
        <f>HYPERLINK("https://klasma.github.io/Logging_1983/klagomål/A 39720-2024 FSC-klagomål.docx", "A 39720-2024")</f>
        <v/>
      </c>
      <c r="W76">
        <f>HYPERLINK("https://klasma.github.io/Logging_1983/klagomålsmail/A 39720-2024 FSC-klagomål mail.docx", "A 39720-2024")</f>
        <v/>
      </c>
      <c r="X76">
        <f>HYPERLINK("https://klasma.github.io/Logging_1983/tillsyn/A 39720-2024 tillsynsbegäran.docx", "A 39720-2024")</f>
        <v/>
      </c>
      <c r="Y76">
        <f>HYPERLINK("https://klasma.github.io/Logging_1983/tillsynsmail/A 39720-2024 tillsynsbegäran mail.docx", "A 39720-2024")</f>
        <v/>
      </c>
    </row>
    <row r="77" ht="15" customHeight="1">
      <c r="A77" t="inlineStr">
        <is>
          <t>A 53215-2024</t>
        </is>
      </c>
      <c r="B77" s="1" t="n">
        <v>45612</v>
      </c>
      <c r="C77" s="1" t="n">
        <v>45724</v>
      </c>
      <c r="D77" t="inlineStr">
        <is>
          <t>VÄSTMANLANDS LÄN</t>
        </is>
      </c>
      <c r="E77" t="inlineStr">
        <is>
          <t>SALA</t>
        </is>
      </c>
      <c r="G77" t="n">
        <v>8.4</v>
      </c>
      <c r="H77" t="n">
        <v>1</v>
      </c>
      <c r="I77" t="n">
        <v>2</v>
      </c>
      <c r="J77" t="n">
        <v>1</v>
      </c>
      <c r="K77" t="n">
        <v>1</v>
      </c>
      <c r="L77" t="n">
        <v>0</v>
      </c>
      <c r="M77" t="n">
        <v>0</v>
      </c>
      <c r="N77" t="n">
        <v>0</v>
      </c>
      <c r="O77" t="n">
        <v>2</v>
      </c>
      <c r="P77" t="n">
        <v>1</v>
      </c>
      <c r="Q77" t="n">
        <v>5</v>
      </c>
      <c r="R77" s="2" t="inlineStr">
        <is>
          <t>Rynkskinn
Ullticka
Bronshjon
Thomsons trägnagare
Blåsippa</t>
        </is>
      </c>
      <c r="S77">
        <f>HYPERLINK("https://klasma.github.io/Logging_1981/artfynd/A 53215-2024 artfynd.xlsx", "A 53215-2024")</f>
        <v/>
      </c>
      <c r="T77">
        <f>HYPERLINK("https://klasma.github.io/Logging_1981/kartor/A 53215-2024 karta.png", "A 53215-2024")</f>
        <v/>
      </c>
      <c r="V77">
        <f>HYPERLINK("https://klasma.github.io/Logging_1981/klagomål/A 53215-2024 FSC-klagomål.docx", "A 53215-2024")</f>
        <v/>
      </c>
      <c r="W77">
        <f>HYPERLINK("https://klasma.github.io/Logging_1981/klagomålsmail/A 53215-2024 FSC-klagomål mail.docx", "A 53215-2024")</f>
        <v/>
      </c>
      <c r="X77">
        <f>HYPERLINK("https://klasma.github.io/Logging_1981/tillsyn/A 53215-2024 tillsynsbegäran.docx", "A 53215-2024")</f>
        <v/>
      </c>
      <c r="Y77">
        <f>HYPERLINK("https://klasma.github.io/Logging_1981/tillsynsmail/A 53215-2024 tillsynsbegäran mail.docx", "A 53215-2024")</f>
        <v/>
      </c>
    </row>
    <row r="78" ht="15" customHeight="1">
      <c r="A78" t="inlineStr">
        <is>
          <t>A 56048-2024</t>
        </is>
      </c>
      <c r="B78" s="1" t="n">
        <v>45624</v>
      </c>
      <c r="C78" s="1" t="n">
        <v>45724</v>
      </c>
      <c r="D78" t="inlineStr">
        <is>
          <t>VÄSTMANLANDS LÄN</t>
        </is>
      </c>
      <c r="E78" t="inlineStr">
        <is>
          <t>KÖPING</t>
        </is>
      </c>
      <c r="G78" t="n">
        <v>10.1</v>
      </c>
      <c r="H78" t="n">
        <v>3</v>
      </c>
      <c r="I78" t="n">
        <v>2</v>
      </c>
      <c r="J78" t="n">
        <v>1</v>
      </c>
      <c r="K78" t="n">
        <v>1</v>
      </c>
      <c r="L78" t="n">
        <v>0</v>
      </c>
      <c r="M78" t="n">
        <v>0</v>
      </c>
      <c r="N78" t="n">
        <v>0</v>
      </c>
      <c r="O78" t="n">
        <v>2</v>
      </c>
      <c r="P78" t="n">
        <v>1</v>
      </c>
      <c r="Q78" t="n">
        <v>5</v>
      </c>
      <c r="R78" s="2" t="inlineStr">
        <is>
          <t>Knärot
Spillkråka
Bronshjon
Mindre märgborre
Revlummer</t>
        </is>
      </c>
      <c r="S78">
        <f>HYPERLINK("https://klasma.github.io/Logging_1983/artfynd/A 56048-2024 artfynd.xlsx", "A 56048-2024")</f>
        <v/>
      </c>
      <c r="T78">
        <f>HYPERLINK("https://klasma.github.io/Logging_1983/kartor/A 56048-2024 karta.png", "A 56048-2024")</f>
        <v/>
      </c>
      <c r="U78">
        <f>HYPERLINK("https://klasma.github.io/Logging_1983/knärot/A 56048-2024 karta knärot.png", "A 56048-2024")</f>
        <v/>
      </c>
      <c r="V78">
        <f>HYPERLINK("https://klasma.github.io/Logging_1983/klagomål/A 56048-2024 FSC-klagomål.docx", "A 56048-2024")</f>
        <v/>
      </c>
      <c r="W78">
        <f>HYPERLINK("https://klasma.github.io/Logging_1983/klagomålsmail/A 56048-2024 FSC-klagomål mail.docx", "A 56048-2024")</f>
        <v/>
      </c>
      <c r="X78">
        <f>HYPERLINK("https://klasma.github.io/Logging_1983/tillsyn/A 56048-2024 tillsynsbegäran.docx", "A 56048-2024")</f>
        <v/>
      </c>
      <c r="Y78">
        <f>HYPERLINK("https://klasma.github.io/Logging_1983/tillsynsmail/A 56048-2024 tillsynsbegäran mail.docx", "A 56048-2024")</f>
        <v/>
      </c>
      <c r="Z78">
        <f>HYPERLINK("https://klasma.github.io/Logging_1983/fåglar/A 56048-2024 prioriterade fågelarter.docx", "A 56048-2024")</f>
        <v/>
      </c>
    </row>
    <row r="79" ht="15" customHeight="1">
      <c r="A79" t="inlineStr">
        <is>
          <t>A 9320-2025</t>
        </is>
      </c>
      <c r="B79" s="1" t="n">
        <v>45714</v>
      </c>
      <c r="C79" s="1" t="n">
        <v>45724</v>
      </c>
      <c r="D79" t="inlineStr">
        <is>
          <t>VÄSTMANLANDS LÄN</t>
        </is>
      </c>
      <c r="E79" t="inlineStr">
        <is>
          <t>KUNGSÖR</t>
        </is>
      </c>
      <c r="G79" t="n">
        <v>12.3</v>
      </c>
      <c r="H79" t="n">
        <v>2</v>
      </c>
      <c r="I79" t="n">
        <v>3</v>
      </c>
      <c r="J79" t="n">
        <v>1</v>
      </c>
      <c r="K79" t="n">
        <v>0</v>
      </c>
      <c r="L79" t="n">
        <v>0</v>
      </c>
      <c r="M79" t="n">
        <v>0</v>
      </c>
      <c r="N79" t="n">
        <v>0</v>
      </c>
      <c r="O79" t="n">
        <v>1</v>
      </c>
      <c r="P79" t="n">
        <v>0</v>
      </c>
      <c r="Q79" t="n">
        <v>5</v>
      </c>
      <c r="R79" s="2" t="inlineStr">
        <is>
          <t>Spillkråka
Blåmossa
Grönpyrola
Mindre märgborre
Tjäder</t>
        </is>
      </c>
      <c r="S79">
        <f>HYPERLINK("https://klasma.github.io/Logging_1960/artfynd/A 9320-2025 artfynd.xlsx", "A 9320-2025")</f>
        <v/>
      </c>
      <c r="T79">
        <f>HYPERLINK("https://klasma.github.io/Logging_1960/kartor/A 9320-2025 karta.png", "A 9320-2025")</f>
        <v/>
      </c>
      <c r="V79">
        <f>HYPERLINK("https://klasma.github.io/Logging_1960/klagomål/A 9320-2025 FSC-klagomål.docx", "A 9320-2025")</f>
        <v/>
      </c>
      <c r="W79">
        <f>HYPERLINK("https://klasma.github.io/Logging_1960/klagomålsmail/A 9320-2025 FSC-klagomål mail.docx", "A 9320-2025")</f>
        <v/>
      </c>
      <c r="X79">
        <f>HYPERLINK("https://klasma.github.io/Logging_1960/tillsyn/A 9320-2025 tillsynsbegäran.docx", "A 9320-2025")</f>
        <v/>
      </c>
      <c r="Y79">
        <f>HYPERLINK("https://klasma.github.io/Logging_1960/tillsynsmail/A 9320-2025 tillsynsbegäran mail.docx", "A 9320-2025")</f>
        <v/>
      </c>
      <c r="Z79">
        <f>HYPERLINK("https://klasma.github.io/Logging_1960/fåglar/A 9320-2025 prioriterade fågelarter.docx", "A 9320-2025")</f>
        <v/>
      </c>
    </row>
    <row r="80" ht="15" customHeight="1">
      <c r="A80" t="inlineStr">
        <is>
          <t>A 22033-2020</t>
        </is>
      </c>
      <c r="B80" s="1" t="n">
        <v>43959</v>
      </c>
      <c r="C80" s="1" t="n">
        <v>45724</v>
      </c>
      <c r="D80" t="inlineStr">
        <is>
          <t>VÄSTMANLANDS LÄN</t>
        </is>
      </c>
      <c r="E80" t="inlineStr">
        <is>
          <t>SURAHAMMAR</t>
        </is>
      </c>
      <c r="G80" t="n">
        <v>0.5</v>
      </c>
      <c r="H80" t="n">
        <v>2</v>
      </c>
      <c r="I80" t="n">
        <v>1</v>
      </c>
      <c r="J80" t="n">
        <v>0</v>
      </c>
      <c r="K80" t="n">
        <v>3</v>
      </c>
      <c r="L80" t="n">
        <v>0</v>
      </c>
      <c r="M80" t="n">
        <v>0</v>
      </c>
      <c r="N80" t="n">
        <v>0</v>
      </c>
      <c r="O80" t="n">
        <v>3</v>
      </c>
      <c r="P80" t="n">
        <v>3</v>
      </c>
      <c r="Q80" t="n">
        <v>4</v>
      </c>
      <c r="R80" s="2" t="inlineStr">
        <is>
          <t>Bombmurkla
Knärot
Vågticka
Vedticka</t>
        </is>
      </c>
      <c r="S80">
        <f>HYPERLINK("https://klasma.github.io/Logging_1907/artfynd/A 22033-2020 artfynd.xlsx", "A 22033-2020")</f>
        <v/>
      </c>
      <c r="T80">
        <f>HYPERLINK("https://klasma.github.io/Logging_1907/kartor/A 22033-2020 karta.png", "A 22033-2020")</f>
        <v/>
      </c>
      <c r="U80">
        <f>HYPERLINK("https://klasma.github.io/Logging_1907/knärot/A 22033-2020 karta knärot.png", "A 22033-2020")</f>
        <v/>
      </c>
      <c r="V80">
        <f>HYPERLINK("https://klasma.github.io/Logging_1907/klagomål/A 22033-2020 FSC-klagomål.docx", "A 22033-2020")</f>
        <v/>
      </c>
      <c r="W80">
        <f>HYPERLINK("https://klasma.github.io/Logging_1907/klagomålsmail/A 22033-2020 FSC-klagomål mail.docx", "A 22033-2020")</f>
        <v/>
      </c>
      <c r="X80">
        <f>HYPERLINK("https://klasma.github.io/Logging_1907/tillsyn/A 22033-2020 tillsynsbegäran.docx", "A 22033-2020")</f>
        <v/>
      </c>
      <c r="Y80">
        <f>HYPERLINK("https://klasma.github.io/Logging_1907/tillsynsmail/A 22033-2020 tillsynsbegäran mail.docx", "A 22033-2020")</f>
        <v/>
      </c>
    </row>
    <row r="81" ht="15" customHeight="1">
      <c r="A81" t="inlineStr">
        <is>
          <t>A 37728-2020</t>
        </is>
      </c>
      <c r="B81" s="1" t="n">
        <v>44056</v>
      </c>
      <c r="C81" s="1" t="n">
        <v>45724</v>
      </c>
      <c r="D81" t="inlineStr">
        <is>
          <t>VÄSTMANLANDS LÄN</t>
        </is>
      </c>
      <c r="E81" t="inlineStr">
        <is>
          <t>VÄSTERÅS</t>
        </is>
      </c>
      <c r="G81" t="n">
        <v>1.6</v>
      </c>
      <c r="H81" t="n">
        <v>2</v>
      </c>
      <c r="I81" t="n">
        <v>1</v>
      </c>
      <c r="J81" t="n">
        <v>0</v>
      </c>
      <c r="K81" t="n">
        <v>1</v>
      </c>
      <c r="L81" t="n">
        <v>1</v>
      </c>
      <c r="M81" t="n">
        <v>0</v>
      </c>
      <c r="N81" t="n">
        <v>0</v>
      </c>
      <c r="O81" t="n">
        <v>2</v>
      </c>
      <c r="P81" t="n">
        <v>2</v>
      </c>
      <c r="Q81" t="n">
        <v>4</v>
      </c>
      <c r="R81" s="2" t="inlineStr">
        <is>
          <t>Rökpipsvamp
Bombmurkla
Trådticka
Blåsippa</t>
        </is>
      </c>
      <c r="S81">
        <f>HYPERLINK("https://klasma.github.io/Logging_1980/artfynd/A 37728-2020 artfynd.xlsx", "A 37728-2020")</f>
        <v/>
      </c>
      <c r="T81">
        <f>HYPERLINK("https://klasma.github.io/Logging_1980/kartor/A 37728-2020 karta.png", "A 37728-2020")</f>
        <v/>
      </c>
      <c r="V81">
        <f>HYPERLINK("https://klasma.github.io/Logging_1980/klagomål/A 37728-2020 FSC-klagomål.docx", "A 37728-2020")</f>
        <v/>
      </c>
      <c r="W81">
        <f>HYPERLINK("https://klasma.github.io/Logging_1980/klagomålsmail/A 37728-2020 FSC-klagomål mail.docx", "A 37728-2020")</f>
        <v/>
      </c>
      <c r="X81">
        <f>HYPERLINK("https://klasma.github.io/Logging_1980/tillsyn/A 37728-2020 tillsynsbegäran.docx", "A 37728-2020")</f>
        <v/>
      </c>
      <c r="Y81">
        <f>HYPERLINK("https://klasma.github.io/Logging_1980/tillsynsmail/A 37728-2020 tillsynsbegäran mail.docx", "A 37728-2020")</f>
        <v/>
      </c>
    </row>
    <row r="82" ht="15" customHeight="1">
      <c r="A82" t="inlineStr">
        <is>
          <t>A 26774-2021</t>
        </is>
      </c>
      <c r="B82" s="1" t="n">
        <v>44349</v>
      </c>
      <c r="C82" s="1" t="n">
        <v>45724</v>
      </c>
      <c r="D82" t="inlineStr">
        <is>
          <t>VÄSTMANLANDS LÄN</t>
        </is>
      </c>
      <c r="E82" t="inlineStr">
        <is>
          <t>SALA</t>
        </is>
      </c>
      <c r="F82" t="inlineStr">
        <is>
          <t>Sveaskog</t>
        </is>
      </c>
      <c r="G82" t="n">
        <v>1.3</v>
      </c>
      <c r="H82" t="n">
        <v>2</v>
      </c>
      <c r="I82" t="n">
        <v>0</v>
      </c>
      <c r="J82" t="n">
        <v>2</v>
      </c>
      <c r="K82" t="n">
        <v>0</v>
      </c>
      <c r="L82" t="n">
        <v>0</v>
      </c>
      <c r="M82" t="n">
        <v>0</v>
      </c>
      <c r="N82" t="n">
        <v>0</v>
      </c>
      <c r="O82" t="n">
        <v>2</v>
      </c>
      <c r="P82" t="n">
        <v>0</v>
      </c>
      <c r="Q82" t="n">
        <v>4</v>
      </c>
      <c r="R82" s="2" t="inlineStr">
        <is>
          <t>Mindre bastardsvärmare
Skogshare
Åkergroda
Vanlig padda</t>
        </is>
      </c>
      <c r="S82">
        <f>HYPERLINK("https://klasma.github.io/Logging_1981/artfynd/A 26774-2021 artfynd.xlsx", "A 26774-2021")</f>
        <v/>
      </c>
      <c r="T82">
        <f>HYPERLINK("https://klasma.github.io/Logging_1981/kartor/A 26774-2021 karta.png", "A 26774-2021")</f>
        <v/>
      </c>
      <c r="V82">
        <f>HYPERLINK("https://klasma.github.io/Logging_1981/klagomål/A 26774-2021 FSC-klagomål.docx", "A 26774-2021")</f>
        <v/>
      </c>
      <c r="W82">
        <f>HYPERLINK("https://klasma.github.io/Logging_1981/klagomålsmail/A 26774-2021 FSC-klagomål mail.docx", "A 26774-2021")</f>
        <v/>
      </c>
      <c r="X82">
        <f>HYPERLINK("https://klasma.github.io/Logging_1981/tillsyn/A 26774-2021 tillsynsbegäran.docx", "A 26774-2021")</f>
        <v/>
      </c>
      <c r="Y82">
        <f>HYPERLINK("https://klasma.github.io/Logging_1981/tillsynsmail/A 26774-2021 tillsynsbegäran mail.docx", "A 26774-2021")</f>
        <v/>
      </c>
    </row>
    <row r="83" ht="15" customHeight="1">
      <c r="A83" t="inlineStr">
        <is>
          <t>A 71981-2021</t>
        </is>
      </c>
      <c r="B83" s="1" t="n">
        <v>44543</v>
      </c>
      <c r="C83" s="1" t="n">
        <v>45724</v>
      </c>
      <c r="D83" t="inlineStr">
        <is>
          <t>VÄSTMANLANDS LÄN</t>
        </is>
      </c>
      <c r="E83" t="inlineStr">
        <is>
          <t>VÄSTERÅS</t>
        </is>
      </c>
      <c r="G83" t="n">
        <v>4.4</v>
      </c>
      <c r="H83" t="n">
        <v>1</v>
      </c>
      <c r="I83" t="n">
        <v>2</v>
      </c>
      <c r="J83" t="n">
        <v>2</v>
      </c>
      <c r="K83" t="n">
        <v>0</v>
      </c>
      <c r="L83" t="n">
        <v>0</v>
      </c>
      <c r="M83" t="n">
        <v>0</v>
      </c>
      <c r="N83" t="n">
        <v>0</v>
      </c>
      <c r="O83" t="n">
        <v>2</v>
      </c>
      <c r="P83" t="n">
        <v>0</v>
      </c>
      <c r="Q83" t="n">
        <v>4</v>
      </c>
      <c r="R83" s="2" t="inlineStr">
        <is>
          <t>Garnlav
Spillkråka
Bronshjon
Guldlockmossa</t>
        </is>
      </c>
      <c r="S83">
        <f>HYPERLINK("https://klasma.github.io/Logging_1980/artfynd/A 71981-2021 artfynd.xlsx", "A 71981-2021")</f>
        <v/>
      </c>
      <c r="T83">
        <f>HYPERLINK("https://klasma.github.io/Logging_1980/kartor/A 71981-2021 karta.png", "A 71981-2021")</f>
        <v/>
      </c>
      <c r="V83">
        <f>HYPERLINK("https://klasma.github.io/Logging_1980/klagomål/A 71981-2021 FSC-klagomål.docx", "A 71981-2021")</f>
        <v/>
      </c>
      <c r="W83">
        <f>HYPERLINK("https://klasma.github.io/Logging_1980/klagomålsmail/A 71981-2021 FSC-klagomål mail.docx", "A 71981-2021")</f>
        <v/>
      </c>
      <c r="X83">
        <f>HYPERLINK("https://klasma.github.io/Logging_1980/tillsyn/A 71981-2021 tillsynsbegäran.docx", "A 71981-2021")</f>
        <v/>
      </c>
      <c r="Y83">
        <f>HYPERLINK("https://klasma.github.io/Logging_1980/tillsynsmail/A 71981-2021 tillsynsbegäran mail.docx", "A 71981-2021")</f>
        <v/>
      </c>
      <c r="Z83">
        <f>HYPERLINK("https://klasma.github.io/Logging_1980/fåglar/A 71981-2021 prioriterade fågelarter.docx", "A 71981-2021")</f>
        <v/>
      </c>
    </row>
    <row r="84" ht="15" customHeight="1">
      <c r="A84" t="inlineStr">
        <is>
          <t>A 27488-2023</t>
        </is>
      </c>
      <c r="B84" s="1" t="n">
        <v>45097</v>
      </c>
      <c r="C84" s="1" t="n">
        <v>45724</v>
      </c>
      <c r="D84" t="inlineStr">
        <is>
          <t>VÄSTMANLANDS LÄN</t>
        </is>
      </c>
      <c r="E84" t="inlineStr">
        <is>
          <t>SALA</t>
        </is>
      </c>
      <c r="G84" t="n">
        <v>9.300000000000001</v>
      </c>
      <c r="H84" t="n">
        <v>1</v>
      </c>
      <c r="I84" t="n">
        <v>3</v>
      </c>
      <c r="J84" t="n">
        <v>1</v>
      </c>
      <c r="K84" t="n">
        <v>0</v>
      </c>
      <c r="L84" t="n">
        <v>0</v>
      </c>
      <c r="M84" t="n">
        <v>0</v>
      </c>
      <c r="N84" t="n">
        <v>0</v>
      </c>
      <c r="O84" t="n">
        <v>1</v>
      </c>
      <c r="P84" t="n">
        <v>0</v>
      </c>
      <c r="Q84" t="n">
        <v>4</v>
      </c>
      <c r="R84" s="2" t="inlineStr">
        <is>
          <t>Motaggsvamp
Dropptaggsvamp
Plattlummer
Tallfingersvamp</t>
        </is>
      </c>
      <c r="S84">
        <f>HYPERLINK("https://klasma.github.io/Logging_1981/artfynd/A 27488-2023 artfynd.xlsx", "A 27488-2023")</f>
        <v/>
      </c>
      <c r="T84">
        <f>HYPERLINK("https://klasma.github.io/Logging_1981/kartor/A 27488-2023 karta.png", "A 27488-2023")</f>
        <v/>
      </c>
      <c r="V84">
        <f>HYPERLINK("https://klasma.github.io/Logging_1981/klagomål/A 27488-2023 FSC-klagomål.docx", "A 27488-2023")</f>
        <v/>
      </c>
      <c r="W84">
        <f>HYPERLINK("https://klasma.github.io/Logging_1981/klagomålsmail/A 27488-2023 FSC-klagomål mail.docx", "A 27488-2023")</f>
        <v/>
      </c>
      <c r="X84">
        <f>HYPERLINK("https://klasma.github.io/Logging_1981/tillsyn/A 27488-2023 tillsynsbegäran.docx", "A 27488-2023")</f>
        <v/>
      </c>
      <c r="Y84">
        <f>HYPERLINK("https://klasma.github.io/Logging_1981/tillsynsmail/A 27488-2023 tillsynsbegäran mail.docx", "A 27488-2023")</f>
        <v/>
      </c>
    </row>
    <row r="85" ht="15" customHeight="1">
      <c r="A85" t="inlineStr">
        <is>
          <t>A 35212-2023</t>
        </is>
      </c>
      <c r="B85" s="1" t="n">
        <v>45145</v>
      </c>
      <c r="C85" s="1" t="n">
        <v>45724</v>
      </c>
      <c r="D85" t="inlineStr">
        <is>
          <t>VÄSTMANLANDS LÄN</t>
        </is>
      </c>
      <c r="E85" t="inlineStr">
        <is>
          <t>KÖPING</t>
        </is>
      </c>
      <c r="F85" t="inlineStr">
        <is>
          <t>Sveaskog</t>
        </is>
      </c>
      <c r="G85" t="n">
        <v>8.300000000000001</v>
      </c>
      <c r="H85" t="n">
        <v>2</v>
      </c>
      <c r="I85" t="n">
        <v>0</v>
      </c>
      <c r="J85" t="n">
        <v>2</v>
      </c>
      <c r="K85" t="n">
        <v>0</v>
      </c>
      <c r="L85" t="n">
        <v>0</v>
      </c>
      <c r="M85" t="n">
        <v>0</v>
      </c>
      <c r="N85" t="n">
        <v>0</v>
      </c>
      <c r="O85" t="n">
        <v>2</v>
      </c>
      <c r="P85" t="n">
        <v>0</v>
      </c>
      <c r="Q85" t="n">
        <v>4</v>
      </c>
      <c r="R85" s="2" t="inlineStr">
        <is>
          <t>Brunklöver
Skogsklocka
Kopparödla
Vanlig padda</t>
        </is>
      </c>
      <c r="S85">
        <f>HYPERLINK("https://klasma.github.io/Logging_1983/artfynd/A 35212-2023 artfynd.xlsx", "A 35212-2023")</f>
        <v/>
      </c>
      <c r="T85">
        <f>HYPERLINK("https://klasma.github.io/Logging_1983/kartor/A 35212-2023 karta.png", "A 35212-2023")</f>
        <v/>
      </c>
      <c r="V85">
        <f>HYPERLINK("https://klasma.github.io/Logging_1983/klagomål/A 35212-2023 FSC-klagomål.docx", "A 35212-2023")</f>
        <v/>
      </c>
      <c r="W85">
        <f>HYPERLINK("https://klasma.github.io/Logging_1983/klagomålsmail/A 35212-2023 FSC-klagomål mail.docx", "A 35212-2023")</f>
        <v/>
      </c>
      <c r="X85">
        <f>HYPERLINK("https://klasma.github.io/Logging_1983/tillsyn/A 35212-2023 tillsynsbegäran.docx", "A 35212-2023")</f>
        <v/>
      </c>
      <c r="Y85">
        <f>HYPERLINK("https://klasma.github.io/Logging_1983/tillsynsmail/A 35212-2023 tillsynsbegäran mail.docx", "A 35212-2023")</f>
        <v/>
      </c>
    </row>
    <row r="86" ht="15" customHeight="1">
      <c r="A86" t="inlineStr">
        <is>
          <t>A 35620-2023</t>
        </is>
      </c>
      <c r="B86" s="1" t="n">
        <v>45147</v>
      </c>
      <c r="C86" s="1" t="n">
        <v>45724</v>
      </c>
      <c r="D86" t="inlineStr">
        <is>
          <t>VÄSTMANLANDS LÄN</t>
        </is>
      </c>
      <c r="E86" t="inlineStr">
        <is>
          <t>SURAHAMMAR</t>
        </is>
      </c>
      <c r="G86" t="n">
        <v>20.3</v>
      </c>
      <c r="H86" t="n">
        <v>3</v>
      </c>
      <c r="I86" t="n">
        <v>1</v>
      </c>
      <c r="J86" t="n">
        <v>0</v>
      </c>
      <c r="K86" t="n">
        <v>1</v>
      </c>
      <c r="L86" t="n">
        <v>0</v>
      </c>
      <c r="M86" t="n">
        <v>0</v>
      </c>
      <c r="N86" t="n">
        <v>0</v>
      </c>
      <c r="O86" t="n">
        <v>1</v>
      </c>
      <c r="P86" t="n">
        <v>1</v>
      </c>
      <c r="Q86" t="n">
        <v>4</v>
      </c>
      <c r="R86" s="2" t="inlineStr">
        <is>
          <t>Knärot
Vedticka
Sparvuggla
Blåsippa</t>
        </is>
      </c>
      <c r="S86">
        <f>HYPERLINK("https://klasma.github.io/Logging_1907/artfynd/A 35620-2023 artfynd.xlsx", "A 35620-2023")</f>
        <v/>
      </c>
      <c r="T86">
        <f>HYPERLINK("https://klasma.github.io/Logging_1907/kartor/A 35620-2023 karta.png", "A 35620-2023")</f>
        <v/>
      </c>
      <c r="U86">
        <f>HYPERLINK("https://klasma.github.io/Logging_1907/knärot/A 35620-2023 karta knärot.png", "A 35620-2023")</f>
        <v/>
      </c>
      <c r="V86">
        <f>HYPERLINK("https://klasma.github.io/Logging_1907/klagomål/A 35620-2023 FSC-klagomål.docx", "A 35620-2023")</f>
        <v/>
      </c>
      <c r="W86">
        <f>HYPERLINK("https://klasma.github.io/Logging_1907/klagomålsmail/A 35620-2023 FSC-klagomål mail.docx", "A 35620-2023")</f>
        <v/>
      </c>
      <c r="X86">
        <f>HYPERLINK("https://klasma.github.io/Logging_1907/tillsyn/A 35620-2023 tillsynsbegäran.docx", "A 35620-2023")</f>
        <v/>
      </c>
      <c r="Y86">
        <f>HYPERLINK("https://klasma.github.io/Logging_1907/tillsynsmail/A 35620-2023 tillsynsbegäran mail.docx", "A 35620-2023")</f>
        <v/>
      </c>
      <c r="Z86">
        <f>HYPERLINK("https://klasma.github.io/Logging_1907/fåglar/A 35620-2023 prioriterade fågelarter.docx", "A 35620-2023")</f>
        <v/>
      </c>
    </row>
    <row r="87" ht="15" customHeight="1">
      <c r="A87" t="inlineStr">
        <is>
          <t>A 48891-2023</t>
        </is>
      </c>
      <c r="B87" s="1" t="n">
        <v>45203</v>
      </c>
      <c r="C87" s="1" t="n">
        <v>45724</v>
      </c>
      <c r="D87" t="inlineStr">
        <is>
          <t>VÄSTMANLANDS LÄN</t>
        </is>
      </c>
      <c r="E87" t="inlineStr">
        <is>
          <t>SURAHAMMAR</t>
        </is>
      </c>
      <c r="F87" t="inlineStr">
        <is>
          <t>Bergvik skog väst AB</t>
        </is>
      </c>
      <c r="G87" t="n">
        <v>2.9</v>
      </c>
      <c r="H87" t="n">
        <v>3</v>
      </c>
      <c r="I87" t="n">
        <v>1</v>
      </c>
      <c r="J87" t="n">
        <v>1</v>
      </c>
      <c r="K87" t="n">
        <v>1</v>
      </c>
      <c r="L87" t="n">
        <v>0</v>
      </c>
      <c r="M87" t="n">
        <v>0</v>
      </c>
      <c r="N87" t="n">
        <v>0</v>
      </c>
      <c r="O87" t="n">
        <v>2</v>
      </c>
      <c r="P87" t="n">
        <v>1</v>
      </c>
      <c r="Q87" t="n">
        <v>4</v>
      </c>
      <c r="R87" s="2" t="inlineStr">
        <is>
          <t>Knärot
Spillkråka
Flagellkvastmossa
Gröngöling</t>
        </is>
      </c>
      <c r="S87">
        <f>HYPERLINK("https://klasma.github.io/Logging_1907/artfynd/A 48891-2023 artfynd.xlsx", "A 48891-2023")</f>
        <v/>
      </c>
      <c r="T87">
        <f>HYPERLINK("https://klasma.github.io/Logging_1907/kartor/A 48891-2023 karta.png", "A 48891-2023")</f>
        <v/>
      </c>
      <c r="U87">
        <f>HYPERLINK("https://klasma.github.io/Logging_1907/knärot/A 48891-2023 karta knärot.png", "A 48891-2023")</f>
        <v/>
      </c>
      <c r="V87">
        <f>HYPERLINK("https://klasma.github.io/Logging_1907/klagomål/A 48891-2023 FSC-klagomål.docx", "A 48891-2023")</f>
        <v/>
      </c>
      <c r="W87">
        <f>HYPERLINK("https://klasma.github.io/Logging_1907/klagomålsmail/A 48891-2023 FSC-klagomål mail.docx", "A 48891-2023")</f>
        <v/>
      </c>
      <c r="X87">
        <f>HYPERLINK("https://klasma.github.io/Logging_1907/tillsyn/A 48891-2023 tillsynsbegäran.docx", "A 48891-2023")</f>
        <v/>
      </c>
      <c r="Y87">
        <f>HYPERLINK("https://klasma.github.io/Logging_1907/tillsynsmail/A 48891-2023 tillsynsbegäran mail.docx", "A 48891-2023")</f>
        <v/>
      </c>
      <c r="Z87">
        <f>HYPERLINK("https://klasma.github.io/Logging_1907/fåglar/A 48891-2023 prioriterade fågelarter.docx", "A 48891-2023")</f>
        <v/>
      </c>
    </row>
    <row r="88" ht="15" customHeight="1">
      <c r="A88" t="inlineStr">
        <is>
          <t>A 51868-2023</t>
        </is>
      </c>
      <c r="B88" s="1" t="n">
        <v>45223</v>
      </c>
      <c r="C88" s="1" t="n">
        <v>45724</v>
      </c>
      <c r="D88" t="inlineStr">
        <is>
          <t>VÄSTMANLANDS LÄN</t>
        </is>
      </c>
      <c r="E88" t="inlineStr">
        <is>
          <t>VÄSTERÅS</t>
        </is>
      </c>
      <c r="F88" t="inlineStr">
        <is>
          <t>Kommuner</t>
        </is>
      </c>
      <c r="G88" t="n">
        <v>8.800000000000001</v>
      </c>
      <c r="H88" t="n">
        <v>1</v>
      </c>
      <c r="I88" t="n">
        <v>2</v>
      </c>
      <c r="J88" t="n">
        <v>1</v>
      </c>
      <c r="K88" t="n">
        <v>0</v>
      </c>
      <c r="L88" t="n">
        <v>0</v>
      </c>
      <c r="M88" t="n">
        <v>0</v>
      </c>
      <c r="N88" t="n">
        <v>0</v>
      </c>
      <c r="O88" t="n">
        <v>1</v>
      </c>
      <c r="P88" t="n">
        <v>0</v>
      </c>
      <c r="Q88" t="n">
        <v>4</v>
      </c>
      <c r="R88" s="2" t="inlineStr">
        <is>
          <t>Ullticka
Myskbock
Thomsons trägnagare
Revlummer</t>
        </is>
      </c>
      <c r="S88">
        <f>HYPERLINK("https://klasma.github.io/Logging_1980/artfynd/A 51868-2023 artfynd.xlsx", "A 51868-2023")</f>
        <v/>
      </c>
      <c r="T88">
        <f>HYPERLINK("https://klasma.github.io/Logging_1980/kartor/A 51868-2023 karta.png", "A 51868-2023")</f>
        <v/>
      </c>
      <c r="V88">
        <f>HYPERLINK("https://klasma.github.io/Logging_1980/klagomål/A 51868-2023 FSC-klagomål.docx", "A 51868-2023")</f>
        <v/>
      </c>
      <c r="W88">
        <f>HYPERLINK("https://klasma.github.io/Logging_1980/klagomålsmail/A 51868-2023 FSC-klagomål mail.docx", "A 51868-2023")</f>
        <v/>
      </c>
      <c r="X88">
        <f>HYPERLINK("https://klasma.github.io/Logging_1980/tillsyn/A 51868-2023 tillsynsbegäran.docx", "A 51868-2023")</f>
        <v/>
      </c>
      <c r="Y88">
        <f>HYPERLINK("https://klasma.github.io/Logging_1980/tillsynsmail/A 51868-2023 tillsynsbegäran mail.docx", "A 51868-2023")</f>
        <v/>
      </c>
    </row>
    <row r="89" ht="15" customHeight="1">
      <c r="A89" t="inlineStr">
        <is>
          <t>A 56092-2023</t>
        </is>
      </c>
      <c r="B89" s="1" t="n">
        <v>45240</v>
      </c>
      <c r="C89" s="1" t="n">
        <v>45724</v>
      </c>
      <c r="D89" t="inlineStr">
        <is>
          <t>VÄSTMANLANDS LÄN</t>
        </is>
      </c>
      <c r="E89" t="inlineStr">
        <is>
          <t>SALA</t>
        </is>
      </c>
      <c r="G89" t="n">
        <v>11.6</v>
      </c>
      <c r="H89" t="n">
        <v>2</v>
      </c>
      <c r="I89" t="n">
        <v>1</v>
      </c>
      <c r="J89" t="n">
        <v>2</v>
      </c>
      <c r="K89" t="n">
        <v>1</v>
      </c>
      <c r="L89" t="n">
        <v>0</v>
      </c>
      <c r="M89" t="n">
        <v>0</v>
      </c>
      <c r="N89" t="n">
        <v>0</v>
      </c>
      <c r="O89" t="n">
        <v>3</v>
      </c>
      <c r="P89" t="n">
        <v>1</v>
      </c>
      <c r="Q89" t="n">
        <v>4</v>
      </c>
      <c r="R89" s="2" t="inlineStr">
        <is>
          <t>Knärot
Havsörn
Motaggsvamp
Vedticka</t>
        </is>
      </c>
      <c r="S89">
        <f>HYPERLINK("https://klasma.github.io/Logging_1981/artfynd/A 56092-2023 artfynd.xlsx", "A 56092-2023")</f>
        <v/>
      </c>
      <c r="T89">
        <f>HYPERLINK("https://klasma.github.io/Logging_1981/kartor/A 56092-2023 karta.png", "A 56092-2023")</f>
        <v/>
      </c>
      <c r="U89">
        <f>HYPERLINK("https://klasma.github.io/Logging_1981/knärot/A 56092-2023 karta knärot.png", "A 56092-2023")</f>
        <v/>
      </c>
      <c r="V89">
        <f>HYPERLINK("https://klasma.github.io/Logging_1981/klagomål/A 56092-2023 FSC-klagomål.docx", "A 56092-2023")</f>
        <v/>
      </c>
      <c r="W89">
        <f>HYPERLINK("https://klasma.github.io/Logging_1981/klagomålsmail/A 56092-2023 FSC-klagomål mail.docx", "A 56092-2023")</f>
        <v/>
      </c>
      <c r="X89">
        <f>HYPERLINK("https://klasma.github.io/Logging_1981/tillsyn/A 56092-2023 tillsynsbegäran.docx", "A 56092-2023")</f>
        <v/>
      </c>
      <c r="Y89">
        <f>HYPERLINK("https://klasma.github.io/Logging_1981/tillsynsmail/A 56092-2023 tillsynsbegäran mail.docx", "A 56092-2023")</f>
        <v/>
      </c>
      <c r="Z89">
        <f>HYPERLINK("https://klasma.github.io/Logging_1981/fåglar/A 56092-2023 prioriterade fågelarter.docx", "A 56092-2023")</f>
        <v/>
      </c>
    </row>
    <row r="90" ht="15" customHeight="1">
      <c r="A90" t="inlineStr">
        <is>
          <t>A 58654-2023</t>
        </is>
      </c>
      <c r="B90" s="1" t="n">
        <v>45251</v>
      </c>
      <c r="C90" s="1" t="n">
        <v>45724</v>
      </c>
      <c r="D90" t="inlineStr">
        <is>
          <t>VÄSTMANLANDS LÄN</t>
        </is>
      </c>
      <c r="E90" t="inlineStr">
        <is>
          <t>KÖPING</t>
        </is>
      </c>
      <c r="G90" t="n">
        <v>10.6</v>
      </c>
      <c r="H90" t="n">
        <v>1</v>
      </c>
      <c r="I90" t="n">
        <v>1</v>
      </c>
      <c r="J90" t="n">
        <v>3</v>
      </c>
      <c r="K90" t="n">
        <v>0</v>
      </c>
      <c r="L90" t="n">
        <v>0</v>
      </c>
      <c r="M90" t="n">
        <v>0</v>
      </c>
      <c r="N90" t="n">
        <v>0</v>
      </c>
      <c r="O90" t="n">
        <v>3</v>
      </c>
      <c r="P90" t="n">
        <v>0</v>
      </c>
      <c r="Q90" t="n">
        <v>4</v>
      </c>
      <c r="R90" s="2" t="inlineStr">
        <is>
          <t>Gropticka
Tretåig hackspett
Ullticka
Blåmossa</t>
        </is>
      </c>
      <c r="S90">
        <f>HYPERLINK("https://klasma.github.io/Logging_1983/artfynd/A 58654-2023 artfynd.xlsx", "A 58654-2023")</f>
        <v/>
      </c>
      <c r="T90">
        <f>HYPERLINK("https://klasma.github.io/Logging_1983/kartor/A 58654-2023 karta.png", "A 58654-2023")</f>
        <v/>
      </c>
      <c r="V90">
        <f>HYPERLINK("https://klasma.github.io/Logging_1983/klagomål/A 58654-2023 FSC-klagomål.docx", "A 58654-2023")</f>
        <v/>
      </c>
      <c r="W90">
        <f>HYPERLINK("https://klasma.github.io/Logging_1983/klagomålsmail/A 58654-2023 FSC-klagomål mail.docx", "A 58654-2023")</f>
        <v/>
      </c>
      <c r="X90">
        <f>HYPERLINK("https://klasma.github.io/Logging_1983/tillsyn/A 58654-2023 tillsynsbegäran.docx", "A 58654-2023")</f>
        <v/>
      </c>
      <c r="Y90">
        <f>HYPERLINK("https://klasma.github.io/Logging_1983/tillsynsmail/A 58654-2023 tillsynsbegäran mail.docx", "A 58654-2023")</f>
        <v/>
      </c>
      <c r="Z90">
        <f>HYPERLINK("https://klasma.github.io/Logging_1983/fåglar/A 58654-2023 prioriterade fågelarter.docx", "A 58654-2023")</f>
        <v/>
      </c>
    </row>
    <row r="91" ht="15" customHeight="1">
      <c r="A91" t="inlineStr">
        <is>
          <t>A 16906-2024</t>
        </is>
      </c>
      <c r="B91" s="1" t="n">
        <v>45411</v>
      </c>
      <c r="C91" s="1" t="n">
        <v>45724</v>
      </c>
      <c r="D91" t="inlineStr">
        <is>
          <t>VÄSTMANLANDS LÄN</t>
        </is>
      </c>
      <c r="E91" t="inlineStr">
        <is>
          <t>KÖPING</t>
        </is>
      </c>
      <c r="F91" t="inlineStr">
        <is>
          <t>Sveaskog</t>
        </is>
      </c>
      <c r="G91" t="n">
        <v>13.1</v>
      </c>
      <c r="H91" t="n">
        <v>3</v>
      </c>
      <c r="I91" t="n">
        <v>0</v>
      </c>
      <c r="J91" t="n">
        <v>1</v>
      </c>
      <c r="K91" t="n">
        <v>0</v>
      </c>
      <c r="L91" t="n">
        <v>0</v>
      </c>
      <c r="M91" t="n">
        <v>0</v>
      </c>
      <c r="N91" t="n">
        <v>0</v>
      </c>
      <c r="O91" t="n">
        <v>1</v>
      </c>
      <c r="P91" t="n">
        <v>0</v>
      </c>
      <c r="Q91" t="n">
        <v>4</v>
      </c>
      <c r="R91" s="2" t="inlineStr">
        <is>
          <t>Vedskivlav
Grön mosaikslända
Fläcknycklar
Mattlummer</t>
        </is>
      </c>
      <c r="S91">
        <f>HYPERLINK("https://klasma.github.io/Logging_1983/artfynd/A 16906-2024 artfynd.xlsx", "A 16906-2024")</f>
        <v/>
      </c>
      <c r="T91">
        <f>HYPERLINK("https://klasma.github.io/Logging_1983/kartor/A 16906-2024 karta.png", "A 16906-2024")</f>
        <v/>
      </c>
      <c r="V91">
        <f>HYPERLINK("https://klasma.github.io/Logging_1983/klagomål/A 16906-2024 FSC-klagomål.docx", "A 16906-2024")</f>
        <v/>
      </c>
      <c r="W91">
        <f>HYPERLINK("https://klasma.github.io/Logging_1983/klagomålsmail/A 16906-2024 FSC-klagomål mail.docx", "A 16906-2024")</f>
        <v/>
      </c>
      <c r="X91">
        <f>HYPERLINK("https://klasma.github.io/Logging_1983/tillsyn/A 16906-2024 tillsynsbegäran.docx", "A 16906-2024")</f>
        <v/>
      </c>
      <c r="Y91">
        <f>HYPERLINK("https://klasma.github.io/Logging_1983/tillsynsmail/A 16906-2024 tillsynsbegäran mail.docx", "A 16906-2024")</f>
        <v/>
      </c>
    </row>
    <row r="92" ht="15" customHeight="1">
      <c r="A92" t="inlineStr">
        <is>
          <t>A 16921-2024</t>
        </is>
      </c>
      <c r="B92" s="1" t="n">
        <v>45411</v>
      </c>
      <c r="C92" s="1" t="n">
        <v>45724</v>
      </c>
      <c r="D92" t="inlineStr">
        <is>
          <t>VÄSTMANLANDS LÄN</t>
        </is>
      </c>
      <c r="E92" t="inlineStr">
        <is>
          <t>KÖPING</t>
        </is>
      </c>
      <c r="F92" t="inlineStr">
        <is>
          <t>Sveaskog</t>
        </is>
      </c>
      <c r="G92" t="n">
        <v>13.1</v>
      </c>
      <c r="H92" t="n">
        <v>3</v>
      </c>
      <c r="I92" t="n">
        <v>0</v>
      </c>
      <c r="J92" t="n">
        <v>1</v>
      </c>
      <c r="K92" t="n">
        <v>0</v>
      </c>
      <c r="L92" t="n">
        <v>0</v>
      </c>
      <c r="M92" t="n">
        <v>0</v>
      </c>
      <c r="N92" t="n">
        <v>0</v>
      </c>
      <c r="O92" t="n">
        <v>1</v>
      </c>
      <c r="P92" t="n">
        <v>0</v>
      </c>
      <c r="Q92" t="n">
        <v>4</v>
      </c>
      <c r="R92" s="2" t="inlineStr">
        <is>
          <t>Vedskivlav
Grön mosaikslända
Fläcknycklar
Mattlummer</t>
        </is>
      </c>
      <c r="S92">
        <f>HYPERLINK("https://klasma.github.io/Logging_1983/artfynd/A 16921-2024 artfynd.xlsx", "A 16921-2024")</f>
        <v/>
      </c>
      <c r="T92">
        <f>HYPERLINK("https://klasma.github.io/Logging_1983/kartor/A 16921-2024 karta.png", "A 16921-2024")</f>
        <v/>
      </c>
      <c r="V92">
        <f>HYPERLINK("https://klasma.github.io/Logging_1983/klagomål/A 16921-2024 FSC-klagomål.docx", "A 16921-2024")</f>
        <v/>
      </c>
      <c r="W92">
        <f>HYPERLINK("https://klasma.github.io/Logging_1983/klagomålsmail/A 16921-2024 FSC-klagomål mail.docx", "A 16921-2024")</f>
        <v/>
      </c>
      <c r="X92">
        <f>HYPERLINK("https://klasma.github.io/Logging_1983/tillsyn/A 16921-2024 tillsynsbegäran.docx", "A 16921-2024")</f>
        <v/>
      </c>
      <c r="Y92">
        <f>HYPERLINK("https://klasma.github.io/Logging_1983/tillsynsmail/A 16921-2024 tillsynsbegäran mail.docx", "A 16921-2024")</f>
        <v/>
      </c>
    </row>
    <row r="93" ht="15" customHeight="1">
      <c r="A93" t="inlineStr">
        <is>
          <t>A 20707-2024</t>
        </is>
      </c>
      <c r="B93" s="1" t="n">
        <v>45436</v>
      </c>
      <c r="C93" s="1" t="n">
        <v>45724</v>
      </c>
      <c r="D93" t="inlineStr">
        <is>
          <t>VÄSTMANLANDS LÄN</t>
        </is>
      </c>
      <c r="E93" t="inlineStr">
        <is>
          <t>SURAHAMMAR</t>
        </is>
      </c>
      <c r="F93" t="inlineStr">
        <is>
          <t>Bergvik skog väst AB</t>
        </is>
      </c>
      <c r="G93" t="n">
        <v>4.3</v>
      </c>
      <c r="H93" t="n">
        <v>2</v>
      </c>
      <c r="I93" t="n">
        <v>0</v>
      </c>
      <c r="J93" t="n">
        <v>2</v>
      </c>
      <c r="K93" t="n">
        <v>0</v>
      </c>
      <c r="L93" t="n">
        <v>0</v>
      </c>
      <c r="M93" t="n">
        <v>0</v>
      </c>
      <c r="N93" t="n">
        <v>0</v>
      </c>
      <c r="O93" t="n">
        <v>2</v>
      </c>
      <c r="P93" t="n">
        <v>0</v>
      </c>
      <c r="Q93" t="n">
        <v>4</v>
      </c>
      <c r="R93" s="2" t="inlineStr">
        <is>
          <t>Dofttaggsvamp
Orange taggsvamp
Fläcknycklar
Mattlummer</t>
        </is>
      </c>
      <c r="S93">
        <f>HYPERLINK("https://klasma.github.io/Logging_1907/artfynd/A 20707-2024 artfynd.xlsx", "A 20707-2024")</f>
        <v/>
      </c>
      <c r="T93">
        <f>HYPERLINK("https://klasma.github.io/Logging_1907/kartor/A 20707-2024 karta.png", "A 20707-2024")</f>
        <v/>
      </c>
      <c r="V93">
        <f>HYPERLINK("https://klasma.github.io/Logging_1907/klagomål/A 20707-2024 FSC-klagomål.docx", "A 20707-2024")</f>
        <v/>
      </c>
      <c r="W93">
        <f>HYPERLINK("https://klasma.github.io/Logging_1907/klagomålsmail/A 20707-2024 FSC-klagomål mail.docx", "A 20707-2024")</f>
        <v/>
      </c>
      <c r="X93">
        <f>HYPERLINK("https://klasma.github.io/Logging_1907/tillsyn/A 20707-2024 tillsynsbegäran.docx", "A 20707-2024")</f>
        <v/>
      </c>
      <c r="Y93">
        <f>HYPERLINK("https://klasma.github.io/Logging_1907/tillsynsmail/A 20707-2024 tillsynsbegäran mail.docx", "A 20707-2024")</f>
        <v/>
      </c>
    </row>
    <row r="94" ht="15" customHeight="1">
      <c r="A94" t="inlineStr">
        <is>
          <t>A 25548-2024</t>
        </is>
      </c>
      <c r="B94" s="1" t="n">
        <v>45463</v>
      </c>
      <c r="C94" s="1" t="n">
        <v>45724</v>
      </c>
      <c r="D94" t="inlineStr">
        <is>
          <t>VÄSTMANLANDS LÄN</t>
        </is>
      </c>
      <c r="E94" t="inlineStr">
        <is>
          <t>SURAHAMMAR</t>
        </is>
      </c>
      <c r="F94" t="inlineStr">
        <is>
          <t>Bergvik skog väst AB</t>
        </is>
      </c>
      <c r="G94" t="n">
        <v>5.1</v>
      </c>
      <c r="H94" t="n">
        <v>3</v>
      </c>
      <c r="I94" t="n">
        <v>1</v>
      </c>
      <c r="J94" t="n">
        <v>0</v>
      </c>
      <c r="K94" t="n">
        <v>1</v>
      </c>
      <c r="L94" t="n">
        <v>0</v>
      </c>
      <c r="M94" t="n">
        <v>0</v>
      </c>
      <c r="N94" t="n">
        <v>0</v>
      </c>
      <c r="O94" t="n">
        <v>1</v>
      </c>
      <c r="P94" t="n">
        <v>1</v>
      </c>
      <c r="Q94" t="n">
        <v>4</v>
      </c>
      <c r="R94" s="2" t="inlineStr">
        <is>
          <t>Knärot
Vedticka
Fläcknycklar
Nattviol</t>
        </is>
      </c>
      <c r="S94">
        <f>HYPERLINK("https://klasma.github.io/Logging_1907/artfynd/A 25548-2024 artfynd.xlsx", "A 25548-2024")</f>
        <v/>
      </c>
      <c r="T94">
        <f>HYPERLINK("https://klasma.github.io/Logging_1907/kartor/A 25548-2024 karta.png", "A 25548-2024")</f>
        <v/>
      </c>
      <c r="U94">
        <f>HYPERLINK("https://klasma.github.io/Logging_1907/knärot/A 25548-2024 karta knärot.png", "A 25548-2024")</f>
        <v/>
      </c>
      <c r="V94">
        <f>HYPERLINK("https://klasma.github.io/Logging_1907/klagomål/A 25548-2024 FSC-klagomål.docx", "A 25548-2024")</f>
        <v/>
      </c>
      <c r="W94">
        <f>HYPERLINK("https://klasma.github.io/Logging_1907/klagomålsmail/A 25548-2024 FSC-klagomål mail.docx", "A 25548-2024")</f>
        <v/>
      </c>
      <c r="X94">
        <f>HYPERLINK("https://klasma.github.io/Logging_1907/tillsyn/A 25548-2024 tillsynsbegäran.docx", "A 25548-2024")</f>
        <v/>
      </c>
      <c r="Y94">
        <f>HYPERLINK("https://klasma.github.io/Logging_1907/tillsynsmail/A 25548-2024 tillsynsbegäran mail.docx", "A 25548-2024")</f>
        <v/>
      </c>
    </row>
    <row r="95" ht="15" customHeight="1">
      <c r="A95" t="inlineStr">
        <is>
          <t>A 38172-2024</t>
        </is>
      </c>
      <c r="B95" s="1" t="n">
        <v>45545</v>
      </c>
      <c r="C95" s="1" t="n">
        <v>45724</v>
      </c>
      <c r="D95" t="inlineStr">
        <is>
          <t>VÄSTMANLANDS LÄN</t>
        </is>
      </c>
      <c r="E95" t="inlineStr">
        <is>
          <t>SURAHAMMAR</t>
        </is>
      </c>
      <c r="F95" t="inlineStr">
        <is>
          <t>Sveaskog</t>
        </is>
      </c>
      <c r="G95" t="n">
        <v>5.2</v>
      </c>
      <c r="H95" t="n">
        <v>2</v>
      </c>
      <c r="I95" t="n">
        <v>0</v>
      </c>
      <c r="J95" t="n">
        <v>2</v>
      </c>
      <c r="K95" t="n">
        <v>1</v>
      </c>
      <c r="L95" t="n">
        <v>0</v>
      </c>
      <c r="M95" t="n">
        <v>0</v>
      </c>
      <c r="N95" t="n">
        <v>0</v>
      </c>
      <c r="O95" t="n">
        <v>3</v>
      </c>
      <c r="P95" t="n">
        <v>1</v>
      </c>
      <c r="Q95" t="n">
        <v>4</v>
      </c>
      <c r="R95" s="2" t="inlineStr">
        <is>
          <t>Knärot
Gropticka
Vedtrappmossa
Revlummer</t>
        </is>
      </c>
      <c r="S95">
        <f>HYPERLINK("https://klasma.github.io/Logging_1907/artfynd/A 38172-2024 artfynd.xlsx", "A 38172-2024")</f>
        <v/>
      </c>
      <c r="T95">
        <f>HYPERLINK("https://klasma.github.io/Logging_1907/kartor/A 38172-2024 karta.png", "A 38172-2024")</f>
        <v/>
      </c>
      <c r="U95">
        <f>HYPERLINK("https://klasma.github.io/Logging_1907/knärot/A 38172-2024 karta knärot.png", "A 38172-2024")</f>
        <v/>
      </c>
      <c r="V95">
        <f>HYPERLINK("https://klasma.github.io/Logging_1907/klagomål/A 38172-2024 FSC-klagomål.docx", "A 38172-2024")</f>
        <v/>
      </c>
      <c r="W95">
        <f>HYPERLINK("https://klasma.github.io/Logging_1907/klagomålsmail/A 38172-2024 FSC-klagomål mail.docx", "A 38172-2024")</f>
        <v/>
      </c>
      <c r="X95">
        <f>HYPERLINK("https://klasma.github.io/Logging_1907/tillsyn/A 38172-2024 tillsynsbegäran.docx", "A 38172-2024")</f>
        <v/>
      </c>
      <c r="Y95">
        <f>HYPERLINK("https://klasma.github.io/Logging_1907/tillsynsmail/A 38172-2024 tillsynsbegäran mail.docx", "A 38172-2024")</f>
        <v/>
      </c>
    </row>
    <row r="96" ht="15" customHeight="1">
      <c r="A96" t="inlineStr">
        <is>
          <t>A 39032-2024</t>
        </is>
      </c>
      <c r="B96" s="1" t="n">
        <v>45548</v>
      </c>
      <c r="C96" s="1" t="n">
        <v>45724</v>
      </c>
      <c r="D96" t="inlineStr">
        <is>
          <t>VÄSTMANLANDS LÄN</t>
        </is>
      </c>
      <c r="E96" t="inlineStr">
        <is>
          <t>VÄSTERÅS</t>
        </is>
      </c>
      <c r="F96" t="inlineStr">
        <is>
          <t>Kyrkan</t>
        </is>
      </c>
      <c r="G96" t="n">
        <v>2.1</v>
      </c>
      <c r="H96" t="n">
        <v>0</v>
      </c>
      <c r="I96" t="n">
        <v>4</v>
      </c>
      <c r="J96" t="n">
        <v>0</v>
      </c>
      <c r="K96" t="n">
        <v>0</v>
      </c>
      <c r="L96" t="n">
        <v>0</v>
      </c>
      <c r="M96" t="n">
        <v>0</v>
      </c>
      <c r="N96" t="n">
        <v>0</v>
      </c>
      <c r="O96" t="n">
        <v>0</v>
      </c>
      <c r="P96" t="n">
        <v>0</v>
      </c>
      <c r="Q96" t="n">
        <v>4</v>
      </c>
      <c r="R96" s="2" t="inlineStr">
        <is>
          <t>Granbarkgnagare
Grovticka
Terpentinmossa
Vågbandad barkbock</t>
        </is>
      </c>
      <c r="S96">
        <f>HYPERLINK("https://klasma.github.io/Logging_1980/artfynd/A 39032-2024 artfynd.xlsx", "A 39032-2024")</f>
        <v/>
      </c>
      <c r="T96">
        <f>HYPERLINK("https://klasma.github.io/Logging_1980/kartor/A 39032-2024 karta.png", "A 39032-2024")</f>
        <v/>
      </c>
      <c r="V96">
        <f>HYPERLINK("https://klasma.github.io/Logging_1980/klagomål/A 39032-2024 FSC-klagomål.docx", "A 39032-2024")</f>
        <v/>
      </c>
      <c r="W96">
        <f>HYPERLINK("https://klasma.github.io/Logging_1980/klagomålsmail/A 39032-2024 FSC-klagomål mail.docx", "A 39032-2024")</f>
        <v/>
      </c>
      <c r="X96">
        <f>HYPERLINK("https://klasma.github.io/Logging_1980/tillsyn/A 39032-2024 tillsynsbegäran.docx", "A 39032-2024")</f>
        <v/>
      </c>
      <c r="Y96">
        <f>HYPERLINK("https://klasma.github.io/Logging_1980/tillsynsmail/A 39032-2024 tillsynsbegäran mail.docx", "A 39032-2024")</f>
        <v/>
      </c>
    </row>
    <row r="97" ht="15" customHeight="1">
      <c r="A97" t="inlineStr">
        <is>
          <t>A 39253-2024</t>
        </is>
      </c>
      <c r="B97" s="1" t="n">
        <v>45551</v>
      </c>
      <c r="C97" s="1" t="n">
        <v>45724</v>
      </c>
      <c r="D97" t="inlineStr">
        <is>
          <t>VÄSTMANLANDS LÄN</t>
        </is>
      </c>
      <c r="E97" t="inlineStr">
        <is>
          <t>NORBERG</t>
        </is>
      </c>
      <c r="F97" t="inlineStr">
        <is>
          <t>Bergvik skog väst AB</t>
        </is>
      </c>
      <c r="G97" t="n">
        <v>3</v>
      </c>
      <c r="H97" t="n">
        <v>1</v>
      </c>
      <c r="I97" t="n">
        <v>0</v>
      </c>
      <c r="J97" t="n">
        <v>3</v>
      </c>
      <c r="K97" t="n">
        <v>1</v>
      </c>
      <c r="L97" t="n">
        <v>0</v>
      </c>
      <c r="M97" t="n">
        <v>0</v>
      </c>
      <c r="N97" t="n">
        <v>0</v>
      </c>
      <c r="O97" t="n">
        <v>4</v>
      </c>
      <c r="P97" t="n">
        <v>1</v>
      </c>
      <c r="Q97" t="n">
        <v>4</v>
      </c>
      <c r="R97" s="2" t="inlineStr">
        <is>
          <t>Knärot
Kandelabersvamp
Kådvaxskinn
Ullticka</t>
        </is>
      </c>
      <c r="S97">
        <f>HYPERLINK("https://klasma.github.io/Logging_1962/artfynd/A 39253-2024 artfynd.xlsx", "A 39253-2024")</f>
        <v/>
      </c>
      <c r="T97">
        <f>HYPERLINK("https://klasma.github.io/Logging_1962/kartor/A 39253-2024 karta.png", "A 39253-2024")</f>
        <v/>
      </c>
      <c r="U97">
        <f>HYPERLINK("https://klasma.github.io/Logging_1962/knärot/A 39253-2024 karta knärot.png", "A 39253-2024")</f>
        <v/>
      </c>
      <c r="V97">
        <f>HYPERLINK("https://klasma.github.io/Logging_1962/klagomål/A 39253-2024 FSC-klagomål.docx", "A 39253-2024")</f>
        <v/>
      </c>
      <c r="W97">
        <f>HYPERLINK("https://klasma.github.io/Logging_1962/klagomålsmail/A 39253-2024 FSC-klagomål mail.docx", "A 39253-2024")</f>
        <v/>
      </c>
      <c r="X97">
        <f>HYPERLINK("https://klasma.github.io/Logging_1962/tillsyn/A 39253-2024 tillsynsbegäran.docx", "A 39253-2024")</f>
        <v/>
      </c>
      <c r="Y97">
        <f>HYPERLINK("https://klasma.github.io/Logging_1962/tillsynsmail/A 39253-2024 tillsynsbegäran mail.docx", "A 39253-2024")</f>
        <v/>
      </c>
    </row>
    <row r="98" ht="15" customHeight="1">
      <c r="A98" t="inlineStr">
        <is>
          <t>A 41202-2024</t>
        </is>
      </c>
      <c r="B98" s="1" t="n">
        <v>45559</v>
      </c>
      <c r="C98" s="1" t="n">
        <v>45724</v>
      </c>
      <c r="D98" t="inlineStr">
        <is>
          <t>VÄSTMANLANDS LÄN</t>
        </is>
      </c>
      <c r="E98" t="inlineStr">
        <is>
          <t>SALA</t>
        </is>
      </c>
      <c r="G98" t="n">
        <v>9.300000000000001</v>
      </c>
      <c r="H98" t="n">
        <v>2</v>
      </c>
      <c r="I98" t="n">
        <v>0</v>
      </c>
      <c r="J98" t="n">
        <v>2</v>
      </c>
      <c r="K98" t="n">
        <v>1</v>
      </c>
      <c r="L98" t="n">
        <v>0</v>
      </c>
      <c r="M98" t="n">
        <v>0</v>
      </c>
      <c r="N98" t="n">
        <v>0</v>
      </c>
      <c r="O98" t="n">
        <v>3</v>
      </c>
      <c r="P98" t="n">
        <v>1</v>
      </c>
      <c r="Q98" t="n">
        <v>4</v>
      </c>
      <c r="R98" s="2" t="inlineStr">
        <is>
          <t>Knärot
Brunklöver
Violettgrå tagellav
Revlummer</t>
        </is>
      </c>
      <c r="S98">
        <f>HYPERLINK("https://klasma.github.io/Logging_1981/artfynd/A 41202-2024 artfynd.xlsx", "A 41202-2024")</f>
        <v/>
      </c>
      <c r="T98">
        <f>HYPERLINK("https://klasma.github.io/Logging_1981/kartor/A 41202-2024 karta.png", "A 41202-2024")</f>
        <v/>
      </c>
      <c r="U98">
        <f>HYPERLINK("https://klasma.github.io/Logging_1981/knärot/A 41202-2024 karta knärot.png", "A 41202-2024")</f>
        <v/>
      </c>
      <c r="V98">
        <f>HYPERLINK("https://klasma.github.io/Logging_1981/klagomål/A 41202-2024 FSC-klagomål.docx", "A 41202-2024")</f>
        <v/>
      </c>
      <c r="W98">
        <f>HYPERLINK("https://klasma.github.io/Logging_1981/klagomålsmail/A 41202-2024 FSC-klagomål mail.docx", "A 41202-2024")</f>
        <v/>
      </c>
      <c r="X98">
        <f>HYPERLINK("https://klasma.github.io/Logging_1981/tillsyn/A 41202-2024 tillsynsbegäran.docx", "A 41202-2024")</f>
        <v/>
      </c>
      <c r="Y98">
        <f>HYPERLINK("https://klasma.github.io/Logging_1981/tillsynsmail/A 41202-2024 tillsynsbegäran mail.docx", "A 41202-2024")</f>
        <v/>
      </c>
    </row>
    <row r="99" ht="15" customHeight="1">
      <c r="A99" t="inlineStr">
        <is>
          <t>A 53009-2024</t>
        </is>
      </c>
      <c r="B99" s="1" t="n">
        <v>45610</v>
      </c>
      <c r="C99" s="1" t="n">
        <v>45724</v>
      </c>
      <c r="D99" t="inlineStr">
        <is>
          <t>VÄSTMANLANDS LÄN</t>
        </is>
      </c>
      <c r="E99" t="inlineStr">
        <is>
          <t>SALA</t>
        </is>
      </c>
      <c r="G99" t="n">
        <v>2</v>
      </c>
      <c r="H99" t="n">
        <v>2</v>
      </c>
      <c r="I99" t="n">
        <v>1</v>
      </c>
      <c r="J99" t="n">
        <v>1</v>
      </c>
      <c r="K99" t="n">
        <v>1</v>
      </c>
      <c r="L99" t="n">
        <v>0</v>
      </c>
      <c r="M99" t="n">
        <v>0</v>
      </c>
      <c r="N99" t="n">
        <v>0</v>
      </c>
      <c r="O99" t="n">
        <v>2</v>
      </c>
      <c r="P99" t="n">
        <v>1</v>
      </c>
      <c r="Q99" t="n">
        <v>4</v>
      </c>
      <c r="R99" s="2" t="inlineStr">
        <is>
          <t>Knärot
Dvärgbägarlav
Flagellkvastmossa
Fläcknycklar</t>
        </is>
      </c>
      <c r="S99">
        <f>HYPERLINK("https://klasma.github.io/Logging_1981/artfynd/A 53009-2024 artfynd.xlsx", "A 53009-2024")</f>
        <v/>
      </c>
      <c r="T99">
        <f>HYPERLINK("https://klasma.github.io/Logging_1981/kartor/A 53009-2024 karta.png", "A 53009-2024")</f>
        <v/>
      </c>
      <c r="U99">
        <f>HYPERLINK("https://klasma.github.io/Logging_1981/knärot/A 53009-2024 karta knärot.png", "A 53009-2024")</f>
        <v/>
      </c>
      <c r="V99">
        <f>HYPERLINK("https://klasma.github.io/Logging_1981/klagomål/A 53009-2024 FSC-klagomål.docx", "A 53009-2024")</f>
        <v/>
      </c>
      <c r="W99">
        <f>HYPERLINK("https://klasma.github.io/Logging_1981/klagomålsmail/A 53009-2024 FSC-klagomål mail.docx", "A 53009-2024")</f>
        <v/>
      </c>
      <c r="X99">
        <f>HYPERLINK("https://klasma.github.io/Logging_1981/tillsyn/A 53009-2024 tillsynsbegäran.docx", "A 53009-2024")</f>
        <v/>
      </c>
      <c r="Y99">
        <f>HYPERLINK("https://klasma.github.io/Logging_1981/tillsynsmail/A 53009-2024 tillsynsbegäran mail.docx", "A 53009-2024")</f>
        <v/>
      </c>
    </row>
    <row r="100" ht="15" customHeight="1">
      <c r="A100" t="inlineStr">
        <is>
          <t>A 4105-2025</t>
        </is>
      </c>
      <c r="B100" s="1" t="n">
        <v>45684</v>
      </c>
      <c r="C100" s="1" t="n">
        <v>45724</v>
      </c>
      <c r="D100" t="inlineStr">
        <is>
          <t>VÄSTMANLANDS LÄN</t>
        </is>
      </c>
      <c r="E100" t="inlineStr">
        <is>
          <t>SURAHAMMAR</t>
        </is>
      </c>
      <c r="F100" t="inlineStr">
        <is>
          <t>Bergvik skog väst AB</t>
        </is>
      </c>
      <c r="G100" t="n">
        <v>14.7</v>
      </c>
      <c r="H100" t="n">
        <v>3</v>
      </c>
      <c r="I100" t="n">
        <v>0</v>
      </c>
      <c r="J100" t="n">
        <v>2</v>
      </c>
      <c r="K100" t="n">
        <v>1</v>
      </c>
      <c r="L100" t="n">
        <v>0</v>
      </c>
      <c r="M100" t="n">
        <v>0</v>
      </c>
      <c r="N100" t="n">
        <v>0</v>
      </c>
      <c r="O100" t="n">
        <v>3</v>
      </c>
      <c r="P100" t="n">
        <v>1</v>
      </c>
      <c r="Q100" t="n">
        <v>4</v>
      </c>
      <c r="R100" s="2" t="inlineStr">
        <is>
          <t>Knärot
Havsörn
Ullticka
Revlummer</t>
        </is>
      </c>
      <c r="S100">
        <f>HYPERLINK("https://klasma.github.io/Logging_1907/artfynd/A 4105-2025 artfynd.xlsx", "A 4105-2025")</f>
        <v/>
      </c>
      <c r="T100">
        <f>HYPERLINK("https://klasma.github.io/Logging_1907/kartor/A 4105-2025 karta.png", "A 4105-2025")</f>
        <v/>
      </c>
      <c r="U100">
        <f>HYPERLINK("https://klasma.github.io/Logging_1907/knärot/A 4105-2025 karta knärot.png", "A 4105-2025")</f>
        <v/>
      </c>
      <c r="V100">
        <f>HYPERLINK("https://klasma.github.io/Logging_1907/klagomål/A 4105-2025 FSC-klagomål.docx", "A 4105-2025")</f>
        <v/>
      </c>
      <c r="W100">
        <f>HYPERLINK("https://klasma.github.io/Logging_1907/klagomålsmail/A 4105-2025 FSC-klagomål mail.docx", "A 4105-2025")</f>
        <v/>
      </c>
      <c r="X100">
        <f>HYPERLINK("https://klasma.github.io/Logging_1907/tillsyn/A 4105-2025 tillsynsbegäran.docx", "A 4105-2025")</f>
        <v/>
      </c>
      <c r="Y100">
        <f>HYPERLINK("https://klasma.github.io/Logging_1907/tillsynsmail/A 4105-2025 tillsynsbegäran mail.docx", "A 4105-2025")</f>
        <v/>
      </c>
      <c r="Z100">
        <f>HYPERLINK("https://klasma.github.io/Logging_1907/fåglar/A 4105-2025 prioriterade fågelarter.docx", "A 4105-2025")</f>
        <v/>
      </c>
    </row>
    <row r="101" ht="15" customHeight="1">
      <c r="A101" t="inlineStr">
        <is>
          <t>A 19454-2019</t>
        </is>
      </c>
      <c r="B101" s="1" t="n">
        <v>43565</v>
      </c>
      <c r="C101" s="1" t="n">
        <v>45724</v>
      </c>
      <c r="D101" t="inlineStr">
        <is>
          <t>VÄSTMANLANDS LÄN</t>
        </is>
      </c>
      <c r="E101" t="inlineStr">
        <is>
          <t>VÄSTERÅS</t>
        </is>
      </c>
      <c r="F101" t="inlineStr">
        <is>
          <t>Sveaskog</t>
        </is>
      </c>
      <c r="G101" t="n">
        <v>2.4</v>
      </c>
      <c r="H101" t="n">
        <v>1</v>
      </c>
      <c r="I101" t="n">
        <v>0</v>
      </c>
      <c r="J101" t="n">
        <v>1</v>
      </c>
      <c r="K101" t="n">
        <v>0</v>
      </c>
      <c r="L101" t="n">
        <v>1</v>
      </c>
      <c r="M101" t="n">
        <v>0</v>
      </c>
      <c r="N101" t="n">
        <v>0</v>
      </c>
      <c r="O101" t="n">
        <v>2</v>
      </c>
      <c r="P101" t="n">
        <v>1</v>
      </c>
      <c r="Q101" t="n">
        <v>3</v>
      </c>
      <c r="R101" s="2" t="inlineStr">
        <is>
          <t>Ask
Svinrot
Blåsippa</t>
        </is>
      </c>
      <c r="S101">
        <f>HYPERLINK("https://klasma.github.io/Logging_1980/artfynd/A 19454-2019 artfynd.xlsx", "A 19454-2019")</f>
        <v/>
      </c>
      <c r="T101">
        <f>HYPERLINK("https://klasma.github.io/Logging_1980/kartor/A 19454-2019 karta.png", "A 19454-2019")</f>
        <v/>
      </c>
      <c r="V101">
        <f>HYPERLINK("https://klasma.github.io/Logging_1980/klagomål/A 19454-2019 FSC-klagomål.docx", "A 19454-2019")</f>
        <v/>
      </c>
      <c r="W101">
        <f>HYPERLINK("https://klasma.github.io/Logging_1980/klagomålsmail/A 19454-2019 FSC-klagomål mail.docx", "A 19454-2019")</f>
        <v/>
      </c>
      <c r="X101">
        <f>HYPERLINK("https://klasma.github.io/Logging_1980/tillsyn/A 19454-2019 tillsynsbegäran.docx", "A 19454-2019")</f>
        <v/>
      </c>
      <c r="Y101">
        <f>HYPERLINK("https://klasma.github.io/Logging_1980/tillsynsmail/A 19454-2019 tillsynsbegäran mail.docx", "A 19454-2019")</f>
        <v/>
      </c>
    </row>
    <row r="102" ht="15" customHeight="1">
      <c r="A102" t="inlineStr">
        <is>
          <t>A 46602-2019</t>
        </is>
      </c>
      <c r="B102" s="1" t="n">
        <v>43719</v>
      </c>
      <c r="C102" s="1" t="n">
        <v>45724</v>
      </c>
      <c r="D102" t="inlineStr">
        <is>
          <t>VÄSTMANLANDS LÄN</t>
        </is>
      </c>
      <c r="E102" t="inlineStr">
        <is>
          <t>SKINNSKATTEBERG</t>
        </is>
      </c>
      <c r="F102" t="inlineStr">
        <is>
          <t>Sveaskog</t>
        </is>
      </c>
      <c r="G102" t="n">
        <v>3.9</v>
      </c>
      <c r="H102" t="n">
        <v>3</v>
      </c>
      <c r="I102" t="n">
        <v>0</v>
      </c>
      <c r="J102" t="n">
        <v>0</v>
      </c>
      <c r="K102" t="n">
        <v>0</v>
      </c>
      <c r="L102" t="n">
        <v>0</v>
      </c>
      <c r="M102" t="n">
        <v>0</v>
      </c>
      <c r="N102" t="n">
        <v>0</v>
      </c>
      <c r="O102" t="n">
        <v>0</v>
      </c>
      <c r="P102" t="n">
        <v>0</v>
      </c>
      <c r="Q102" t="n">
        <v>3</v>
      </c>
      <c r="R102" s="2" t="inlineStr">
        <is>
          <t>Åkergroda
Vanlig padda
Fläcknycklar</t>
        </is>
      </c>
      <c r="S102">
        <f>HYPERLINK("https://klasma.github.io/Logging_1904/artfynd/A 46602-2019 artfynd.xlsx", "A 46602-2019")</f>
        <v/>
      </c>
      <c r="T102">
        <f>HYPERLINK("https://klasma.github.io/Logging_1904/kartor/A 46602-2019 karta.png", "A 46602-2019")</f>
        <v/>
      </c>
      <c r="V102">
        <f>HYPERLINK("https://klasma.github.io/Logging_1904/klagomål/A 46602-2019 FSC-klagomål.docx", "A 46602-2019")</f>
        <v/>
      </c>
      <c r="W102">
        <f>HYPERLINK("https://klasma.github.io/Logging_1904/klagomålsmail/A 46602-2019 FSC-klagomål mail.docx", "A 46602-2019")</f>
        <v/>
      </c>
      <c r="X102">
        <f>HYPERLINK("https://klasma.github.io/Logging_1904/tillsyn/A 46602-2019 tillsynsbegäran.docx", "A 46602-2019")</f>
        <v/>
      </c>
      <c r="Y102">
        <f>HYPERLINK("https://klasma.github.io/Logging_1904/tillsynsmail/A 46602-2019 tillsynsbegäran mail.docx", "A 46602-2019")</f>
        <v/>
      </c>
    </row>
    <row r="103" ht="15" customHeight="1">
      <c r="A103" t="inlineStr">
        <is>
          <t>A 51340-2019</t>
        </is>
      </c>
      <c r="B103" s="1" t="n">
        <v>43740</v>
      </c>
      <c r="C103" s="1" t="n">
        <v>45724</v>
      </c>
      <c r="D103" t="inlineStr">
        <is>
          <t>VÄSTMANLANDS LÄN</t>
        </is>
      </c>
      <c r="E103" t="inlineStr">
        <is>
          <t>SKINNSKATTEBERG</t>
        </is>
      </c>
      <c r="F103" t="inlineStr">
        <is>
          <t>Sveaskog</t>
        </is>
      </c>
      <c r="G103" t="n">
        <v>8.9</v>
      </c>
      <c r="H103" t="n">
        <v>0</v>
      </c>
      <c r="I103" t="n">
        <v>1</v>
      </c>
      <c r="J103" t="n">
        <v>2</v>
      </c>
      <c r="K103" t="n">
        <v>0</v>
      </c>
      <c r="L103" t="n">
        <v>0</v>
      </c>
      <c r="M103" t="n">
        <v>0</v>
      </c>
      <c r="N103" t="n">
        <v>0</v>
      </c>
      <c r="O103" t="n">
        <v>2</v>
      </c>
      <c r="P103" t="n">
        <v>0</v>
      </c>
      <c r="Q103" t="n">
        <v>3</v>
      </c>
      <c r="R103" s="2" t="inlineStr">
        <is>
          <t>Furustumpbagge
Motaggsvamp
Dropptaggsvamp</t>
        </is>
      </c>
      <c r="S103">
        <f>HYPERLINK("https://klasma.github.io/Logging_1904/artfynd/A 51340-2019 artfynd.xlsx", "A 51340-2019")</f>
        <v/>
      </c>
      <c r="T103">
        <f>HYPERLINK("https://klasma.github.io/Logging_1904/kartor/A 51340-2019 karta.png", "A 51340-2019")</f>
        <v/>
      </c>
      <c r="V103">
        <f>HYPERLINK("https://klasma.github.io/Logging_1904/klagomål/A 51340-2019 FSC-klagomål.docx", "A 51340-2019")</f>
        <v/>
      </c>
      <c r="W103">
        <f>HYPERLINK("https://klasma.github.io/Logging_1904/klagomålsmail/A 51340-2019 FSC-klagomål mail.docx", "A 51340-2019")</f>
        <v/>
      </c>
      <c r="X103">
        <f>HYPERLINK("https://klasma.github.io/Logging_1904/tillsyn/A 51340-2019 tillsynsbegäran.docx", "A 51340-2019")</f>
        <v/>
      </c>
      <c r="Y103">
        <f>HYPERLINK("https://klasma.github.io/Logging_1904/tillsynsmail/A 51340-2019 tillsynsbegäran mail.docx", "A 51340-2019")</f>
        <v/>
      </c>
    </row>
    <row r="104" ht="15" customHeight="1">
      <c r="A104" t="inlineStr">
        <is>
          <t>A 66088-2019</t>
        </is>
      </c>
      <c r="B104" s="1" t="n">
        <v>43807</v>
      </c>
      <c r="C104" s="1" t="n">
        <v>45724</v>
      </c>
      <c r="D104" t="inlineStr">
        <is>
          <t>VÄSTMANLANDS LÄN</t>
        </is>
      </c>
      <c r="E104" t="inlineStr">
        <is>
          <t>SALA</t>
        </is>
      </c>
      <c r="G104" t="n">
        <v>6.4</v>
      </c>
      <c r="H104" t="n">
        <v>0</v>
      </c>
      <c r="I104" t="n">
        <v>1</v>
      </c>
      <c r="J104" t="n">
        <v>2</v>
      </c>
      <c r="K104" t="n">
        <v>0</v>
      </c>
      <c r="L104" t="n">
        <v>0</v>
      </c>
      <c r="M104" t="n">
        <v>0</v>
      </c>
      <c r="N104" t="n">
        <v>0</v>
      </c>
      <c r="O104" t="n">
        <v>2</v>
      </c>
      <c r="P104" t="n">
        <v>0</v>
      </c>
      <c r="Q104" t="n">
        <v>3</v>
      </c>
      <c r="R104" s="2" t="inlineStr">
        <is>
          <t>Ullticka
Vedtrappmossa
Flagellkvastmossa</t>
        </is>
      </c>
      <c r="S104">
        <f>HYPERLINK("https://klasma.github.io/Logging_1981/artfynd/A 66088-2019 artfynd.xlsx", "A 66088-2019")</f>
        <v/>
      </c>
      <c r="T104">
        <f>HYPERLINK("https://klasma.github.io/Logging_1981/kartor/A 66088-2019 karta.png", "A 66088-2019")</f>
        <v/>
      </c>
      <c r="V104">
        <f>HYPERLINK("https://klasma.github.io/Logging_1981/klagomål/A 66088-2019 FSC-klagomål.docx", "A 66088-2019")</f>
        <v/>
      </c>
      <c r="W104">
        <f>HYPERLINK("https://klasma.github.io/Logging_1981/klagomålsmail/A 66088-2019 FSC-klagomål mail.docx", "A 66088-2019")</f>
        <v/>
      </c>
      <c r="X104">
        <f>HYPERLINK("https://klasma.github.io/Logging_1981/tillsyn/A 66088-2019 tillsynsbegäran.docx", "A 66088-2019")</f>
        <v/>
      </c>
      <c r="Y104">
        <f>HYPERLINK("https://klasma.github.io/Logging_1981/tillsynsmail/A 66088-2019 tillsynsbegäran mail.docx", "A 66088-2019")</f>
        <v/>
      </c>
    </row>
    <row r="105" ht="15" customHeight="1">
      <c r="A105" t="inlineStr">
        <is>
          <t>A 17919-2020</t>
        </is>
      </c>
      <c r="B105" s="1" t="n">
        <v>43924</v>
      </c>
      <c r="C105" s="1" t="n">
        <v>45724</v>
      </c>
      <c r="D105" t="inlineStr">
        <is>
          <t>VÄSTMANLANDS LÄN</t>
        </is>
      </c>
      <c r="E105" t="inlineStr">
        <is>
          <t>SALA</t>
        </is>
      </c>
      <c r="G105" t="n">
        <v>2.6</v>
      </c>
      <c r="H105" t="n">
        <v>3</v>
      </c>
      <c r="I105" t="n">
        <v>0</v>
      </c>
      <c r="J105" t="n">
        <v>2</v>
      </c>
      <c r="K105" t="n">
        <v>0</v>
      </c>
      <c r="L105" t="n">
        <v>0</v>
      </c>
      <c r="M105" t="n">
        <v>0</v>
      </c>
      <c r="N105" t="n">
        <v>0</v>
      </c>
      <c r="O105" t="n">
        <v>2</v>
      </c>
      <c r="P105" t="n">
        <v>0</v>
      </c>
      <c r="Q105" t="n">
        <v>3</v>
      </c>
      <c r="R105" s="2" t="inlineStr">
        <is>
          <t>Spillkråka
Svartvit flugsnappare
Gröngöling</t>
        </is>
      </c>
      <c r="S105">
        <f>HYPERLINK("https://klasma.github.io/Logging_1981/artfynd/A 17919-2020 artfynd.xlsx", "A 17919-2020")</f>
        <v/>
      </c>
      <c r="T105">
        <f>HYPERLINK("https://klasma.github.io/Logging_1981/kartor/A 17919-2020 karta.png", "A 17919-2020")</f>
        <v/>
      </c>
      <c r="V105">
        <f>HYPERLINK("https://klasma.github.io/Logging_1981/klagomål/A 17919-2020 FSC-klagomål.docx", "A 17919-2020")</f>
        <v/>
      </c>
      <c r="W105">
        <f>HYPERLINK("https://klasma.github.io/Logging_1981/klagomålsmail/A 17919-2020 FSC-klagomål mail.docx", "A 17919-2020")</f>
        <v/>
      </c>
      <c r="X105">
        <f>HYPERLINK("https://klasma.github.io/Logging_1981/tillsyn/A 17919-2020 tillsynsbegäran.docx", "A 17919-2020")</f>
        <v/>
      </c>
      <c r="Y105">
        <f>HYPERLINK("https://klasma.github.io/Logging_1981/tillsynsmail/A 17919-2020 tillsynsbegäran mail.docx", "A 17919-2020")</f>
        <v/>
      </c>
      <c r="Z105">
        <f>HYPERLINK("https://klasma.github.io/Logging_1981/fåglar/A 17919-2020 prioriterade fågelarter.docx", "A 17919-2020")</f>
        <v/>
      </c>
    </row>
    <row r="106" ht="15" customHeight="1">
      <c r="A106" t="inlineStr">
        <is>
          <t>A 29457-2020</t>
        </is>
      </c>
      <c r="B106" s="1" t="n">
        <v>44004</v>
      </c>
      <c r="C106" s="1" t="n">
        <v>45724</v>
      </c>
      <c r="D106" t="inlineStr">
        <is>
          <t>VÄSTMANLANDS LÄN</t>
        </is>
      </c>
      <c r="E106" t="inlineStr">
        <is>
          <t>SKINNSKATTEBERG</t>
        </is>
      </c>
      <c r="F106" t="inlineStr">
        <is>
          <t>Sveaskog</t>
        </is>
      </c>
      <c r="G106" t="n">
        <v>3.6</v>
      </c>
      <c r="H106" t="n">
        <v>0</v>
      </c>
      <c r="I106" t="n">
        <v>1</v>
      </c>
      <c r="J106" t="n">
        <v>2</v>
      </c>
      <c r="K106" t="n">
        <v>0</v>
      </c>
      <c r="L106" t="n">
        <v>0</v>
      </c>
      <c r="M106" t="n">
        <v>0</v>
      </c>
      <c r="N106" t="n">
        <v>0</v>
      </c>
      <c r="O106" t="n">
        <v>2</v>
      </c>
      <c r="P106" t="n">
        <v>0</v>
      </c>
      <c r="Q106" t="n">
        <v>3</v>
      </c>
      <c r="R106" s="2" t="inlineStr">
        <is>
          <t>Dvärgbägarlav
Vedskivlav
Nästlav</t>
        </is>
      </c>
      <c r="S106">
        <f>HYPERLINK("https://klasma.github.io/Logging_1904/artfynd/A 29457-2020 artfynd.xlsx", "A 29457-2020")</f>
        <v/>
      </c>
      <c r="T106">
        <f>HYPERLINK("https://klasma.github.io/Logging_1904/kartor/A 29457-2020 karta.png", "A 29457-2020")</f>
        <v/>
      </c>
      <c r="V106">
        <f>HYPERLINK("https://klasma.github.io/Logging_1904/klagomål/A 29457-2020 FSC-klagomål.docx", "A 29457-2020")</f>
        <v/>
      </c>
      <c r="W106">
        <f>HYPERLINK("https://klasma.github.io/Logging_1904/klagomålsmail/A 29457-2020 FSC-klagomål mail.docx", "A 29457-2020")</f>
        <v/>
      </c>
      <c r="X106">
        <f>HYPERLINK("https://klasma.github.io/Logging_1904/tillsyn/A 29457-2020 tillsynsbegäran.docx", "A 29457-2020")</f>
        <v/>
      </c>
      <c r="Y106">
        <f>HYPERLINK("https://klasma.github.io/Logging_1904/tillsynsmail/A 29457-2020 tillsynsbegäran mail.docx", "A 29457-2020")</f>
        <v/>
      </c>
    </row>
    <row r="107" ht="15" customHeight="1">
      <c r="A107" t="inlineStr">
        <is>
          <t>A 43169-2020</t>
        </is>
      </c>
      <c r="B107" s="1" t="n">
        <v>44081</v>
      </c>
      <c r="C107" s="1" t="n">
        <v>45724</v>
      </c>
      <c r="D107" t="inlineStr">
        <is>
          <t>VÄSTMANLANDS LÄN</t>
        </is>
      </c>
      <c r="E107" t="inlineStr">
        <is>
          <t>SURAHAMMAR</t>
        </is>
      </c>
      <c r="F107" t="inlineStr">
        <is>
          <t>Sveaskog</t>
        </is>
      </c>
      <c r="G107" t="n">
        <v>6.4</v>
      </c>
      <c r="H107" t="n">
        <v>1</v>
      </c>
      <c r="I107" t="n">
        <v>0</v>
      </c>
      <c r="J107" t="n">
        <v>2</v>
      </c>
      <c r="K107" t="n">
        <v>1</v>
      </c>
      <c r="L107" t="n">
        <v>0</v>
      </c>
      <c r="M107" t="n">
        <v>0</v>
      </c>
      <c r="N107" t="n">
        <v>0</v>
      </c>
      <c r="O107" t="n">
        <v>3</v>
      </c>
      <c r="P107" t="n">
        <v>1</v>
      </c>
      <c r="Q107" t="n">
        <v>3</v>
      </c>
      <c r="R107" s="2" t="inlineStr">
        <is>
          <t>Hängticka
Björktrast
Kandelabersvamp</t>
        </is>
      </c>
      <c r="S107">
        <f>HYPERLINK("https://klasma.github.io/Logging_1907/artfynd/A 43169-2020 artfynd.xlsx", "A 43169-2020")</f>
        <v/>
      </c>
      <c r="T107">
        <f>HYPERLINK("https://klasma.github.io/Logging_1907/kartor/A 43169-2020 karta.png", "A 43169-2020")</f>
        <v/>
      </c>
      <c r="V107">
        <f>HYPERLINK("https://klasma.github.io/Logging_1907/klagomål/A 43169-2020 FSC-klagomål.docx", "A 43169-2020")</f>
        <v/>
      </c>
      <c r="W107">
        <f>HYPERLINK("https://klasma.github.io/Logging_1907/klagomålsmail/A 43169-2020 FSC-klagomål mail.docx", "A 43169-2020")</f>
        <v/>
      </c>
      <c r="X107">
        <f>HYPERLINK("https://klasma.github.io/Logging_1907/tillsyn/A 43169-2020 tillsynsbegäran.docx", "A 43169-2020")</f>
        <v/>
      </c>
      <c r="Y107">
        <f>HYPERLINK("https://klasma.github.io/Logging_1907/tillsynsmail/A 43169-2020 tillsynsbegäran mail.docx", "A 43169-2020")</f>
        <v/>
      </c>
      <c r="Z107">
        <f>HYPERLINK("https://klasma.github.io/Logging_1907/fåglar/A 43169-2020 prioriterade fågelarter.docx", "A 43169-2020")</f>
        <v/>
      </c>
    </row>
    <row r="108" ht="15" customHeight="1">
      <c r="A108" t="inlineStr">
        <is>
          <t>A 59550-2020</t>
        </is>
      </c>
      <c r="B108" s="1" t="n">
        <v>44148</v>
      </c>
      <c r="C108" s="1" t="n">
        <v>45724</v>
      </c>
      <c r="D108" t="inlineStr">
        <is>
          <t>VÄSTMANLANDS LÄN</t>
        </is>
      </c>
      <c r="E108" t="inlineStr">
        <is>
          <t>SURAHAMMAR</t>
        </is>
      </c>
      <c r="G108" t="n">
        <v>0.8</v>
      </c>
      <c r="H108" t="n">
        <v>1</v>
      </c>
      <c r="I108" t="n">
        <v>1</v>
      </c>
      <c r="J108" t="n">
        <v>1</v>
      </c>
      <c r="K108" t="n">
        <v>0</v>
      </c>
      <c r="L108" t="n">
        <v>0</v>
      </c>
      <c r="M108" t="n">
        <v>0</v>
      </c>
      <c r="N108" t="n">
        <v>0</v>
      </c>
      <c r="O108" t="n">
        <v>1</v>
      </c>
      <c r="P108" t="n">
        <v>0</v>
      </c>
      <c r="Q108" t="n">
        <v>3</v>
      </c>
      <c r="R108" s="2" t="inlineStr">
        <is>
          <t>Ljusskivig lerskivling
Hasselticka
Blåsippa</t>
        </is>
      </c>
      <c r="S108">
        <f>HYPERLINK("https://klasma.github.io/Logging_1907/artfynd/A 59550-2020 artfynd.xlsx", "A 59550-2020")</f>
        <v/>
      </c>
      <c r="T108">
        <f>HYPERLINK("https://klasma.github.io/Logging_1907/kartor/A 59550-2020 karta.png", "A 59550-2020")</f>
        <v/>
      </c>
      <c r="V108">
        <f>HYPERLINK("https://klasma.github.io/Logging_1907/klagomål/A 59550-2020 FSC-klagomål.docx", "A 59550-2020")</f>
        <v/>
      </c>
      <c r="W108">
        <f>HYPERLINK("https://klasma.github.io/Logging_1907/klagomålsmail/A 59550-2020 FSC-klagomål mail.docx", "A 59550-2020")</f>
        <v/>
      </c>
      <c r="X108">
        <f>HYPERLINK("https://klasma.github.io/Logging_1907/tillsyn/A 59550-2020 tillsynsbegäran.docx", "A 59550-2020")</f>
        <v/>
      </c>
      <c r="Y108">
        <f>HYPERLINK("https://klasma.github.io/Logging_1907/tillsynsmail/A 59550-2020 tillsynsbegäran mail.docx", "A 59550-2020")</f>
        <v/>
      </c>
    </row>
    <row r="109" ht="15" customHeight="1">
      <c r="A109" t="inlineStr">
        <is>
          <t>A 25843-2021</t>
        </is>
      </c>
      <c r="B109" s="1" t="n">
        <v>44343</v>
      </c>
      <c r="C109" s="1" t="n">
        <v>45724</v>
      </c>
      <c r="D109" t="inlineStr">
        <is>
          <t>VÄSTMANLANDS LÄN</t>
        </is>
      </c>
      <c r="E109" t="inlineStr">
        <is>
          <t>NORBERG</t>
        </is>
      </c>
      <c r="G109" t="n">
        <v>2.2</v>
      </c>
      <c r="H109" t="n">
        <v>1</v>
      </c>
      <c r="I109" t="n">
        <v>2</v>
      </c>
      <c r="J109" t="n">
        <v>0</v>
      </c>
      <c r="K109" t="n">
        <v>1</v>
      </c>
      <c r="L109" t="n">
        <v>0</v>
      </c>
      <c r="M109" t="n">
        <v>0</v>
      </c>
      <c r="N109" t="n">
        <v>0</v>
      </c>
      <c r="O109" t="n">
        <v>1</v>
      </c>
      <c r="P109" t="n">
        <v>1</v>
      </c>
      <c r="Q109" t="n">
        <v>3</v>
      </c>
      <c r="R109" s="2" t="inlineStr">
        <is>
          <t>Knärot
Bårdlav
Grönpyrola</t>
        </is>
      </c>
      <c r="S109">
        <f>HYPERLINK("https://klasma.github.io/Logging_1962/artfynd/A 25843-2021 artfynd.xlsx", "A 25843-2021")</f>
        <v/>
      </c>
      <c r="T109">
        <f>HYPERLINK("https://klasma.github.io/Logging_1962/kartor/A 25843-2021 karta.png", "A 25843-2021")</f>
        <v/>
      </c>
      <c r="U109">
        <f>HYPERLINK("https://klasma.github.io/Logging_1962/knärot/A 25843-2021 karta knärot.png", "A 25843-2021")</f>
        <v/>
      </c>
      <c r="V109">
        <f>HYPERLINK("https://klasma.github.io/Logging_1962/klagomål/A 25843-2021 FSC-klagomål.docx", "A 25843-2021")</f>
        <v/>
      </c>
      <c r="W109">
        <f>HYPERLINK("https://klasma.github.io/Logging_1962/klagomålsmail/A 25843-2021 FSC-klagomål mail.docx", "A 25843-2021")</f>
        <v/>
      </c>
      <c r="X109">
        <f>HYPERLINK("https://klasma.github.io/Logging_1962/tillsyn/A 25843-2021 tillsynsbegäran.docx", "A 25843-2021")</f>
        <v/>
      </c>
      <c r="Y109">
        <f>HYPERLINK("https://klasma.github.io/Logging_1962/tillsynsmail/A 25843-2021 tillsynsbegäran mail.docx", "A 25843-2021")</f>
        <v/>
      </c>
    </row>
    <row r="110" ht="15" customHeight="1">
      <c r="A110" t="inlineStr">
        <is>
          <t>A 26571-2021</t>
        </is>
      </c>
      <c r="B110" s="1" t="n">
        <v>44348</v>
      </c>
      <c r="C110" s="1" t="n">
        <v>45724</v>
      </c>
      <c r="D110" t="inlineStr">
        <is>
          <t>VÄSTMANLANDS LÄN</t>
        </is>
      </c>
      <c r="E110" t="inlineStr">
        <is>
          <t>SALA</t>
        </is>
      </c>
      <c r="G110" t="n">
        <v>2.1</v>
      </c>
      <c r="H110" t="n">
        <v>0</v>
      </c>
      <c r="I110" t="n">
        <v>1</v>
      </c>
      <c r="J110" t="n">
        <v>2</v>
      </c>
      <c r="K110" t="n">
        <v>0</v>
      </c>
      <c r="L110" t="n">
        <v>0</v>
      </c>
      <c r="M110" t="n">
        <v>0</v>
      </c>
      <c r="N110" t="n">
        <v>0</v>
      </c>
      <c r="O110" t="n">
        <v>2</v>
      </c>
      <c r="P110" t="n">
        <v>0</v>
      </c>
      <c r="Q110" t="n">
        <v>3</v>
      </c>
      <c r="R110" s="2" t="inlineStr">
        <is>
          <t>Skrovlig taggsvamp
Ullticka
Flagellkvastmossa</t>
        </is>
      </c>
      <c r="S110">
        <f>HYPERLINK("https://klasma.github.io/Logging_1981/artfynd/A 26571-2021 artfynd.xlsx", "A 26571-2021")</f>
        <v/>
      </c>
      <c r="T110">
        <f>HYPERLINK("https://klasma.github.io/Logging_1981/kartor/A 26571-2021 karta.png", "A 26571-2021")</f>
        <v/>
      </c>
      <c r="V110">
        <f>HYPERLINK("https://klasma.github.io/Logging_1981/klagomål/A 26571-2021 FSC-klagomål.docx", "A 26571-2021")</f>
        <v/>
      </c>
      <c r="W110">
        <f>HYPERLINK("https://klasma.github.io/Logging_1981/klagomålsmail/A 26571-2021 FSC-klagomål mail.docx", "A 26571-2021")</f>
        <v/>
      </c>
      <c r="X110">
        <f>HYPERLINK("https://klasma.github.io/Logging_1981/tillsyn/A 26571-2021 tillsynsbegäran.docx", "A 26571-2021")</f>
        <v/>
      </c>
      <c r="Y110">
        <f>HYPERLINK("https://klasma.github.io/Logging_1981/tillsynsmail/A 26571-2021 tillsynsbegäran mail.docx", "A 26571-2021")</f>
        <v/>
      </c>
    </row>
    <row r="111" ht="15" customHeight="1">
      <c r="A111" t="inlineStr">
        <is>
          <t>A 38200-2021</t>
        </is>
      </c>
      <c r="B111" s="1" t="n">
        <v>44405</v>
      </c>
      <c r="C111" s="1" t="n">
        <v>45724</v>
      </c>
      <c r="D111" t="inlineStr">
        <is>
          <t>VÄSTMANLANDS LÄN</t>
        </is>
      </c>
      <c r="E111" t="inlineStr">
        <is>
          <t>SURAHAMMAR</t>
        </is>
      </c>
      <c r="F111" t="inlineStr">
        <is>
          <t>Sveaskog</t>
        </is>
      </c>
      <c r="G111" t="n">
        <v>1.5</v>
      </c>
      <c r="H111" t="n">
        <v>1</v>
      </c>
      <c r="I111" t="n">
        <v>0</v>
      </c>
      <c r="J111" t="n">
        <v>1</v>
      </c>
      <c r="K111" t="n">
        <v>1</v>
      </c>
      <c r="L111" t="n">
        <v>0</v>
      </c>
      <c r="M111" t="n">
        <v>0</v>
      </c>
      <c r="N111" t="n">
        <v>0</v>
      </c>
      <c r="O111" t="n">
        <v>2</v>
      </c>
      <c r="P111" t="n">
        <v>1</v>
      </c>
      <c r="Q111" t="n">
        <v>3</v>
      </c>
      <c r="R111" s="2" t="inlineStr">
        <is>
          <t>Vågticka
Svinrot
Kopparödla</t>
        </is>
      </c>
      <c r="S111">
        <f>HYPERLINK("https://klasma.github.io/Logging_1907/artfynd/A 38200-2021 artfynd.xlsx", "A 38200-2021")</f>
        <v/>
      </c>
      <c r="T111">
        <f>HYPERLINK("https://klasma.github.io/Logging_1907/kartor/A 38200-2021 karta.png", "A 38200-2021")</f>
        <v/>
      </c>
      <c r="V111">
        <f>HYPERLINK("https://klasma.github.io/Logging_1907/klagomål/A 38200-2021 FSC-klagomål.docx", "A 38200-2021")</f>
        <v/>
      </c>
      <c r="W111">
        <f>HYPERLINK("https://klasma.github.io/Logging_1907/klagomålsmail/A 38200-2021 FSC-klagomål mail.docx", "A 38200-2021")</f>
        <v/>
      </c>
      <c r="X111">
        <f>HYPERLINK("https://klasma.github.io/Logging_1907/tillsyn/A 38200-2021 tillsynsbegäran.docx", "A 38200-2021")</f>
        <v/>
      </c>
      <c r="Y111">
        <f>HYPERLINK("https://klasma.github.io/Logging_1907/tillsynsmail/A 38200-2021 tillsynsbegäran mail.docx", "A 38200-2021")</f>
        <v/>
      </c>
    </row>
    <row r="112" ht="15" customHeight="1">
      <c r="A112" t="inlineStr">
        <is>
          <t>A 62768-2021</t>
        </is>
      </c>
      <c r="B112" s="1" t="n">
        <v>44504</v>
      </c>
      <c r="C112" s="1" t="n">
        <v>45724</v>
      </c>
      <c r="D112" t="inlineStr">
        <is>
          <t>VÄSTMANLANDS LÄN</t>
        </is>
      </c>
      <c r="E112" t="inlineStr">
        <is>
          <t>SALA</t>
        </is>
      </c>
      <c r="G112" t="n">
        <v>12.9</v>
      </c>
      <c r="H112" t="n">
        <v>1</v>
      </c>
      <c r="I112" t="n">
        <v>1</v>
      </c>
      <c r="J112" t="n">
        <v>1</v>
      </c>
      <c r="K112" t="n">
        <v>1</v>
      </c>
      <c r="L112" t="n">
        <v>0</v>
      </c>
      <c r="M112" t="n">
        <v>0</v>
      </c>
      <c r="N112" t="n">
        <v>0</v>
      </c>
      <c r="O112" t="n">
        <v>2</v>
      </c>
      <c r="P112" t="n">
        <v>1</v>
      </c>
      <c r="Q112" t="n">
        <v>3</v>
      </c>
      <c r="R112" s="2" t="inlineStr">
        <is>
          <t>Knärot
Vedtrappmossa
Grönpyrola</t>
        </is>
      </c>
      <c r="S112">
        <f>HYPERLINK("https://klasma.github.io/Logging_1981/artfynd/A 62768-2021 artfynd.xlsx", "A 62768-2021")</f>
        <v/>
      </c>
      <c r="T112">
        <f>HYPERLINK("https://klasma.github.io/Logging_1981/kartor/A 62768-2021 karta.png", "A 62768-2021")</f>
        <v/>
      </c>
      <c r="U112">
        <f>HYPERLINK("https://klasma.github.io/Logging_1981/knärot/A 62768-2021 karta knärot.png", "A 62768-2021")</f>
        <v/>
      </c>
      <c r="V112">
        <f>HYPERLINK("https://klasma.github.io/Logging_1981/klagomål/A 62768-2021 FSC-klagomål.docx", "A 62768-2021")</f>
        <v/>
      </c>
      <c r="W112">
        <f>HYPERLINK("https://klasma.github.io/Logging_1981/klagomålsmail/A 62768-2021 FSC-klagomål mail.docx", "A 62768-2021")</f>
        <v/>
      </c>
      <c r="X112">
        <f>HYPERLINK("https://klasma.github.io/Logging_1981/tillsyn/A 62768-2021 tillsynsbegäran.docx", "A 62768-2021")</f>
        <v/>
      </c>
      <c r="Y112">
        <f>HYPERLINK("https://klasma.github.io/Logging_1981/tillsynsmail/A 62768-2021 tillsynsbegäran mail.docx", "A 62768-2021")</f>
        <v/>
      </c>
    </row>
    <row r="113" ht="15" customHeight="1">
      <c r="A113" t="inlineStr">
        <is>
          <t>A 8552-2022</t>
        </is>
      </c>
      <c r="B113" s="1" t="n">
        <v>44613</v>
      </c>
      <c r="C113" s="1" t="n">
        <v>45724</v>
      </c>
      <c r="D113" t="inlineStr">
        <is>
          <t>VÄSTMANLANDS LÄN</t>
        </is>
      </c>
      <c r="E113" t="inlineStr">
        <is>
          <t>SURAHAMMAR</t>
        </is>
      </c>
      <c r="F113" t="inlineStr">
        <is>
          <t>Bergvik skog väst AB</t>
        </is>
      </c>
      <c r="G113" t="n">
        <v>3.2</v>
      </c>
      <c r="H113" t="n">
        <v>2</v>
      </c>
      <c r="I113" t="n">
        <v>1</v>
      </c>
      <c r="J113" t="n">
        <v>2</v>
      </c>
      <c r="K113" t="n">
        <v>0</v>
      </c>
      <c r="L113" t="n">
        <v>0</v>
      </c>
      <c r="M113" t="n">
        <v>0</v>
      </c>
      <c r="N113" t="n">
        <v>0</v>
      </c>
      <c r="O113" t="n">
        <v>2</v>
      </c>
      <c r="P113" t="n">
        <v>0</v>
      </c>
      <c r="Q113" t="n">
        <v>3</v>
      </c>
      <c r="R113" s="2" t="inlineStr">
        <is>
          <t>Spillkråka
Talltita
Mindre märgborre</t>
        </is>
      </c>
      <c r="S113">
        <f>HYPERLINK("https://klasma.github.io/Logging_1907/artfynd/A 8552-2022 artfynd.xlsx", "A 8552-2022")</f>
        <v/>
      </c>
      <c r="T113">
        <f>HYPERLINK("https://klasma.github.io/Logging_1907/kartor/A 8552-2022 karta.png", "A 8552-2022")</f>
        <v/>
      </c>
      <c r="V113">
        <f>HYPERLINK("https://klasma.github.io/Logging_1907/klagomål/A 8552-2022 FSC-klagomål.docx", "A 8552-2022")</f>
        <v/>
      </c>
      <c r="W113">
        <f>HYPERLINK("https://klasma.github.io/Logging_1907/klagomålsmail/A 8552-2022 FSC-klagomål mail.docx", "A 8552-2022")</f>
        <v/>
      </c>
      <c r="X113">
        <f>HYPERLINK("https://klasma.github.io/Logging_1907/tillsyn/A 8552-2022 tillsynsbegäran.docx", "A 8552-2022")</f>
        <v/>
      </c>
      <c r="Y113">
        <f>HYPERLINK("https://klasma.github.io/Logging_1907/tillsynsmail/A 8552-2022 tillsynsbegäran mail.docx", "A 8552-2022")</f>
        <v/>
      </c>
      <c r="Z113">
        <f>HYPERLINK("https://klasma.github.io/Logging_1907/fåglar/A 8552-2022 prioriterade fågelarter.docx", "A 8552-2022")</f>
        <v/>
      </c>
    </row>
    <row r="114" ht="15" customHeight="1">
      <c r="A114" t="inlineStr">
        <is>
          <t>A 11804-2022</t>
        </is>
      </c>
      <c r="B114" s="1" t="n">
        <v>44634</v>
      </c>
      <c r="C114" s="1" t="n">
        <v>45724</v>
      </c>
      <c r="D114" t="inlineStr">
        <is>
          <t>VÄSTMANLANDS LÄN</t>
        </is>
      </c>
      <c r="E114" t="inlineStr">
        <is>
          <t>VÄSTERÅS</t>
        </is>
      </c>
      <c r="G114" t="n">
        <v>10.6</v>
      </c>
      <c r="H114" t="n">
        <v>1</v>
      </c>
      <c r="I114" t="n">
        <v>1</v>
      </c>
      <c r="J114" t="n">
        <v>0</v>
      </c>
      <c r="K114" t="n">
        <v>0</v>
      </c>
      <c r="L114" t="n">
        <v>1</v>
      </c>
      <c r="M114" t="n">
        <v>0</v>
      </c>
      <c r="N114" t="n">
        <v>0</v>
      </c>
      <c r="O114" t="n">
        <v>1</v>
      </c>
      <c r="P114" t="n">
        <v>1</v>
      </c>
      <c r="Q114" t="n">
        <v>3</v>
      </c>
      <c r="R114" s="2" t="inlineStr">
        <is>
          <t>Ask
Svart trolldruva
Nattviol</t>
        </is>
      </c>
      <c r="S114">
        <f>HYPERLINK("https://klasma.github.io/Logging_1980/artfynd/A 11804-2022 artfynd.xlsx", "A 11804-2022")</f>
        <v/>
      </c>
      <c r="T114">
        <f>HYPERLINK("https://klasma.github.io/Logging_1980/kartor/A 11804-2022 karta.png", "A 11804-2022")</f>
        <v/>
      </c>
      <c r="V114">
        <f>HYPERLINK("https://klasma.github.io/Logging_1980/klagomål/A 11804-2022 FSC-klagomål.docx", "A 11804-2022")</f>
        <v/>
      </c>
      <c r="W114">
        <f>HYPERLINK("https://klasma.github.io/Logging_1980/klagomålsmail/A 11804-2022 FSC-klagomål mail.docx", "A 11804-2022")</f>
        <v/>
      </c>
      <c r="X114">
        <f>HYPERLINK("https://klasma.github.io/Logging_1980/tillsyn/A 11804-2022 tillsynsbegäran.docx", "A 11804-2022")</f>
        <v/>
      </c>
      <c r="Y114">
        <f>HYPERLINK("https://klasma.github.io/Logging_1980/tillsynsmail/A 11804-2022 tillsynsbegäran mail.docx", "A 11804-2022")</f>
        <v/>
      </c>
    </row>
    <row r="115" ht="15" customHeight="1">
      <c r="A115" t="inlineStr">
        <is>
          <t>A 15991-2022</t>
        </is>
      </c>
      <c r="B115" s="1" t="n">
        <v>44664</v>
      </c>
      <c r="C115" s="1" t="n">
        <v>45724</v>
      </c>
      <c r="D115" t="inlineStr">
        <is>
          <t>VÄSTMANLANDS LÄN</t>
        </is>
      </c>
      <c r="E115" t="inlineStr">
        <is>
          <t>SALA</t>
        </is>
      </c>
      <c r="G115" t="n">
        <v>4.5</v>
      </c>
      <c r="H115" t="n">
        <v>2</v>
      </c>
      <c r="I115" t="n">
        <v>1</v>
      </c>
      <c r="J115" t="n">
        <v>0</v>
      </c>
      <c r="K115" t="n">
        <v>1</v>
      </c>
      <c r="L115" t="n">
        <v>0</v>
      </c>
      <c r="M115" t="n">
        <v>0</v>
      </c>
      <c r="N115" t="n">
        <v>0</v>
      </c>
      <c r="O115" t="n">
        <v>1</v>
      </c>
      <c r="P115" t="n">
        <v>1</v>
      </c>
      <c r="Q115" t="n">
        <v>3</v>
      </c>
      <c r="R115" s="2" t="inlineStr">
        <is>
          <t>Knärot
Blåmossa
Revlummer</t>
        </is>
      </c>
      <c r="S115">
        <f>HYPERLINK("https://klasma.github.io/Logging_1981/artfynd/A 15991-2022 artfynd.xlsx", "A 15991-2022")</f>
        <v/>
      </c>
      <c r="T115">
        <f>HYPERLINK("https://klasma.github.io/Logging_1981/kartor/A 15991-2022 karta.png", "A 15991-2022")</f>
        <v/>
      </c>
      <c r="U115">
        <f>HYPERLINK("https://klasma.github.io/Logging_1981/knärot/A 15991-2022 karta knärot.png", "A 15991-2022")</f>
        <v/>
      </c>
      <c r="V115">
        <f>HYPERLINK("https://klasma.github.io/Logging_1981/klagomål/A 15991-2022 FSC-klagomål.docx", "A 15991-2022")</f>
        <v/>
      </c>
      <c r="W115">
        <f>HYPERLINK("https://klasma.github.io/Logging_1981/klagomålsmail/A 15991-2022 FSC-klagomål mail.docx", "A 15991-2022")</f>
        <v/>
      </c>
      <c r="X115">
        <f>HYPERLINK("https://klasma.github.io/Logging_1981/tillsyn/A 15991-2022 tillsynsbegäran.docx", "A 15991-2022")</f>
        <v/>
      </c>
      <c r="Y115">
        <f>HYPERLINK("https://klasma.github.io/Logging_1981/tillsynsmail/A 15991-2022 tillsynsbegäran mail.docx", "A 15991-2022")</f>
        <v/>
      </c>
    </row>
    <row r="116" ht="15" customHeight="1">
      <c r="A116" t="inlineStr">
        <is>
          <t>A 28438-2022</t>
        </is>
      </c>
      <c r="B116" s="1" t="n">
        <v>44747</v>
      </c>
      <c r="C116" s="1" t="n">
        <v>45724</v>
      </c>
      <c r="D116" t="inlineStr">
        <is>
          <t>VÄSTMANLANDS LÄN</t>
        </is>
      </c>
      <c r="E116" t="inlineStr">
        <is>
          <t>FAGERSTA</t>
        </is>
      </c>
      <c r="F116" t="inlineStr">
        <is>
          <t>Sveaskog</t>
        </is>
      </c>
      <c r="G116" t="n">
        <v>2.6</v>
      </c>
      <c r="H116" t="n">
        <v>0</v>
      </c>
      <c r="I116" t="n">
        <v>1</v>
      </c>
      <c r="J116" t="n">
        <v>2</v>
      </c>
      <c r="K116" t="n">
        <v>0</v>
      </c>
      <c r="L116" t="n">
        <v>0</v>
      </c>
      <c r="M116" t="n">
        <v>0</v>
      </c>
      <c r="N116" t="n">
        <v>0</v>
      </c>
      <c r="O116" t="n">
        <v>2</v>
      </c>
      <c r="P116" t="n">
        <v>0</v>
      </c>
      <c r="Q116" t="n">
        <v>3</v>
      </c>
      <c r="R116" s="2" t="inlineStr">
        <is>
          <t>Tallticka
Vedtrappmossa
Kornknutmossa</t>
        </is>
      </c>
      <c r="S116">
        <f>HYPERLINK("https://klasma.github.io/Logging_1982/artfynd/A 28438-2022 artfynd.xlsx", "A 28438-2022")</f>
        <v/>
      </c>
      <c r="T116">
        <f>HYPERLINK("https://klasma.github.io/Logging_1982/kartor/A 28438-2022 karta.png", "A 28438-2022")</f>
        <v/>
      </c>
      <c r="V116">
        <f>HYPERLINK("https://klasma.github.io/Logging_1982/klagomål/A 28438-2022 FSC-klagomål.docx", "A 28438-2022")</f>
        <v/>
      </c>
      <c r="W116">
        <f>HYPERLINK("https://klasma.github.io/Logging_1982/klagomålsmail/A 28438-2022 FSC-klagomål mail.docx", "A 28438-2022")</f>
        <v/>
      </c>
      <c r="X116">
        <f>HYPERLINK("https://klasma.github.io/Logging_1982/tillsyn/A 28438-2022 tillsynsbegäran.docx", "A 28438-2022")</f>
        <v/>
      </c>
      <c r="Y116">
        <f>HYPERLINK("https://klasma.github.io/Logging_1982/tillsynsmail/A 28438-2022 tillsynsbegäran mail.docx", "A 28438-2022")</f>
        <v/>
      </c>
    </row>
    <row r="117" ht="15" customHeight="1">
      <c r="A117" t="inlineStr">
        <is>
          <t>A 42708-2022</t>
        </is>
      </c>
      <c r="B117" s="1" t="n">
        <v>44832</v>
      </c>
      <c r="C117" s="1" t="n">
        <v>45724</v>
      </c>
      <c r="D117" t="inlineStr">
        <is>
          <t>VÄSTMANLANDS LÄN</t>
        </is>
      </c>
      <c r="E117" t="inlineStr">
        <is>
          <t>SURAHAMMAR</t>
        </is>
      </c>
      <c r="G117" t="n">
        <v>27.2</v>
      </c>
      <c r="H117" t="n">
        <v>3</v>
      </c>
      <c r="I117" t="n">
        <v>0</v>
      </c>
      <c r="J117" t="n">
        <v>2</v>
      </c>
      <c r="K117" t="n">
        <v>0</v>
      </c>
      <c r="L117" t="n">
        <v>0</v>
      </c>
      <c r="M117" t="n">
        <v>0</v>
      </c>
      <c r="N117" t="n">
        <v>0</v>
      </c>
      <c r="O117" t="n">
        <v>2</v>
      </c>
      <c r="P117" t="n">
        <v>0</v>
      </c>
      <c r="Q117" t="n">
        <v>3</v>
      </c>
      <c r="R117" s="2" t="inlineStr">
        <is>
          <t>Entita
Spillkråka
Blåsippa</t>
        </is>
      </c>
      <c r="S117">
        <f>HYPERLINK("https://klasma.github.io/Logging_1907/artfynd/A 42708-2022 artfynd.xlsx", "A 42708-2022")</f>
        <v/>
      </c>
      <c r="T117">
        <f>HYPERLINK("https://klasma.github.io/Logging_1907/kartor/A 42708-2022 karta.png", "A 42708-2022")</f>
        <v/>
      </c>
      <c r="V117">
        <f>HYPERLINK("https://klasma.github.io/Logging_1907/klagomål/A 42708-2022 FSC-klagomål.docx", "A 42708-2022")</f>
        <v/>
      </c>
      <c r="W117">
        <f>HYPERLINK("https://klasma.github.io/Logging_1907/klagomålsmail/A 42708-2022 FSC-klagomål mail.docx", "A 42708-2022")</f>
        <v/>
      </c>
      <c r="X117">
        <f>HYPERLINK("https://klasma.github.io/Logging_1907/tillsyn/A 42708-2022 tillsynsbegäran.docx", "A 42708-2022")</f>
        <v/>
      </c>
      <c r="Y117">
        <f>HYPERLINK("https://klasma.github.io/Logging_1907/tillsynsmail/A 42708-2022 tillsynsbegäran mail.docx", "A 42708-2022")</f>
        <v/>
      </c>
      <c r="Z117">
        <f>HYPERLINK("https://klasma.github.io/Logging_1907/fåglar/A 42708-2022 prioriterade fågelarter.docx", "A 42708-2022")</f>
        <v/>
      </c>
    </row>
    <row r="118" ht="15" customHeight="1">
      <c r="A118" t="inlineStr">
        <is>
          <t>A 42853-2022</t>
        </is>
      </c>
      <c r="B118" s="1" t="n">
        <v>44832</v>
      </c>
      <c r="C118" s="1" t="n">
        <v>45724</v>
      </c>
      <c r="D118" t="inlineStr">
        <is>
          <t>VÄSTMANLANDS LÄN</t>
        </is>
      </c>
      <c r="E118" t="inlineStr">
        <is>
          <t>SURAHAMMAR</t>
        </is>
      </c>
      <c r="G118" t="n">
        <v>7.4</v>
      </c>
      <c r="H118" t="n">
        <v>1</v>
      </c>
      <c r="I118" t="n">
        <v>1</v>
      </c>
      <c r="J118" t="n">
        <v>1</v>
      </c>
      <c r="K118" t="n">
        <v>0</v>
      </c>
      <c r="L118" t="n">
        <v>1</v>
      </c>
      <c r="M118" t="n">
        <v>0</v>
      </c>
      <c r="N118" t="n">
        <v>0</v>
      </c>
      <c r="O118" t="n">
        <v>2</v>
      </c>
      <c r="P118" t="n">
        <v>1</v>
      </c>
      <c r="Q118" t="n">
        <v>3</v>
      </c>
      <c r="R118" s="2" t="inlineStr">
        <is>
          <t>Ask
Kandelabersvamp
Tvåblad</t>
        </is>
      </c>
      <c r="S118">
        <f>HYPERLINK("https://klasma.github.io/Logging_1907/artfynd/A 42853-2022 artfynd.xlsx", "A 42853-2022")</f>
        <v/>
      </c>
      <c r="T118">
        <f>HYPERLINK("https://klasma.github.io/Logging_1907/kartor/A 42853-2022 karta.png", "A 42853-2022")</f>
        <v/>
      </c>
      <c r="V118">
        <f>HYPERLINK("https://klasma.github.io/Logging_1907/klagomål/A 42853-2022 FSC-klagomål.docx", "A 42853-2022")</f>
        <v/>
      </c>
      <c r="W118">
        <f>HYPERLINK("https://klasma.github.io/Logging_1907/klagomålsmail/A 42853-2022 FSC-klagomål mail.docx", "A 42853-2022")</f>
        <v/>
      </c>
      <c r="X118">
        <f>HYPERLINK("https://klasma.github.io/Logging_1907/tillsyn/A 42853-2022 tillsynsbegäran.docx", "A 42853-2022")</f>
        <v/>
      </c>
      <c r="Y118">
        <f>HYPERLINK("https://klasma.github.io/Logging_1907/tillsynsmail/A 42853-2022 tillsynsbegäran mail.docx", "A 42853-2022")</f>
        <v/>
      </c>
    </row>
    <row r="119" ht="15" customHeight="1">
      <c r="A119" t="inlineStr">
        <is>
          <t>A 42860-2022</t>
        </is>
      </c>
      <c r="B119" s="1" t="n">
        <v>44832</v>
      </c>
      <c r="C119" s="1" t="n">
        <v>45724</v>
      </c>
      <c r="D119" t="inlineStr">
        <is>
          <t>VÄSTMANLANDS LÄN</t>
        </is>
      </c>
      <c r="E119" t="inlineStr">
        <is>
          <t>SURAHAMMAR</t>
        </is>
      </c>
      <c r="G119" t="n">
        <v>0.9</v>
      </c>
      <c r="H119" t="n">
        <v>0</v>
      </c>
      <c r="I119" t="n">
        <v>1</v>
      </c>
      <c r="J119" t="n">
        <v>0</v>
      </c>
      <c r="K119" t="n">
        <v>0</v>
      </c>
      <c r="L119" t="n">
        <v>1</v>
      </c>
      <c r="M119" t="n">
        <v>1</v>
      </c>
      <c r="N119" t="n">
        <v>0</v>
      </c>
      <c r="O119" t="n">
        <v>2</v>
      </c>
      <c r="P119" t="n">
        <v>2</v>
      </c>
      <c r="Q119" t="n">
        <v>3</v>
      </c>
      <c r="R119" s="2" t="inlineStr">
        <is>
          <t>Skogsalm
Ask
Scharlakansvårskål agg.</t>
        </is>
      </c>
      <c r="S119">
        <f>HYPERLINK("https://klasma.github.io/Logging_1907/artfynd/A 42860-2022 artfynd.xlsx", "A 42860-2022")</f>
        <v/>
      </c>
      <c r="T119">
        <f>HYPERLINK("https://klasma.github.io/Logging_1907/kartor/A 42860-2022 karta.png", "A 42860-2022")</f>
        <v/>
      </c>
      <c r="V119">
        <f>HYPERLINK("https://klasma.github.io/Logging_1907/klagomål/A 42860-2022 FSC-klagomål.docx", "A 42860-2022")</f>
        <v/>
      </c>
      <c r="W119">
        <f>HYPERLINK("https://klasma.github.io/Logging_1907/klagomålsmail/A 42860-2022 FSC-klagomål mail.docx", "A 42860-2022")</f>
        <v/>
      </c>
      <c r="X119">
        <f>HYPERLINK("https://klasma.github.io/Logging_1907/tillsyn/A 42860-2022 tillsynsbegäran.docx", "A 42860-2022")</f>
        <v/>
      </c>
      <c r="Y119">
        <f>HYPERLINK("https://klasma.github.io/Logging_1907/tillsynsmail/A 42860-2022 tillsynsbegäran mail.docx", "A 42860-2022")</f>
        <v/>
      </c>
    </row>
    <row r="120" ht="15" customHeight="1">
      <c r="A120" t="inlineStr">
        <is>
          <t>A 3012-2023</t>
        </is>
      </c>
      <c r="B120" s="1" t="n">
        <v>44945</v>
      </c>
      <c r="C120" s="1" t="n">
        <v>45724</v>
      </c>
      <c r="D120" t="inlineStr">
        <is>
          <t>VÄSTMANLANDS LÄN</t>
        </is>
      </c>
      <c r="E120" t="inlineStr">
        <is>
          <t>SURAHAMMAR</t>
        </is>
      </c>
      <c r="F120" t="inlineStr">
        <is>
          <t>Sveaskog</t>
        </is>
      </c>
      <c r="G120" t="n">
        <v>5.7</v>
      </c>
      <c r="H120" t="n">
        <v>0</v>
      </c>
      <c r="I120" t="n">
        <v>1</v>
      </c>
      <c r="J120" t="n">
        <v>0</v>
      </c>
      <c r="K120" t="n">
        <v>0</v>
      </c>
      <c r="L120" t="n">
        <v>1</v>
      </c>
      <c r="M120" t="n">
        <v>1</v>
      </c>
      <c r="N120" t="n">
        <v>0</v>
      </c>
      <c r="O120" t="n">
        <v>2</v>
      </c>
      <c r="P120" t="n">
        <v>2</v>
      </c>
      <c r="Q120" t="n">
        <v>3</v>
      </c>
      <c r="R120" s="2" t="inlineStr">
        <is>
          <t>Skogsalm
Ask
Svart trolldruva</t>
        </is>
      </c>
      <c r="S120">
        <f>HYPERLINK("https://klasma.github.io/Logging_1907/artfynd/A 3012-2023 artfynd.xlsx", "A 3012-2023")</f>
        <v/>
      </c>
      <c r="T120">
        <f>HYPERLINK("https://klasma.github.io/Logging_1907/kartor/A 3012-2023 karta.png", "A 3012-2023")</f>
        <v/>
      </c>
      <c r="V120">
        <f>HYPERLINK("https://klasma.github.io/Logging_1907/klagomål/A 3012-2023 FSC-klagomål.docx", "A 3012-2023")</f>
        <v/>
      </c>
      <c r="W120">
        <f>HYPERLINK("https://klasma.github.io/Logging_1907/klagomålsmail/A 3012-2023 FSC-klagomål mail.docx", "A 3012-2023")</f>
        <v/>
      </c>
      <c r="X120">
        <f>HYPERLINK("https://klasma.github.io/Logging_1907/tillsyn/A 3012-2023 tillsynsbegäran.docx", "A 3012-2023")</f>
        <v/>
      </c>
      <c r="Y120">
        <f>HYPERLINK("https://klasma.github.io/Logging_1907/tillsynsmail/A 3012-2023 tillsynsbegäran mail.docx", "A 3012-2023")</f>
        <v/>
      </c>
    </row>
    <row r="121" ht="15" customHeight="1">
      <c r="A121" t="inlineStr">
        <is>
          <t>A 14587-2023</t>
        </is>
      </c>
      <c r="B121" s="1" t="n">
        <v>45013</v>
      </c>
      <c r="C121" s="1" t="n">
        <v>45724</v>
      </c>
      <c r="D121" t="inlineStr">
        <is>
          <t>VÄSTMANLANDS LÄN</t>
        </is>
      </c>
      <c r="E121" t="inlineStr">
        <is>
          <t>SURAHAMMAR</t>
        </is>
      </c>
      <c r="G121" t="n">
        <v>14.8</v>
      </c>
      <c r="H121" t="n">
        <v>1</v>
      </c>
      <c r="I121" t="n">
        <v>1</v>
      </c>
      <c r="J121" t="n">
        <v>1</v>
      </c>
      <c r="K121" t="n">
        <v>0</v>
      </c>
      <c r="L121" t="n">
        <v>0</v>
      </c>
      <c r="M121" t="n">
        <v>0</v>
      </c>
      <c r="N121" t="n">
        <v>0</v>
      </c>
      <c r="O121" t="n">
        <v>1</v>
      </c>
      <c r="P121" t="n">
        <v>0</v>
      </c>
      <c r="Q121" t="n">
        <v>3</v>
      </c>
      <c r="R121" s="2" t="inlineStr">
        <is>
          <t>Skogshare
Vedticka
Mattlummer</t>
        </is>
      </c>
      <c r="S121">
        <f>HYPERLINK("https://klasma.github.io/Logging_1907/artfynd/A 14587-2023 artfynd.xlsx", "A 14587-2023")</f>
        <v/>
      </c>
      <c r="T121">
        <f>HYPERLINK("https://klasma.github.io/Logging_1907/kartor/A 14587-2023 karta.png", "A 14587-2023")</f>
        <v/>
      </c>
      <c r="V121">
        <f>HYPERLINK("https://klasma.github.io/Logging_1907/klagomål/A 14587-2023 FSC-klagomål.docx", "A 14587-2023")</f>
        <v/>
      </c>
      <c r="W121">
        <f>HYPERLINK("https://klasma.github.io/Logging_1907/klagomålsmail/A 14587-2023 FSC-klagomål mail.docx", "A 14587-2023")</f>
        <v/>
      </c>
      <c r="X121">
        <f>HYPERLINK("https://klasma.github.io/Logging_1907/tillsyn/A 14587-2023 tillsynsbegäran.docx", "A 14587-2023")</f>
        <v/>
      </c>
      <c r="Y121">
        <f>HYPERLINK("https://klasma.github.io/Logging_1907/tillsynsmail/A 14587-2023 tillsynsbegäran mail.docx", "A 14587-2023")</f>
        <v/>
      </c>
    </row>
    <row r="122" ht="15" customHeight="1">
      <c r="A122" t="inlineStr">
        <is>
          <t>A 17053-2023</t>
        </is>
      </c>
      <c r="B122" s="1" t="n">
        <v>45034</v>
      </c>
      <c r="C122" s="1" t="n">
        <v>45724</v>
      </c>
      <c r="D122" t="inlineStr">
        <is>
          <t>VÄSTMANLANDS LÄN</t>
        </is>
      </c>
      <c r="E122" t="inlineStr">
        <is>
          <t>NORBERG</t>
        </is>
      </c>
      <c r="F122" t="inlineStr">
        <is>
          <t>Övriga Aktiebolag</t>
        </is>
      </c>
      <c r="G122" t="n">
        <v>16.8</v>
      </c>
      <c r="H122" t="n">
        <v>0</v>
      </c>
      <c r="I122" t="n">
        <v>1</v>
      </c>
      <c r="J122" t="n">
        <v>2</v>
      </c>
      <c r="K122" t="n">
        <v>0</v>
      </c>
      <c r="L122" t="n">
        <v>0</v>
      </c>
      <c r="M122" t="n">
        <v>0</v>
      </c>
      <c r="N122" t="n">
        <v>0</v>
      </c>
      <c r="O122" t="n">
        <v>2</v>
      </c>
      <c r="P122" t="n">
        <v>0</v>
      </c>
      <c r="Q122" t="n">
        <v>3</v>
      </c>
      <c r="R122" s="2" t="inlineStr">
        <is>
          <t>Dofttaggsvamp
Motaggsvamp
Rödgul trumpetsvamp</t>
        </is>
      </c>
      <c r="S122">
        <f>HYPERLINK("https://klasma.github.io/Logging_1962/artfynd/A 17053-2023 artfynd.xlsx", "A 17053-2023")</f>
        <v/>
      </c>
      <c r="T122">
        <f>HYPERLINK("https://klasma.github.io/Logging_1962/kartor/A 17053-2023 karta.png", "A 17053-2023")</f>
        <v/>
      </c>
      <c r="V122">
        <f>HYPERLINK("https://klasma.github.io/Logging_1962/klagomål/A 17053-2023 FSC-klagomål.docx", "A 17053-2023")</f>
        <v/>
      </c>
      <c r="W122">
        <f>HYPERLINK("https://klasma.github.io/Logging_1962/klagomålsmail/A 17053-2023 FSC-klagomål mail.docx", "A 17053-2023")</f>
        <v/>
      </c>
      <c r="X122">
        <f>HYPERLINK("https://klasma.github.io/Logging_1962/tillsyn/A 17053-2023 tillsynsbegäran.docx", "A 17053-2023")</f>
        <v/>
      </c>
      <c r="Y122">
        <f>HYPERLINK("https://klasma.github.io/Logging_1962/tillsynsmail/A 17053-2023 tillsynsbegäran mail.docx", "A 17053-2023")</f>
        <v/>
      </c>
    </row>
    <row r="123" ht="15" customHeight="1">
      <c r="A123" t="inlineStr">
        <is>
          <t>A 23734-2023</t>
        </is>
      </c>
      <c r="B123" s="1" t="n">
        <v>45077</v>
      </c>
      <c r="C123" s="1" t="n">
        <v>45724</v>
      </c>
      <c r="D123" t="inlineStr">
        <is>
          <t>VÄSTMANLANDS LÄN</t>
        </is>
      </c>
      <c r="E123" t="inlineStr">
        <is>
          <t>SURAHAMMAR</t>
        </is>
      </c>
      <c r="F123" t="inlineStr">
        <is>
          <t>Sveaskog</t>
        </is>
      </c>
      <c r="G123" t="n">
        <v>6.7</v>
      </c>
      <c r="H123" t="n">
        <v>1</v>
      </c>
      <c r="I123" t="n">
        <v>0</v>
      </c>
      <c r="J123" t="n">
        <v>2</v>
      </c>
      <c r="K123" t="n">
        <v>1</v>
      </c>
      <c r="L123" t="n">
        <v>0</v>
      </c>
      <c r="M123" t="n">
        <v>0</v>
      </c>
      <c r="N123" t="n">
        <v>0</v>
      </c>
      <c r="O123" t="n">
        <v>3</v>
      </c>
      <c r="P123" t="n">
        <v>1</v>
      </c>
      <c r="Q123" t="n">
        <v>3</v>
      </c>
      <c r="R123" s="2" t="inlineStr">
        <is>
          <t>Hängticka
Björktrast
Kandelabersvamp</t>
        </is>
      </c>
      <c r="S123">
        <f>HYPERLINK("https://klasma.github.io/Logging_1907/artfynd/A 23734-2023 artfynd.xlsx", "A 23734-2023")</f>
        <v/>
      </c>
      <c r="T123">
        <f>HYPERLINK("https://klasma.github.io/Logging_1907/kartor/A 23734-2023 karta.png", "A 23734-2023")</f>
        <v/>
      </c>
      <c r="V123">
        <f>HYPERLINK("https://klasma.github.io/Logging_1907/klagomål/A 23734-2023 FSC-klagomål.docx", "A 23734-2023")</f>
        <v/>
      </c>
      <c r="W123">
        <f>HYPERLINK("https://klasma.github.io/Logging_1907/klagomålsmail/A 23734-2023 FSC-klagomål mail.docx", "A 23734-2023")</f>
        <v/>
      </c>
      <c r="X123">
        <f>HYPERLINK("https://klasma.github.io/Logging_1907/tillsyn/A 23734-2023 tillsynsbegäran.docx", "A 23734-2023")</f>
        <v/>
      </c>
      <c r="Y123">
        <f>HYPERLINK("https://klasma.github.io/Logging_1907/tillsynsmail/A 23734-2023 tillsynsbegäran mail.docx", "A 23734-2023")</f>
        <v/>
      </c>
      <c r="Z123">
        <f>HYPERLINK("https://klasma.github.io/Logging_1907/fåglar/A 23734-2023 prioriterade fågelarter.docx", "A 23734-2023")</f>
        <v/>
      </c>
    </row>
    <row r="124" ht="15" customHeight="1">
      <c r="A124" t="inlineStr">
        <is>
          <t>A 24222-2023</t>
        </is>
      </c>
      <c r="B124" s="1" t="n">
        <v>45079</v>
      </c>
      <c r="C124" s="1" t="n">
        <v>45724</v>
      </c>
      <c r="D124" t="inlineStr">
        <is>
          <t>VÄSTMANLANDS LÄN</t>
        </is>
      </c>
      <c r="E124" t="inlineStr">
        <is>
          <t>SURAHAMMAR</t>
        </is>
      </c>
      <c r="F124" t="inlineStr">
        <is>
          <t>Sveaskog</t>
        </is>
      </c>
      <c r="G124" t="n">
        <v>9.699999999999999</v>
      </c>
      <c r="H124" t="n">
        <v>1</v>
      </c>
      <c r="I124" t="n">
        <v>1</v>
      </c>
      <c r="J124" t="n">
        <v>1</v>
      </c>
      <c r="K124" t="n">
        <v>0</v>
      </c>
      <c r="L124" t="n">
        <v>0</v>
      </c>
      <c r="M124" t="n">
        <v>0</v>
      </c>
      <c r="N124" t="n">
        <v>0</v>
      </c>
      <c r="O124" t="n">
        <v>1</v>
      </c>
      <c r="P124" t="n">
        <v>0</v>
      </c>
      <c r="Q124" t="n">
        <v>3</v>
      </c>
      <c r="R124" s="2" t="inlineStr">
        <is>
          <t>Svinrot
Blodticka
Revlummer</t>
        </is>
      </c>
      <c r="S124">
        <f>HYPERLINK("https://klasma.github.io/Logging_1907/artfynd/A 24222-2023 artfynd.xlsx", "A 24222-2023")</f>
        <v/>
      </c>
      <c r="T124">
        <f>HYPERLINK("https://klasma.github.io/Logging_1907/kartor/A 24222-2023 karta.png", "A 24222-2023")</f>
        <v/>
      </c>
      <c r="V124">
        <f>HYPERLINK("https://klasma.github.io/Logging_1907/klagomål/A 24222-2023 FSC-klagomål.docx", "A 24222-2023")</f>
        <v/>
      </c>
      <c r="W124">
        <f>HYPERLINK("https://klasma.github.io/Logging_1907/klagomålsmail/A 24222-2023 FSC-klagomål mail.docx", "A 24222-2023")</f>
        <v/>
      </c>
      <c r="X124">
        <f>HYPERLINK("https://klasma.github.io/Logging_1907/tillsyn/A 24222-2023 tillsynsbegäran.docx", "A 24222-2023")</f>
        <v/>
      </c>
      <c r="Y124">
        <f>HYPERLINK("https://klasma.github.io/Logging_1907/tillsynsmail/A 24222-2023 tillsynsbegäran mail.docx", "A 24222-2023")</f>
        <v/>
      </c>
    </row>
    <row r="125" ht="15" customHeight="1">
      <c r="A125" t="inlineStr">
        <is>
          <t>A 27499-2023</t>
        </is>
      </c>
      <c r="B125" s="1" t="n">
        <v>45097</v>
      </c>
      <c r="C125" s="1" t="n">
        <v>45724</v>
      </c>
      <c r="D125" t="inlineStr">
        <is>
          <t>VÄSTMANLANDS LÄN</t>
        </is>
      </c>
      <c r="E125" t="inlineStr">
        <is>
          <t>SALA</t>
        </is>
      </c>
      <c r="G125" t="n">
        <v>9.5</v>
      </c>
      <c r="H125" t="n">
        <v>1</v>
      </c>
      <c r="I125" t="n">
        <v>1</v>
      </c>
      <c r="J125" t="n">
        <v>2</v>
      </c>
      <c r="K125" t="n">
        <v>0</v>
      </c>
      <c r="L125" t="n">
        <v>0</v>
      </c>
      <c r="M125" t="n">
        <v>0</v>
      </c>
      <c r="N125" t="n">
        <v>0</v>
      </c>
      <c r="O125" t="n">
        <v>2</v>
      </c>
      <c r="P125" t="n">
        <v>0</v>
      </c>
      <c r="Q125" t="n">
        <v>3</v>
      </c>
      <c r="R125" s="2" t="inlineStr">
        <is>
          <t>Motaggsvamp
Rödvingetrast
Dropptaggsvamp</t>
        </is>
      </c>
      <c r="S125">
        <f>HYPERLINK("https://klasma.github.io/Logging_1981/artfynd/A 27499-2023 artfynd.xlsx", "A 27499-2023")</f>
        <v/>
      </c>
      <c r="T125">
        <f>HYPERLINK("https://klasma.github.io/Logging_1981/kartor/A 27499-2023 karta.png", "A 27499-2023")</f>
        <v/>
      </c>
      <c r="V125">
        <f>HYPERLINK("https://klasma.github.io/Logging_1981/klagomål/A 27499-2023 FSC-klagomål.docx", "A 27499-2023")</f>
        <v/>
      </c>
      <c r="W125">
        <f>HYPERLINK("https://klasma.github.io/Logging_1981/klagomålsmail/A 27499-2023 FSC-klagomål mail.docx", "A 27499-2023")</f>
        <v/>
      </c>
      <c r="X125">
        <f>HYPERLINK("https://klasma.github.io/Logging_1981/tillsyn/A 27499-2023 tillsynsbegäran.docx", "A 27499-2023")</f>
        <v/>
      </c>
      <c r="Y125">
        <f>HYPERLINK("https://klasma.github.io/Logging_1981/tillsynsmail/A 27499-2023 tillsynsbegäran mail.docx", "A 27499-2023")</f>
        <v/>
      </c>
      <c r="Z125">
        <f>HYPERLINK("https://klasma.github.io/Logging_1981/fåglar/A 27499-2023 prioriterade fågelarter.docx", "A 27499-2023")</f>
        <v/>
      </c>
    </row>
    <row r="126" ht="15" customHeight="1">
      <c r="A126" t="inlineStr">
        <is>
          <t>A 40231-2023</t>
        </is>
      </c>
      <c r="B126" s="1" t="n">
        <v>45169</v>
      </c>
      <c r="C126" s="1" t="n">
        <v>45724</v>
      </c>
      <c r="D126" t="inlineStr">
        <is>
          <t>VÄSTMANLANDS LÄN</t>
        </is>
      </c>
      <c r="E126" t="inlineStr">
        <is>
          <t>ARBOGA</t>
        </is>
      </c>
      <c r="G126" t="n">
        <v>5.2</v>
      </c>
      <c r="H126" t="n">
        <v>2</v>
      </c>
      <c r="I126" t="n">
        <v>0</v>
      </c>
      <c r="J126" t="n">
        <v>1</v>
      </c>
      <c r="K126" t="n">
        <v>1</v>
      </c>
      <c r="L126" t="n">
        <v>0</v>
      </c>
      <c r="M126" t="n">
        <v>0</v>
      </c>
      <c r="N126" t="n">
        <v>0</v>
      </c>
      <c r="O126" t="n">
        <v>2</v>
      </c>
      <c r="P126" t="n">
        <v>1</v>
      </c>
      <c r="Q126" t="n">
        <v>3</v>
      </c>
      <c r="R126" s="2" t="inlineStr">
        <is>
          <t>Knärot
Motaggsvamp
Blåsippa</t>
        </is>
      </c>
      <c r="S126">
        <f>HYPERLINK("https://klasma.github.io/Logging_1984/artfynd/A 40231-2023 artfynd.xlsx", "A 40231-2023")</f>
        <v/>
      </c>
      <c r="T126">
        <f>HYPERLINK("https://klasma.github.io/Logging_1984/kartor/A 40231-2023 karta.png", "A 40231-2023")</f>
        <v/>
      </c>
      <c r="U126">
        <f>HYPERLINK("https://klasma.github.io/Logging_1984/knärot/A 40231-2023 karta knärot.png", "A 40231-2023")</f>
        <v/>
      </c>
      <c r="V126">
        <f>HYPERLINK("https://klasma.github.io/Logging_1984/klagomål/A 40231-2023 FSC-klagomål.docx", "A 40231-2023")</f>
        <v/>
      </c>
      <c r="W126">
        <f>HYPERLINK("https://klasma.github.io/Logging_1984/klagomålsmail/A 40231-2023 FSC-klagomål mail.docx", "A 40231-2023")</f>
        <v/>
      </c>
      <c r="X126">
        <f>HYPERLINK("https://klasma.github.io/Logging_1984/tillsyn/A 40231-2023 tillsynsbegäran.docx", "A 40231-2023")</f>
        <v/>
      </c>
      <c r="Y126">
        <f>HYPERLINK("https://klasma.github.io/Logging_1984/tillsynsmail/A 40231-2023 tillsynsbegäran mail.docx", "A 40231-2023")</f>
        <v/>
      </c>
    </row>
    <row r="127" ht="15" customHeight="1">
      <c r="A127" t="inlineStr">
        <is>
          <t>A 41262-2023</t>
        </is>
      </c>
      <c r="B127" s="1" t="n">
        <v>45174</v>
      </c>
      <c r="C127" s="1" t="n">
        <v>45724</v>
      </c>
      <c r="D127" t="inlineStr">
        <is>
          <t>VÄSTMANLANDS LÄN</t>
        </is>
      </c>
      <c r="E127" t="inlineStr">
        <is>
          <t>VÄSTERÅS</t>
        </is>
      </c>
      <c r="F127" t="inlineStr">
        <is>
          <t>Kommuner</t>
        </is>
      </c>
      <c r="G127" t="n">
        <v>11.4</v>
      </c>
      <c r="H127" t="n">
        <v>3</v>
      </c>
      <c r="I127" t="n">
        <v>0</v>
      </c>
      <c r="J127" t="n">
        <v>2</v>
      </c>
      <c r="K127" t="n">
        <v>0</v>
      </c>
      <c r="L127" t="n">
        <v>0</v>
      </c>
      <c r="M127" t="n">
        <v>0</v>
      </c>
      <c r="N127" t="n">
        <v>0</v>
      </c>
      <c r="O127" t="n">
        <v>2</v>
      </c>
      <c r="P127" t="n">
        <v>0</v>
      </c>
      <c r="Q127" t="n">
        <v>3</v>
      </c>
      <c r="R127" s="2" t="inlineStr">
        <is>
          <t>Grönsångare
Gulsparv
Vanlig groda</t>
        </is>
      </c>
      <c r="S127">
        <f>HYPERLINK("https://klasma.github.io/Logging_1980/artfynd/A 41262-2023 artfynd.xlsx", "A 41262-2023")</f>
        <v/>
      </c>
      <c r="T127">
        <f>HYPERLINK("https://klasma.github.io/Logging_1980/kartor/A 41262-2023 karta.png", "A 41262-2023")</f>
        <v/>
      </c>
      <c r="V127">
        <f>HYPERLINK("https://klasma.github.io/Logging_1980/klagomål/A 41262-2023 FSC-klagomål.docx", "A 41262-2023")</f>
        <v/>
      </c>
      <c r="W127">
        <f>HYPERLINK("https://klasma.github.io/Logging_1980/klagomålsmail/A 41262-2023 FSC-klagomål mail.docx", "A 41262-2023")</f>
        <v/>
      </c>
      <c r="X127">
        <f>HYPERLINK("https://klasma.github.io/Logging_1980/tillsyn/A 41262-2023 tillsynsbegäran.docx", "A 41262-2023")</f>
        <v/>
      </c>
      <c r="Y127">
        <f>HYPERLINK("https://klasma.github.io/Logging_1980/tillsynsmail/A 41262-2023 tillsynsbegäran mail.docx", "A 41262-2023")</f>
        <v/>
      </c>
      <c r="Z127">
        <f>HYPERLINK("https://klasma.github.io/Logging_1980/fåglar/A 41262-2023 prioriterade fågelarter.docx", "A 41262-2023")</f>
        <v/>
      </c>
    </row>
    <row r="128" ht="15" customHeight="1">
      <c r="A128" t="inlineStr">
        <is>
          <t>A 42039-2023</t>
        </is>
      </c>
      <c r="B128" s="1" t="n">
        <v>45177</v>
      </c>
      <c r="C128" s="1" t="n">
        <v>45724</v>
      </c>
      <c r="D128" t="inlineStr">
        <is>
          <t>VÄSTMANLANDS LÄN</t>
        </is>
      </c>
      <c r="E128" t="inlineStr">
        <is>
          <t>KÖPING</t>
        </is>
      </c>
      <c r="G128" t="n">
        <v>6.6</v>
      </c>
      <c r="H128" t="n">
        <v>1</v>
      </c>
      <c r="I128" t="n">
        <v>1</v>
      </c>
      <c r="J128" t="n">
        <v>1</v>
      </c>
      <c r="K128" t="n">
        <v>1</v>
      </c>
      <c r="L128" t="n">
        <v>0</v>
      </c>
      <c r="M128" t="n">
        <v>0</v>
      </c>
      <c r="N128" t="n">
        <v>0</v>
      </c>
      <c r="O128" t="n">
        <v>2</v>
      </c>
      <c r="P128" t="n">
        <v>1</v>
      </c>
      <c r="Q128" t="n">
        <v>3</v>
      </c>
      <c r="R128" s="2" t="inlineStr">
        <is>
          <t>Knärot
Ullticka
Blomkålssvamp</t>
        </is>
      </c>
      <c r="S128">
        <f>HYPERLINK("https://klasma.github.io/Logging_1983/artfynd/A 42039-2023 artfynd.xlsx", "A 42039-2023")</f>
        <v/>
      </c>
      <c r="T128">
        <f>HYPERLINK("https://klasma.github.io/Logging_1983/kartor/A 42039-2023 karta.png", "A 42039-2023")</f>
        <v/>
      </c>
      <c r="U128">
        <f>HYPERLINK("https://klasma.github.io/Logging_1983/knärot/A 42039-2023 karta knärot.png", "A 42039-2023")</f>
        <v/>
      </c>
      <c r="V128">
        <f>HYPERLINK("https://klasma.github.io/Logging_1983/klagomål/A 42039-2023 FSC-klagomål.docx", "A 42039-2023")</f>
        <v/>
      </c>
      <c r="W128">
        <f>HYPERLINK("https://klasma.github.io/Logging_1983/klagomålsmail/A 42039-2023 FSC-klagomål mail.docx", "A 42039-2023")</f>
        <v/>
      </c>
      <c r="X128">
        <f>HYPERLINK("https://klasma.github.io/Logging_1983/tillsyn/A 42039-2023 tillsynsbegäran.docx", "A 42039-2023")</f>
        <v/>
      </c>
      <c r="Y128">
        <f>HYPERLINK("https://klasma.github.io/Logging_1983/tillsynsmail/A 42039-2023 tillsynsbegäran mail.docx", "A 42039-2023")</f>
        <v/>
      </c>
    </row>
    <row r="129" ht="15" customHeight="1">
      <c r="A129" t="inlineStr">
        <is>
          <t>A 48128-2023</t>
        </is>
      </c>
      <c r="B129" s="1" t="n">
        <v>45205</v>
      </c>
      <c r="C129" s="1" t="n">
        <v>45724</v>
      </c>
      <c r="D129" t="inlineStr">
        <is>
          <t>VÄSTMANLANDS LÄN</t>
        </is>
      </c>
      <c r="E129" t="inlineStr">
        <is>
          <t>SURAHAMMAR</t>
        </is>
      </c>
      <c r="F129" t="inlineStr">
        <is>
          <t>Allmännings- och besparingsskogar</t>
        </is>
      </c>
      <c r="G129" t="n">
        <v>11.8</v>
      </c>
      <c r="H129" t="n">
        <v>0</v>
      </c>
      <c r="I129" t="n">
        <v>2</v>
      </c>
      <c r="J129" t="n">
        <v>1</v>
      </c>
      <c r="K129" t="n">
        <v>0</v>
      </c>
      <c r="L129" t="n">
        <v>0</v>
      </c>
      <c r="M129" t="n">
        <v>0</v>
      </c>
      <c r="N129" t="n">
        <v>0</v>
      </c>
      <c r="O129" t="n">
        <v>1</v>
      </c>
      <c r="P129" t="n">
        <v>0</v>
      </c>
      <c r="Q129" t="n">
        <v>3</v>
      </c>
      <c r="R129" s="2" t="inlineStr">
        <is>
          <t>Svinrot
Blodticka
Vedticka</t>
        </is>
      </c>
      <c r="S129">
        <f>HYPERLINK("https://klasma.github.io/Logging_1907/artfynd/A 48128-2023 artfynd.xlsx", "A 48128-2023")</f>
        <v/>
      </c>
      <c r="T129">
        <f>HYPERLINK("https://klasma.github.io/Logging_1907/kartor/A 48128-2023 karta.png", "A 48128-2023")</f>
        <v/>
      </c>
      <c r="V129">
        <f>HYPERLINK("https://klasma.github.io/Logging_1907/klagomål/A 48128-2023 FSC-klagomål.docx", "A 48128-2023")</f>
        <v/>
      </c>
      <c r="W129">
        <f>HYPERLINK("https://klasma.github.io/Logging_1907/klagomålsmail/A 48128-2023 FSC-klagomål mail.docx", "A 48128-2023")</f>
        <v/>
      </c>
      <c r="X129">
        <f>HYPERLINK("https://klasma.github.io/Logging_1907/tillsyn/A 48128-2023 tillsynsbegäran.docx", "A 48128-2023")</f>
        <v/>
      </c>
      <c r="Y129">
        <f>HYPERLINK("https://klasma.github.io/Logging_1907/tillsynsmail/A 48128-2023 tillsynsbegäran mail.docx", "A 48128-2023")</f>
        <v/>
      </c>
    </row>
    <row r="130" ht="15" customHeight="1">
      <c r="A130" t="inlineStr">
        <is>
          <t>A 48192-2023</t>
        </is>
      </c>
      <c r="B130" s="1" t="n">
        <v>45205</v>
      </c>
      <c r="C130" s="1" t="n">
        <v>45724</v>
      </c>
      <c r="D130" t="inlineStr">
        <is>
          <t>VÄSTMANLANDS LÄN</t>
        </is>
      </c>
      <c r="E130" t="inlineStr">
        <is>
          <t>HALLSTAHAMMAR</t>
        </is>
      </c>
      <c r="F130" t="inlineStr">
        <is>
          <t>Allmännings- och besparingsskogar</t>
        </is>
      </c>
      <c r="G130" t="n">
        <v>28.8</v>
      </c>
      <c r="H130" t="n">
        <v>1</v>
      </c>
      <c r="I130" t="n">
        <v>0</v>
      </c>
      <c r="J130" t="n">
        <v>2</v>
      </c>
      <c r="K130" t="n">
        <v>0</v>
      </c>
      <c r="L130" t="n">
        <v>0</v>
      </c>
      <c r="M130" t="n">
        <v>0</v>
      </c>
      <c r="N130" t="n">
        <v>0</v>
      </c>
      <c r="O130" t="n">
        <v>2</v>
      </c>
      <c r="P130" t="n">
        <v>0</v>
      </c>
      <c r="Q130" t="n">
        <v>3</v>
      </c>
      <c r="R130" s="2" t="inlineStr">
        <is>
          <t>Klofibbla
Veckticka
Nattviol</t>
        </is>
      </c>
      <c r="S130">
        <f>HYPERLINK("https://klasma.github.io/Logging_1961/artfynd/A 48192-2023 artfynd.xlsx", "A 48192-2023")</f>
        <v/>
      </c>
      <c r="T130">
        <f>HYPERLINK("https://klasma.github.io/Logging_1961/kartor/A 48192-2023 karta.png", "A 48192-2023")</f>
        <v/>
      </c>
      <c r="V130">
        <f>HYPERLINK("https://klasma.github.io/Logging_1961/klagomål/A 48192-2023 FSC-klagomål.docx", "A 48192-2023")</f>
        <v/>
      </c>
      <c r="W130">
        <f>HYPERLINK("https://klasma.github.io/Logging_1961/klagomålsmail/A 48192-2023 FSC-klagomål mail.docx", "A 48192-2023")</f>
        <v/>
      </c>
      <c r="X130">
        <f>HYPERLINK("https://klasma.github.io/Logging_1961/tillsyn/A 48192-2023 tillsynsbegäran.docx", "A 48192-2023")</f>
        <v/>
      </c>
      <c r="Y130">
        <f>HYPERLINK("https://klasma.github.io/Logging_1961/tillsynsmail/A 48192-2023 tillsynsbegäran mail.docx", "A 48192-2023")</f>
        <v/>
      </c>
    </row>
    <row r="131" ht="15" customHeight="1">
      <c r="A131" t="inlineStr">
        <is>
          <t>A 49718-2023</t>
        </is>
      </c>
      <c r="B131" s="1" t="n">
        <v>45212</v>
      </c>
      <c r="C131" s="1" t="n">
        <v>45724</v>
      </c>
      <c r="D131" t="inlineStr">
        <is>
          <t>VÄSTMANLANDS LÄN</t>
        </is>
      </c>
      <c r="E131" t="inlineStr">
        <is>
          <t>SURAHAMMAR</t>
        </is>
      </c>
      <c r="G131" t="n">
        <v>3.4</v>
      </c>
      <c r="H131" t="n">
        <v>1</v>
      </c>
      <c r="I131" t="n">
        <v>1</v>
      </c>
      <c r="J131" t="n">
        <v>2</v>
      </c>
      <c r="K131" t="n">
        <v>0</v>
      </c>
      <c r="L131" t="n">
        <v>0</v>
      </c>
      <c r="M131" t="n">
        <v>0</v>
      </c>
      <c r="N131" t="n">
        <v>0</v>
      </c>
      <c r="O131" t="n">
        <v>2</v>
      </c>
      <c r="P131" t="n">
        <v>0</v>
      </c>
      <c r="Q131" t="n">
        <v>3</v>
      </c>
      <c r="R131" s="2" t="inlineStr">
        <is>
          <t>Motaggsvamp
Talltita
Zontaggsvamp</t>
        </is>
      </c>
      <c r="S131">
        <f>HYPERLINK("https://klasma.github.io/Logging_1907/artfynd/A 49718-2023 artfynd.xlsx", "A 49718-2023")</f>
        <v/>
      </c>
      <c r="T131">
        <f>HYPERLINK("https://klasma.github.io/Logging_1907/kartor/A 49718-2023 karta.png", "A 49718-2023")</f>
        <v/>
      </c>
      <c r="V131">
        <f>HYPERLINK("https://klasma.github.io/Logging_1907/klagomål/A 49718-2023 FSC-klagomål.docx", "A 49718-2023")</f>
        <v/>
      </c>
      <c r="W131">
        <f>HYPERLINK("https://klasma.github.io/Logging_1907/klagomålsmail/A 49718-2023 FSC-klagomål mail.docx", "A 49718-2023")</f>
        <v/>
      </c>
      <c r="X131">
        <f>HYPERLINK("https://klasma.github.io/Logging_1907/tillsyn/A 49718-2023 tillsynsbegäran.docx", "A 49718-2023")</f>
        <v/>
      </c>
      <c r="Y131">
        <f>HYPERLINK("https://klasma.github.io/Logging_1907/tillsynsmail/A 49718-2023 tillsynsbegäran mail.docx", "A 49718-2023")</f>
        <v/>
      </c>
      <c r="Z131">
        <f>HYPERLINK("https://klasma.github.io/Logging_1907/fåglar/A 49718-2023 prioriterade fågelarter.docx", "A 49718-2023")</f>
        <v/>
      </c>
    </row>
    <row r="132" ht="15" customHeight="1">
      <c r="A132" t="inlineStr">
        <is>
          <t>A 61897-2023</t>
        </is>
      </c>
      <c r="B132" s="1" t="n">
        <v>45265</v>
      </c>
      <c r="C132" s="1" t="n">
        <v>45724</v>
      </c>
      <c r="D132" t="inlineStr">
        <is>
          <t>VÄSTMANLANDS LÄN</t>
        </is>
      </c>
      <c r="E132" t="inlineStr">
        <is>
          <t>KUNGSÖR</t>
        </is>
      </c>
      <c r="G132" t="n">
        <v>4.3</v>
      </c>
      <c r="H132" t="n">
        <v>2</v>
      </c>
      <c r="I132" t="n">
        <v>1</v>
      </c>
      <c r="J132" t="n">
        <v>1</v>
      </c>
      <c r="K132" t="n">
        <v>0</v>
      </c>
      <c r="L132" t="n">
        <v>0</v>
      </c>
      <c r="M132" t="n">
        <v>0</v>
      </c>
      <c r="N132" t="n">
        <v>0</v>
      </c>
      <c r="O132" t="n">
        <v>1</v>
      </c>
      <c r="P132" t="n">
        <v>0</v>
      </c>
      <c r="Q132" t="n">
        <v>3</v>
      </c>
      <c r="R132" s="2" t="inlineStr">
        <is>
          <t>Spillkråka
Hasselticka
Blåsippa</t>
        </is>
      </c>
      <c r="S132">
        <f>HYPERLINK("https://klasma.github.io/Logging_1960/artfynd/A 61897-2023 artfynd.xlsx", "A 61897-2023")</f>
        <v/>
      </c>
      <c r="T132">
        <f>HYPERLINK("https://klasma.github.io/Logging_1960/kartor/A 61897-2023 karta.png", "A 61897-2023")</f>
        <v/>
      </c>
      <c r="V132">
        <f>HYPERLINK("https://klasma.github.io/Logging_1960/klagomål/A 61897-2023 FSC-klagomål.docx", "A 61897-2023")</f>
        <v/>
      </c>
      <c r="W132">
        <f>HYPERLINK("https://klasma.github.io/Logging_1960/klagomålsmail/A 61897-2023 FSC-klagomål mail.docx", "A 61897-2023")</f>
        <v/>
      </c>
      <c r="X132">
        <f>HYPERLINK("https://klasma.github.io/Logging_1960/tillsyn/A 61897-2023 tillsynsbegäran.docx", "A 61897-2023")</f>
        <v/>
      </c>
      <c r="Y132">
        <f>HYPERLINK("https://klasma.github.io/Logging_1960/tillsynsmail/A 61897-2023 tillsynsbegäran mail.docx", "A 61897-2023")</f>
        <v/>
      </c>
      <c r="Z132">
        <f>HYPERLINK("https://klasma.github.io/Logging_1960/fåglar/A 61897-2023 prioriterade fågelarter.docx", "A 61897-2023")</f>
        <v/>
      </c>
    </row>
    <row r="133" ht="15" customHeight="1">
      <c r="A133" t="inlineStr">
        <is>
          <t>A 62471-2023</t>
        </is>
      </c>
      <c r="B133" s="1" t="n">
        <v>45268</v>
      </c>
      <c r="C133" s="1" t="n">
        <v>45724</v>
      </c>
      <c r="D133" t="inlineStr">
        <is>
          <t>VÄSTMANLANDS LÄN</t>
        </is>
      </c>
      <c r="E133" t="inlineStr">
        <is>
          <t>NORBERG</t>
        </is>
      </c>
      <c r="G133" t="n">
        <v>5.3</v>
      </c>
      <c r="H133" t="n">
        <v>0</v>
      </c>
      <c r="I133" t="n">
        <v>2</v>
      </c>
      <c r="J133" t="n">
        <v>1</v>
      </c>
      <c r="K133" t="n">
        <v>0</v>
      </c>
      <c r="L133" t="n">
        <v>0</v>
      </c>
      <c r="M133" t="n">
        <v>0</v>
      </c>
      <c r="N133" t="n">
        <v>0</v>
      </c>
      <c r="O133" t="n">
        <v>1</v>
      </c>
      <c r="P133" t="n">
        <v>0</v>
      </c>
      <c r="Q133" t="n">
        <v>3</v>
      </c>
      <c r="R133" s="2" t="inlineStr">
        <is>
          <t>Orange taggsvamp
Kryddspindling
Zontaggsvamp</t>
        </is>
      </c>
      <c r="S133">
        <f>HYPERLINK("https://klasma.github.io/Logging_1962/artfynd/A 62471-2023 artfynd.xlsx", "A 62471-2023")</f>
        <v/>
      </c>
      <c r="T133">
        <f>HYPERLINK("https://klasma.github.io/Logging_1962/kartor/A 62471-2023 karta.png", "A 62471-2023")</f>
        <v/>
      </c>
      <c r="V133">
        <f>HYPERLINK("https://klasma.github.io/Logging_1962/klagomål/A 62471-2023 FSC-klagomål.docx", "A 62471-2023")</f>
        <v/>
      </c>
      <c r="W133">
        <f>HYPERLINK("https://klasma.github.io/Logging_1962/klagomålsmail/A 62471-2023 FSC-klagomål mail.docx", "A 62471-2023")</f>
        <v/>
      </c>
      <c r="X133">
        <f>HYPERLINK("https://klasma.github.io/Logging_1962/tillsyn/A 62471-2023 tillsynsbegäran.docx", "A 62471-2023")</f>
        <v/>
      </c>
      <c r="Y133">
        <f>HYPERLINK("https://klasma.github.io/Logging_1962/tillsynsmail/A 62471-2023 tillsynsbegäran mail.docx", "A 62471-2023")</f>
        <v/>
      </c>
    </row>
    <row r="134" ht="15" customHeight="1">
      <c r="A134" t="inlineStr">
        <is>
          <t>A 64735-2023</t>
        </is>
      </c>
      <c r="B134" s="1" t="n">
        <v>45281</v>
      </c>
      <c r="C134" s="1" t="n">
        <v>45724</v>
      </c>
      <c r="D134" t="inlineStr">
        <is>
          <t>VÄSTMANLANDS LÄN</t>
        </is>
      </c>
      <c r="E134" t="inlineStr">
        <is>
          <t>VÄSTERÅS</t>
        </is>
      </c>
      <c r="F134" t="inlineStr">
        <is>
          <t>Övriga Aktiebolag</t>
        </is>
      </c>
      <c r="G134" t="n">
        <v>12.5</v>
      </c>
      <c r="H134" t="n">
        <v>2</v>
      </c>
      <c r="I134" t="n">
        <v>0</v>
      </c>
      <c r="J134" t="n">
        <v>1</v>
      </c>
      <c r="K134" t="n">
        <v>1</v>
      </c>
      <c r="L134" t="n">
        <v>0</v>
      </c>
      <c r="M134" t="n">
        <v>0</v>
      </c>
      <c r="N134" t="n">
        <v>0</v>
      </c>
      <c r="O134" t="n">
        <v>2</v>
      </c>
      <c r="P134" t="n">
        <v>1</v>
      </c>
      <c r="Q134" t="n">
        <v>3</v>
      </c>
      <c r="R134" s="2" t="inlineStr">
        <is>
          <t>Backsippa
Vårstarr
Gullviva</t>
        </is>
      </c>
      <c r="S134">
        <f>HYPERLINK("https://klasma.github.io/Logging_1980/artfynd/A 64735-2023 artfynd.xlsx", "A 64735-2023")</f>
        <v/>
      </c>
      <c r="T134">
        <f>HYPERLINK("https://klasma.github.io/Logging_1980/kartor/A 64735-2023 karta.png", "A 64735-2023")</f>
        <v/>
      </c>
      <c r="V134">
        <f>HYPERLINK("https://klasma.github.io/Logging_1980/klagomål/A 64735-2023 FSC-klagomål.docx", "A 64735-2023")</f>
        <v/>
      </c>
      <c r="W134">
        <f>HYPERLINK("https://klasma.github.io/Logging_1980/klagomålsmail/A 64735-2023 FSC-klagomål mail.docx", "A 64735-2023")</f>
        <v/>
      </c>
      <c r="X134">
        <f>HYPERLINK("https://klasma.github.io/Logging_1980/tillsyn/A 64735-2023 tillsynsbegäran.docx", "A 64735-2023")</f>
        <v/>
      </c>
      <c r="Y134">
        <f>HYPERLINK("https://klasma.github.io/Logging_1980/tillsynsmail/A 64735-2023 tillsynsbegäran mail.docx", "A 64735-2023")</f>
        <v/>
      </c>
    </row>
    <row r="135" ht="15" customHeight="1">
      <c r="A135" t="inlineStr">
        <is>
          <t>A 65024-2023</t>
        </is>
      </c>
      <c r="B135" s="1" t="n">
        <v>45282</v>
      </c>
      <c r="C135" s="1" t="n">
        <v>45724</v>
      </c>
      <c r="D135" t="inlineStr">
        <is>
          <t>VÄSTMANLANDS LÄN</t>
        </is>
      </c>
      <c r="E135" t="inlineStr">
        <is>
          <t>SURAHAMMAR</t>
        </is>
      </c>
      <c r="F135" t="inlineStr">
        <is>
          <t>Bergvik skog väst AB</t>
        </is>
      </c>
      <c r="G135" t="n">
        <v>14.9</v>
      </c>
      <c r="H135" t="n">
        <v>1</v>
      </c>
      <c r="I135" t="n">
        <v>1</v>
      </c>
      <c r="J135" t="n">
        <v>2</v>
      </c>
      <c r="K135" t="n">
        <v>0</v>
      </c>
      <c r="L135" t="n">
        <v>0</v>
      </c>
      <c r="M135" t="n">
        <v>0</v>
      </c>
      <c r="N135" t="n">
        <v>0</v>
      </c>
      <c r="O135" t="n">
        <v>2</v>
      </c>
      <c r="P135" t="n">
        <v>0</v>
      </c>
      <c r="Q135" t="n">
        <v>3</v>
      </c>
      <c r="R135" s="2" t="inlineStr">
        <is>
          <t>Gropticka
Talltita
Blodticka</t>
        </is>
      </c>
      <c r="S135">
        <f>HYPERLINK("https://klasma.github.io/Logging_1907/artfynd/A 65024-2023 artfynd.xlsx", "A 65024-2023")</f>
        <v/>
      </c>
      <c r="T135">
        <f>HYPERLINK("https://klasma.github.io/Logging_1907/kartor/A 65024-2023 karta.png", "A 65024-2023")</f>
        <v/>
      </c>
      <c r="V135">
        <f>HYPERLINK("https://klasma.github.io/Logging_1907/klagomål/A 65024-2023 FSC-klagomål.docx", "A 65024-2023")</f>
        <v/>
      </c>
      <c r="W135">
        <f>HYPERLINK("https://klasma.github.io/Logging_1907/klagomålsmail/A 65024-2023 FSC-klagomål mail.docx", "A 65024-2023")</f>
        <v/>
      </c>
      <c r="X135">
        <f>HYPERLINK("https://klasma.github.io/Logging_1907/tillsyn/A 65024-2023 tillsynsbegäran.docx", "A 65024-2023")</f>
        <v/>
      </c>
      <c r="Y135">
        <f>HYPERLINK("https://klasma.github.io/Logging_1907/tillsynsmail/A 65024-2023 tillsynsbegäran mail.docx", "A 65024-2023")</f>
        <v/>
      </c>
      <c r="Z135">
        <f>HYPERLINK("https://klasma.github.io/Logging_1907/fåglar/A 65024-2023 prioriterade fågelarter.docx", "A 65024-2023")</f>
        <v/>
      </c>
    </row>
    <row r="136" ht="15" customHeight="1">
      <c r="A136" t="inlineStr">
        <is>
          <t>A 3567-2024</t>
        </is>
      </c>
      <c r="B136" s="1" t="n">
        <v>45320</v>
      </c>
      <c r="C136" s="1" t="n">
        <v>45724</v>
      </c>
      <c r="D136" t="inlineStr">
        <is>
          <t>VÄSTMANLANDS LÄN</t>
        </is>
      </c>
      <c r="E136" t="inlineStr">
        <is>
          <t>SALA</t>
        </is>
      </c>
      <c r="F136" t="inlineStr">
        <is>
          <t>Kommuner</t>
        </is>
      </c>
      <c r="G136" t="n">
        <v>4.1</v>
      </c>
      <c r="H136" t="n">
        <v>1</v>
      </c>
      <c r="I136" t="n">
        <v>2</v>
      </c>
      <c r="J136" t="n">
        <v>0</v>
      </c>
      <c r="K136" t="n">
        <v>1</v>
      </c>
      <c r="L136" t="n">
        <v>0</v>
      </c>
      <c r="M136" t="n">
        <v>0</v>
      </c>
      <c r="N136" t="n">
        <v>0</v>
      </c>
      <c r="O136" t="n">
        <v>1</v>
      </c>
      <c r="P136" t="n">
        <v>1</v>
      </c>
      <c r="Q136" t="n">
        <v>3</v>
      </c>
      <c r="R136" s="2" t="inlineStr">
        <is>
          <t>Knärot
Guldlockmossa
Vedticka</t>
        </is>
      </c>
      <c r="S136">
        <f>HYPERLINK("https://klasma.github.io/Logging_1981/artfynd/A 3567-2024 artfynd.xlsx", "A 3567-2024")</f>
        <v/>
      </c>
      <c r="T136">
        <f>HYPERLINK("https://klasma.github.io/Logging_1981/kartor/A 3567-2024 karta.png", "A 3567-2024")</f>
        <v/>
      </c>
      <c r="U136">
        <f>HYPERLINK("https://klasma.github.io/Logging_1981/knärot/A 3567-2024 karta knärot.png", "A 3567-2024")</f>
        <v/>
      </c>
      <c r="V136">
        <f>HYPERLINK("https://klasma.github.io/Logging_1981/klagomål/A 3567-2024 FSC-klagomål.docx", "A 3567-2024")</f>
        <v/>
      </c>
      <c r="W136">
        <f>HYPERLINK("https://klasma.github.io/Logging_1981/klagomålsmail/A 3567-2024 FSC-klagomål mail.docx", "A 3567-2024")</f>
        <v/>
      </c>
      <c r="X136">
        <f>HYPERLINK("https://klasma.github.io/Logging_1981/tillsyn/A 3567-2024 tillsynsbegäran.docx", "A 3567-2024")</f>
        <v/>
      </c>
      <c r="Y136">
        <f>HYPERLINK("https://klasma.github.io/Logging_1981/tillsynsmail/A 3567-2024 tillsynsbegäran mail.docx", "A 3567-2024")</f>
        <v/>
      </c>
    </row>
    <row r="137" ht="15" customHeight="1">
      <c r="A137" t="inlineStr">
        <is>
          <t>A 4264-2024</t>
        </is>
      </c>
      <c r="B137" s="1" t="n">
        <v>45324</v>
      </c>
      <c r="C137" s="1" t="n">
        <v>45724</v>
      </c>
      <c r="D137" t="inlineStr">
        <is>
          <t>VÄSTMANLANDS LÄN</t>
        </is>
      </c>
      <c r="E137" t="inlineStr">
        <is>
          <t>SALA</t>
        </is>
      </c>
      <c r="G137" t="n">
        <v>2.5</v>
      </c>
      <c r="H137" t="n">
        <v>0</v>
      </c>
      <c r="I137" t="n">
        <v>1</v>
      </c>
      <c r="J137" t="n">
        <v>2</v>
      </c>
      <c r="K137" t="n">
        <v>0</v>
      </c>
      <c r="L137" t="n">
        <v>0</v>
      </c>
      <c r="M137" t="n">
        <v>0</v>
      </c>
      <c r="N137" t="n">
        <v>0</v>
      </c>
      <c r="O137" t="n">
        <v>2</v>
      </c>
      <c r="P137" t="n">
        <v>0</v>
      </c>
      <c r="Q137" t="n">
        <v>3</v>
      </c>
      <c r="R137" s="2" t="inlineStr">
        <is>
          <t>Brunpudrad nållav
Vedtrappmossa
Dvärghäxört</t>
        </is>
      </c>
      <c r="S137">
        <f>HYPERLINK("https://klasma.github.io/Logging_1981/artfynd/A 4264-2024 artfynd.xlsx", "A 4264-2024")</f>
        <v/>
      </c>
      <c r="T137">
        <f>HYPERLINK("https://klasma.github.io/Logging_1981/kartor/A 4264-2024 karta.png", "A 4264-2024")</f>
        <v/>
      </c>
      <c r="V137">
        <f>HYPERLINK("https://klasma.github.io/Logging_1981/klagomål/A 4264-2024 FSC-klagomål.docx", "A 4264-2024")</f>
        <v/>
      </c>
      <c r="W137">
        <f>HYPERLINK("https://klasma.github.io/Logging_1981/klagomålsmail/A 4264-2024 FSC-klagomål mail.docx", "A 4264-2024")</f>
        <v/>
      </c>
      <c r="X137">
        <f>HYPERLINK("https://klasma.github.io/Logging_1981/tillsyn/A 4264-2024 tillsynsbegäran.docx", "A 4264-2024")</f>
        <v/>
      </c>
      <c r="Y137">
        <f>HYPERLINK("https://klasma.github.io/Logging_1981/tillsynsmail/A 4264-2024 tillsynsbegäran mail.docx", "A 4264-2024")</f>
        <v/>
      </c>
    </row>
    <row r="138" ht="15" customHeight="1">
      <c r="A138" t="inlineStr">
        <is>
          <t>A 7771-2024</t>
        </is>
      </c>
      <c r="B138" s="1" t="n">
        <v>45349</v>
      </c>
      <c r="C138" s="1" t="n">
        <v>45724</v>
      </c>
      <c r="D138" t="inlineStr">
        <is>
          <t>VÄSTMANLANDS LÄN</t>
        </is>
      </c>
      <c r="E138" t="inlineStr">
        <is>
          <t>KUNGSÖR</t>
        </is>
      </c>
      <c r="G138" t="n">
        <v>4.1</v>
      </c>
      <c r="H138" t="n">
        <v>2</v>
      </c>
      <c r="I138" t="n">
        <v>1</v>
      </c>
      <c r="J138" t="n">
        <v>1</v>
      </c>
      <c r="K138" t="n">
        <v>0</v>
      </c>
      <c r="L138" t="n">
        <v>0</v>
      </c>
      <c r="M138" t="n">
        <v>0</v>
      </c>
      <c r="N138" t="n">
        <v>0</v>
      </c>
      <c r="O138" t="n">
        <v>1</v>
      </c>
      <c r="P138" t="n">
        <v>0</v>
      </c>
      <c r="Q138" t="n">
        <v>3</v>
      </c>
      <c r="R138" s="2" t="inlineStr">
        <is>
          <t>Spillkråka
Hasselticka
Blåsippa</t>
        </is>
      </c>
      <c r="S138">
        <f>HYPERLINK("https://klasma.github.io/Logging_1960/artfynd/A 7771-2024 artfynd.xlsx", "A 7771-2024")</f>
        <v/>
      </c>
      <c r="T138">
        <f>HYPERLINK("https://klasma.github.io/Logging_1960/kartor/A 7771-2024 karta.png", "A 7771-2024")</f>
        <v/>
      </c>
      <c r="V138">
        <f>HYPERLINK("https://klasma.github.io/Logging_1960/klagomål/A 7771-2024 FSC-klagomål.docx", "A 7771-2024")</f>
        <v/>
      </c>
      <c r="W138">
        <f>HYPERLINK("https://klasma.github.io/Logging_1960/klagomålsmail/A 7771-2024 FSC-klagomål mail.docx", "A 7771-2024")</f>
        <v/>
      </c>
      <c r="X138">
        <f>HYPERLINK("https://klasma.github.io/Logging_1960/tillsyn/A 7771-2024 tillsynsbegäran.docx", "A 7771-2024")</f>
        <v/>
      </c>
      <c r="Y138">
        <f>HYPERLINK("https://klasma.github.io/Logging_1960/tillsynsmail/A 7771-2024 tillsynsbegäran mail.docx", "A 7771-2024")</f>
        <v/>
      </c>
      <c r="Z138">
        <f>HYPERLINK("https://klasma.github.io/Logging_1960/fåglar/A 7771-2024 prioriterade fågelarter.docx", "A 7771-2024")</f>
        <v/>
      </c>
    </row>
    <row r="139" ht="15" customHeight="1">
      <c r="A139" t="inlineStr">
        <is>
          <t>A 11504-2024</t>
        </is>
      </c>
      <c r="B139" s="1" t="n">
        <v>45372</v>
      </c>
      <c r="C139" s="1" t="n">
        <v>45724</v>
      </c>
      <c r="D139" t="inlineStr">
        <is>
          <t>VÄSTMANLANDS LÄN</t>
        </is>
      </c>
      <c r="E139" t="inlineStr">
        <is>
          <t>SALA</t>
        </is>
      </c>
      <c r="G139" t="n">
        <v>3.3</v>
      </c>
      <c r="H139" t="n">
        <v>0</v>
      </c>
      <c r="I139" t="n">
        <v>0</v>
      </c>
      <c r="J139" t="n">
        <v>2</v>
      </c>
      <c r="K139" t="n">
        <v>1</v>
      </c>
      <c r="L139" t="n">
        <v>0</v>
      </c>
      <c r="M139" t="n">
        <v>0</v>
      </c>
      <c r="N139" t="n">
        <v>0</v>
      </c>
      <c r="O139" t="n">
        <v>3</v>
      </c>
      <c r="P139" t="n">
        <v>1</v>
      </c>
      <c r="Q139" t="n">
        <v>3</v>
      </c>
      <c r="R139" s="2" t="inlineStr">
        <is>
          <t>Rynkskinn
Stjärntagging
Ullticka</t>
        </is>
      </c>
      <c r="S139">
        <f>HYPERLINK("https://klasma.github.io/Logging_1981/artfynd/A 11504-2024 artfynd.xlsx", "A 11504-2024")</f>
        <v/>
      </c>
      <c r="T139">
        <f>HYPERLINK("https://klasma.github.io/Logging_1981/kartor/A 11504-2024 karta.png", "A 11504-2024")</f>
        <v/>
      </c>
      <c r="V139">
        <f>HYPERLINK("https://klasma.github.io/Logging_1981/klagomål/A 11504-2024 FSC-klagomål.docx", "A 11504-2024")</f>
        <v/>
      </c>
      <c r="W139">
        <f>HYPERLINK("https://klasma.github.io/Logging_1981/klagomålsmail/A 11504-2024 FSC-klagomål mail.docx", "A 11504-2024")</f>
        <v/>
      </c>
      <c r="X139">
        <f>HYPERLINK("https://klasma.github.io/Logging_1981/tillsyn/A 11504-2024 tillsynsbegäran.docx", "A 11504-2024")</f>
        <v/>
      </c>
      <c r="Y139">
        <f>HYPERLINK("https://klasma.github.io/Logging_1981/tillsynsmail/A 11504-2024 tillsynsbegäran mail.docx", "A 11504-2024")</f>
        <v/>
      </c>
    </row>
    <row r="140" ht="15" customHeight="1">
      <c r="A140" t="inlineStr">
        <is>
          <t>A 18515-2024</t>
        </is>
      </c>
      <c r="B140" s="1" t="n">
        <v>45425</v>
      </c>
      <c r="C140" s="1" t="n">
        <v>45724</v>
      </c>
      <c r="D140" t="inlineStr">
        <is>
          <t>VÄSTMANLANDS LÄN</t>
        </is>
      </c>
      <c r="E140" t="inlineStr">
        <is>
          <t>SKINNSKATTEBERG</t>
        </is>
      </c>
      <c r="F140" t="inlineStr">
        <is>
          <t>Sveaskog</t>
        </is>
      </c>
      <c r="G140" t="n">
        <v>21</v>
      </c>
      <c r="H140" t="n">
        <v>3</v>
      </c>
      <c r="I140" t="n">
        <v>1</v>
      </c>
      <c r="J140" t="n">
        <v>0</v>
      </c>
      <c r="K140" t="n">
        <v>0</v>
      </c>
      <c r="L140" t="n">
        <v>0</v>
      </c>
      <c r="M140" t="n">
        <v>0</v>
      </c>
      <c r="N140" t="n">
        <v>0</v>
      </c>
      <c r="O140" t="n">
        <v>0</v>
      </c>
      <c r="P140" t="n">
        <v>0</v>
      </c>
      <c r="Q140" t="n">
        <v>3</v>
      </c>
      <c r="R140" s="2" t="inlineStr">
        <is>
          <t>Plattlummer
Fläcknycklar
Revlummer</t>
        </is>
      </c>
      <c r="S140">
        <f>HYPERLINK("https://klasma.github.io/Logging_1904/artfynd/A 18515-2024 artfynd.xlsx", "A 18515-2024")</f>
        <v/>
      </c>
      <c r="T140">
        <f>HYPERLINK("https://klasma.github.io/Logging_1904/kartor/A 18515-2024 karta.png", "A 18515-2024")</f>
        <v/>
      </c>
      <c r="V140">
        <f>HYPERLINK("https://klasma.github.io/Logging_1904/klagomål/A 18515-2024 FSC-klagomål.docx", "A 18515-2024")</f>
        <v/>
      </c>
      <c r="W140">
        <f>HYPERLINK("https://klasma.github.io/Logging_1904/klagomålsmail/A 18515-2024 FSC-klagomål mail.docx", "A 18515-2024")</f>
        <v/>
      </c>
      <c r="X140">
        <f>HYPERLINK("https://klasma.github.io/Logging_1904/tillsyn/A 18515-2024 tillsynsbegäran.docx", "A 18515-2024")</f>
        <v/>
      </c>
      <c r="Y140">
        <f>HYPERLINK("https://klasma.github.io/Logging_1904/tillsynsmail/A 18515-2024 tillsynsbegäran mail.docx", "A 18515-2024")</f>
        <v/>
      </c>
    </row>
    <row r="141" ht="15" customHeight="1">
      <c r="A141" t="inlineStr">
        <is>
          <t>A 18744-2024</t>
        </is>
      </c>
      <c r="B141" s="1" t="n">
        <v>45426</v>
      </c>
      <c r="C141" s="1" t="n">
        <v>45724</v>
      </c>
      <c r="D141" t="inlineStr">
        <is>
          <t>VÄSTMANLANDS LÄN</t>
        </is>
      </c>
      <c r="E141" t="inlineStr">
        <is>
          <t>SALA</t>
        </is>
      </c>
      <c r="G141" t="n">
        <v>19.1</v>
      </c>
      <c r="H141" t="n">
        <v>2</v>
      </c>
      <c r="I141" t="n">
        <v>1</v>
      </c>
      <c r="J141" t="n">
        <v>0</v>
      </c>
      <c r="K141" t="n">
        <v>1</v>
      </c>
      <c r="L141" t="n">
        <v>0</v>
      </c>
      <c r="M141" t="n">
        <v>0</v>
      </c>
      <c r="N141" t="n">
        <v>0</v>
      </c>
      <c r="O141" t="n">
        <v>1</v>
      </c>
      <c r="P141" t="n">
        <v>1</v>
      </c>
      <c r="Q141" t="n">
        <v>3</v>
      </c>
      <c r="R141" s="2" t="inlineStr">
        <is>
          <t>Knärot
Kattfotslav
Revlummer</t>
        </is>
      </c>
      <c r="S141">
        <f>HYPERLINK("https://klasma.github.io/Logging_1981/artfynd/A 18744-2024 artfynd.xlsx", "A 18744-2024")</f>
        <v/>
      </c>
      <c r="T141">
        <f>HYPERLINK("https://klasma.github.io/Logging_1981/kartor/A 18744-2024 karta.png", "A 18744-2024")</f>
        <v/>
      </c>
      <c r="U141">
        <f>HYPERLINK("https://klasma.github.io/Logging_1981/knärot/A 18744-2024 karta knärot.png", "A 18744-2024")</f>
        <v/>
      </c>
      <c r="V141">
        <f>HYPERLINK("https://klasma.github.io/Logging_1981/klagomål/A 18744-2024 FSC-klagomål.docx", "A 18744-2024")</f>
        <v/>
      </c>
      <c r="W141">
        <f>HYPERLINK("https://klasma.github.io/Logging_1981/klagomålsmail/A 18744-2024 FSC-klagomål mail.docx", "A 18744-2024")</f>
        <v/>
      </c>
      <c r="X141">
        <f>HYPERLINK("https://klasma.github.io/Logging_1981/tillsyn/A 18744-2024 tillsynsbegäran.docx", "A 18744-2024")</f>
        <v/>
      </c>
      <c r="Y141">
        <f>HYPERLINK("https://klasma.github.io/Logging_1981/tillsynsmail/A 18744-2024 tillsynsbegäran mail.docx", "A 18744-2024")</f>
        <v/>
      </c>
    </row>
    <row r="142" ht="15" customHeight="1">
      <c r="A142" t="inlineStr">
        <is>
          <t>A 20391-2024</t>
        </is>
      </c>
      <c r="B142" s="1" t="n">
        <v>45435</v>
      </c>
      <c r="C142" s="1" t="n">
        <v>45724</v>
      </c>
      <c r="D142" t="inlineStr">
        <is>
          <t>VÄSTMANLANDS LÄN</t>
        </is>
      </c>
      <c r="E142" t="inlineStr">
        <is>
          <t>SURAHAMMAR</t>
        </is>
      </c>
      <c r="G142" t="n">
        <v>1.5</v>
      </c>
      <c r="H142" t="n">
        <v>0</v>
      </c>
      <c r="I142" t="n">
        <v>2</v>
      </c>
      <c r="J142" t="n">
        <v>1</v>
      </c>
      <c r="K142" t="n">
        <v>0</v>
      </c>
      <c r="L142" t="n">
        <v>0</v>
      </c>
      <c r="M142" t="n">
        <v>0</v>
      </c>
      <c r="N142" t="n">
        <v>0</v>
      </c>
      <c r="O142" t="n">
        <v>1</v>
      </c>
      <c r="P142" t="n">
        <v>0</v>
      </c>
      <c r="Q142" t="n">
        <v>3</v>
      </c>
      <c r="R142" s="2" t="inlineStr">
        <is>
          <t>Vedtrappmossa
Kattfotslav
Stubbspretmossa</t>
        </is>
      </c>
      <c r="S142">
        <f>HYPERLINK("https://klasma.github.io/Logging_1907/artfynd/A 20391-2024 artfynd.xlsx", "A 20391-2024")</f>
        <v/>
      </c>
      <c r="T142">
        <f>HYPERLINK("https://klasma.github.io/Logging_1907/kartor/A 20391-2024 karta.png", "A 20391-2024")</f>
        <v/>
      </c>
      <c r="V142">
        <f>HYPERLINK("https://klasma.github.io/Logging_1907/klagomål/A 20391-2024 FSC-klagomål.docx", "A 20391-2024")</f>
        <v/>
      </c>
      <c r="W142">
        <f>HYPERLINK("https://klasma.github.io/Logging_1907/klagomålsmail/A 20391-2024 FSC-klagomål mail.docx", "A 20391-2024")</f>
        <v/>
      </c>
      <c r="X142">
        <f>HYPERLINK("https://klasma.github.io/Logging_1907/tillsyn/A 20391-2024 tillsynsbegäran.docx", "A 20391-2024")</f>
        <v/>
      </c>
      <c r="Y142">
        <f>HYPERLINK("https://klasma.github.io/Logging_1907/tillsynsmail/A 20391-2024 tillsynsbegäran mail.docx", "A 20391-2024")</f>
        <v/>
      </c>
    </row>
    <row r="143" ht="15" customHeight="1">
      <c r="A143" t="inlineStr">
        <is>
          <t>A 24561-2024</t>
        </is>
      </c>
      <c r="B143" s="1" t="n">
        <v>45460</v>
      </c>
      <c r="C143" s="1" t="n">
        <v>45724</v>
      </c>
      <c r="D143" t="inlineStr">
        <is>
          <t>VÄSTMANLANDS LÄN</t>
        </is>
      </c>
      <c r="E143" t="inlineStr">
        <is>
          <t>SURAHAMMAR</t>
        </is>
      </c>
      <c r="G143" t="n">
        <v>2.6</v>
      </c>
      <c r="H143" t="n">
        <v>2</v>
      </c>
      <c r="I143" t="n">
        <v>1</v>
      </c>
      <c r="J143" t="n">
        <v>0</v>
      </c>
      <c r="K143" t="n">
        <v>1</v>
      </c>
      <c r="L143" t="n">
        <v>0</v>
      </c>
      <c r="M143" t="n">
        <v>0</v>
      </c>
      <c r="N143" t="n">
        <v>0</v>
      </c>
      <c r="O143" t="n">
        <v>1</v>
      </c>
      <c r="P143" t="n">
        <v>1</v>
      </c>
      <c r="Q143" t="n">
        <v>3</v>
      </c>
      <c r="R143" s="2" t="inlineStr">
        <is>
          <t>Knärot
Grönpyrola
Revlummer</t>
        </is>
      </c>
      <c r="S143">
        <f>HYPERLINK("https://klasma.github.io/Logging_1907/artfynd/A 24561-2024 artfynd.xlsx", "A 24561-2024")</f>
        <v/>
      </c>
      <c r="T143">
        <f>HYPERLINK("https://klasma.github.io/Logging_1907/kartor/A 24561-2024 karta.png", "A 24561-2024")</f>
        <v/>
      </c>
      <c r="U143">
        <f>HYPERLINK("https://klasma.github.io/Logging_1907/knärot/A 24561-2024 karta knärot.png", "A 24561-2024")</f>
        <v/>
      </c>
      <c r="V143">
        <f>HYPERLINK("https://klasma.github.io/Logging_1907/klagomål/A 24561-2024 FSC-klagomål.docx", "A 24561-2024")</f>
        <v/>
      </c>
      <c r="W143">
        <f>HYPERLINK("https://klasma.github.io/Logging_1907/klagomålsmail/A 24561-2024 FSC-klagomål mail.docx", "A 24561-2024")</f>
        <v/>
      </c>
      <c r="X143">
        <f>HYPERLINK("https://klasma.github.io/Logging_1907/tillsyn/A 24561-2024 tillsynsbegäran.docx", "A 24561-2024")</f>
        <v/>
      </c>
      <c r="Y143">
        <f>HYPERLINK("https://klasma.github.io/Logging_1907/tillsynsmail/A 24561-2024 tillsynsbegäran mail.docx", "A 24561-2024")</f>
        <v/>
      </c>
    </row>
    <row r="144" ht="15" customHeight="1">
      <c r="A144" t="inlineStr">
        <is>
          <t>A 24847-2024</t>
        </is>
      </c>
      <c r="B144" s="1" t="n">
        <v>45461</v>
      </c>
      <c r="C144" s="1" t="n">
        <v>45724</v>
      </c>
      <c r="D144" t="inlineStr">
        <is>
          <t>VÄSTMANLANDS LÄN</t>
        </is>
      </c>
      <c r="E144" t="inlineStr">
        <is>
          <t>FAGERSTA</t>
        </is>
      </c>
      <c r="F144" t="inlineStr">
        <is>
          <t>Kommuner</t>
        </is>
      </c>
      <c r="G144" t="n">
        <v>16.3</v>
      </c>
      <c r="H144" t="n">
        <v>1</v>
      </c>
      <c r="I144" t="n">
        <v>1</v>
      </c>
      <c r="J144" t="n">
        <v>1</v>
      </c>
      <c r="K144" t="n">
        <v>1</v>
      </c>
      <c r="L144" t="n">
        <v>0</v>
      </c>
      <c r="M144" t="n">
        <v>0</v>
      </c>
      <c r="N144" t="n">
        <v>0</v>
      </c>
      <c r="O144" t="n">
        <v>2</v>
      </c>
      <c r="P144" t="n">
        <v>1</v>
      </c>
      <c r="Q144" t="n">
        <v>3</v>
      </c>
      <c r="R144" s="2" t="inlineStr">
        <is>
          <t>Knärot
Tallticka
Grönpyrola</t>
        </is>
      </c>
      <c r="S144">
        <f>HYPERLINK("https://klasma.github.io/Logging_1982/artfynd/A 24847-2024 artfynd.xlsx", "A 24847-2024")</f>
        <v/>
      </c>
      <c r="T144">
        <f>HYPERLINK("https://klasma.github.io/Logging_1982/kartor/A 24847-2024 karta.png", "A 24847-2024")</f>
        <v/>
      </c>
      <c r="U144">
        <f>HYPERLINK("https://klasma.github.io/Logging_1982/knärot/A 24847-2024 karta knärot.png", "A 24847-2024")</f>
        <v/>
      </c>
      <c r="V144">
        <f>HYPERLINK("https://klasma.github.io/Logging_1982/klagomål/A 24847-2024 FSC-klagomål.docx", "A 24847-2024")</f>
        <v/>
      </c>
      <c r="W144">
        <f>HYPERLINK("https://klasma.github.io/Logging_1982/klagomålsmail/A 24847-2024 FSC-klagomål mail.docx", "A 24847-2024")</f>
        <v/>
      </c>
      <c r="X144">
        <f>HYPERLINK("https://klasma.github.io/Logging_1982/tillsyn/A 24847-2024 tillsynsbegäran.docx", "A 24847-2024")</f>
        <v/>
      </c>
      <c r="Y144">
        <f>HYPERLINK("https://klasma.github.io/Logging_1982/tillsynsmail/A 24847-2024 tillsynsbegäran mail.docx", "A 24847-2024")</f>
        <v/>
      </c>
    </row>
    <row r="145" ht="15" customHeight="1">
      <c r="A145" t="inlineStr">
        <is>
          <t>A 25672-2024</t>
        </is>
      </c>
      <c r="B145" s="1" t="n">
        <v>45463</v>
      </c>
      <c r="C145" s="1" t="n">
        <v>45724</v>
      </c>
      <c r="D145" t="inlineStr">
        <is>
          <t>VÄSTMANLANDS LÄN</t>
        </is>
      </c>
      <c r="E145" t="inlineStr">
        <is>
          <t>VÄSTERÅS</t>
        </is>
      </c>
      <c r="G145" t="n">
        <v>11.3</v>
      </c>
      <c r="H145" t="n">
        <v>1</v>
      </c>
      <c r="I145" t="n">
        <v>0</v>
      </c>
      <c r="J145" t="n">
        <v>2</v>
      </c>
      <c r="K145" t="n">
        <v>1</v>
      </c>
      <c r="L145" t="n">
        <v>0</v>
      </c>
      <c r="M145" t="n">
        <v>0</v>
      </c>
      <c r="N145" t="n">
        <v>0</v>
      </c>
      <c r="O145" t="n">
        <v>3</v>
      </c>
      <c r="P145" t="n">
        <v>1</v>
      </c>
      <c r="Q145" t="n">
        <v>3</v>
      </c>
      <c r="R145" s="2" t="inlineStr">
        <is>
          <t>Backsippa
Flentimotej
Solvända</t>
        </is>
      </c>
      <c r="S145">
        <f>HYPERLINK("https://klasma.github.io/Logging_1980/artfynd/A 25672-2024 artfynd.xlsx", "A 25672-2024")</f>
        <v/>
      </c>
      <c r="T145">
        <f>HYPERLINK("https://klasma.github.io/Logging_1980/kartor/A 25672-2024 karta.png", "A 25672-2024")</f>
        <v/>
      </c>
      <c r="V145">
        <f>HYPERLINK("https://klasma.github.io/Logging_1980/klagomål/A 25672-2024 FSC-klagomål.docx", "A 25672-2024")</f>
        <v/>
      </c>
      <c r="W145">
        <f>HYPERLINK("https://klasma.github.io/Logging_1980/klagomålsmail/A 25672-2024 FSC-klagomål mail.docx", "A 25672-2024")</f>
        <v/>
      </c>
      <c r="X145">
        <f>HYPERLINK("https://klasma.github.io/Logging_1980/tillsyn/A 25672-2024 tillsynsbegäran.docx", "A 25672-2024")</f>
        <v/>
      </c>
      <c r="Y145">
        <f>HYPERLINK("https://klasma.github.io/Logging_1980/tillsynsmail/A 25672-2024 tillsynsbegäran mail.docx", "A 25672-2024")</f>
        <v/>
      </c>
    </row>
    <row r="146" ht="15" customHeight="1">
      <c r="A146" t="inlineStr">
        <is>
          <t>A 33094-2024</t>
        </is>
      </c>
      <c r="B146" s="1" t="n">
        <v>45517</v>
      </c>
      <c r="C146" s="1" t="n">
        <v>45724</v>
      </c>
      <c r="D146" t="inlineStr">
        <is>
          <t>VÄSTMANLANDS LÄN</t>
        </is>
      </c>
      <c r="E146" t="inlineStr">
        <is>
          <t>SURAHAMMAR</t>
        </is>
      </c>
      <c r="G146" t="n">
        <v>6.3</v>
      </c>
      <c r="H146" t="n">
        <v>1</v>
      </c>
      <c r="I146" t="n">
        <v>0</v>
      </c>
      <c r="J146" t="n">
        <v>2</v>
      </c>
      <c r="K146" t="n">
        <v>0</v>
      </c>
      <c r="L146" t="n">
        <v>0</v>
      </c>
      <c r="M146" t="n">
        <v>0</v>
      </c>
      <c r="N146" t="n">
        <v>0</v>
      </c>
      <c r="O146" t="n">
        <v>2</v>
      </c>
      <c r="P146" t="n">
        <v>0</v>
      </c>
      <c r="Q146" t="n">
        <v>3</v>
      </c>
      <c r="R146" s="2" t="inlineStr">
        <is>
          <t>Svinrot
Vippärt
Revlummer</t>
        </is>
      </c>
      <c r="S146">
        <f>HYPERLINK("https://klasma.github.io/Logging_1907/artfynd/A 33094-2024 artfynd.xlsx", "A 33094-2024")</f>
        <v/>
      </c>
      <c r="T146">
        <f>HYPERLINK("https://klasma.github.io/Logging_1907/kartor/A 33094-2024 karta.png", "A 33094-2024")</f>
        <v/>
      </c>
      <c r="V146">
        <f>HYPERLINK("https://klasma.github.io/Logging_1907/klagomål/A 33094-2024 FSC-klagomål.docx", "A 33094-2024")</f>
        <v/>
      </c>
      <c r="W146">
        <f>HYPERLINK("https://klasma.github.io/Logging_1907/klagomålsmail/A 33094-2024 FSC-klagomål mail.docx", "A 33094-2024")</f>
        <v/>
      </c>
      <c r="X146">
        <f>HYPERLINK("https://klasma.github.io/Logging_1907/tillsyn/A 33094-2024 tillsynsbegäran.docx", "A 33094-2024")</f>
        <v/>
      </c>
      <c r="Y146">
        <f>HYPERLINK("https://klasma.github.io/Logging_1907/tillsynsmail/A 33094-2024 tillsynsbegäran mail.docx", "A 33094-2024")</f>
        <v/>
      </c>
    </row>
    <row r="147" ht="15" customHeight="1">
      <c r="A147" t="inlineStr">
        <is>
          <t>A 35461-2024</t>
        </is>
      </c>
      <c r="B147" s="1" t="n">
        <v>45531</v>
      </c>
      <c r="C147" s="1" t="n">
        <v>45724</v>
      </c>
      <c r="D147" t="inlineStr">
        <is>
          <t>VÄSTMANLANDS LÄN</t>
        </is>
      </c>
      <c r="E147" t="inlineStr">
        <is>
          <t>SALA</t>
        </is>
      </c>
      <c r="G147" t="n">
        <v>4.4</v>
      </c>
      <c r="H147" t="n">
        <v>2</v>
      </c>
      <c r="I147" t="n">
        <v>1</v>
      </c>
      <c r="J147" t="n">
        <v>2</v>
      </c>
      <c r="K147" t="n">
        <v>0</v>
      </c>
      <c r="L147" t="n">
        <v>0</v>
      </c>
      <c r="M147" t="n">
        <v>0</v>
      </c>
      <c r="N147" t="n">
        <v>0</v>
      </c>
      <c r="O147" t="n">
        <v>2</v>
      </c>
      <c r="P147" t="n">
        <v>0</v>
      </c>
      <c r="Q147" t="n">
        <v>3</v>
      </c>
      <c r="R147" s="2" t="inlineStr">
        <is>
          <t>Duvhök
Talltita
Grönpyrola</t>
        </is>
      </c>
      <c r="S147">
        <f>HYPERLINK("https://klasma.github.io/Logging_1981/artfynd/A 35461-2024 artfynd.xlsx", "A 35461-2024")</f>
        <v/>
      </c>
      <c r="T147">
        <f>HYPERLINK("https://klasma.github.io/Logging_1981/kartor/A 35461-2024 karta.png", "A 35461-2024")</f>
        <v/>
      </c>
      <c r="V147">
        <f>HYPERLINK("https://klasma.github.io/Logging_1981/klagomål/A 35461-2024 FSC-klagomål.docx", "A 35461-2024")</f>
        <v/>
      </c>
      <c r="W147">
        <f>HYPERLINK("https://klasma.github.io/Logging_1981/klagomålsmail/A 35461-2024 FSC-klagomål mail.docx", "A 35461-2024")</f>
        <v/>
      </c>
      <c r="X147">
        <f>HYPERLINK("https://klasma.github.io/Logging_1981/tillsyn/A 35461-2024 tillsynsbegäran.docx", "A 35461-2024")</f>
        <v/>
      </c>
      <c r="Y147">
        <f>HYPERLINK("https://klasma.github.io/Logging_1981/tillsynsmail/A 35461-2024 tillsynsbegäran mail.docx", "A 35461-2024")</f>
        <v/>
      </c>
      <c r="Z147">
        <f>HYPERLINK("https://klasma.github.io/Logging_1981/fåglar/A 35461-2024 prioriterade fågelarter.docx", "A 35461-2024")</f>
        <v/>
      </c>
    </row>
    <row r="148" ht="15" customHeight="1">
      <c r="A148" t="inlineStr">
        <is>
          <t>A 36185-2024</t>
        </is>
      </c>
      <c r="B148" s="1" t="n">
        <v>45534</v>
      </c>
      <c r="C148" s="1" t="n">
        <v>45724</v>
      </c>
      <c r="D148" t="inlineStr">
        <is>
          <t>VÄSTMANLANDS LÄN</t>
        </is>
      </c>
      <c r="E148" t="inlineStr">
        <is>
          <t>ARBOGA</t>
        </is>
      </c>
      <c r="F148" t="inlineStr">
        <is>
          <t>Sveaskog</t>
        </is>
      </c>
      <c r="G148" t="n">
        <v>9.199999999999999</v>
      </c>
      <c r="H148" t="n">
        <v>2</v>
      </c>
      <c r="I148" t="n">
        <v>1</v>
      </c>
      <c r="J148" t="n">
        <v>0</v>
      </c>
      <c r="K148" t="n">
        <v>1</v>
      </c>
      <c r="L148" t="n">
        <v>0</v>
      </c>
      <c r="M148" t="n">
        <v>0</v>
      </c>
      <c r="N148" t="n">
        <v>0</v>
      </c>
      <c r="O148" t="n">
        <v>1</v>
      </c>
      <c r="P148" t="n">
        <v>1</v>
      </c>
      <c r="Q148" t="n">
        <v>3</v>
      </c>
      <c r="R148" s="2" t="inlineStr">
        <is>
          <t>Knärot
Vågbandad barkbock
Fläcknycklar</t>
        </is>
      </c>
      <c r="S148">
        <f>HYPERLINK("https://klasma.github.io/Logging_1984/artfynd/A 36185-2024 artfynd.xlsx", "A 36185-2024")</f>
        <v/>
      </c>
      <c r="T148">
        <f>HYPERLINK("https://klasma.github.io/Logging_1984/kartor/A 36185-2024 karta.png", "A 36185-2024")</f>
        <v/>
      </c>
      <c r="U148">
        <f>HYPERLINK("https://klasma.github.io/Logging_1984/knärot/A 36185-2024 karta knärot.png", "A 36185-2024")</f>
        <v/>
      </c>
      <c r="V148">
        <f>HYPERLINK("https://klasma.github.io/Logging_1984/klagomål/A 36185-2024 FSC-klagomål.docx", "A 36185-2024")</f>
        <v/>
      </c>
      <c r="W148">
        <f>HYPERLINK("https://klasma.github.io/Logging_1984/klagomålsmail/A 36185-2024 FSC-klagomål mail.docx", "A 36185-2024")</f>
        <v/>
      </c>
      <c r="X148">
        <f>HYPERLINK("https://klasma.github.io/Logging_1984/tillsyn/A 36185-2024 tillsynsbegäran.docx", "A 36185-2024")</f>
        <v/>
      </c>
      <c r="Y148">
        <f>HYPERLINK("https://klasma.github.io/Logging_1984/tillsynsmail/A 36185-2024 tillsynsbegäran mail.docx", "A 36185-2024")</f>
        <v/>
      </c>
    </row>
    <row r="149" ht="15" customHeight="1">
      <c r="A149" t="inlineStr">
        <is>
          <t>A 38908-2024</t>
        </is>
      </c>
      <c r="B149" s="1" t="n">
        <v>45547</v>
      </c>
      <c r="C149" s="1" t="n">
        <v>45724</v>
      </c>
      <c r="D149" t="inlineStr">
        <is>
          <t>VÄSTMANLANDS LÄN</t>
        </is>
      </c>
      <c r="E149" t="inlineStr">
        <is>
          <t>KÖPING</t>
        </is>
      </c>
      <c r="G149" t="n">
        <v>6.5</v>
      </c>
      <c r="H149" t="n">
        <v>3</v>
      </c>
      <c r="I149" t="n">
        <v>0</v>
      </c>
      <c r="J149" t="n">
        <v>2</v>
      </c>
      <c r="K149" t="n">
        <v>0</v>
      </c>
      <c r="L149" t="n">
        <v>0</v>
      </c>
      <c r="M149" t="n">
        <v>0</v>
      </c>
      <c r="N149" t="n">
        <v>0</v>
      </c>
      <c r="O149" t="n">
        <v>2</v>
      </c>
      <c r="P149" t="n">
        <v>0</v>
      </c>
      <c r="Q149" t="n">
        <v>3</v>
      </c>
      <c r="R149" s="2" t="inlineStr">
        <is>
          <t>Buskskvätta
Spillkråka
Fiskgjuse</t>
        </is>
      </c>
      <c r="S149">
        <f>HYPERLINK("https://klasma.github.io/Logging_1983/artfynd/A 38908-2024 artfynd.xlsx", "A 38908-2024")</f>
        <v/>
      </c>
      <c r="T149">
        <f>HYPERLINK("https://klasma.github.io/Logging_1983/kartor/A 38908-2024 karta.png", "A 38908-2024")</f>
        <v/>
      </c>
      <c r="V149">
        <f>HYPERLINK("https://klasma.github.io/Logging_1983/klagomål/A 38908-2024 FSC-klagomål.docx", "A 38908-2024")</f>
        <v/>
      </c>
      <c r="W149">
        <f>HYPERLINK("https://klasma.github.io/Logging_1983/klagomålsmail/A 38908-2024 FSC-klagomål mail.docx", "A 38908-2024")</f>
        <v/>
      </c>
      <c r="X149">
        <f>HYPERLINK("https://klasma.github.io/Logging_1983/tillsyn/A 38908-2024 tillsynsbegäran.docx", "A 38908-2024")</f>
        <v/>
      </c>
      <c r="Y149">
        <f>HYPERLINK("https://klasma.github.io/Logging_1983/tillsynsmail/A 38908-2024 tillsynsbegäran mail.docx", "A 38908-2024")</f>
        <v/>
      </c>
      <c r="Z149">
        <f>HYPERLINK("https://klasma.github.io/Logging_1983/fåglar/A 38908-2024 prioriterade fågelarter.docx", "A 38908-2024")</f>
        <v/>
      </c>
    </row>
    <row r="150" ht="15" customHeight="1">
      <c r="A150" t="inlineStr">
        <is>
          <t>A 40493-2024</t>
        </is>
      </c>
      <c r="B150" s="1" t="n">
        <v>45555</v>
      </c>
      <c r="C150" s="1" t="n">
        <v>45724</v>
      </c>
      <c r="D150" t="inlineStr">
        <is>
          <t>VÄSTMANLANDS LÄN</t>
        </is>
      </c>
      <c r="E150" t="inlineStr">
        <is>
          <t>SALA</t>
        </is>
      </c>
      <c r="G150" t="n">
        <v>3.8</v>
      </c>
      <c r="H150" t="n">
        <v>0</v>
      </c>
      <c r="I150" t="n">
        <v>1</v>
      </c>
      <c r="J150" t="n">
        <v>2</v>
      </c>
      <c r="K150" t="n">
        <v>0</v>
      </c>
      <c r="L150" t="n">
        <v>0</v>
      </c>
      <c r="M150" t="n">
        <v>0</v>
      </c>
      <c r="N150" t="n">
        <v>0</v>
      </c>
      <c r="O150" t="n">
        <v>2</v>
      </c>
      <c r="P150" t="n">
        <v>0</v>
      </c>
      <c r="Q150" t="n">
        <v>3</v>
      </c>
      <c r="R150" s="2" t="inlineStr">
        <is>
          <t>Vedskivlav
Äggvaxskivling
Dropptaggsvamp</t>
        </is>
      </c>
      <c r="S150">
        <f>HYPERLINK("https://klasma.github.io/Logging_1981/artfynd/A 40493-2024 artfynd.xlsx", "A 40493-2024")</f>
        <v/>
      </c>
      <c r="T150">
        <f>HYPERLINK("https://klasma.github.io/Logging_1981/kartor/A 40493-2024 karta.png", "A 40493-2024")</f>
        <v/>
      </c>
      <c r="U150">
        <f>HYPERLINK("https://klasma.github.io/Logging_1981/knärot/A 40493-2024 karta knärot.png", "A 40493-2024")</f>
        <v/>
      </c>
      <c r="V150">
        <f>HYPERLINK("https://klasma.github.io/Logging_1981/klagomål/A 40493-2024 FSC-klagomål.docx", "A 40493-2024")</f>
        <v/>
      </c>
      <c r="W150">
        <f>HYPERLINK("https://klasma.github.io/Logging_1981/klagomålsmail/A 40493-2024 FSC-klagomål mail.docx", "A 40493-2024")</f>
        <v/>
      </c>
      <c r="X150">
        <f>HYPERLINK("https://klasma.github.io/Logging_1981/tillsyn/A 40493-2024 tillsynsbegäran.docx", "A 40493-2024")</f>
        <v/>
      </c>
      <c r="Y150">
        <f>HYPERLINK("https://klasma.github.io/Logging_1981/tillsynsmail/A 40493-2024 tillsynsbegäran mail.docx", "A 40493-2024")</f>
        <v/>
      </c>
    </row>
    <row r="151" ht="15" customHeight="1">
      <c r="A151" t="inlineStr">
        <is>
          <t>A 47475-2024</t>
        </is>
      </c>
      <c r="B151" s="1" t="n">
        <v>45587</v>
      </c>
      <c r="C151" s="1" t="n">
        <v>45724</v>
      </c>
      <c r="D151" t="inlineStr">
        <is>
          <t>VÄSTMANLANDS LÄN</t>
        </is>
      </c>
      <c r="E151" t="inlineStr">
        <is>
          <t>SALA</t>
        </is>
      </c>
      <c r="G151" t="n">
        <v>1.4</v>
      </c>
      <c r="H151" t="n">
        <v>1</v>
      </c>
      <c r="I151" t="n">
        <v>0</v>
      </c>
      <c r="J151" t="n">
        <v>0</v>
      </c>
      <c r="K151" t="n">
        <v>3</v>
      </c>
      <c r="L151" t="n">
        <v>0</v>
      </c>
      <c r="M151" t="n">
        <v>0</v>
      </c>
      <c r="N151" t="n">
        <v>0</v>
      </c>
      <c r="O151" t="n">
        <v>3</v>
      </c>
      <c r="P151" t="n">
        <v>3</v>
      </c>
      <c r="Q151" t="n">
        <v>3</v>
      </c>
      <c r="R151" s="2" t="inlineStr">
        <is>
          <t>Knärot
Luddig stiftdynlav
Rynkskinn</t>
        </is>
      </c>
      <c r="S151">
        <f>HYPERLINK("https://klasma.github.io/Logging_1981/artfynd/A 47475-2024 artfynd.xlsx", "A 47475-2024")</f>
        <v/>
      </c>
      <c r="T151">
        <f>HYPERLINK("https://klasma.github.io/Logging_1981/kartor/A 47475-2024 karta.png", "A 47475-2024")</f>
        <v/>
      </c>
      <c r="U151">
        <f>HYPERLINK("https://klasma.github.io/Logging_1981/knärot/A 47475-2024 karta knärot.png", "A 47475-2024")</f>
        <v/>
      </c>
      <c r="V151">
        <f>HYPERLINK("https://klasma.github.io/Logging_1981/klagomål/A 47475-2024 FSC-klagomål.docx", "A 47475-2024")</f>
        <v/>
      </c>
      <c r="W151">
        <f>HYPERLINK("https://klasma.github.io/Logging_1981/klagomålsmail/A 47475-2024 FSC-klagomål mail.docx", "A 47475-2024")</f>
        <v/>
      </c>
      <c r="X151">
        <f>HYPERLINK("https://klasma.github.io/Logging_1981/tillsyn/A 47475-2024 tillsynsbegäran.docx", "A 47475-2024")</f>
        <v/>
      </c>
      <c r="Y151">
        <f>HYPERLINK("https://klasma.github.io/Logging_1981/tillsynsmail/A 47475-2024 tillsynsbegäran mail.docx", "A 47475-2024")</f>
        <v/>
      </c>
    </row>
    <row r="152" ht="15" customHeight="1">
      <c r="A152" t="inlineStr">
        <is>
          <t>A 53019-2024</t>
        </is>
      </c>
      <c r="B152" s="1" t="n">
        <v>45610</v>
      </c>
      <c r="C152" s="1" t="n">
        <v>45724</v>
      </c>
      <c r="D152" t="inlineStr">
        <is>
          <t>VÄSTMANLANDS LÄN</t>
        </is>
      </c>
      <c r="E152" t="inlineStr">
        <is>
          <t>SALA</t>
        </is>
      </c>
      <c r="G152" t="n">
        <v>1.1</v>
      </c>
      <c r="H152" t="n">
        <v>2</v>
      </c>
      <c r="I152" t="n">
        <v>0</v>
      </c>
      <c r="J152" t="n">
        <v>1</v>
      </c>
      <c r="K152" t="n">
        <v>1</v>
      </c>
      <c r="L152" t="n">
        <v>0</v>
      </c>
      <c r="M152" t="n">
        <v>0</v>
      </c>
      <c r="N152" t="n">
        <v>0</v>
      </c>
      <c r="O152" t="n">
        <v>2</v>
      </c>
      <c r="P152" t="n">
        <v>1</v>
      </c>
      <c r="Q152" t="n">
        <v>3</v>
      </c>
      <c r="R152" s="2" t="inlineStr">
        <is>
          <t>Knärot
Ullticka
Kungsfågel</t>
        </is>
      </c>
      <c r="S152">
        <f>HYPERLINK("https://klasma.github.io/Logging_1981/artfynd/A 53019-2024 artfynd.xlsx", "A 53019-2024")</f>
        <v/>
      </c>
      <c r="T152">
        <f>HYPERLINK("https://klasma.github.io/Logging_1981/kartor/A 53019-2024 karta.png", "A 53019-2024")</f>
        <v/>
      </c>
      <c r="U152">
        <f>HYPERLINK("https://klasma.github.io/Logging_1981/knärot/A 53019-2024 karta knärot.png", "A 53019-2024")</f>
        <v/>
      </c>
      <c r="V152">
        <f>HYPERLINK("https://klasma.github.io/Logging_1981/klagomål/A 53019-2024 FSC-klagomål.docx", "A 53019-2024")</f>
        <v/>
      </c>
      <c r="W152">
        <f>HYPERLINK("https://klasma.github.io/Logging_1981/klagomålsmail/A 53019-2024 FSC-klagomål mail.docx", "A 53019-2024")</f>
        <v/>
      </c>
      <c r="X152">
        <f>HYPERLINK("https://klasma.github.io/Logging_1981/tillsyn/A 53019-2024 tillsynsbegäran.docx", "A 53019-2024")</f>
        <v/>
      </c>
      <c r="Y152">
        <f>HYPERLINK("https://klasma.github.io/Logging_1981/tillsynsmail/A 53019-2024 tillsynsbegäran mail.docx", "A 53019-2024")</f>
        <v/>
      </c>
      <c r="Z152">
        <f>HYPERLINK("https://klasma.github.io/Logging_1981/fåglar/A 53019-2024 prioriterade fågelarter.docx", "A 53019-2024")</f>
        <v/>
      </c>
    </row>
    <row r="153" ht="15" customHeight="1">
      <c r="A153" t="inlineStr">
        <is>
          <t>A 1357-2025</t>
        </is>
      </c>
      <c r="B153" s="1" t="n">
        <v>45667</v>
      </c>
      <c r="C153" s="1" t="n">
        <v>45724</v>
      </c>
      <c r="D153" t="inlineStr">
        <is>
          <t>VÄSTMANLANDS LÄN</t>
        </is>
      </c>
      <c r="E153" t="inlineStr">
        <is>
          <t>SALA</t>
        </is>
      </c>
      <c r="G153" t="n">
        <v>8.4</v>
      </c>
      <c r="H153" t="n">
        <v>2</v>
      </c>
      <c r="I153" t="n">
        <v>0</v>
      </c>
      <c r="J153" t="n">
        <v>1</v>
      </c>
      <c r="K153" t="n">
        <v>0</v>
      </c>
      <c r="L153" t="n">
        <v>0</v>
      </c>
      <c r="M153" t="n">
        <v>0</v>
      </c>
      <c r="N153" t="n">
        <v>0</v>
      </c>
      <c r="O153" t="n">
        <v>1</v>
      </c>
      <c r="P153" t="n">
        <v>0</v>
      </c>
      <c r="Q153" t="n">
        <v>3</v>
      </c>
      <c r="R153" s="2" t="inlineStr">
        <is>
          <t>Tallticka
Fläcknycklar
Blåsippa</t>
        </is>
      </c>
      <c r="S153">
        <f>HYPERLINK("https://klasma.github.io/Logging_1981/artfynd/A 1357-2025 artfynd.xlsx", "A 1357-2025")</f>
        <v/>
      </c>
      <c r="T153">
        <f>HYPERLINK("https://klasma.github.io/Logging_1981/kartor/A 1357-2025 karta.png", "A 1357-2025")</f>
        <v/>
      </c>
      <c r="V153">
        <f>HYPERLINK("https://klasma.github.io/Logging_1981/klagomål/A 1357-2025 FSC-klagomål.docx", "A 1357-2025")</f>
        <v/>
      </c>
      <c r="W153">
        <f>HYPERLINK("https://klasma.github.io/Logging_1981/klagomålsmail/A 1357-2025 FSC-klagomål mail.docx", "A 1357-2025")</f>
        <v/>
      </c>
      <c r="X153">
        <f>HYPERLINK("https://klasma.github.io/Logging_1981/tillsyn/A 1357-2025 tillsynsbegäran.docx", "A 1357-2025")</f>
        <v/>
      </c>
      <c r="Y153">
        <f>HYPERLINK("https://klasma.github.io/Logging_1981/tillsynsmail/A 1357-2025 tillsynsbegäran mail.docx", "A 1357-2025")</f>
        <v/>
      </c>
    </row>
    <row r="154" ht="15" customHeight="1">
      <c r="A154" t="inlineStr">
        <is>
          <t>A 9811-2025</t>
        </is>
      </c>
      <c r="B154" s="1" t="n">
        <v>45716</v>
      </c>
      <c r="C154" s="1" t="n">
        <v>45724</v>
      </c>
      <c r="D154" t="inlineStr">
        <is>
          <t>VÄSTMANLANDS LÄN</t>
        </is>
      </c>
      <c r="E154" t="inlineStr">
        <is>
          <t>NORBERG</t>
        </is>
      </c>
      <c r="F154" t="inlineStr">
        <is>
          <t>Sveaskog</t>
        </is>
      </c>
      <c r="G154" t="n">
        <v>13.7</v>
      </c>
      <c r="H154" t="n">
        <v>1</v>
      </c>
      <c r="I154" t="n">
        <v>2</v>
      </c>
      <c r="J154" t="n">
        <v>1</v>
      </c>
      <c r="K154" t="n">
        <v>0</v>
      </c>
      <c r="L154" t="n">
        <v>0</v>
      </c>
      <c r="M154" t="n">
        <v>0</v>
      </c>
      <c r="N154" t="n">
        <v>0</v>
      </c>
      <c r="O154" t="n">
        <v>1</v>
      </c>
      <c r="P154" t="n">
        <v>0</v>
      </c>
      <c r="Q154" t="n">
        <v>3</v>
      </c>
      <c r="R154" s="2" t="inlineStr">
        <is>
          <t>Slåtterfibbla
Grönkulla
Tibast</t>
        </is>
      </c>
      <c r="S154">
        <f>HYPERLINK("https://klasma.github.io/Logging_1962/artfynd/A 9811-2025 artfynd.xlsx", "A 9811-2025")</f>
        <v/>
      </c>
      <c r="T154">
        <f>HYPERLINK("https://klasma.github.io/Logging_1962/kartor/A 9811-2025 karta.png", "A 9811-2025")</f>
        <v/>
      </c>
      <c r="V154">
        <f>HYPERLINK("https://klasma.github.io/Logging_1962/klagomål/A 9811-2025 FSC-klagomål.docx", "A 9811-2025")</f>
        <v/>
      </c>
      <c r="W154">
        <f>HYPERLINK("https://klasma.github.io/Logging_1962/klagomålsmail/A 9811-2025 FSC-klagomål mail.docx", "A 9811-2025")</f>
        <v/>
      </c>
      <c r="X154">
        <f>HYPERLINK("https://klasma.github.io/Logging_1962/tillsyn/A 9811-2025 tillsynsbegäran.docx", "A 9811-2025")</f>
        <v/>
      </c>
      <c r="Y154">
        <f>HYPERLINK("https://klasma.github.io/Logging_1962/tillsynsmail/A 9811-2025 tillsynsbegäran mail.docx", "A 9811-2025")</f>
        <v/>
      </c>
    </row>
    <row r="155" ht="15" customHeight="1">
      <c r="A155" t="inlineStr">
        <is>
          <t>A 19456-2019</t>
        </is>
      </c>
      <c r="B155" s="1" t="n">
        <v>43565</v>
      </c>
      <c r="C155" s="1" t="n">
        <v>45724</v>
      </c>
      <c r="D155" t="inlineStr">
        <is>
          <t>VÄSTMANLANDS LÄN</t>
        </is>
      </c>
      <c r="E155" t="inlineStr">
        <is>
          <t>VÄSTERÅS</t>
        </is>
      </c>
      <c r="F155" t="inlineStr">
        <is>
          <t>Sveaskog</t>
        </is>
      </c>
      <c r="G155" t="n">
        <v>1</v>
      </c>
      <c r="H155" t="n">
        <v>2</v>
      </c>
      <c r="I155" t="n">
        <v>0</v>
      </c>
      <c r="J155" t="n">
        <v>0</v>
      </c>
      <c r="K155" t="n">
        <v>1</v>
      </c>
      <c r="L155" t="n">
        <v>0</v>
      </c>
      <c r="M155" t="n">
        <v>0</v>
      </c>
      <c r="N155" t="n">
        <v>0</v>
      </c>
      <c r="O155" t="n">
        <v>1</v>
      </c>
      <c r="P155" t="n">
        <v>1</v>
      </c>
      <c r="Q155" t="n">
        <v>2</v>
      </c>
      <c r="R155" s="2" t="inlineStr">
        <is>
          <t>Bombmurkla
Blåsippa</t>
        </is>
      </c>
      <c r="S155">
        <f>HYPERLINK("https://klasma.github.io/Logging_1980/artfynd/A 19456-2019 artfynd.xlsx", "A 19456-2019")</f>
        <v/>
      </c>
      <c r="T155">
        <f>HYPERLINK("https://klasma.github.io/Logging_1980/kartor/A 19456-2019 karta.png", "A 19456-2019")</f>
        <v/>
      </c>
      <c r="V155">
        <f>HYPERLINK("https://klasma.github.io/Logging_1980/klagomål/A 19456-2019 FSC-klagomål.docx", "A 19456-2019")</f>
        <v/>
      </c>
      <c r="W155">
        <f>HYPERLINK("https://klasma.github.io/Logging_1980/klagomålsmail/A 19456-2019 FSC-klagomål mail.docx", "A 19456-2019")</f>
        <v/>
      </c>
      <c r="X155">
        <f>HYPERLINK("https://klasma.github.io/Logging_1980/tillsyn/A 19456-2019 tillsynsbegäran.docx", "A 19456-2019")</f>
        <v/>
      </c>
      <c r="Y155">
        <f>HYPERLINK("https://klasma.github.io/Logging_1980/tillsynsmail/A 19456-2019 tillsynsbegäran mail.docx", "A 19456-2019")</f>
        <v/>
      </c>
    </row>
    <row r="156" ht="15" customHeight="1">
      <c r="A156" t="inlineStr">
        <is>
          <t>A 19955-2019</t>
        </is>
      </c>
      <c r="B156" s="1" t="n">
        <v>43569</v>
      </c>
      <c r="C156" s="1" t="n">
        <v>45724</v>
      </c>
      <c r="D156" t="inlineStr">
        <is>
          <t>VÄSTMANLANDS LÄN</t>
        </is>
      </c>
      <c r="E156" t="inlineStr">
        <is>
          <t>KÖPING</t>
        </is>
      </c>
      <c r="F156" t="inlineStr">
        <is>
          <t>Sveaskog</t>
        </is>
      </c>
      <c r="G156" t="n">
        <v>2</v>
      </c>
      <c r="H156" t="n">
        <v>1</v>
      </c>
      <c r="I156" t="n">
        <v>0</v>
      </c>
      <c r="J156" t="n">
        <v>1</v>
      </c>
      <c r="K156" t="n">
        <v>0</v>
      </c>
      <c r="L156" t="n">
        <v>0</v>
      </c>
      <c r="M156" t="n">
        <v>0</v>
      </c>
      <c r="N156" t="n">
        <v>0</v>
      </c>
      <c r="O156" t="n">
        <v>1</v>
      </c>
      <c r="P156" t="n">
        <v>0</v>
      </c>
      <c r="Q156" t="n">
        <v>2</v>
      </c>
      <c r="R156" s="2" t="inlineStr">
        <is>
          <t>Skogsklocka
Grönvit nattviol</t>
        </is>
      </c>
      <c r="S156">
        <f>HYPERLINK("https://klasma.github.io/Logging_1983/artfynd/A 19955-2019 artfynd.xlsx", "A 19955-2019")</f>
        <v/>
      </c>
      <c r="T156">
        <f>HYPERLINK("https://klasma.github.io/Logging_1983/kartor/A 19955-2019 karta.png", "A 19955-2019")</f>
        <v/>
      </c>
      <c r="V156">
        <f>HYPERLINK("https://klasma.github.io/Logging_1983/klagomål/A 19955-2019 FSC-klagomål.docx", "A 19955-2019")</f>
        <v/>
      </c>
      <c r="W156">
        <f>HYPERLINK("https://klasma.github.io/Logging_1983/klagomålsmail/A 19955-2019 FSC-klagomål mail.docx", "A 19955-2019")</f>
        <v/>
      </c>
      <c r="X156">
        <f>HYPERLINK("https://klasma.github.io/Logging_1983/tillsyn/A 19955-2019 tillsynsbegäran.docx", "A 19955-2019")</f>
        <v/>
      </c>
      <c r="Y156">
        <f>HYPERLINK("https://klasma.github.io/Logging_1983/tillsynsmail/A 19955-2019 tillsynsbegäran mail.docx", "A 19955-2019")</f>
        <v/>
      </c>
    </row>
    <row r="157" ht="15" customHeight="1">
      <c r="A157" t="inlineStr">
        <is>
          <t>A 35213-2019</t>
        </is>
      </c>
      <c r="B157" s="1" t="n">
        <v>43662</v>
      </c>
      <c r="C157" s="1" t="n">
        <v>45724</v>
      </c>
      <c r="D157" t="inlineStr">
        <is>
          <t>VÄSTMANLANDS LÄN</t>
        </is>
      </c>
      <c r="E157" t="inlineStr">
        <is>
          <t>SALA</t>
        </is>
      </c>
      <c r="G157" t="n">
        <v>44.3</v>
      </c>
      <c r="H157" t="n">
        <v>1</v>
      </c>
      <c r="I157" t="n">
        <v>1</v>
      </c>
      <c r="J157" t="n">
        <v>1</v>
      </c>
      <c r="K157" t="n">
        <v>0</v>
      </c>
      <c r="L157" t="n">
        <v>0</v>
      </c>
      <c r="M157" t="n">
        <v>0</v>
      </c>
      <c r="N157" t="n">
        <v>0</v>
      </c>
      <c r="O157" t="n">
        <v>1</v>
      </c>
      <c r="P157" t="n">
        <v>0</v>
      </c>
      <c r="Q157" t="n">
        <v>2</v>
      </c>
      <c r="R157" s="2" t="inlineStr">
        <is>
          <t>Järpe
Mörk husmossa</t>
        </is>
      </c>
      <c r="S157">
        <f>HYPERLINK("https://klasma.github.io/Logging_1981/artfynd/A 35213-2019 artfynd.xlsx", "A 35213-2019")</f>
        <v/>
      </c>
      <c r="T157">
        <f>HYPERLINK("https://klasma.github.io/Logging_1981/kartor/A 35213-2019 karta.png", "A 35213-2019")</f>
        <v/>
      </c>
      <c r="U157">
        <f>HYPERLINK("https://klasma.github.io/Logging_1981/knärot/A 35213-2019 karta knärot.png", "A 35213-2019")</f>
        <v/>
      </c>
      <c r="V157">
        <f>HYPERLINK("https://klasma.github.io/Logging_1981/klagomål/A 35213-2019 FSC-klagomål.docx", "A 35213-2019")</f>
        <v/>
      </c>
      <c r="W157">
        <f>HYPERLINK("https://klasma.github.io/Logging_1981/klagomålsmail/A 35213-2019 FSC-klagomål mail.docx", "A 35213-2019")</f>
        <v/>
      </c>
      <c r="X157">
        <f>HYPERLINK("https://klasma.github.io/Logging_1981/tillsyn/A 35213-2019 tillsynsbegäran.docx", "A 35213-2019")</f>
        <v/>
      </c>
      <c r="Y157">
        <f>HYPERLINK("https://klasma.github.io/Logging_1981/tillsynsmail/A 35213-2019 tillsynsbegäran mail.docx", "A 35213-2019")</f>
        <v/>
      </c>
      <c r="Z157">
        <f>HYPERLINK("https://klasma.github.io/Logging_1981/fåglar/A 35213-2019 prioriterade fågelarter.docx", "A 35213-2019")</f>
        <v/>
      </c>
    </row>
    <row r="158" ht="15" customHeight="1">
      <c r="A158" t="inlineStr">
        <is>
          <t>A 39483-2019</t>
        </is>
      </c>
      <c r="B158" s="1" t="n">
        <v>43691</v>
      </c>
      <c r="C158" s="1" t="n">
        <v>45724</v>
      </c>
      <c r="D158" t="inlineStr">
        <is>
          <t>VÄSTMANLANDS LÄN</t>
        </is>
      </c>
      <c r="E158" t="inlineStr">
        <is>
          <t>SALA</t>
        </is>
      </c>
      <c r="G158" t="n">
        <v>4.6</v>
      </c>
      <c r="H158" t="n">
        <v>2</v>
      </c>
      <c r="I158" t="n">
        <v>0</v>
      </c>
      <c r="J158" t="n">
        <v>1</v>
      </c>
      <c r="K158" t="n">
        <v>0</v>
      </c>
      <c r="L158" t="n">
        <v>0</v>
      </c>
      <c r="M158" t="n">
        <v>0</v>
      </c>
      <c r="N158" t="n">
        <v>0</v>
      </c>
      <c r="O158" t="n">
        <v>1</v>
      </c>
      <c r="P158" t="n">
        <v>0</v>
      </c>
      <c r="Q158" t="n">
        <v>2</v>
      </c>
      <c r="R158" s="2" t="inlineStr">
        <is>
          <t>Nordfladdermus
Vattenfladdermus</t>
        </is>
      </c>
      <c r="S158">
        <f>HYPERLINK("https://klasma.github.io/Logging_1981/artfynd/A 39483-2019 artfynd.xlsx", "A 39483-2019")</f>
        <v/>
      </c>
      <c r="T158">
        <f>HYPERLINK("https://klasma.github.io/Logging_1981/kartor/A 39483-2019 karta.png", "A 39483-2019")</f>
        <v/>
      </c>
      <c r="V158">
        <f>HYPERLINK("https://klasma.github.io/Logging_1981/klagomål/A 39483-2019 FSC-klagomål.docx", "A 39483-2019")</f>
        <v/>
      </c>
      <c r="W158">
        <f>HYPERLINK("https://klasma.github.io/Logging_1981/klagomålsmail/A 39483-2019 FSC-klagomål mail.docx", "A 39483-2019")</f>
        <v/>
      </c>
      <c r="X158">
        <f>HYPERLINK("https://klasma.github.io/Logging_1981/tillsyn/A 39483-2019 tillsynsbegäran.docx", "A 39483-2019")</f>
        <v/>
      </c>
      <c r="Y158">
        <f>HYPERLINK("https://klasma.github.io/Logging_1981/tillsynsmail/A 39483-2019 tillsynsbegäran mail.docx", "A 39483-2019")</f>
        <v/>
      </c>
    </row>
    <row r="159" ht="15" customHeight="1">
      <c r="A159" t="inlineStr">
        <is>
          <t>A 44399-2019</t>
        </is>
      </c>
      <c r="B159" s="1" t="n">
        <v>43711</v>
      </c>
      <c r="C159" s="1" t="n">
        <v>45724</v>
      </c>
      <c r="D159" t="inlineStr">
        <is>
          <t>VÄSTMANLANDS LÄN</t>
        </is>
      </c>
      <c r="E159" t="inlineStr">
        <is>
          <t>FAGERSTA</t>
        </is>
      </c>
      <c r="F159" t="inlineStr">
        <is>
          <t>Kommuner</t>
        </is>
      </c>
      <c r="G159" t="n">
        <v>4.6</v>
      </c>
      <c r="H159" t="n">
        <v>0</v>
      </c>
      <c r="I159" t="n">
        <v>1</v>
      </c>
      <c r="J159" t="n">
        <v>0</v>
      </c>
      <c r="K159" t="n">
        <v>0</v>
      </c>
      <c r="L159" t="n">
        <v>0</v>
      </c>
      <c r="M159" t="n">
        <v>1</v>
      </c>
      <c r="N159" t="n">
        <v>0</v>
      </c>
      <c r="O159" t="n">
        <v>1</v>
      </c>
      <c r="P159" t="n">
        <v>1</v>
      </c>
      <c r="Q159" t="n">
        <v>2</v>
      </c>
      <c r="R159" s="2" t="inlineStr">
        <is>
          <t>Skogsalm
Tibast</t>
        </is>
      </c>
      <c r="S159">
        <f>HYPERLINK("https://klasma.github.io/Logging_1982/artfynd/A 44399-2019 artfynd.xlsx", "A 44399-2019")</f>
        <v/>
      </c>
      <c r="T159">
        <f>HYPERLINK("https://klasma.github.io/Logging_1982/kartor/A 44399-2019 karta.png", "A 44399-2019")</f>
        <v/>
      </c>
      <c r="V159">
        <f>HYPERLINK("https://klasma.github.io/Logging_1982/klagomål/A 44399-2019 FSC-klagomål.docx", "A 44399-2019")</f>
        <v/>
      </c>
      <c r="W159">
        <f>HYPERLINK("https://klasma.github.io/Logging_1982/klagomålsmail/A 44399-2019 FSC-klagomål mail.docx", "A 44399-2019")</f>
        <v/>
      </c>
      <c r="X159">
        <f>HYPERLINK("https://klasma.github.io/Logging_1982/tillsyn/A 44399-2019 tillsynsbegäran.docx", "A 44399-2019")</f>
        <v/>
      </c>
      <c r="Y159">
        <f>HYPERLINK("https://klasma.github.io/Logging_1982/tillsynsmail/A 44399-2019 tillsynsbegäran mail.docx", "A 44399-2019")</f>
        <v/>
      </c>
    </row>
    <row r="160" ht="15" customHeight="1">
      <c r="A160" t="inlineStr">
        <is>
          <t>A 46592-2019</t>
        </is>
      </c>
      <c r="B160" s="1" t="n">
        <v>43719</v>
      </c>
      <c r="C160" s="1" t="n">
        <v>45724</v>
      </c>
      <c r="D160" t="inlineStr">
        <is>
          <t>VÄSTMANLANDS LÄN</t>
        </is>
      </c>
      <c r="E160" t="inlineStr">
        <is>
          <t>SKINNSKATTEBERG</t>
        </is>
      </c>
      <c r="F160" t="inlineStr">
        <is>
          <t>Sveaskog</t>
        </is>
      </c>
      <c r="G160" t="n">
        <v>2</v>
      </c>
      <c r="H160" t="n">
        <v>2</v>
      </c>
      <c r="I160" t="n">
        <v>0</v>
      </c>
      <c r="J160" t="n">
        <v>1</v>
      </c>
      <c r="K160" t="n">
        <v>0</v>
      </c>
      <c r="L160" t="n">
        <v>0</v>
      </c>
      <c r="M160" t="n">
        <v>0</v>
      </c>
      <c r="N160" t="n">
        <v>0</v>
      </c>
      <c r="O160" t="n">
        <v>1</v>
      </c>
      <c r="P160" t="n">
        <v>0</v>
      </c>
      <c r="Q160" t="n">
        <v>2</v>
      </c>
      <c r="R160" s="2" t="inlineStr">
        <is>
          <t>Talltita
Åkergroda</t>
        </is>
      </c>
      <c r="S160">
        <f>HYPERLINK("https://klasma.github.io/Logging_1904/artfynd/A 46592-2019 artfynd.xlsx", "A 46592-2019")</f>
        <v/>
      </c>
      <c r="T160">
        <f>HYPERLINK("https://klasma.github.io/Logging_1904/kartor/A 46592-2019 karta.png", "A 46592-2019")</f>
        <v/>
      </c>
      <c r="V160">
        <f>HYPERLINK("https://klasma.github.io/Logging_1904/klagomål/A 46592-2019 FSC-klagomål.docx", "A 46592-2019")</f>
        <v/>
      </c>
      <c r="W160">
        <f>HYPERLINK("https://klasma.github.io/Logging_1904/klagomålsmail/A 46592-2019 FSC-klagomål mail.docx", "A 46592-2019")</f>
        <v/>
      </c>
      <c r="X160">
        <f>HYPERLINK("https://klasma.github.io/Logging_1904/tillsyn/A 46592-2019 tillsynsbegäran.docx", "A 46592-2019")</f>
        <v/>
      </c>
      <c r="Y160">
        <f>HYPERLINK("https://klasma.github.io/Logging_1904/tillsynsmail/A 46592-2019 tillsynsbegäran mail.docx", "A 46592-2019")</f>
        <v/>
      </c>
      <c r="Z160">
        <f>HYPERLINK("https://klasma.github.io/Logging_1904/fåglar/A 46592-2019 prioriterade fågelarter.docx", "A 46592-2019")</f>
        <v/>
      </c>
    </row>
    <row r="161" ht="15" customHeight="1">
      <c r="A161" t="inlineStr">
        <is>
          <t>A 51396-2019</t>
        </is>
      </c>
      <c r="B161" s="1" t="n">
        <v>43740</v>
      </c>
      <c r="C161" s="1" t="n">
        <v>45724</v>
      </c>
      <c r="D161" t="inlineStr">
        <is>
          <t>VÄSTMANLANDS LÄN</t>
        </is>
      </c>
      <c r="E161" t="inlineStr">
        <is>
          <t>SKINNSKATTEBERG</t>
        </is>
      </c>
      <c r="F161" t="inlineStr">
        <is>
          <t>Sveaskog</t>
        </is>
      </c>
      <c r="G161" t="n">
        <v>5.1</v>
      </c>
      <c r="H161" t="n">
        <v>0</v>
      </c>
      <c r="I161" t="n">
        <v>1</v>
      </c>
      <c r="J161" t="n">
        <v>1</v>
      </c>
      <c r="K161" t="n">
        <v>0</v>
      </c>
      <c r="L161" t="n">
        <v>0</v>
      </c>
      <c r="M161" t="n">
        <v>0</v>
      </c>
      <c r="N161" t="n">
        <v>0</v>
      </c>
      <c r="O161" t="n">
        <v>1</v>
      </c>
      <c r="P161" t="n">
        <v>0</v>
      </c>
      <c r="Q161" t="n">
        <v>2</v>
      </c>
      <c r="R161" s="2" t="inlineStr">
        <is>
          <t>Motaggsvamp
Skarp dropptaggsvamp</t>
        </is>
      </c>
      <c r="S161">
        <f>HYPERLINK("https://klasma.github.io/Logging_1904/artfynd/A 51396-2019 artfynd.xlsx", "A 51396-2019")</f>
        <v/>
      </c>
      <c r="T161">
        <f>HYPERLINK("https://klasma.github.io/Logging_1904/kartor/A 51396-2019 karta.png", "A 51396-2019")</f>
        <v/>
      </c>
      <c r="V161">
        <f>HYPERLINK("https://klasma.github.io/Logging_1904/klagomål/A 51396-2019 FSC-klagomål.docx", "A 51396-2019")</f>
        <v/>
      </c>
      <c r="W161">
        <f>HYPERLINK("https://klasma.github.io/Logging_1904/klagomålsmail/A 51396-2019 FSC-klagomål mail.docx", "A 51396-2019")</f>
        <v/>
      </c>
      <c r="X161">
        <f>HYPERLINK("https://klasma.github.io/Logging_1904/tillsyn/A 51396-2019 tillsynsbegäran.docx", "A 51396-2019")</f>
        <v/>
      </c>
      <c r="Y161">
        <f>HYPERLINK("https://klasma.github.io/Logging_1904/tillsynsmail/A 51396-2019 tillsynsbegäran mail.docx", "A 51396-2019")</f>
        <v/>
      </c>
    </row>
    <row r="162" ht="15" customHeight="1">
      <c r="A162" t="inlineStr">
        <is>
          <t>A 51399-2019</t>
        </is>
      </c>
      <c r="B162" s="1" t="n">
        <v>43740</v>
      </c>
      <c r="C162" s="1" t="n">
        <v>45724</v>
      </c>
      <c r="D162" t="inlineStr">
        <is>
          <t>VÄSTMANLANDS LÄN</t>
        </is>
      </c>
      <c r="E162" t="inlineStr">
        <is>
          <t>SKINNSKATTEBERG</t>
        </is>
      </c>
      <c r="F162" t="inlineStr">
        <is>
          <t>Sveaskog</t>
        </is>
      </c>
      <c r="G162" t="n">
        <v>5.1</v>
      </c>
      <c r="H162" t="n">
        <v>0</v>
      </c>
      <c r="I162" t="n">
        <v>1</v>
      </c>
      <c r="J162" t="n">
        <v>1</v>
      </c>
      <c r="K162" t="n">
        <v>0</v>
      </c>
      <c r="L162" t="n">
        <v>0</v>
      </c>
      <c r="M162" t="n">
        <v>0</v>
      </c>
      <c r="N162" t="n">
        <v>0</v>
      </c>
      <c r="O162" t="n">
        <v>1</v>
      </c>
      <c r="P162" t="n">
        <v>0</v>
      </c>
      <c r="Q162" t="n">
        <v>2</v>
      </c>
      <c r="R162" s="2" t="inlineStr">
        <is>
          <t>Motaggsvamp
Skarp dropptaggsvamp</t>
        </is>
      </c>
      <c r="S162">
        <f>HYPERLINK("https://klasma.github.io/Logging_1904/artfynd/A 51399-2019 artfynd.xlsx", "A 51399-2019")</f>
        <v/>
      </c>
      <c r="T162">
        <f>HYPERLINK("https://klasma.github.io/Logging_1904/kartor/A 51399-2019 karta.png", "A 51399-2019")</f>
        <v/>
      </c>
      <c r="V162">
        <f>HYPERLINK("https://klasma.github.io/Logging_1904/klagomål/A 51399-2019 FSC-klagomål.docx", "A 51399-2019")</f>
        <v/>
      </c>
      <c r="W162">
        <f>HYPERLINK("https://klasma.github.io/Logging_1904/klagomålsmail/A 51399-2019 FSC-klagomål mail.docx", "A 51399-2019")</f>
        <v/>
      </c>
      <c r="X162">
        <f>HYPERLINK("https://klasma.github.io/Logging_1904/tillsyn/A 51399-2019 tillsynsbegäran.docx", "A 51399-2019")</f>
        <v/>
      </c>
      <c r="Y162">
        <f>HYPERLINK("https://klasma.github.io/Logging_1904/tillsynsmail/A 51399-2019 tillsynsbegäran mail.docx", "A 51399-2019")</f>
        <v/>
      </c>
    </row>
    <row r="163" ht="15" customHeight="1">
      <c r="A163" t="inlineStr">
        <is>
          <t>A 56822-2019</t>
        </is>
      </c>
      <c r="B163" s="1" t="n">
        <v>43764</v>
      </c>
      <c r="C163" s="1" t="n">
        <v>45724</v>
      </c>
      <c r="D163" t="inlineStr">
        <is>
          <t>VÄSTMANLANDS LÄN</t>
        </is>
      </c>
      <c r="E163" t="inlineStr">
        <is>
          <t>SKINNSKATTEBERG</t>
        </is>
      </c>
      <c r="F163" t="inlineStr">
        <is>
          <t>Sveaskog</t>
        </is>
      </c>
      <c r="G163" t="n">
        <v>5.2</v>
      </c>
      <c r="H163" t="n">
        <v>0</v>
      </c>
      <c r="I163" t="n">
        <v>2</v>
      </c>
      <c r="J163" t="n">
        <v>0</v>
      </c>
      <c r="K163" t="n">
        <v>0</v>
      </c>
      <c r="L163" t="n">
        <v>0</v>
      </c>
      <c r="M163" t="n">
        <v>0</v>
      </c>
      <c r="N163" t="n">
        <v>0</v>
      </c>
      <c r="O163" t="n">
        <v>0</v>
      </c>
      <c r="P163" t="n">
        <v>0</v>
      </c>
      <c r="Q163" t="n">
        <v>2</v>
      </c>
      <c r="R163" s="2" t="inlineStr">
        <is>
          <t>Mindre märgborre
Vedticka</t>
        </is>
      </c>
      <c r="S163">
        <f>HYPERLINK("https://klasma.github.io/Logging_1904/artfynd/A 56822-2019 artfynd.xlsx", "A 56822-2019")</f>
        <v/>
      </c>
      <c r="T163">
        <f>HYPERLINK("https://klasma.github.io/Logging_1904/kartor/A 56822-2019 karta.png", "A 56822-2019")</f>
        <v/>
      </c>
      <c r="V163">
        <f>HYPERLINK("https://klasma.github.io/Logging_1904/klagomål/A 56822-2019 FSC-klagomål.docx", "A 56822-2019")</f>
        <v/>
      </c>
      <c r="W163">
        <f>HYPERLINK("https://klasma.github.io/Logging_1904/klagomålsmail/A 56822-2019 FSC-klagomål mail.docx", "A 56822-2019")</f>
        <v/>
      </c>
      <c r="X163">
        <f>HYPERLINK("https://klasma.github.io/Logging_1904/tillsyn/A 56822-2019 tillsynsbegäran.docx", "A 56822-2019")</f>
        <v/>
      </c>
      <c r="Y163">
        <f>HYPERLINK("https://klasma.github.io/Logging_1904/tillsynsmail/A 56822-2019 tillsynsbegäran mail.docx", "A 56822-2019")</f>
        <v/>
      </c>
    </row>
    <row r="164" ht="15" customHeight="1">
      <c r="A164" t="inlineStr">
        <is>
          <t>A 56823-2019</t>
        </is>
      </c>
      <c r="B164" s="1" t="n">
        <v>43764</v>
      </c>
      <c r="C164" s="1" t="n">
        <v>45724</v>
      </c>
      <c r="D164" t="inlineStr">
        <is>
          <t>VÄSTMANLANDS LÄN</t>
        </is>
      </c>
      <c r="E164" t="inlineStr">
        <is>
          <t>SKINNSKATTEBERG</t>
        </is>
      </c>
      <c r="F164" t="inlineStr">
        <is>
          <t>Sveaskog</t>
        </is>
      </c>
      <c r="G164" t="n">
        <v>3.3</v>
      </c>
      <c r="H164" t="n">
        <v>0</v>
      </c>
      <c r="I164" t="n">
        <v>1</v>
      </c>
      <c r="J164" t="n">
        <v>0</v>
      </c>
      <c r="K164" t="n">
        <v>1</v>
      </c>
      <c r="L164" t="n">
        <v>0</v>
      </c>
      <c r="M164" t="n">
        <v>0</v>
      </c>
      <c r="N164" t="n">
        <v>0</v>
      </c>
      <c r="O164" t="n">
        <v>1</v>
      </c>
      <c r="P164" t="n">
        <v>1</v>
      </c>
      <c r="Q164" t="n">
        <v>2</v>
      </c>
      <c r="R164" s="2" t="inlineStr">
        <is>
          <t>Tallgångbagge
Mindre märgborre</t>
        </is>
      </c>
      <c r="S164">
        <f>HYPERLINK("https://klasma.github.io/Logging_1904/artfynd/A 56823-2019 artfynd.xlsx", "A 56823-2019")</f>
        <v/>
      </c>
      <c r="T164">
        <f>HYPERLINK("https://klasma.github.io/Logging_1904/kartor/A 56823-2019 karta.png", "A 56823-2019")</f>
        <v/>
      </c>
      <c r="V164">
        <f>HYPERLINK("https://klasma.github.io/Logging_1904/klagomål/A 56823-2019 FSC-klagomål.docx", "A 56823-2019")</f>
        <v/>
      </c>
      <c r="W164">
        <f>HYPERLINK("https://klasma.github.io/Logging_1904/klagomålsmail/A 56823-2019 FSC-klagomål mail.docx", "A 56823-2019")</f>
        <v/>
      </c>
      <c r="X164">
        <f>HYPERLINK("https://klasma.github.io/Logging_1904/tillsyn/A 56823-2019 tillsynsbegäran.docx", "A 56823-2019")</f>
        <v/>
      </c>
      <c r="Y164">
        <f>HYPERLINK("https://klasma.github.io/Logging_1904/tillsynsmail/A 56823-2019 tillsynsbegäran mail.docx", "A 56823-2019")</f>
        <v/>
      </c>
    </row>
    <row r="165" ht="15" customHeight="1">
      <c r="A165" t="inlineStr">
        <is>
          <t>A 59152-2019</t>
        </is>
      </c>
      <c r="B165" s="1" t="n">
        <v>43775</v>
      </c>
      <c r="C165" s="1" t="n">
        <v>45724</v>
      </c>
      <c r="D165" t="inlineStr">
        <is>
          <t>VÄSTMANLANDS LÄN</t>
        </is>
      </c>
      <c r="E165" t="inlineStr">
        <is>
          <t>SALA</t>
        </is>
      </c>
      <c r="F165" t="inlineStr">
        <is>
          <t>Övriga Aktiebolag</t>
        </is>
      </c>
      <c r="G165" t="n">
        <v>4.6</v>
      </c>
      <c r="H165" t="n">
        <v>0</v>
      </c>
      <c r="I165" t="n">
        <v>1</v>
      </c>
      <c r="J165" t="n">
        <v>1</v>
      </c>
      <c r="K165" t="n">
        <v>0</v>
      </c>
      <c r="L165" t="n">
        <v>0</v>
      </c>
      <c r="M165" t="n">
        <v>0</v>
      </c>
      <c r="N165" t="n">
        <v>0</v>
      </c>
      <c r="O165" t="n">
        <v>1</v>
      </c>
      <c r="P165" t="n">
        <v>0</v>
      </c>
      <c r="Q165" t="n">
        <v>2</v>
      </c>
      <c r="R165" s="2" t="inlineStr">
        <is>
          <t>Svart taggsvamp
Vedticka</t>
        </is>
      </c>
      <c r="S165">
        <f>HYPERLINK("https://klasma.github.io/Logging_1981/artfynd/A 59152-2019 artfynd.xlsx", "A 59152-2019")</f>
        <v/>
      </c>
      <c r="T165">
        <f>HYPERLINK("https://klasma.github.io/Logging_1981/kartor/A 59152-2019 karta.png", "A 59152-2019")</f>
        <v/>
      </c>
      <c r="V165">
        <f>HYPERLINK("https://klasma.github.io/Logging_1981/klagomål/A 59152-2019 FSC-klagomål.docx", "A 59152-2019")</f>
        <v/>
      </c>
      <c r="W165">
        <f>HYPERLINK("https://klasma.github.io/Logging_1981/klagomålsmail/A 59152-2019 FSC-klagomål mail.docx", "A 59152-2019")</f>
        <v/>
      </c>
      <c r="X165">
        <f>HYPERLINK("https://klasma.github.io/Logging_1981/tillsyn/A 59152-2019 tillsynsbegäran.docx", "A 59152-2019")</f>
        <v/>
      </c>
      <c r="Y165">
        <f>HYPERLINK("https://klasma.github.io/Logging_1981/tillsynsmail/A 59152-2019 tillsynsbegäran mail.docx", "A 59152-2019")</f>
        <v/>
      </c>
    </row>
    <row r="166" ht="15" customHeight="1">
      <c r="A166" t="inlineStr">
        <is>
          <t>A 62671-2019</t>
        </is>
      </c>
      <c r="B166" s="1" t="n">
        <v>43789</v>
      </c>
      <c r="C166" s="1" t="n">
        <v>45724</v>
      </c>
      <c r="D166" t="inlineStr">
        <is>
          <t>VÄSTMANLANDS LÄN</t>
        </is>
      </c>
      <c r="E166" t="inlineStr">
        <is>
          <t>VÄSTERÅS</t>
        </is>
      </c>
      <c r="G166" t="n">
        <v>3.4</v>
      </c>
      <c r="H166" t="n">
        <v>0</v>
      </c>
      <c r="I166" t="n">
        <v>0</v>
      </c>
      <c r="J166" t="n">
        <v>0</v>
      </c>
      <c r="K166" t="n">
        <v>0</v>
      </c>
      <c r="L166" t="n">
        <v>1</v>
      </c>
      <c r="M166" t="n">
        <v>1</v>
      </c>
      <c r="N166" t="n">
        <v>0</v>
      </c>
      <c r="O166" t="n">
        <v>2</v>
      </c>
      <c r="P166" t="n">
        <v>2</v>
      </c>
      <c r="Q166" t="n">
        <v>2</v>
      </c>
      <c r="R166" s="2" t="inlineStr">
        <is>
          <t>Skogsalm
Ask</t>
        </is>
      </c>
      <c r="S166">
        <f>HYPERLINK("https://klasma.github.io/Logging_1980/artfynd/A 62671-2019 artfynd.xlsx", "A 62671-2019")</f>
        <v/>
      </c>
      <c r="T166">
        <f>HYPERLINK("https://klasma.github.io/Logging_1980/kartor/A 62671-2019 karta.png", "A 62671-2019")</f>
        <v/>
      </c>
      <c r="V166">
        <f>HYPERLINK("https://klasma.github.io/Logging_1980/klagomål/A 62671-2019 FSC-klagomål.docx", "A 62671-2019")</f>
        <v/>
      </c>
      <c r="W166">
        <f>HYPERLINK("https://klasma.github.io/Logging_1980/klagomålsmail/A 62671-2019 FSC-klagomål mail.docx", "A 62671-2019")</f>
        <v/>
      </c>
      <c r="X166">
        <f>HYPERLINK("https://klasma.github.io/Logging_1980/tillsyn/A 62671-2019 tillsynsbegäran.docx", "A 62671-2019")</f>
        <v/>
      </c>
      <c r="Y166">
        <f>HYPERLINK("https://klasma.github.io/Logging_1980/tillsynsmail/A 62671-2019 tillsynsbegäran mail.docx", "A 62671-2019")</f>
        <v/>
      </c>
    </row>
    <row r="167" ht="15" customHeight="1">
      <c r="A167" t="inlineStr">
        <is>
          <t>A 66086-2019</t>
        </is>
      </c>
      <c r="B167" s="1" t="n">
        <v>43807</v>
      </c>
      <c r="C167" s="1" t="n">
        <v>45724</v>
      </c>
      <c r="D167" t="inlineStr">
        <is>
          <t>VÄSTMANLANDS LÄN</t>
        </is>
      </c>
      <c r="E167" t="inlineStr">
        <is>
          <t>NORBERG</t>
        </is>
      </c>
      <c r="G167" t="n">
        <v>16</v>
      </c>
      <c r="H167" t="n">
        <v>1</v>
      </c>
      <c r="I167" t="n">
        <v>1</v>
      </c>
      <c r="J167" t="n">
        <v>0</v>
      </c>
      <c r="K167" t="n">
        <v>1</v>
      </c>
      <c r="L167" t="n">
        <v>0</v>
      </c>
      <c r="M167" t="n">
        <v>0</v>
      </c>
      <c r="N167" t="n">
        <v>0</v>
      </c>
      <c r="O167" t="n">
        <v>1</v>
      </c>
      <c r="P167" t="n">
        <v>1</v>
      </c>
      <c r="Q167" t="n">
        <v>2</v>
      </c>
      <c r="R167" s="2" t="inlineStr">
        <is>
          <t>Knärot
Kambräken</t>
        </is>
      </c>
      <c r="S167">
        <f>HYPERLINK("https://klasma.github.io/Logging_1962/artfynd/A 66086-2019 artfynd.xlsx", "A 66086-2019")</f>
        <v/>
      </c>
      <c r="T167">
        <f>HYPERLINK("https://klasma.github.io/Logging_1962/kartor/A 66086-2019 karta.png", "A 66086-2019")</f>
        <v/>
      </c>
      <c r="U167">
        <f>HYPERLINK("https://klasma.github.io/Logging_1962/knärot/A 66086-2019 karta knärot.png", "A 66086-2019")</f>
        <v/>
      </c>
      <c r="V167">
        <f>HYPERLINK("https://klasma.github.io/Logging_1962/klagomål/A 66086-2019 FSC-klagomål.docx", "A 66086-2019")</f>
        <v/>
      </c>
      <c r="W167">
        <f>HYPERLINK("https://klasma.github.io/Logging_1962/klagomålsmail/A 66086-2019 FSC-klagomål mail.docx", "A 66086-2019")</f>
        <v/>
      </c>
      <c r="X167">
        <f>HYPERLINK("https://klasma.github.io/Logging_1962/tillsyn/A 66086-2019 tillsynsbegäran.docx", "A 66086-2019")</f>
        <v/>
      </c>
      <c r="Y167">
        <f>HYPERLINK("https://klasma.github.io/Logging_1962/tillsynsmail/A 66086-2019 tillsynsbegäran mail.docx", "A 66086-2019")</f>
        <v/>
      </c>
    </row>
    <row r="168" ht="15" customHeight="1">
      <c r="A168" t="inlineStr">
        <is>
          <t>A 67854-2019</t>
        </is>
      </c>
      <c r="B168" s="1" t="n">
        <v>43816</v>
      </c>
      <c r="C168" s="1" t="n">
        <v>45724</v>
      </c>
      <c r="D168" t="inlineStr">
        <is>
          <t>VÄSTMANLANDS LÄN</t>
        </is>
      </c>
      <c r="E168" t="inlineStr">
        <is>
          <t>ARBOGA</t>
        </is>
      </c>
      <c r="G168" t="n">
        <v>10.9</v>
      </c>
      <c r="H168" t="n">
        <v>1</v>
      </c>
      <c r="I168" t="n">
        <v>1</v>
      </c>
      <c r="J168" t="n">
        <v>0</v>
      </c>
      <c r="K168" t="n">
        <v>0</v>
      </c>
      <c r="L168" t="n">
        <v>0</v>
      </c>
      <c r="M168" t="n">
        <v>0</v>
      </c>
      <c r="N168" t="n">
        <v>0</v>
      </c>
      <c r="O168" t="n">
        <v>0</v>
      </c>
      <c r="P168" t="n">
        <v>0</v>
      </c>
      <c r="Q168" t="n">
        <v>2</v>
      </c>
      <c r="R168" s="2" t="inlineStr">
        <is>
          <t>Hässleklocka
Bred kärrtrollslända</t>
        </is>
      </c>
      <c r="S168">
        <f>HYPERLINK("https://klasma.github.io/Logging_1984/artfynd/A 67854-2019 artfynd.xlsx", "A 67854-2019")</f>
        <v/>
      </c>
      <c r="T168">
        <f>HYPERLINK("https://klasma.github.io/Logging_1984/kartor/A 67854-2019 karta.png", "A 67854-2019")</f>
        <v/>
      </c>
      <c r="V168">
        <f>HYPERLINK("https://klasma.github.io/Logging_1984/klagomål/A 67854-2019 FSC-klagomål.docx", "A 67854-2019")</f>
        <v/>
      </c>
      <c r="W168">
        <f>HYPERLINK("https://klasma.github.io/Logging_1984/klagomålsmail/A 67854-2019 FSC-klagomål mail.docx", "A 67854-2019")</f>
        <v/>
      </c>
      <c r="X168">
        <f>HYPERLINK("https://klasma.github.io/Logging_1984/tillsyn/A 67854-2019 tillsynsbegäran.docx", "A 67854-2019")</f>
        <v/>
      </c>
      <c r="Y168">
        <f>HYPERLINK("https://klasma.github.io/Logging_1984/tillsynsmail/A 67854-2019 tillsynsbegäran mail.docx", "A 67854-2019")</f>
        <v/>
      </c>
    </row>
    <row r="169" ht="15" customHeight="1">
      <c r="A169" t="inlineStr">
        <is>
          <t>A 2708-2020</t>
        </is>
      </c>
      <c r="B169" s="1" t="n">
        <v>43850</v>
      </c>
      <c r="C169" s="1" t="n">
        <v>45724</v>
      </c>
      <c r="D169" t="inlineStr">
        <is>
          <t>VÄSTMANLANDS LÄN</t>
        </is>
      </c>
      <c r="E169" t="inlineStr">
        <is>
          <t>SURAHAMMAR</t>
        </is>
      </c>
      <c r="F169" t="inlineStr">
        <is>
          <t>Övriga Aktiebolag</t>
        </is>
      </c>
      <c r="G169" t="n">
        <v>29.7</v>
      </c>
      <c r="H169" t="n">
        <v>0</v>
      </c>
      <c r="I169" t="n">
        <v>0</v>
      </c>
      <c r="J169" t="n">
        <v>2</v>
      </c>
      <c r="K169" t="n">
        <v>0</v>
      </c>
      <c r="L169" t="n">
        <v>0</v>
      </c>
      <c r="M169" t="n">
        <v>0</v>
      </c>
      <c r="N169" t="n">
        <v>0</v>
      </c>
      <c r="O169" t="n">
        <v>2</v>
      </c>
      <c r="P169" t="n">
        <v>0</v>
      </c>
      <c r="Q169" t="n">
        <v>2</v>
      </c>
      <c r="R169" s="2" t="inlineStr">
        <is>
          <t>Tallticka
Ullticka</t>
        </is>
      </c>
      <c r="S169">
        <f>HYPERLINK("https://klasma.github.io/Logging_1907/artfynd/A 2708-2020 artfynd.xlsx", "A 2708-2020")</f>
        <v/>
      </c>
      <c r="T169">
        <f>HYPERLINK("https://klasma.github.io/Logging_1907/kartor/A 2708-2020 karta.png", "A 2708-2020")</f>
        <v/>
      </c>
      <c r="V169">
        <f>HYPERLINK("https://klasma.github.io/Logging_1907/klagomål/A 2708-2020 FSC-klagomål.docx", "A 2708-2020")</f>
        <v/>
      </c>
      <c r="W169">
        <f>HYPERLINK("https://klasma.github.io/Logging_1907/klagomålsmail/A 2708-2020 FSC-klagomål mail.docx", "A 2708-2020")</f>
        <v/>
      </c>
      <c r="X169">
        <f>HYPERLINK("https://klasma.github.io/Logging_1907/tillsyn/A 2708-2020 tillsynsbegäran.docx", "A 2708-2020")</f>
        <v/>
      </c>
      <c r="Y169">
        <f>HYPERLINK("https://klasma.github.io/Logging_1907/tillsynsmail/A 2708-2020 tillsynsbegäran mail.docx", "A 2708-2020")</f>
        <v/>
      </c>
    </row>
    <row r="170" ht="15" customHeight="1">
      <c r="A170" t="inlineStr">
        <is>
          <t>A 32731-2020</t>
        </is>
      </c>
      <c r="B170" s="1" t="n">
        <v>44019</v>
      </c>
      <c r="C170" s="1" t="n">
        <v>45724</v>
      </c>
      <c r="D170" t="inlineStr">
        <is>
          <t>VÄSTMANLANDS LÄN</t>
        </is>
      </c>
      <c r="E170" t="inlineStr">
        <is>
          <t>VÄSTERÅS</t>
        </is>
      </c>
      <c r="G170" t="n">
        <v>77.8</v>
      </c>
      <c r="H170" t="n">
        <v>2</v>
      </c>
      <c r="I170" t="n">
        <v>0</v>
      </c>
      <c r="J170" t="n">
        <v>2</v>
      </c>
      <c r="K170" t="n">
        <v>0</v>
      </c>
      <c r="L170" t="n">
        <v>0</v>
      </c>
      <c r="M170" t="n">
        <v>0</v>
      </c>
      <c r="N170" t="n">
        <v>0</v>
      </c>
      <c r="O170" t="n">
        <v>2</v>
      </c>
      <c r="P170" t="n">
        <v>0</v>
      </c>
      <c r="Q170" t="n">
        <v>2</v>
      </c>
      <c r="R170" s="2" t="inlineStr">
        <is>
          <t>Spillkråka
Svartvit flugsnappare</t>
        </is>
      </c>
      <c r="S170">
        <f>HYPERLINK("https://klasma.github.io/Logging_1980/artfynd/A 32731-2020 artfynd.xlsx", "A 32731-2020")</f>
        <v/>
      </c>
      <c r="T170">
        <f>HYPERLINK("https://klasma.github.io/Logging_1980/kartor/A 32731-2020 karta.png", "A 32731-2020")</f>
        <v/>
      </c>
      <c r="V170">
        <f>HYPERLINK("https://klasma.github.io/Logging_1980/klagomål/A 32731-2020 FSC-klagomål.docx", "A 32731-2020")</f>
        <v/>
      </c>
      <c r="W170">
        <f>HYPERLINK("https://klasma.github.io/Logging_1980/klagomålsmail/A 32731-2020 FSC-klagomål mail.docx", "A 32731-2020")</f>
        <v/>
      </c>
      <c r="X170">
        <f>HYPERLINK("https://klasma.github.io/Logging_1980/tillsyn/A 32731-2020 tillsynsbegäran.docx", "A 32731-2020")</f>
        <v/>
      </c>
      <c r="Y170">
        <f>HYPERLINK("https://klasma.github.io/Logging_1980/tillsynsmail/A 32731-2020 tillsynsbegäran mail.docx", "A 32731-2020")</f>
        <v/>
      </c>
      <c r="Z170">
        <f>HYPERLINK("https://klasma.github.io/Logging_1980/fåglar/A 32731-2020 prioriterade fågelarter.docx", "A 32731-2020")</f>
        <v/>
      </c>
    </row>
    <row r="171" ht="15" customHeight="1">
      <c r="A171" t="inlineStr">
        <is>
          <t>A 32975-2020</t>
        </is>
      </c>
      <c r="B171" s="1" t="n">
        <v>44020</v>
      </c>
      <c r="C171" s="1" t="n">
        <v>45724</v>
      </c>
      <c r="D171" t="inlineStr">
        <is>
          <t>VÄSTMANLANDS LÄN</t>
        </is>
      </c>
      <c r="E171" t="inlineStr">
        <is>
          <t>SALA</t>
        </is>
      </c>
      <c r="G171" t="n">
        <v>10.1</v>
      </c>
      <c r="H171" t="n">
        <v>2</v>
      </c>
      <c r="I171" t="n">
        <v>0</v>
      </c>
      <c r="J171" t="n">
        <v>0</v>
      </c>
      <c r="K171" t="n">
        <v>1</v>
      </c>
      <c r="L171" t="n">
        <v>0</v>
      </c>
      <c r="M171" t="n">
        <v>0</v>
      </c>
      <c r="N171" t="n">
        <v>0</v>
      </c>
      <c r="O171" t="n">
        <v>1</v>
      </c>
      <c r="P171" t="n">
        <v>1</v>
      </c>
      <c r="Q171" t="n">
        <v>2</v>
      </c>
      <c r="R171" s="2" t="inlineStr">
        <is>
          <t>Knärot
Revlummer</t>
        </is>
      </c>
      <c r="S171">
        <f>HYPERLINK("https://klasma.github.io/Logging_1981/artfynd/A 32975-2020 artfynd.xlsx", "A 32975-2020")</f>
        <v/>
      </c>
      <c r="T171">
        <f>HYPERLINK("https://klasma.github.io/Logging_1981/kartor/A 32975-2020 karta.png", "A 32975-2020")</f>
        <v/>
      </c>
      <c r="U171">
        <f>HYPERLINK("https://klasma.github.io/Logging_1981/knärot/A 32975-2020 karta knärot.png", "A 32975-2020")</f>
        <v/>
      </c>
      <c r="V171">
        <f>HYPERLINK("https://klasma.github.io/Logging_1981/klagomål/A 32975-2020 FSC-klagomål.docx", "A 32975-2020")</f>
        <v/>
      </c>
      <c r="W171">
        <f>HYPERLINK("https://klasma.github.io/Logging_1981/klagomålsmail/A 32975-2020 FSC-klagomål mail.docx", "A 32975-2020")</f>
        <v/>
      </c>
      <c r="X171">
        <f>HYPERLINK("https://klasma.github.io/Logging_1981/tillsyn/A 32975-2020 tillsynsbegäran.docx", "A 32975-2020")</f>
        <v/>
      </c>
      <c r="Y171">
        <f>HYPERLINK("https://klasma.github.io/Logging_1981/tillsynsmail/A 32975-2020 tillsynsbegäran mail.docx", "A 32975-2020")</f>
        <v/>
      </c>
    </row>
    <row r="172" ht="15" customHeight="1">
      <c r="A172" t="inlineStr">
        <is>
          <t>A 38302-2020</t>
        </is>
      </c>
      <c r="B172" s="1" t="n">
        <v>44060</v>
      </c>
      <c r="C172" s="1" t="n">
        <v>45724</v>
      </c>
      <c r="D172" t="inlineStr">
        <is>
          <t>VÄSTMANLANDS LÄN</t>
        </is>
      </c>
      <c r="E172" t="inlineStr">
        <is>
          <t>VÄSTERÅS</t>
        </is>
      </c>
      <c r="F172" t="inlineStr">
        <is>
          <t>Kommuner</t>
        </is>
      </c>
      <c r="G172" t="n">
        <v>4.4</v>
      </c>
      <c r="H172" t="n">
        <v>1</v>
      </c>
      <c r="I172" t="n">
        <v>1</v>
      </c>
      <c r="J172" t="n">
        <v>0</v>
      </c>
      <c r="K172" t="n">
        <v>0</v>
      </c>
      <c r="L172" t="n">
        <v>0</v>
      </c>
      <c r="M172" t="n">
        <v>0</v>
      </c>
      <c r="N172" t="n">
        <v>0</v>
      </c>
      <c r="O172" t="n">
        <v>0</v>
      </c>
      <c r="P172" t="n">
        <v>0</v>
      </c>
      <c r="Q172" t="n">
        <v>2</v>
      </c>
      <c r="R172" s="2" t="inlineStr">
        <is>
          <t>Grönpyrola
Mattlummer</t>
        </is>
      </c>
      <c r="S172">
        <f>HYPERLINK("https://klasma.github.io/Logging_1980/artfynd/A 38302-2020 artfynd.xlsx", "A 38302-2020")</f>
        <v/>
      </c>
      <c r="T172">
        <f>HYPERLINK("https://klasma.github.io/Logging_1980/kartor/A 38302-2020 karta.png", "A 38302-2020")</f>
        <v/>
      </c>
      <c r="V172">
        <f>HYPERLINK("https://klasma.github.io/Logging_1980/klagomål/A 38302-2020 FSC-klagomål.docx", "A 38302-2020")</f>
        <v/>
      </c>
      <c r="W172">
        <f>HYPERLINK("https://klasma.github.io/Logging_1980/klagomålsmail/A 38302-2020 FSC-klagomål mail.docx", "A 38302-2020")</f>
        <v/>
      </c>
      <c r="X172">
        <f>HYPERLINK("https://klasma.github.io/Logging_1980/tillsyn/A 38302-2020 tillsynsbegäran.docx", "A 38302-2020")</f>
        <v/>
      </c>
      <c r="Y172">
        <f>HYPERLINK("https://klasma.github.io/Logging_1980/tillsynsmail/A 38302-2020 tillsynsbegäran mail.docx", "A 38302-2020")</f>
        <v/>
      </c>
    </row>
    <row r="173" ht="15" customHeight="1">
      <c r="A173" t="inlineStr">
        <is>
          <t>A 50960-2020</t>
        </is>
      </c>
      <c r="B173" s="1" t="n">
        <v>44111</v>
      </c>
      <c r="C173" s="1" t="n">
        <v>45724</v>
      </c>
      <c r="D173" t="inlineStr">
        <is>
          <t>VÄSTMANLANDS LÄN</t>
        </is>
      </c>
      <c r="E173" t="inlineStr">
        <is>
          <t>SKINNSKATTEBERG</t>
        </is>
      </c>
      <c r="F173" t="inlineStr">
        <is>
          <t>Sveaskog</t>
        </is>
      </c>
      <c r="G173" t="n">
        <v>1.8</v>
      </c>
      <c r="H173" t="n">
        <v>0</v>
      </c>
      <c r="I173" t="n">
        <v>1</v>
      </c>
      <c r="J173" t="n">
        <v>1</v>
      </c>
      <c r="K173" t="n">
        <v>0</v>
      </c>
      <c r="L173" t="n">
        <v>0</v>
      </c>
      <c r="M173" t="n">
        <v>0</v>
      </c>
      <c r="N173" t="n">
        <v>0</v>
      </c>
      <c r="O173" t="n">
        <v>1</v>
      </c>
      <c r="P173" t="n">
        <v>0</v>
      </c>
      <c r="Q173" t="n">
        <v>2</v>
      </c>
      <c r="R173" s="2" t="inlineStr">
        <is>
          <t>Motaggsvamp
Dropptaggsvamp</t>
        </is>
      </c>
      <c r="S173">
        <f>HYPERLINK("https://klasma.github.io/Logging_1904/artfynd/A 50960-2020 artfynd.xlsx", "A 50960-2020")</f>
        <v/>
      </c>
      <c r="T173">
        <f>HYPERLINK("https://klasma.github.io/Logging_1904/kartor/A 50960-2020 karta.png", "A 50960-2020")</f>
        <v/>
      </c>
      <c r="V173">
        <f>HYPERLINK("https://klasma.github.io/Logging_1904/klagomål/A 50960-2020 FSC-klagomål.docx", "A 50960-2020")</f>
        <v/>
      </c>
      <c r="W173">
        <f>HYPERLINK("https://klasma.github.io/Logging_1904/klagomålsmail/A 50960-2020 FSC-klagomål mail.docx", "A 50960-2020")</f>
        <v/>
      </c>
      <c r="X173">
        <f>HYPERLINK("https://klasma.github.io/Logging_1904/tillsyn/A 50960-2020 tillsynsbegäran.docx", "A 50960-2020")</f>
        <v/>
      </c>
      <c r="Y173">
        <f>HYPERLINK("https://klasma.github.io/Logging_1904/tillsynsmail/A 50960-2020 tillsynsbegäran mail.docx", "A 50960-2020")</f>
        <v/>
      </c>
    </row>
    <row r="174" ht="15" customHeight="1">
      <c r="A174" t="inlineStr">
        <is>
          <t>A 54277-2020</t>
        </is>
      </c>
      <c r="B174" s="1" t="n">
        <v>44126</v>
      </c>
      <c r="C174" s="1" t="n">
        <v>45724</v>
      </c>
      <c r="D174" t="inlineStr">
        <is>
          <t>VÄSTMANLANDS LÄN</t>
        </is>
      </c>
      <c r="E174" t="inlineStr">
        <is>
          <t>KÖPING</t>
        </is>
      </c>
      <c r="G174" t="n">
        <v>1.1</v>
      </c>
      <c r="H174" t="n">
        <v>0</v>
      </c>
      <c r="I174" t="n">
        <v>1</v>
      </c>
      <c r="J174" t="n">
        <v>1</v>
      </c>
      <c r="K174" t="n">
        <v>0</v>
      </c>
      <c r="L174" t="n">
        <v>0</v>
      </c>
      <c r="M174" t="n">
        <v>0</v>
      </c>
      <c r="N174" t="n">
        <v>0</v>
      </c>
      <c r="O174" t="n">
        <v>1</v>
      </c>
      <c r="P174" t="n">
        <v>0</v>
      </c>
      <c r="Q174" t="n">
        <v>2</v>
      </c>
      <c r="R174" s="2" t="inlineStr">
        <is>
          <t>Tallticka
Granbarkgnagare</t>
        </is>
      </c>
      <c r="S174">
        <f>HYPERLINK("https://klasma.github.io/Logging_1983/artfynd/A 54277-2020 artfynd.xlsx", "A 54277-2020")</f>
        <v/>
      </c>
      <c r="T174">
        <f>HYPERLINK("https://klasma.github.io/Logging_1983/kartor/A 54277-2020 karta.png", "A 54277-2020")</f>
        <v/>
      </c>
      <c r="V174">
        <f>HYPERLINK("https://klasma.github.io/Logging_1983/klagomål/A 54277-2020 FSC-klagomål.docx", "A 54277-2020")</f>
        <v/>
      </c>
      <c r="W174">
        <f>HYPERLINK("https://klasma.github.io/Logging_1983/klagomålsmail/A 54277-2020 FSC-klagomål mail.docx", "A 54277-2020")</f>
        <v/>
      </c>
      <c r="X174">
        <f>HYPERLINK("https://klasma.github.io/Logging_1983/tillsyn/A 54277-2020 tillsynsbegäran.docx", "A 54277-2020")</f>
        <v/>
      </c>
      <c r="Y174">
        <f>HYPERLINK("https://klasma.github.io/Logging_1983/tillsynsmail/A 54277-2020 tillsynsbegäran mail.docx", "A 54277-2020")</f>
        <v/>
      </c>
    </row>
    <row r="175" ht="15" customHeight="1">
      <c r="A175" t="inlineStr">
        <is>
          <t>A 57412-2020</t>
        </is>
      </c>
      <c r="B175" s="1" t="n">
        <v>44138</v>
      </c>
      <c r="C175" s="1" t="n">
        <v>45724</v>
      </c>
      <c r="D175" t="inlineStr">
        <is>
          <t>VÄSTMANLANDS LÄN</t>
        </is>
      </c>
      <c r="E175" t="inlineStr">
        <is>
          <t>SURAHAMMAR</t>
        </is>
      </c>
      <c r="G175" t="n">
        <v>2.9</v>
      </c>
      <c r="H175" t="n">
        <v>2</v>
      </c>
      <c r="I175" t="n">
        <v>0</v>
      </c>
      <c r="J175" t="n">
        <v>2</v>
      </c>
      <c r="K175" t="n">
        <v>0</v>
      </c>
      <c r="L175" t="n">
        <v>0</v>
      </c>
      <c r="M175" t="n">
        <v>0</v>
      </c>
      <c r="N175" t="n">
        <v>0</v>
      </c>
      <c r="O175" t="n">
        <v>2</v>
      </c>
      <c r="P175" t="n">
        <v>0</v>
      </c>
      <c r="Q175" t="n">
        <v>2</v>
      </c>
      <c r="R175" s="2" t="inlineStr">
        <is>
          <t>Duvhök
Gulsparv</t>
        </is>
      </c>
      <c r="S175">
        <f>HYPERLINK("https://klasma.github.io/Logging_1907/artfynd/A 57412-2020 artfynd.xlsx", "A 57412-2020")</f>
        <v/>
      </c>
      <c r="T175">
        <f>HYPERLINK("https://klasma.github.io/Logging_1907/kartor/A 57412-2020 karta.png", "A 57412-2020")</f>
        <v/>
      </c>
      <c r="V175">
        <f>HYPERLINK("https://klasma.github.io/Logging_1907/klagomål/A 57412-2020 FSC-klagomål.docx", "A 57412-2020")</f>
        <v/>
      </c>
      <c r="W175">
        <f>HYPERLINK("https://klasma.github.io/Logging_1907/klagomålsmail/A 57412-2020 FSC-klagomål mail.docx", "A 57412-2020")</f>
        <v/>
      </c>
      <c r="X175">
        <f>HYPERLINK("https://klasma.github.io/Logging_1907/tillsyn/A 57412-2020 tillsynsbegäran.docx", "A 57412-2020")</f>
        <v/>
      </c>
      <c r="Y175">
        <f>HYPERLINK("https://klasma.github.io/Logging_1907/tillsynsmail/A 57412-2020 tillsynsbegäran mail.docx", "A 57412-2020")</f>
        <v/>
      </c>
      <c r="Z175">
        <f>HYPERLINK("https://klasma.github.io/Logging_1907/fåglar/A 57412-2020 prioriterade fågelarter.docx", "A 57412-2020")</f>
        <v/>
      </c>
    </row>
    <row r="176" ht="15" customHeight="1">
      <c r="A176" t="inlineStr">
        <is>
          <t>A 2313-2021</t>
        </is>
      </c>
      <c r="B176" s="1" t="n">
        <v>44213</v>
      </c>
      <c r="C176" s="1" t="n">
        <v>45724</v>
      </c>
      <c r="D176" t="inlineStr">
        <is>
          <t>VÄSTMANLANDS LÄN</t>
        </is>
      </c>
      <c r="E176" t="inlineStr">
        <is>
          <t>NORBERG</t>
        </is>
      </c>
      <c r="F176" t="inlineStr">
        <is>
          <t>Sveaskog</t>
        </is>
      </c>
      <c r="G176" t="n">
        <v>3.3</v>
      </c>
      <c r="H176" t="n">
        <v>1</v>
      </c>
      <c r="I176" t="n">
        <v>1</v>
      </c>
      <c r="J176" t="n">
        <v>1</v>
      </c>
      <c r="K176" t="n">
        <v>0</v>
      </c>
      <c r="L176" t="n">
        <v>0</v>
      </c>
      <c r="M176" t="n">
        <v>0</v>
      </c>
      <c r="N176" t="n">
        <v>0</v>
      </c>
      <c r="O176" t="n">
        <v>1</v>
      </c>
      <c r="P176" t="n">
        <v>0</v>
      </c>
      <c r="Q176" t="n">
        <v>2</v>
      </c>
      <c r="R176" s="2" t="inlineStr">
        <is>
          <t>Sotnätfjäril
Tvåblad</t>
        </is>
      </c>
      <c r="S176">
        <f>HYPERLINK("https://klasma.github.io/Logging_1962/artfynd/A 2313-2021 artfynd.xlsx", "A 2313-2021")</f>
        <v/>
      </c>
      <c r="T176">
        <f>HYPERLINK("https://klasma.github.io/Logging_1962/kartor/A 2313-2021 karta.png", "A 2313-2021")</f>
        <v/>
      </c>
      <c r="V176">
        <f>HYPERLINK("https://klasma.github.io/Logging_1962/klagomål/A 2313-2021 FSC-klagomål.docx", "A 2313-2021")</f>
        <v/>
      </c>
      <c r="W176">
        <f>HYPERLINK("https://klasma.github.io/Logging_1962/klagomålsmail/A 2313-2021 FSC-klagomål mail.docx", "A 2313-2021")</f>
        <v/>
      </c>
      <c r="X176">
        <f>HYPERLINK("https://klasma.github.io/Logging_1962/tillsyn/A 2313-2021 tillsynsbegäran.docx", "A 2313-2021")</f>
        <v/>
      </c>
      <c r="Y176">
        <f>HYPERLINK("https://klasma.github.io/Logging_1962/tillsynsmail/A 2313-2021 tillsynsbegäran mail.docx", "A 2313-2021")</f>
        <v/>
      </c>
    </row>
    <row r="177" ht="15" customHeight="1">
      <c r="A177" t="inlineStr">
        <is>
          <t>A 21825-2021</t>
        </is>
      </c>
      <c r="B177" s="1" t="n">
        <v>44322</v>
      </c>
      <c r="C177" s="1" t="n">
        <v>45724</v>
      </c>
      <c r="D177" t="inlineStr">
        <is>
          <t>VÄSTMANLANDS LÄN</t>
        </is>
      </c>
      <c r="E177" t="inlineStr">
        <is>
          <t>SURAHAMMAR</t>
        </is>
      </c>
      <c r="G177" t="n">
        <v>4.7</v>
      </c>
      <c r="H177" t="n">
        <v>1</v>
      </c>
      <c r="I177" t="n">
        <v>0</v>
      </c>
      <c r="J177" t="n">
        <v>1</v>
      </c>
      <c r="K177" t="n">
        <v>0</v>
      </c>
      <c r="L177" t="n">
        <v>0</v>
      </c>
      <c r="M177" t="n">
        <v>0</v>
      </c>
      <c r="N177" t="n">
        <v>0</v>
      </c>
      <c r="O177" t="n">
        <v>1</v>
      </c>
      <c r="P177" t="n">
        <v>0</v>
      </c>
      <c r="Q177" t="n">
        <v>2</v>
      </c>
      <c r="R177" s="2" t="inlineStr">
        <is>
          <t>Svinrot
Blåsippa</t>
        </is>
      </c>
      <c r="S177">
        <f>HYPERLINK("https://klasma.github.io/Logging_1907/artfynd/A 21825-2021 artfynd.xlsx", "A 21825-2021")</f>
        <v/>
      </c>
      <c r="T177">
        <f>HYPERLINK("https://klasma.github.io/Logging_1907/kartor/A 21825-2021 karta.png", "A 21825-2021")</f>
        <v/>
      </c>
      <c r="V177">
        <f>HYPERLINK("https://klasma.github.io/Logging_1907/klagomål/A 21825-2021 FSC-klagomål.docx", "A 21825-2021")</f>
        <v/>
      </c>
      <c r="W177">
        <f>HYPERLINK("https://klasma.github.io/Logging_1907/klagomålsmail/A 21825-2021 FSC-klagomål mail.docx", "A 21825-2021")</f>
        <v/>
      </c>
      <c r="X177">
        <f>HYPERLINK("https://klasma.github.io/Logging_1907/tillsyn/A 21825-2021 tillsynsbegäran.docx", "A 21825-2021")</f>
        <v/>
      </c>
      <c r="Y177">
        <f>HYPERLINK("https://klasma.github.io/Logging_1907/tillsynsmail/A 21825-2021 tillsynsbegäran mail.docx", "A 21825-2021")</f>
        <v/>
      </c>
    </row>
    <row r="178" ht="15" customHeight="1">
      <c r="A178" t="inlineStr">
        <is>
          <t>A 24228-2021</t>
        </is>
      </c>
      <c r="B178" s="1" t="n">
        <v>44336</v>
      </c>
      <c r="C178" s="1" t="n">
        <v>45724</v>
      </c>
      <c r="D178" t="inlineStr">
        <is>
          <t>VÄSTMANLANDS LÄN</t>
        </is>
      </c>
      <c r="E178" t="inlineStr">
        <is>
          <t>VÄSTERÅS</t>
        </is>
      </c>
      <c r="F178" t="inlineStr">
        <is>
          <t>Sveaskog</t>
        </is>
      </c>
      <c r="G178" t="n">
        <v>6.7</v>
      </c>
      <c r="H178" t="n">
        <v>0</v>
      </c>
      <c r="I178" t="n">
        <v>1</v>
      </c>
      <c r="J178" t="n">
        <v>1</v>
      </c>
      <c r="K178" t="n">
        <v>0</v>
      </c>
      <c r="L178" t="n">
        <v>0</v>
      </c>
      <c r="M178" t="n">
        <v>0</v>
      </c>
      <c r="N178" t="n">
        <v>0</v>
      </c>
      <c r="O178" t="n">
        <v>1</v>
      </c>
      <c r="P178" t="n">
        <v>0</v>
      </c>
      <c r="Q178" t="n">
        <v>2</v>
      </c>
      <c r="R178" s="2" t="inlineStr">
        <is>
          <t>Ullticka
Gullgröppa</t>
        </is>
      </c>
      <c r="S178">
        <f>HYPERLINK("https://klasma.github.io/Logging_1980/artfynd/A 24228-2021 artfynd.xlsx", "A 24228-2021")</f>
        <v/>
      </c>
      <c r="T178">
        <f>HYPERLINK("https://klasma.github.io/Logging_1980/kartor/A 24228-2021 karta.png", "A 24228-2021")</f>
        <v/>
      </c>
      <c r="V178">
        <f>HYPERLINK("https://klasma.github.io/Logging_1980/klagomål/A 24228-2021 FSC-klagomål.docx", "A 24228-2021")</f>
        <v/>
      </c>
      <c r="W178">
        <f>HYPERLINK("https://klasma.github.io/Logging_1980/klagomålsmail/A 24228-2021 FSC-klagomål mail.docx", "A 24228-2021")</f>
        <v/>
      </c>
      <c r="X178">
        <f>HYPERLINK("https://klasma.github.io/Logging_1980/tillsyn/A 24228-2021 tillsynsbegäran.docx", "A 24228-2021")</f>
        <v/>
      </c>
      <c r="Y178">
        <f>HYPERLINK("https://klasma.github.io/Logging_1980/tillsynsmail/A 24228-2021 tillsynsbegäran mail.docx", "A 24228-2021")</f>
        <v/>
      </c>
    </row>
    <row r="179" ht="15" customHeight="1">
      <c r="A179" t="inlineStr">
        <is>
          <t>A 26898-2021</t>
        </is>
      </c>
      <c r="B179" s="1" t="n">
        <v>44349</v>
      </c>
      <c r="C179" s="1" t="n">
        <v>45724</v>
      </c>
      <c r="D179" t="inlineStr">
        <is>
          <t>VÄSTMANLANDS LÄN</t>
        </is>
      </c>
      <c r="E179" t="inlineStr">
        <is>
          <t>KÖPING</t>
        </is>
      </c>
      <c r="G179" t="n">
        <v>11.9</v>
      </c>
      <c r="H179" t="n">
        <v>0</v>
      </c>
      <c r="I179" t="n">
        <v>0</v>
      </c>
      <c r="J179" t="n">
        <v>1</v>
      </c>
      <c r="K179" t="n">
        <v>1</v>
      </c>
      <c r="L179" t="n">
        <v>0</v>
      </c>
      <c r="M179" t="n">
        <v>0</v>
      </c>
      <c r="N179" t="n">
        <v>0</v>
      </c>
      <c r="O179" t="n">
        <v>2</v>
      </c>
      <c r="P179" t="n">
        <v>1</v>
      </c>
      <c r="Q179" t="n">
        <v>2</v>
      </c>
      <c r="R179" s="2" t="inlineStr">
        <is>
          <t>Rynkskinn
Ullticka</t>
        </is>
      </c>
      <c r="S179">
        <f>HYPERLINK("https://klasma.github.io/Logging_1983/artfynd/A 26898-2021 artfynd.xlsx", "A 26898-2021")</f>
        <v/>
      </c>
      <c r="T179">
        <f>HYPERLINK("https://klasma.github.io/Logging_1983/kartor/A 26898-2021 karta.png", "A 26898-2021")</f>
        <v/>
      </c>
      <c r="V179">
        <f>HYPERLINK("https://klasma.github.io/Logging_1983/klagomål/A 26898-2021 FSC-klagomål.docx", "A 26898-2021")</f>
        <v/>
      </c>
      <c r="W179">
        <f>HYPERLINK("https://klasma.github.io/Logging_1983/klagomålsmail/A 26898-2021 FSC-klagomål mail.docx", "A 26898-2021")</f>
        <v/>
      </c>
      <c r="X179">
        <f>HYPERLINK("https://klasma.github.io/Logging_1983/tillsyn/A 26898-2021 tillsynsbegäran.docx", "A 26898-2021")</f>
        <v/>
      </c>
      <c r="Y179">
        <f>HYPERLINK("https://klasma.github.io/Logging_1983/tillsynsmail/A 26898-2021 tillsynsbegäran mail.docx", "A 26898-2021")</f>
        <v/>
      </c>
    </row>
    <row r="180" ht="15" customHeight="1">
      <c r="A180" t="inlineStr">
        <is>
          <t>A 37801-2021</t>
        </is>
      </c>
      <c r="B180" s="1" t="n">
        <v>44402</v>
      </c>
      <c r="C180" s="1" t="n">
        <v>45724</v>
      </c>
      <c r="D180" t="inlineStr">
        <is>
          <t>VÄSTMANLANDS LÄN</t>
        </is>
      </c>
      <c r="E180" t="inlineStr">
        <is>
          <t>SURAHAMMAR</t>
        </is>
      </c>
      <c r="F180" t="inlineStr">
        <is>
          <t>Kommuner</t>
        </is>
      </c>
      <c r="G180" t="n">
        <v>2.3</v>
      </c>
      <c r="H180" t="n">
        <v>1</v>
      </c>
      <c r="I180" t="n">
        <v>0</v>
      </c>
      <c r="J180" t="n">
        <v>1</v>
      </c>
      <c r="K180" t="n">
        <v>0</v>
      </c>
      <c r="L180" t="n">
        <v>0</v>
      </c>
      <c r="M180" t="n">
        <v>0</v>
      </c>
      <c r="N180" t="n">
        <v>0</v>
      </c>
      <c r="O180" t="n">
        <v>1</v>
      </c>
      <c r="P180" t="n">
        <v>0</v>
      </c>
      <c r="Q180" t="n">
        <v>2</v>
      </c>
      <c r="R180" s="2" t="inlineStr">
        <is>
          <t>Veckticka
Nattviol</t>
        </is>
      </c>
      <c r="S180">
        <f>HYPERLINK("https://klasma.github.io/Logging_1907/artfynd/A 37801-2021 artfynd.xlsx", "A 37801-2021")</f>
        <v/>
      </c>
      <c r="T180">
        <f>HYPERLINK("https://klasma.github.io/Logging_1907/kartor/A 37801-2021 karta.png", "A 37801-2021")</f>
        <v/>
      </c>
      <c r="V180">
        <f>HYPERLINK("https://klasma.github.io/Logging_1907/klagomål/A 37801-2021 FSC-klagomål.docx", "A 37801-2021")</f>
        <v/>
      </c>
      <c r="W180">
        <f>HYPERLINK("https://klasma.github.io/Logging_1907/klagomålsmail/A 37801-2021 FSC-klagomål mail.docx", "A 37801-2021")</f>
        <v/>
      </c>
      <c r="X180">
        <f>HYPERLINK("https://klasma.github.io/Logging_1907/tillsyn/A 37801-2021 tillsynsbegäran.docx", "A 37801-2021")</f>
        <v/>
      </c>
      <c r="Y180">
        <f>HYPERLINK("https://klasma.github.io/Logging_1907/tillsynsmail/A 37801-2021 tillsynsbegäran mail.docx", "A 37801-2021")</f>
        <v/>
      </c>
    </row>
    <row r="181" ht="15" customHeight="1">
      <c r="A181" t="inlineStr">
        <is>
          <t>A 37800-2021</t>
        </is>
      </c>
      <c r="B181" s="1" t="n">
        <v>44402</v>
      </c>
      <c r="C181" s="1" t="n">
        <v>45724</v>
      </c>
      <c r="D181" t="inlineStr">
        <is>
          <t>VÄSTMANLANDS LÄN</t>
        </is>
      </c>
      <c r="E181" t="inlineStr">
        <is>
          <t>SURAHAMMAR</t>
        </is>
      </c>
      <c r="F181" t="inlineStr">
        <is>
          <t>Kommuner</t>
        </is>
      </c>
      <c r="G181" t="n">
        <v>1.3</v>
      </c>
      <c r="H181" t="n">
        <v>1</v>
      </c>
      <c r="I181" t="n">
        <v>0</v>
      </c>
      <c r="J181" t="n">
        <v>1</v>
      </c>
      <c r="K181" t="n">
        <v>0</v>
      </c>
      <c r="L181" t="n">
        <v>0</v>
      </c>
      <c r="M181" t="n">
        <v>0</v>
      </c>
      <c r="N181" t="n">
        <v>0</v>
      </c>
      <c r="O181" t="n">
        <v>1</v>
      </c>
      <c r="P181" t="n">
        <v>0</v>
      </c>
      <c r="Q181" t="n">
        <v>2</v>
      </c>
      <c r="R181" s="2" t="inlineStr">
        <is>
          <t>Svinrot
Grönvit nattviol</t>
        </is>
      </c>
      <c r="S181">
        <f>HYPERLINK("https://klasma.github.io/Logging_1907/artfynd/A 37800-2021 artfynd.xlsx", "A 37800-2021")</f>
        <v/>
      </c>
      <c r="T181">
        <f>HYPERLINK("https://klasma.github.io/Logging_1907/kartor/A 37800-2021 karta.png", "A 37800-2021")</f>
        <v/>
      </c>
      <c r="V181">
        <f>HYPERLINK("https://klasma.github.io/Logging_1907/klagomål/A 37800-2021 FSC-klagomål.docx", "A 37800-2021")</f>
        <v/>
      </c>
      <c r="W181">
        <f>HYPERLINK("https://klasma.github.io/Logging_1907/klagomålsmail/A 37800-2021 FSC-klagomål mail.docx", "A 37800-2021")</f>
        <v/>
      </c>
      <c r="X181">
        <f>HYPERLINK("https://klasma.github.io/Logging_1907/tillsyn/A 37800-2021 tillsynsbegäran.docx", "A 37800-2021")</f>
        <v/>
      </c>
      <c r="Y181">
        <f>HYPERLINK("https://klasma.github.io/Logging_1907/tillsynsmail/A 37800-2021 tillsynsbegäran mail.docx", "A 37800-2021")</f>
        <v/>
      </c>
    </row>
    <row r="182" ht="15" customHeight="1">
      <c r="A182" t="inlineStr">
        <is>
          <t>A 54555-2021</t>
        </is>
      </c>
      <c r="B182" s="1" t="n">
        <v>44473</v>
      </c>
      <c r="C182" s="1" t="n">
        <v>45724</v>
      </c>
      <c r="D182" t="inlineStr">
        <is>
          <t>VÄSTMANLANDS LÄN</t>
        </is>
      </c>
      <c r="E182" t="inlineStr">
        <is>
          <t>SALA</t>
        </is>
      </c>
      <c r="G182" t="n">
        <v>13</v>
      </c>
      <c r="H182" t="n">
        <v>0</v>
      </c>
      <c r="I182" t="n">
        <v>1</v>
      </c>
      <c r="J182" t="n">
        <v>1</v>
      </c>
      <c r="K182" t="n">
        <v>0</v>
      </c>
      <c r="L182" t="n">
        <v>0</v>
      </c>
      <c r="M182" t="n">
        <v>0</v>
      </c>
      <c r="N182" t="n">
        <v>0</v>
      </c>
      <c r="O182" t="n">
        <v>1</v>
      </c>
      <c r="P182" t="n">
        <v>0</v>
      </c>
      <c r="Q182" t="n">
        <v>2</v>
      </c>
      <c r="R182" s="2" t="inlineStr">
        <is>
          <t>Storgröe
Stubbspretmossa</t>
        </is>
      </c>
      <c r="S182">
        <f>HYPERLINK("https://klasma.github.io/Logging_1981/artfynd/A 54555-2021 artfynd.xlsx", "A 54555-2021")</f>
        <v/>
      </c>
      <c r="T182">
        <f>HYPERLINK("https://klasma.github.io/Logging_1981/kartor/A 54555-2021 karta.png", "A 54555-2021")</f>
        <v/>
      </c>
      <c r="V182">
        <f>HYPERLINK("https://klasma.github.io/Logging_1981/klagomål/A 54555-2021 FSC-klagomål.docx", "A 54555-2021")</f>
        <v/>
      </c>
      <c r="W182">
        <f>HYPERLINK("https://klasma.github.io/Logging_1981/klagomålsmail/A 54555-2021 FSC-klagomål mail.docx", "A 54555-2021")</f>
        <v/>
      </c>
      <c r="X182">
        <f>HYPERLINK("https://klasma.github.io/Logging_1981/tillsyn/A 54555-2021 tillsynsbegäran.docx", "A 54555-2021")</f>
        <v/>
      </c>
      <c r="Y182">
        <f>HYPERLINK("https://klasma.github.io/Logging_1981/tillsynsmail/A 54555-2021 tillsynsbegäran mail.docx", "A 54555-2021")</f>
        <v/>
      </c>
    </row>
    <row r="183" ht="15" customHeight="1">
      <c r="A183" t="inlineStr">
        <is>
          <t>A 57168-2021</t>
        </is>
      </c>
      <c r="B183" s="1" t="n">
        <v>44482</v>
      </c>
      <c r="C183" s="1" t="n">
        <v>45724</v>
      </c>
      <c r="D183" t="inlineStr">
        <is>
          <t>VÄSTMANLANDS LÄN</t>
        </is>
      </c>
      <c r="E183" t="inlineStr">
        <is>
          <t>SURAHAMMAR</t>
        </is>
      </c>
      <c r="G183" t="n">
        <v>1.7</v>
      </c>
      <c r="H183" t="n">
        <v>0</v>
      </c>
      <c r="I183" t="n">
        <v>0</v>
      </c>
      <c r="J183" t="n">
        <v>1</v>
      </c>
      <c r="K183" t="n">
        <v>0</v>
      </c>
      <c r="L183" t="n">
        <v>1</v>
      </c>
      <c r="M183" t="n">
        <v>0</v>
      </c>
      <c r="N183" t="n">
        <v>0</v>
      </c>
      <c r="O183" t="n">
        <v>2</v>
      </c>
      <c r="P183" t="n">
        <v>1</v>
      </c>
      <c r="Q183" t="n">
        <v>2</v>
      </c>
      <c r="R183" s="2" t="inlineStr">
        <is>
          <t>Ask
Svartöra</t>
        </is>
      </c>
      <c r="S183">
        <f>HYPERLINK("https://klasma.github.io/Logging_1907/artfynd/A 57168-2021 artfynd.xlsx", "A 57168-2021")</f>
        <v/>
      </c>
      <c r="T183">
        <f>HYPERLINK("https://klasma.github.io/Logging_1907/kartor/A 57168-2021 karta.png", "A 57168-2021")</f>
        <v/>
      </c>
      <c r="V183">
        <f>HYPERLINK("https://klasma.github.io/Logging_1907/klagomål/A 57168-2021 FSC-klagomål.docx", "A 57168-2021")</f>
        <v/>
      </c>
      <c r="W183">
        <f>HYPERLINK("https://klasma.github.io/Logging_1907/klagomålsmail/A 57168-2021 FSC-klagomål mail.docx", "A 57168-2021")</f>
        <v/>
      </c>
      <c r="X183">
        <f>HYPERLINK("https://klasma.github.io/Logging_1907/tillsyn/A 57168-2021 tillsynsbegäran.docx", "A 57168-2021")</f>
        <v/>
      </c>
      <c r="Y183">
        <f>HYPERLINK("https://klasma.github.io/Logging_1907/tillsynsmail/A 57168-2021 tillsynsbegäran mail.docx", "A 57168-2021")</f>
        <v/>
      </c>
    </row>
    <row r="184" ht="15" customHeight="1">
      <c r="A184" t="inlineStr">
        <is>
          <t>A 65300-2021</t>
        </is>
      </c>
      <c r="B184" s="1" t="n">
        <v>44515</v>
      </c>
      <c r="C184" s="1" t="n">
        <v>45724</v>
      </c>
      <c r="D184" t="inlineStr">
        <is>
          <t>VÄSTMANLANDS LÄN</t>
        </is>
      </c>
      <c r="E184" t="inlineStr">
        <is>
          <t>SKINNSKATTEBERG</t>
        </is>
      </c>
      <c r="G184" t="n">
        <v>30.2</v>
      </c>
      <c r="H184" t="n">
        <v>1</v>
      </c>
      <c r="I184" t="n">
        <v>1</v>
      </c>
      <c r="J184" t="n">
        <v>0</v>
      </c>
      <c r="K184" t="n">
        <v>0</v>
      </c>
      <c r="L184" t="n">
        <v>0</v>
      </c>
      <c r="M184" t="n">
        <v>0</v>
      </c>
      <c r="N184" t="n">
        <v>0</v>
      </c>
      <c r="O184" t="n">
        <v>0</v>
      </c>
      <c r="P184" t="n">
        <v>0</v>
      </c>
      <c r="Q184" t="n">
        <v>2</v>
      </c>
      <c r="R184" s="2" t="inlineStr">
        <is>
          <t>Platt fjädermossa
Blåsippa</t>
        </is>
      </c>
      <c r="S184">
        <f>HYPERLINK("https://klasma.github.io/Logging_1904/artfynd/A 65300-2021 artfynd.xlsx", "A 65300-2021")</f>
        <v/>
      </c>
      <c r="T184">
        <f>HYPERLINK("https://klasma.github.io/Logging_1904/kartor/A 65300-2021 karta.png", "A 65300-2021")</f>
        <v/>
      </c>
      <c r="V184">
        <f>HYPERLINK("https://klasma.github.io/Logging_1904/klagomål/A 65300-2021 FSC-klagomål.docx", "A 65300-2021")</f>
        <v/>
      </c>
      <c r="W184">
        <f>HYPERLINK("https://klasma.github.io/Logging_1904/klagomålsmail/A 65300-2021 FSC-klagomål mail.docx", "A 65300-2021")</f>
        <v/>
      </c>
      <c r="X184">
        <f>HYPERLINK("https://klasma.github.io/Logging_1904/tillsyn/A 65300-2021 tillsynsbegäran.docx", "A 65300-2021")</f>
        <v/>
      </c>
      <c r="Y184">
        <f>HYPERLINK("https://klasma.github.io/Logging_1904/tillsynsmail/A 65300-2021 tillsynsbegäran mail.docx", "A 65300-2021")</f>
        <v/>
      </c>
    </row>
    <row r="185" ht="15" customHeight="1">
      <c r="A185" t="inlineStr">
        <is>
          <t>A 66343-2021</t>
        </is>
      </c>
      <c r="B185" s="1" t="n">
        <v>44518</v>
      </c>
      <c r="C185" s="1" t="n">
        <v>45724</v>
      </c>
      <c r="D185" t="inlineStr">
        <is>
          <t>VÄSTMANLANDS LÄN</t>
        </is>
      </c>
      <c r="E185" t="inlineStr">
        <is>
          <t>SURAHAMMAR</t>
        </is>
      </c>
      <c r="F185" t="inlineStr">
        <is>
          <t>Sveaskog</t>
        </is>
      </c>
      <c r="G185" t="n">
        <v>2.5</v>
      </c>
      <c r="H185" t="n">
        <v>0</v>
      </c>
      <c r="I185" t="n">
        <v>1</v>
      </c>
      <c r="J185" t="n">
        <v>0</v>
      </c>
      <c r="K185" t="n">
        <v>1</v>
      </c>
      <c r="L185" t="n">
        <v>0</v>
      </c>
      <c r="M185" t="n">
        <v>0</v>
      </c>
      <c r="N185" t="n">
        <v>0</v>
      </c>
      <c r="O185" t="n">
        <v>1</v>
      </c>
      <c r="P185" t="n">
        <v>1</v>
      </c>
      <c r="Q185" t="n">
        <v>2</v>
      </c>
      <c r="R185" s="2" t="inlineStr">
        <is>
          <t>Torrmusseron
Blåmossa</t>
        </is>
      </c>
      <c r="S185">
        <f>HYPERLINK("https://klasma.github.io/Logging_1907/artfynd/A 66343-2021 artfynd.xlsx", "A 66343-2021")</f>
        <v/>
      </c>
      <c r="T185">
        <f>HYPERLINK("https://klasma.github.io/Logging_1907/kartor/A 66343-2021 karta.png", "A 66343-2021")</f>
        <v/>
      </c>
      <c r="V185">
        <f>HYPERLINK("https://klasma.github.io/Logging_1907/klagomål/A 66343-2021 FSC-klagomål.docx", "A 66343-2021")</f>
        <v/>
      </c>
      <c r="W185">
        <f>HYPERLINK("https://klasma.github.io/Logging_1907/klagomålsmail/A 66343-2021 FSC-klagomål mail.docx", "A 66343-2021")</f>
        <v/>
      </c>
      <c r="X185">
        <f>HYPERLINK("https://klasma.github.io/Logging_1907/tillsyn/A 66343-2021 tillsynsbegäran.docx", "A 66343-2021")</f>
        <v/>
      </c>
      <c r="Y185">
        <f>HYPERLINK("https://klasma.github.io/Logging_1907/tillsynsmail/A 66343-2021 tillsynsbegäran mail.docx", "A 66343-2021")</f>
        <v/>
      </c>
    </row>
    <row r="186" ht="15" customHeight="1">
      <c r="A186" t="inlineStr">
        <is>
          <t>A 73598-2021</t>
        </is>
      </c>
      <c r="B186" s="1" t="n">
        <v>44552</v>
      </c>
      <c r="C186" s="1" t="n">
        <v>45724</v>
      </c>
      <c r="D186" t="inlineStr">
        <is>
          <t>VÄSTMANLANDS LÄN</t>
        </is>
      </c>
      <c r="E186" t="inlineStr">
        <is>
          <t>SALA</t>
        </is>
      </c>
      <c r="G186" t="n">
        <v>1.3</v>
      </c>
      <c r="H186" t="n">
        <v>1</v>
      </c>
      <c r="I186" t="n">
        <v>1</v>
      </c>
      <c r="J186" t="n">
        <v>0</v>
      </c>
      <c r="K186" t="n">
        <v>0</v>
      </c>
      <c r="L186" t="n">
        <v>0</v>
      </c>
      <c r="M186" t="n">
        <v>0</v>
      </c>
      <c r="N186" t="n">
        <v>0</v>
      </c>
      <c r="O186" t="n">
        <v>0</v>
      </c>
      <c r="P186" t="n">
        <v>0</v>
      </c>
      <c r="Q186" t="n">
        <v>2</v>
      </c>
      <c r="R186" s="2" t="inlineStr">
        <is>
          <t>Kryddspindling
Blåsippa</t>
        </is>
      </c>
      <c r="S186">
        <f>HYPERLINK("https://klasma.github.io/Logging_1981/artfynd/A 73598-2021 artfynd.xlsx", "A 73598-2021")</f>
        <v/>
      </c>
      <c r="T186">
        <f>HYPERLINK("https://klasma.github.io/Logging_1981/kartor/A 73598-2021 karta.png", "A 73598-2021")</f>
        <v/>
      </c>
      <c r="V186">
        <f>HYPERLINK("https://klasma.github.io/Logging_1981/klagomål/A 73598-2021 FSC-klagomål.docx", "A 73598-2021")</f>
        <v/>
      </c>
      <c r="W186">
        <f>HYPERLINK("https://klasma.github.io/Logging_1981/klagomålsmail/A 73598-2021 FSC-klagomål mail.docx", "A 73598-2021")</f>
        <v/>
      </c>
      <c r="X186">
        <f>HYPERLINK("https://klasma.github.io/Logging_1981/tillsyn/A 73598-2021 tillsynsbegäran.docx", "A 73598-2021")</f>
        <v/>
      </c>
      <c r="Y186">
        <f>HYPERLINK("https://klasma.github.io/Logging_1981/tillsynsmail/A 73598-2021 tillsynsbegäran mail.docx", "A 73598-2021")</f>
        <v/>
      </c>
    </row>
    <row r="187" ht="15" customHeight="1">
      <c r="A187" t="inlineStr">
        <is>
          <t>A 1500-2022</t>
        </is>
      </c>
      <c r="B187" s="1" t="n">
        <v>44573</v>
      </c>
      <c r="C187" s="1" t="n">
        <v>45724</v>
      </c>
      <c r="D187" t="inlineStr">
        <is>
          <t>VÄSTMANLANDS LÄN</t>
        </is>
      </c>
      <c r="E187" t="inlineStr">
        <is>
          <t>SALA</t>
        </is>
      </c>
      <c r="G187" t="n">
        <v>5.8</v>
      </c>
      <c r="H187" t="n">
        <v>2</v>
      </c>
      <c r="I187" t="n">
        <v>0</v>
      </c>
      <c r="J187" t="n">
        <v>0</v>
      </c>
      <c r="K187" t="n">
        <v>1</v>
      </c>
      <c r="L187" t="n">
        <v>0</v>
      </c>
      <c r="M187" t="n">
        <v>0</v>
      </c>
      <c r="N187" t="n">
        <v>0</v>
      </c>
      <c r="O187" t="n">
        <v>1</v>
      </c>
      <c r="P187" t="n">
        <v>1</v>
      </c>
      <c r="Q187" t="n">
        <v>2</v>
      </c>
      <c r="R187" s="2" t="inlineStr">
        <is>
          <t>Knärot
Revlummer</t>
        </is>
      </c>
      <c r="S187">
        <f>HYPERLINK("https://klasma.github.io/Logging_1981/artfynd/A 1500-2022 artfynd.xlsx", "A 1500-2022")</f>
        <v/>
      </c>
      <c r="T187">
        <f>HYPERLINK("https://klasma.github.io/Logging_1981/kartor/A 1500-2022 karta.png", "A 1500-2022")</f>
        <v/>
      </c>
      <c r="U187">
        <f>HYPERLINK("https://klasma.github.io/Logging_1981/knärot/A 1500-2022 karta knärot.png", "A 1500-2022")</f>
        <v/>
      </c>
      <c r="V187">
        <f>HYPERLINK("https://klasma.github.io/Logging_1981/klagomål/A 1500-2022 FSC-klagomål.docx", "A 1500-2022")</f>
        <v/>
      </c>
      <c r="W187">
        <f>HYPERLINK("https://klasma.github.io/Logging_1981/klagomålsmail/A 1500-2022 FSC-klagomål mail.docx", "A 1500-2022")</f>
        <v/>
      </c>
      <c r="X187">
        <f>HYPERLINK("https://klasma.github.io/Logging_1981/tillsyn/A 1500-2022 tillsynsbegäran.docx", "A 1500-2022")</f>
        <v/>
      </c>
      <c r="Y187">
        <f>HYPERLINK("https://klasma.github.io/Logging_1981/tillsynsmail/A 1500-2022 tillsynsbegäran mail.docx", "A 1500-2022")</f>
        <v/>
      </c>
    </row>
    <row r="188" ht="15" customHeight="1">
      <c r="A188" t="inlineStr">
        <is>
          <t>A 7845-2022</t>
        </is>
      </c>
      <c r="B188" s="1" t="n">
        <v>44608</v>
      </c>
      <c r="C188" s="1" t="n">
        <v>45724</v>
      </c>
      <c r="D188" t="inlineStr">
        <is>
          <t>VÄSTMANLANDS LÄN</t>
        </is>
      </c>
      <c r="E188" t="inlineStr">
        <is>
          <t>SURAHAMMAR</t>
        </is>
      </c>
      <c r="G188" t="n">
        <v>3</v>
      </c>
      <c r="H188" t="n">
        <v>1</v>
      </c>
      <c r="I188" t="n">
        <v>1</v>
      </c>
      <c r="J188" t="n">
        <v>0</v>
      </c>
      <c r="K188" t="n">
        <v>1</v>
      </c>
      <c r="L188" t="n">
        <v>0</v>
      </c>
      <c r="M188" t="n">
        <v>0</v>
      </c>
      <c r="N188" t="n">
        <v>0</v>
      </c>
      <c r="O188" t="n">
        <v>1</v>
      </c>
      <c r="P188" t="n">
        <v>1</v>
      </c>
      <c r="Q188" t="n">
        <v>2</v>
      </c>
      <c r="R188" s="2" t="inlineStr">
        <is>
          <t>Knärot
Vedticka</t>
        </is>
      </c>
      <c r="S188">
        <f>HYPERLINK("https://klasma.github.io/Logging_1907/artfynd/A 7845-2022 artfynd.xlsx", "A 7845-2022")</f>
        <v/>
      </c>
      <c r="T188">
        <f>HYPERLINK("https://klasma.github.io/Logging_1907/kartor/A 7845-2022 karta.png", "A 7845-2022")</f>
        <v/>
      </c>
      <c r="U188">
        <f>HYPERLINK("https://klasma.github.io/Logging_1907/knärot/A 7845-2022 karta knärot.png", "A 7845-2022")</f>
        <v/>
      </c>
      <c r="V188">
        <f>HYPERLINK("https://klasma.github.io/Logging_1907/klagomål/A 7845-2022 FSC-klagomål.docx", "A 7845-2022")</f>
        <v/>
      </c>
      <c r="W188">
        <f>HYPERLINK("https://klasma.github.io/Logging_1907/klagomålsmail/A 7845-2022 FSC-klagomål mail.docx", "A 7845-2022")</f>
        <v/>
      </c>
      <c r="X188">
        <f>HYPERLINK("https://klasma.github.io/Logging_1907/tillsyn/A 7845-2022 tillsynsbegäran.docx", "A 7845-2022")</f>
        <v/>
      </c>
      <c r="Y188">
        <f>HYPERLINK("https://klasma.github.io/Logging_1907/tillsynsmail/A 7845-2022 tillsynsbegäran mail.docx", "A 7845-2022")</f>
        <v/>
      </c>
    </row>
    <row r="189" ht="15" customHeight="1">
      <c r="A189" t="inlineStr">
        <is>
          <t>A 9956-2022</t>
        </is>
      </c>
      <c r="B189" s="1" t="n">
        <v>44621</v>
      </c>
      <c r="C189" s="1" t="n">
        <v>45724</v>
      </c>
      <c r="D189" t="inlineStr">
        <is>
          <t>VÄSTMANLANDS LÄN</t>
        </is>
      </c>
      <c r="E189" t="inlineStr">
        <is>
          <t>FAGERSTA</t>
        </is>
      </c>
      <c r="F189" t="inlineStr">
        <is>
          <t>Kommuner</t>
        </is>
      </c>
      <c r="G189" t="n">
        <v>6.4</v>
      </c>
      <c r="H189" t="n">
        <v>1</v>
      </c>
      <c r="I189" t="n">
        <v>1</v>
      </c>
      <c r="J189" t="n">
        <v>0</v>
      </c>
      <c r="K189" t="n">
        <v>0</v>
      </c>
      <c r="L189" t="n">
        <v>0</v>
      </c>
      <c r="M189" t="n">
        <v>0</v>
      </c>
      <c r="N189" t="n">
        <v>0</v>
      </c>
      <c r="O189" t="n">
        <v>0</v>
      </c>
      <c r="P189" t="n">
        <v>0</v>
      </c>
      <c r="Q189" t="n">
        <v>2</v>
      </c>
      <c r="R189" s="2" t="inlineStr">
        <is>
          <t>Ögonpyrola
Fläcknycklar</t>
        </is>
      </c>
      <c r="S189">
        <f>HYPERLINK("https://klasma.github.io/Logging_1982/artfynd/A 9956-2022 artfynd.xlsx", "A 9956-2022")</f>
        <v/>
      </c>
      <c r="T189">
        <f>HYPERLINK("https://klasma.github.io/Logging_1982/kartor/A 9956-2022 karta.png", "A 9956-2022")</f>
        <v/>
      </c>
      <c r="V189">
        <f>HYPERLINK("https://klasma.github.io/Logging_1982/klagomål/A 9956-2022 FSC-klagomål.docx", "A 9956-2022")</f>
        <v/>
      </c>
      <c r="W189">
        <f>HYPERLINK("https://klasma.github.io/Logging_1982/klagomålsmail/A 9956-2022 FSC-klagomål mail.docx", "A 9956-2022")</f>
        <v/>
      </c>
      <c r="X189">
        <f>HYPERLINK("https://klasma.github.io/Logging_1982/tillsyn/A 9956-2022 tillsynsbegäran.docx", "A 9956-2022")</f>
        <v/>
      </c>
      <c r="Y189">
        <f>HYPERLINK("https://klasma.github.io/Logging_1982/tillsynsmail/A 9956-2022 tillsynsbegäran mail.docx", "A 9956-2022")</f>
        <v/>
      </c>
    </row>
    <row r="190" ht="15" customHeight="1">
      <c r="A190" t="inlineStr">
        <is>
          <t>A 12894-2022</t>
        </is>
      </c>
      <c r="B190" s="1" t="n">
        <v>44641</v>
      </c>
      <c r="C190" s="1" t="n">
        <v>45724</v>
      </c>
      <c r="D190" t="inlineStr">
        <is>
          <t>VÄSTMANLANDS LÄN</t>
        </is>
      </c>
      <c r="E190" t="inlineStr">
        <is>
          <t>VÄSTERÅS</t>
        </is>
      </c>
      <c r="F190" t="inlineStr">
        <is>
          <t>Övriga Aktiebolag</t>
        </is>
      </c>
      <c r="G190" t="n">
        <v>15.5</v>
      </c>
      <c r="H190" t="n">
        <v>1</v>
      </c>
      <c r="I190" t="n">
        <v>0</v>
      </c>
      <c r="J190" t="n">
        <v>1</v>
      </c>
      <c r="K190" t="n">
        <v>0</v>
      </c>
      <c r="L190" t="n">
        <v>1</v>
      </c>
      <c r="M190" t="n">
        <v>0</v>
      </c>
      <c r="N190" t="n">
        <v>0</v>
      </c>
      <c r="O190" t="n">
        <v>2</v>
      </c>
      <c r="P190" t="n">
        <v>1</v>
      </c>
      <c r="Q190" t="n">
        <v>2</v>
      </c>
      <c r="R190" s="2" t="inlineStr">
        <is>
          <t>Ask
Drillsnäppa</t>
        </is>
      </c>
      <c r="S190">
        <f>HYPERLINK("https://klasma.github.io/Logging_1980/artfynd/A 12894-2022 artfynd.xlsx", "A 12894-2022")</f>
        <v/>
      </c>
      <c r="T190">
        <f>HYPERLINK("https://klasma.github.io/Logging_1980/kartor/A 12894-2022 karta.png", "A 12894-2022")</f>
        <v/>
      </c>
      <c r="V190">
        <f>HYPERLINK("https://klasma.github.io/Logging_1980/klagomål/A 12894-2022 FSC-klagomål.docx", "A 12894-2022")</f>
        <v/>
      </c>
      <c r="W190">
        <f>HYPERLINK("https://klasma.github.io/Logging_1980/klagomålsmail/A 12894-2022 FSC-klagomål mail.docx", "A 12894-2022")</f>
        <v/>
      </c>
      <c r="X190">
        <f>HYPERLINK("https://klasma.github.io/Logging_1980/tillsyn/A 12894-2022 tillsynsbegäran.docx", "A 12894-2022")</f>
        <v/>
      </c>
      <c r="Y190">
        <f>HYPERLINK("https://klasma.github.io/Logging_1980/tillsynsmail/A 12894-2022 tillsynsbegäran mail.docx", "A 12894-2022")</f>
        <v/>
      </c>
    </row>
    <row r="191" ht="15" customHeight="1">
      <c r="A191" t="inlineStr">
        <is>
          <t>A 40042-2022</t>
        </is>
      </c>
      <c r="B191" s="1" t="n">
        <v>44819</v>
      </c>
      <c r="C191" s="1" t="n">
        <v>45724</v>
      </c>
      <c r="D191" t="inlineStr">
        <is>
          <t>VÄSTMANLANDS LÄN</t>
        </is>
      </c>
      <c r="E191" t="inlineStr">
        <is>
          <t>SALA</t>
        </is>
      </c>
      <c r="G191" t="n">
        <v>1.7</v>
      </c>
      <c r="H191" t="n">
        <v>2</v>
      </c>
      <c r="I191" t="n">
        <v>0</v>
      </c>
      <c r="J191" t="n">
        <v>0</v>
      </c>
      <c r="K191" t="n">
        <v>1</v>
      </c>
      <c r="L191" t="n">
        <v>0</v>
      </c>
      <c r="M191" t="n">
        <v>0</v>
      </c>
      <c r="N191" t="n">
        <v>0</v>
      </c>
      <c r="O191" t="n">
        <v>1</v>
      </c>
      <c r="P191" t="n">
        <v>1</v>
      </c>
      <c r="Q191" t="n">
        <v>2</v>
      </c>
      <c r="R191" s="2" t="inlineStr">
        <is>
          <t>Knärot
Revlummer</t>
        </is>
      </c>
      <c r="S191">
        <f>HYPERLINK("https://klasma.github.io/Logging_1981/artfynd/A 40042-2022 artfynd.xlsx", "A 40042-2022")</f>
        <v/>
      </c>
      <c r="T191">
        <f>HYPERLINK("https://klasma.github.io/Logging_1981/kartor/A 40042-2022 karta.png", "A 40042-2022")</f>
        <v/>
      </c>
      <c r="U191">
        <f>HYPERLINK("https://klasma.github.io/Logging_1981/knärot/A 40042-2022 karta knärot.png", "A 40042-2022")</f>
        <v/>
      </c>
      <c r="V191">
        <f>HYPERLINK("https://klasma.github.io/Logging_1981/klagomål/A 40042-2022 FSC-klagomål.docx", "A 40042-2022")</f>
        <v/>
      </c>
      <c r="W191">
        <f>HYPERLINK("https://klasma.github.io/Logging_1981/klagomålsmail/A 40042-2022 FSC-klagomål mail.docx", "A 40042-2022")</f>
        <v/>
      </c>
      <c r="X191">
        <f>HYPERLINK("https://klasma.github.io/Logging_1981/tillsyn/A 40042-2022 tillsynsbegäran.docx", "A 40042-2022")</f>
        <v/>
      </c>
      <c r="Y191">
        <f>HYPERLINK("https://klasma.github.io/Logging_1981/tillsynsmail/A 40042-2022 tillsynsbegäran mail.docx", "A 40042-2022")</f>
        <v/>
      </c>
    </row>
    <row r="192" ht="15" customHeight="1">
      <c r="A192" t="inlineStr">
        <is>
          <t>A 42017-2022</t>
        </is>
      </c>
      <c r="B192" s="1" t="n">
        <v>44830</v>
      </c>
      <c r="C192" s="1" t="n">
        <v>45724</v>
      </c>
      <c r="D192" t="inlineStr">
        <is>
          <t>VÄSTMANLANDS LÄN</t>
        </is>
      </c>
      <c r="E192" t="inlineStr">
        <is>
          <t>VÄSTERÅS</t>
        </is>
      </c>
      <c r="G192" t="n">
        <v>10.4</v>
      </c>
      <c r="H192" t="n">
        <v>2</v>
      </c>
      <c r="I192" t="n">
        <v>0</v>
      </c>
      <c r="J192" t="n">
        <v>0</v>
      </c>
      <c r="K192" t="n">
        <v>0</v>
      </c>
      <c r="L192" t="n">
        <v>0</v>
      </c>
      <c r="M192" t="n">
        <v>0</v>
      </c>
      <c r="N192" t="n">
        <v>0</v>
      </c>
      <c r="O192" t="n">
        <v>0</v>
      </c>
      <c r="P192" t="n">
        <v>0</v>
      </c>
      <c r="Q192" t="n">
        <v>2</v>
      </c>
      <c r="R192" s="2" t="inlineStr">
        <is>
          <t>Gröngöling
Kopparödla</t>
        </is>
      </c>
      <c r="S192">
        <f>HYPERLINK("https://klasma.github.io/Logging_1980/artfynd/A 42017-2022 artfynd.xlsx", "A 42017-2022")</f>
        <v/>
      </c>
      <c r="T192">
        <f>HYPERLINK("https://klasma.github.io/Logging_1980/kartor/A 42017-2022 karta.png", "A 42017-2022")</f>
        <v/>
      </c>
      <c r="V192">
        <f>HYPERLINK("https://klasma.github.io/Logging_1980/klagomål/A 42017-2022 FSC-klagomål.docx", "A 42017-2022")</f>
        <v/>
      </c>
      <c r="W192">
        <f>HYPERLINK("https://klasma.github.io/Logging_1980/klagomålsmail/A 42017-2022 FSC-klagomål mail.docx", "A 42017-2022")</f>
        <v/>
      </c>
      <c r="X192">
        <f>HYPERLINK("https://klasma.github.io/Logging_1980/tillsyn/A 42017-2022 tillsynsbegäran.docx", "A 42017-2022")</f>
        <v/>
      </c>
      <c r="Y192">
        <f>HYPERLINK("https://klasma.github.io/Logging_1980/tillsynsmail/A 42017-2022 tillsynsbegäran mail.docx", "A 42017-2022")</f>
        <v/>
      </c>
      <c r="Z192">
        <f>HYPERLINK("https://klasma.github.io/Logging_1980/fåglar/A 42017-2022 prioriterade fågelarter.docx", "A 42017-2022")</f>
        <v/>
      </c>
    </row>
    <row r="193" ht="15" customHeight="1">
      <c r="A193" t="inlineStr">
        <is>
          <t>A 47228-2022</t>
        </is>
      </c>
      <c r="B193" s="1" t="n">
        <v>44852</v>
      </c>
      <c r="C193" s="1" t="n">
        <v>45724</v>
      </c>
      <c r="D193" t="inlineStr">
        <is>
          <t>VÄSTMANLANDS LÄN</t>
        </is>
      </c>
      <c r="E193" t="inlineStr">
        <is>
          <t>VÄSTERÅS</t>
        </is>
      </c>
      <c r="G193" t="n">
        <v>11.6</v>
      </c>
      <c r="H193" t="n">
        <v>0</v>
      </c>
      <c r="I193" t="n">
        <v>0</v>
      </c>
      <c r="J193" t="n">
        <v>1</v>
      </c>
      <c r="K193" t="n">
        <v>0</v>
      </c>
      <c r="L193" t="n">
        <v>1</v>
      </c>
      <c r="M193" t="n">
        <v>0</v>
      </c>
      <c r="N193" t="n">
        <v>0</v>
      </c>
      <c r="O193" t="n">
        <v>2</v>
      </c>
      <c r="P193" t="n">
        <v>1</v>
      </c>
      <c r="Q193" t="n">
        <v>2</v>
      </c>
      <c r="R193" s="2" t="inlineStr">
        <is>
          <t>Vithornad barkskinnbagge
Xyletinus ater</t>
        </is>
      </c>
      <c r="S193">
        <f>HYPERLINK("https://klasma.github.io/Logging_1980/artfynd/A 47228-2022 artfynd.xlsx", "A 47228-2022")</f>
        <v/>
      </c>
      <c r="T193">
        <f>HYPERLINK("https://klasma.github.io/Logging_1980/kartor/A 47228-2022 karta.png", "A 47228-2022")</f>
        <v/>
      </c>
      <c r="V193">
        <f>HYPERLINK("https://klasma.github.io/Logging_1980/klagomål/A 47228-2022 FSC-klagomål.docx", "A 47228-2022")</f>
        <v/>
      </c>
      <c r="W193">
        <f>HYPERLINK("https://klasma.github.io/Logging_1980/klagomålsmail/A 47228-2022 FSC-klagomål mail.docx", "A 47228-2022")</f>
        <v/>
      </c>
      <c r="X193">
        <f>HYPERLINK("https://klasma.github.io/Logging_1980/tillsyn/A 47228-2022 tillsynsbegäran.docx", "A 47228-2022")</f>
        <v/>
      </c>
      <c r="Y193">
        <f>HYPERLINK("https://klasma.github.io/Logging_1980/tillsynsmail/A 47228-2022 tillsynsbegäran mail.docx", "A 47228-2022")</f>
        <v/>
      </c>
    </row>
    <row r="194" ht="15" customHeight="1">
      <c r="A194" t="inlineStr">
        <is>
          <t>A 52909-2022</t>
        </is>
      </c>
      <c r="B194" s="1" t="n">
        <v>44875</v>
      </c>
      <c r="C194" s="1" t="n">
        <v>45724</v>
      </c>
      <c r="D194" t="inlineStr">
        <is>
          <t>VÄSTMANLANDS LÄN</t>
        </is>
      </c>
      <c r="E194" t="inlineStr">
        <is>
          <t>SALA</t>
        </is>
      </c>
      <c r="G194" t="n">
        <v>0.5</v>
      </c>
      <c r="H194" t="n">
        <v>1</v>
      </c>
      <c r="I194" t="n">
        <v>0</v>
      </c>
      <c r="J194" t="n">
        <v>1</v>
      </c>
      <c r="K194" t="n">
        <v>0</v>
      </c>
      <c r="L194" t="n">
        <v>0</v>
      </c>
      <c r="M194" t="n">
        <v>0</v>
      </c>
      <c r="N194" t="n">
        <v>0</v>
      </c>
      <c r="O194" t="n">
        <v>1</v>
      </c>
      <c r="P194" t="n">
        <v>0</v>
      </c>
      <c r="Q194" t="n">
        <v>2</v>
      </c>
      <c r="R194" s="2" t="inlineStr">
        <is>
          <t>Svinrot
Nattviol</t>
        </is>
      </c>
      <c r="S194">
        <f>HYPERLINK("https://klasma.github.io/Logging_1981/artfynd/A 52909-2022 artfynd.xlsx", "A 52909-2022")</f>
        <v/>
      </c>
      <c r="T194">
        <f>HYPERLINK("https://klasma.github.io/Logging_1981/kartor/A 52909-2022 karta.png", "A 52909-2022")</f>
        <v/>
      </c>
      <c r="V194">
        <f>HYPERLINK("https://klasma.github.io/Logging_1981/klagomål/A 52909-2022 FSC-klagomål.docx", "A 52909-2022")</f>
        <v/>
      </c>
      <c r="W194">
        <f>HYPERLINK("https://klasma.github.io/Logging_1981/klagomålsmail/A 52909-2022 FSC-klagomål mail.docx", "A 52909-2022")</f>
        <v/>
      </c>
      <c r="X194">
        <f>HYPERLINK("https://klasma.github.io/Logging_1981/tillsyn/A 52909-2022 tillsynsbegäran.docx", "A 52909-2022")</f>
        <v/>
      </c>
      <c r="Y194">
        <f>HYPERLINK("https://klasma.github.io/Logging_1981/tillsynsmail/A 52909-2022 tillsynsbegäran mail.docx", "A 52909-2022")</f>
        <v/>
      </c>
    </row>
    <row r="195" ht="15" customHeight="1">
      <c r="A195" t="inlineStr">
        <is>
          <t>A 59332-2022</t>
        </is>
      </c>
      <c r="B195" s="1" t="n">
        <v>44904</v>
      </c>
      <c r="C195" s="1" t="n">
        <v>45724</v>
      </c>
      <c r="D195" t="inlineStr">
        <is>
          <t>VÄSTMANLANDS LÄN</t>
        </is>
      </c>
      <c r="E195" t="inlineStr">
        <is>
          <t>KUNGSÖR</t>
        </is>
      </c>
      <c r="G195" t="n">
        <v>4.8</v>
      </c>
      <c r="H195" t="n">
        <v>0</v>
      </c>
      <c r="I195" t="n">
        <v>0</v>
      </c>
      <c r="J195" t="n">
        <v>2</v>
      </c>
      <c r="K195" t="n">
        <v>0</v>
      </c>
      <c r="L195" t="n">
        <v>0</v>
      </c>
      <c r="M195" t="n">
        <v>0</v>
      </c>
      <c r="N195" t="n">
        <v>0</v>
      </c>
      <c r="O195" t="n">
        <v>2</v>
      </c>
      <c r="P195" t="n">
        <v>0</v>
      </c>
      <c r="Q195" t="n">
        <v>2</v>
      </c>
      <c r="R195" s="2" t="inlineStr">
        <is>
          <t>Ekticka
Ullticka</t>
        </is>
      </c>
      <c r="S195">
        <f>HYPERLINK("https://klasma.github.io/Logging_1960/artfynd/A 59332-2022 artfynd.xlsx", "A 59332-2022")</f>
        <v/>
      </c>
      <c r="T195">
        <f>HYPERLINK("https://klasma.github.io/Logging_1960/kartor/A 59332-2022 karta.png", "A 59332-2022")</f>
        <v/>
      </c>
      <c r="V195">
        <f>HYPERLINK("https://klasma.github.io/Logging_1960/klagomål/A 59332-2022 FSC-klagomål.docx", "A 59332-2022")</f>
        <v/>
      </c>
      <c r="W195">
        <f>HYPERLINK("https://klasma.github.io/Logging_1960/klagomålsmail/A 59332-2022 FSC-klagomål mail.docx", "A 59332-2022")</f>
        <v/>
      </c>
      <c r="X195">
        <f>HYPERLINK("https://klasma.github.io/Logging_1960/tillsyn/A 59332-2022 tillsynsbegäran.docx", "A 59332-2022")</f>
        <v/>
      </c>
      <c r="Y195">
        <f>HYPERLINK("https://klasma.github.io/Logging_1960/tillsynsmail/A 59332-2022 tillsynsbegäran mail.docx", "A 59332-2022")</f>
        <v/>
      </c>
    </row>
    <row r="196" ht="15" customHeight="1">
      <c r="A196" t="inlineStr">
        <is>
          <t>A 7747-2023</t>
        </is>
      </c>
      <c r="B196" s="1" t="n">
        <v>44973</v>
      </c>
      <c r="C196" s="1" t="n">
        <v>45724</v>
      </c>
      <c r="D196" t="inlineStr">
        <is>
          <t>VÄSTMANLANDS LÄN</t>
        </is>
      </c>
      <c r="E196" t="inlineStr">
        <is>
          <t>SALA</t>
        </is>
      </c>
      <c r="F196" t="inlineStr">
        <is>
          <t>Övriga Aktiebolag</t>
        </is>
      </c>
      <c r="G196" t="n">
        <v>3.1</v>
      </c>
      <c r="H196" t="n">
        <v>1</v>
      </c>
      <c r="I196" t="n">
        <v>0</v>
      </c>
      <c r="J196" t="n">
        <v>2</v>
      </c>
      <c r="K196" t="n">
        <v>0</v>
      </c>
      <c r="L196" t="n">
        <v>0</v>
      </c>
      <c r="M196" t="n">
        <v>0</v>
      </c>
      <c r="N196" t="n">
        <v>0</v>
      </c>
      <c r="O196" t="n">
        <v>2</v>
      </c>
      <c r="P196" t="n">
        <v>0</v>
      </c>
      <c r="Q196" t="n">
        <v>2</v>
      </c>
      <c r="R196" s="2" t="inlineStr">
        <is>
          <t>Mindre timmerman
Talltita</t>
        </is>
      </c>
      <c r="S196">
        <f>HYPERLINK("https://klasma.github.io/Logging_1981/artfynd/A 7747-2023 artfynd.xlsx", "A 7747-2023")</f>
        <v/>
      </c>
      <c r="T196">
        <f>HYPERLINK("https://klasma.github.io/Logging_1981/kartor/A 7747-2023 karta.png", "A 7747-2023")</f>
        <v/>
      </c>
      <c r="V196">
        <f>HYPERLINK("https://klasma.github.io/Logging_1981/klagomål/A 7747-2023 FSC-klagomål.docx", "A 7747-2023")</f>
        <v/>
      </c>
      <c r="W196">
        <f>HYPERLINK("https://klasma.github.io/Logging_1981/klagomålsmail/A 7747-2023 FSC-klagomål mail.docx", "A 7747-2023")</f>
        <v/>
      </c>
      <c r="X196">
        <f>HYPERLINK("https://klasma.github.io/Logging_1981/tillsyn/A 7747-2023 tillsynsbegäran.docx", "A 7747-2023")</f>
        <v/>
      </c>
      <c r="Y196">
        <f>HYPERLINK("https://klasma.github.io/Logging_1981/tillsynsmail/A 7747-2023 tillsynsbegäran mail.docx", "A 7747-2023")</f>
        <v/>
      </c>
      <c r="Z196">
        <f>HYPERLINK("https://klasma.github.io/Logging_1981/fåglar/A 7747-2023 prioriterade fågelarter.docx", "A 7747-2023")</f>
        <v/>
      </c>
    </row>
    <row r="197" ht="15" customHeight="1">
      <c r="A197" t="inlineStr">
        <is>
          <t>A 13029-2023</t>
        </is>
      </c>
      <c r="B197" s="1" t="n">
        <v>45001</v>
      </c>
      <c r="C197" s="1" t="n">
        <v>45724</v>
      </c>
      <c r="D197" t="inlineStr">
        <is>
          <t>VÄSTMANLANDS LÄN</t>
        </is>
      </c>
      <c r="E197" t="inlineStr">
        <is>
          <t>SALA</t>
        </is>
      </c>
      <c r="G197" t="n">
        <v>2</v>
      </c>
      <c r="H197" t="n">
        <v>0</v>
      </c>
      <c r="I197" t="n">
        <v>0</v>
      </c>
      <c r="J197" t="n">
        <v>2</v>
      </c>
      <c r="K197" t="n">
        <v>0</v>
      </c>
      <c r="L197" t="n">
        <v>0</v>
      </c>
      <c r="M197" t="n">
        <v>0</v>
      </c>
      <c r="N197" t="n">
        <v>0</v>
      </c>
      <c r="O197" t="n">
        <v>2</v>
      </c>
      <c r="P197" t="n">
        <v>0</v>
      </c>
      <c r="Q197" t="n">
        <v>2</v>
      </c>
      <c r="R197" s="2" t="inlineStr">
        <is>
          <t>Krusfrö
Linmåra/småsnärjmåra</t>
        </is>
      </c>
      <c r="S197">
        <f>HYPERLINK("https://klasma.github.io/Logging_1981/artfynd/A 13029-2023 artfynd.xlsx", "A 13029-2023")</f>
        <v/>
      </c>
      <c r="T197">
        <f>HYPERLINK("https://klasma.github.io/Logging_1981/kartor/A 13029-2023 karta.png", "A 13029-2023")</f>
        <v/>
      </c>
      <c r="V197">
        <f>HYPERLINK("https://klasma.github.io/Logging_1981/klagomål/A 13029-2023 FSC-klagomål.docx", "A 13029-2023")</f>
        <v/>
      </c>
      <c r="W197">
        <f>HYPERLINK("https://klasma.github.io/Logging_1981/klagomålsmail/A 13029-2023 FSC-klagomål mail.docx", "A 13029-2023")</f>
        <v/>
      </c>
      <c r="X197">
        <f>HYPERLINK("https://klasma.github.io/Logging_1981/tillsyn/A 13029-2023 tillsynsbegäran.docx", "A 13029-2023")</f>
        <v/>
      </c>
      <c r="Y197">
        <f>HYPERLINK("https://klasma.github.io/Logging_1981/tillsynsmail/A 13029-2023 tillsynsbegäran mail.docx", "A 13029-2023")</f>
        <v/>
      </c>
    </row>
    <row r="198" ht="15" customHeight="1">
      <c r="A198" t="inlineStr">
        <is>
          <t>A 16217-2023</t>
        </is>
      </c>
      <c r="B198" s="1" t="n">
        <v>45022</v>
      </c>
      <c r="C198" s="1" t="n">
        <v>45724</v>
      </c>
      <c r="D198" t="inlineStr">
        <is>
          <t>VÄSTMANLANDS LÄN</t>
        </is>
      </c>
      <c r="E198" t="inlineStr">
        <is>
          <t>SURAHAMMAR</t>
        </is>
      </c>
      <c r="G198" t="n">
        <v>2.6</v>
      </c>
      <c r="H198" t="n">
        <v>1</v>
      </c>
      <c r="I198" t="n">
        <v>1</v>
      </c>
      <c r="J198" t="n">
        <v>1</v>
      </c>
      <c r="K198" t="n">
        <v>0</v>
      </c>
      <c r="L198" t="n">
        <v>0</v>
      </c>
      <c r="M198" t="n">
        <v>0</v>
      </c>
      <c r="N198" t="n">
        <v>0</v>
      </c>
      <c r="O198" t="n">
        <v>1</v>
      </c>
      <c r="P198" t="n">
        <v>0</v>
      </c>
      <c r="Q198" t="n">
        <v>2</v>
      </c>
      <c r="R198" s="2" t="inlineStr">
        <is>
          <t>Tretåig hackspett
Gullgröppa</t>
        </is>
      </c>
      <c r="S198">
        <f>HYPERLINK("https://klasma.github.io/Logging_1907/artfynd/A 16217-2023 artfynd.xlsx", "A 16217-2023")</f>
        <v/>
      </c>
      <c r="T198">
        <f>HYPERLINK("https://klasma.github.io/Logging_1907/kartor/A 16217-2023 karta.png", "A 16217-2023")</f>
        <v/>
      </c>
      <c r="V198">
        <f>HYPERLINK("https://klasma.github.io/Logging_1907/klagomål/A 16217-2023 FSC-klagomål.docx", "A 16217-2023")</f>
        <v/>
      </c>
      <c r="W198">
        <f>HYPERLINK("https://klasma.github.io/Logging_1907/klagomålsmail/A 16217-2023 FSC-klagomål mail.docx", "A 16217-2023")</f>
        <v/>
      </c>
      <c r="X198">
        <f>HYPERLINK("https://klasma.github.io/Logging_1907/tillsyn/A 16217-2023 tillsynsbegäran.docx", "A 16217-2023")</f>
        <v/>
      </c>
      <c r="Y198">
        <f>HYPERLINK("https://klasma.github.io/Logging_1907/tillsynsmail/A 16217-2023 tillsynsbegäran mail.docx", "A 16217-2023")</f>
        <v/>
      </c>
      <c r="Z198">
        <f>HYPERLINK("https://klasma.github.io/Logging_1907/fåglar/A 16217-2023 prioriterade fågelarter.docx", "A 16217-2023")</f>
        <v/>
      </c>
    </row>
    <row r="199" ht="15" customHeight="1">
      <c r="A199" t="inlineStr">
        <is>
          <t>A 16012-2023</t>
        </is>
      </c>
      <c r="B199" s="1" t="n">
        <v>45026</v>
      </c>
      <c r="C199" s="1" t="n">
        <v>45724</v>
      </c>
      <c r="D199" t="inlineStr">
        <is>
          <t>VÄSTMANLANDS LÄN</t>
        </is>
      </c>
      <c r="E199" t="inlineStr">
        <is>
          <t>KÖPING</t>
        </is>
      </c>
      <c r="G199" t="n">
        <v>19.4</v>
      </c>
      <c r="H199" t="n">
        <v>0</v>
      </c>
      <c r="I199" t="n">
        <v>1</v>
      </c>
      <c r="J199" t="n">
        <v>1</v>
      </c>
      <c r="K199" t="n">
        <v>0</v>
      </c>
      <c r="L199" t="n">
        <v>0</v>
      </c>
      <c r="M199" t="n">
        <v>0</v>
      </c>
      <c r="N199" t="n">
        <v>0</v>
      </c>
      <c r="O199" t="n">
        <v>1</v>
      </c>
      <c r="P199" t="n">
        <v>0</v>
      </c>
      <c r="Q199" t="n">
        <v>2</v>
      </c>
      <c r="R199" s="2" t="inlineStr">
        <is>
          <t>Krusfrö
Kamjordstjärna</t>
        </is>
      </c>
      <c r="S199">
        <f>HYPERLINK("https://klasma.github.io/Logging_1983/artfynd/A 16012-2023 artfynd.xlsx", "A 16012-2023")</f>
        <v/>
      </c>
      <c r="T199">
        <f>HYPERLINK("https://klasma.github.io/Logging_1983/kartor/A 16012-2023 karta.png", "A 16012-2023")</f>
        <v/>
      </c>
      <c r="V199">
        <f>HYPERLINK("https://klasma.github.io/Logging_1983/klagomål/A 16012-2023 FSC-klagomål.docx", "A 16012-2023")</f>
        <v/>
      </c>
      <c r="W199">
        <f>HYPERLINK("https://klasma.github.io/Logging_1983/klagomålsmail/A 16012-2023 FSC-klagomål mail.docx", "A 16012-2023")</f>
        <v/>
      </c>
      <c r="X199">
        <f>HYPERLINK("https://klasma.github.io/Logging_1983/tillsyn/A 16012-2023 tillsynsbegäran.docx", "A 16012-2023")</f>
        <v/>
      </c>
      <c r="Y199">
        <f>HYPERLINK("https://klasma.github.io/Logging_1983/tillsynsmail/A 16012-2023 tillsynsbegäran mail.docx", "A 16012-2023")</f>
        <v/>
      </c>
    </row>
    <row r="200" ht="15" customHeight="1">
      <c r="A200" t="inlineStr">
        <is>
          <t>A 17082-2023</t>
        </is>
      </c>
      <c r="B200" s="1" t="n">
        <v>45034</v>
      </c>
      <c r="C200" s="1" t="n">
        <v>45724</v>
      </c>
      <c r="D200" t="inlineStr">
        <is>
          <t>VÄSTMANLANDS LÄN</t>
        </is>
      </c>
      <c r="E200" t="inlineStr">
        <is>
          <t>NORBERG</t>
        </is>
      </c>
      <c r="F200" t="inlineStr">
        <is>
          <t>Övriga Aktiebolag</t>
        </is>
      </c>
      <c r="G200" t="n">
        <v>10.6</v>
      </c>
      <c r="H200" t="n">
        <v>1</v>
      </c>
      <c r="I200" t="n">
        <v>1</v>
      </c>
      <c r="J200" t="n">
        <v>0</v>
      </c>
      <c r="K200" t="n">
        <v>1</v>
      </c>
      <c r="L200" t="n">
        <v>0</v>
      </c>
      <c r="M200" t="n">
        <v>0</v>
      </c>
      <c r="N200" t="n">
        <v>0</v>
      </c>
      <c r="O200" t="n">
        <v>1</v>
      </c>
      <c r="P200" t="n">
        <v>1</v>
      </c>
      <c r="Q200" t="n">
        <v>2</v>
      </c>
      <c r="R200" s="2" t="inlineStr">
        <is>
          <t>Knärot
Vedticka</t>
        </is>
      </c>
      <c r="S200">
        <f>HYPERLINK("https://klasma.github.io/Logging_1962/artfynd/A 17082-2023 artfynd.xlsx", "A 17082-2023")</f>
        <v/>
      </c>
      <c r="T200">
        <f>HYPERLINK("https://klasma.github.io/Logging_1962/kartor/A 17082-2023 karta.png", "A 17082-2023")</f>
        <v/>
      </c>
      <c r="U200">
        <f>HYPERLINK("https://klasma.github.io/Logging_1962/knärot/A 17082-2023 karta knärot.png", "A 17082-2023")</f>
        <v/>
      </c>
      <c r="V200">
        <f>HYPERLINK("https://klasma.github.io/Logging_1962/klagomål/A 17082-2023 FSC-klagomål.docx", "A 17082-2023")</f>
        <v/>
      </c>
      <c r="W200">
        <f>HYPERLINK("https://klasma.github.io/Logging_1962/klagomålsmail/A 17082-2023 FSC-klagomål mail.docx", "A 17082-2023")</f>
        <v/>
      </c>
      <c r="X200">
        <f>HYPERLINK("https://klasma.github.io/Logging_1962/tillsyn/A 17082-2023 tillsynsbegäran.docx", "A 17082-2023")</f>
        <v/>
      </c>
      <c r="Y200">
        <f>HYPERLINK("https://klasma.github.io/Logging_1962/tillsynsmail/A 17082-2023 tillsynsbegäran mail.docx", "A 17082-2023")</f>
        <v/>
      </c>
    </row>
    <row r="201" ht="15" customHeight="1">
      <c r="A201" t="inlineStr">
        <is>
          <t>A 28043-2023</t>
        </is>
      </c>
      <c r="B201" s="1" t="n">
        <v>45099</v>
      </c>
      <c r="C201" s="1" t="n">
        <v>45724</v>
      </c>
      <c r="D201" t="inlineStr">
        <is>
          <t>VÄSTMANLANDS LÄN</t>
        </is>
      </c>
      <c r="E201" t="inlineStr">
        <is>
          <t>SURAHAMMAR</t>
        </is>
      </c>
      <c r="F201" t="inlineStr">
        <is>
          <t>Allmännings- och besparingsskogar</t>
        </is>
      </c>
      <c r="G201" t="n">
        <v>23.9</v>
      </c>
      <c r="H201" t="n">
        <v>1</v>
      </c>
      <c r="I201" t="n">
        <v>0</v>
      </c>
      <c r="J201" t="n">
        <v>1</v>
      </c>
      <c r="K201" t="n">
        <v>0</v>
      </c>
      <c r="L201" t="n">
        <v>0</v>
      </c>
      <c r="M201" t="n">
        <v>0</v>
      </c>
      <c r="N201" t="n">
        <v>0</v>
      </c>
      <c r="O201" t="n">
        <v>1</v>
      </c>
      <c r="P201" t="n">
        <v>0</v>
      </c>
      <c r="Q201" t="n">
        <v>2</v>
      </c>
      <c r="R201" s="2" t="inlineStr">
        <is>
          <t>Gropticka
Revlummer</t>
        </is>
      </c>
      <c r="S201">
        <f>HYPERLINK("https://klasma.github.io/Logging_1907/artfynd/A 28043-2023 artfynd.xlsx", "A 28043-2023")</f>
        <v/>
      </c>
      <c r="T201">
        <f>HYPERLINK("https://klasma.github.io/Logging_1907/kartor/A 28043-2023 karta.png", "A 28043-2023")</f>
        <v/>
      </c>
      <c r="V201">
        <f>HYPERLINK("https://klasma.github.io/Logging_1907/klagomål/A 28043-2023 FSC-klagomål.docx", "A 28043-2023")</f>
        <v/>
      </c>
      <c r="W201">
        <f>HYPERLINK("https://klasma.github.io/Logging_1907/klagomålsmail/A 28043-2023 FSC-klagomål mail.docx", "A 28043-2023")</f>
        <v/>
      </c>
      <c r="X201">
        <f>HYPERLINK("https://klasma.github.io/Logging_1907/tillsyn/A 28043-2023 tillsynsbegäran.docx", "A 28043-2023")</f>
        <v/>
      </c>
      <c r="Y201">
        <f>HYPERLINK("https://klasma.github.io/Logging_1907/tillsynsmail/A 28043-2023 tillsynsbegäran mail.docx", "A 28043-2023")</f>
        <v/>
      </c>
    </row>
    <row r="202" ht="15" customHeight="1">
      <c r="A202" t="inlineStr">
        <is>
          <t>A 32563-2023</t>
        </is>
      </c>
      <c r="B202" s="1" t="n">
        <v>45121</v>
      </c>
      <c r="C202" s="1" t="n">
        <v>45724</v>
      </c>
      <c r="D202" t="inlineStr">
        <is>
          <t>VÄSTMANLANDS LÄN</t>
        </is>
      </c>
      <c r="E202" t="inlineStr">
        <is>
          <t>NORBERG</t>
        </is>
      </c>
      <c r="G202" t="n">
        <v>19.2</v>
      </c>
      <c r="H202" t="n">
        <v>1</v>
      </c>
      <c r="I202" t="n">
        <v>1</v>
      </c>
      <c r="J202" t="n">
        <v>1</v>
      </c>
      <c r="K202" t="n">
        <v>0</v>
      </c>
      <c r="L202" t="n">
        <v>0</v>
      </c>
      <c r="M202" t="n">
        <v>0</v>
      </c>
      <c r="N202" t="n">
        <v>0</v>
      </c>
      <c r="O202" t="n">
        <v>1</v>
      </c>
      <c r="P202" t="n">
        <v>0</v>
      </c>
      <c r="Q202" t="n">
        <v>2</v>
      </c>
      <c r="R202" s="2" t="inlineStr">
        <is>
          <t>Tretåig hackspett
Kambräken</t>
        </is>
      </c>
      <c r="S202">
        <f>HYPERLINK("https://klasma.github.io/Logging_1962/artfynd/A 32563-2023 artfynd.xlsx", "A 32563-2023")</f>
        <v/>
      </c>
      <c r="T202">
        <f>HYPERLINK("https://klasma.github.io/Logging_1962/kartor/A 32563-2023 karta.png", "A 32563-2023")</f>
        <v/>
      </c>
      <c r="U202">
        <f>HYPERLINK("https://klasma.github.io/Logging_1962/knärot/A 32563-2023 karta knärot.png", "A 32563-2023")</f>
        <v/>
      </c>
      <c r="V202">
        <f>HYPERLINK("https://klasma.github.io/Logging_1962/klagomål/A 32563-2023 FSC-klagomål.docx", "A 32563-2023")</f>
        <v/>
      </c>
      <c r="W202">
        <f>HYPERLINK("https://klasma.github.io/Logging_1962/klagomålsmail/A 32563-2023 FSC-klagomål mail.docx", "A 32563-2023")</f>
        <v/>
      </c>
      <c r="X202">
        <f>HYPERLINK("https://klasma.github.io/Logging_1962/tillsyn/A 32563-2023 tillsynsbegäran.docx", "A 32563-2023")</f>
        <v/>
      </c>
      <c r="Y202">
        <f>HYPERLINK("https://klasma.github.io/Logging_1962/tillsynsmail/A 32563-2023 tillsynsbegäran mail.docx", "A 32563-2023")</f>
        <v/>
      </c>
      <c r="Z202">
        <f>HYPERLINK("https://klasma.github.io/Logging_1962/fåglar/A 32563-2023 prioriterade fågelarter.docx", "A 32563-2023")</f>
        <v/>
      </c>
    </row>
    <row r="203" ht="15" customHeight="1">
      <c r="A203" t="inlineStr">
        <is>
          <t>A 33377-2023</t>
        </is>
      </c>
      <c r="B203" s="1" t="n">
        <v>45128</v>
      </c>
      <c r="C203" s="1" t="n">
        <v>45724</v>
      </c>
      <c r="D203" t="inlineStr">
        <is>
          <t>VÄSTMANLANDS LÄN</t>
        </is>
      </c>
      <c r="E203" t="inlineStr">
        <is>
          <t>NORBERG</t>
        </is>
      </c>
      <c r="F203" t="inlineStr">
        <is>
          <t>Sveaskog</t>
        </is>
      </c>
      <c r="G203" t="n">
        <v>1.7</v>
      </c>
      <c r="H203" t="n">
        <v>0</v>
      </c>
      <c r="I203" t="n">
        <v>0</v>
      </c>
      <c r="J203" t="n">
        <v>2</v>
      </c>
      <c r="K203" t="n">
        <v>0</v>
      </c>
      <c r="L203" t="n">
        <v>0</v>
      </c>
      <c r="M203" t="n">
        <v>0</v>
      </c>
      <c r="N203" t="n">
        <v>0</v>
      </c>
      <c r="O203" t="n">
        <v>2</v>
      </c>
      <c r="P203" t="n">
        <v>0</v>
      </c>
      <c r="Q203" t="n">
        <v>2</v>
      </c>
      <c r="R203" s="2" t="inlineStr">
        <is>
          <t>Dofttaggsvamp
Gul taggsvamp</t>
        </is>
      </c>
      <c r="S203">
        <f>HYPERLINK("https://klasma.github.io/Logging_1962/artfynd/A 33377-2023 artfynd.xlsx", "A 33377-2023")</f>
        <v/>
      </c>
      <c r="T203">
        <f>HYPERLINK("https://klasma.github.io/Logging_1962/kartor/A 33377-2023 karta.png", "A 33377-2023")</f>
        <v/>
      </c>
      <c r="V203">
        <f>HYPERLINK("https://klasma.github.io/Logging_1962/klagomål/A 33377-2023 FSC-klagomål.docx", "A 33377-2023")</f>
        <v/>
      </c>
      <c r="W203">
        <f>HYPERLINK("https://klasma.github.io/Logging_1962/klagomålsmail/A 33377-2023 FSC-klagomål mail.docx", "A 33377-2023")</f>
        <v/>
      </c>
      <c r="X203">
        <f>HYPERLINK("https://klasma.github.io/Logging_1962/tillsyn/A 33377-2023 tillsynsbegäran.docx", "A 33377-2023")</f>
        <v/>
      </c>
      <c r="Y203">
        <f>HYPERLINK("https://klasma.github.io/Logging_1962/tillsynsmail/A 33377-2023 tillsynsbegäran mail.docx", "A 33377-2023")</f>
        <v/>
      </c>
    </row>
    <row r="204" ht="15" customHeight="1">
      <c r="A204" t="inlineStr">
        <is>
          <t>A 34752-2023</t>
        </is>
      </c>
      <c r="B204" s="1" t="n">
        <v>45141</v>
      </c>
      <c r="C204" s="1" t="n">
        <v>45724</v>
      </c>
      <c r="D204" t="inlineStr">
        <is>
          <t>VÄSTMANLANDS LÄN</t>
        </is>
      </c>
      <c r="E204" t="inlineStr">
        <is>
          <t>SALA</t>
        </is>
      </c>
      <c r="G204" t="n">
        <v>4.9</v>
      </c>
      <c r="H204" t="n">
        <v>1</v>
      </c>
      <c r="I204" t="n">
        <v>0</v>
      </c>
      <c r="J204" t="n">
        <v>0</v>
      </c>
      <c r="K204" t="n">
        <v>2</v>
      </c>
      <c r="L204" t="n">
        <v>0</v>
      </c>
      <c r="M204" t="n">
        <v>0</v>
      </c>
      <c r="N204" t="n">
        <v>0</v>
      </c>
      <c r="O204" t="n">
        <v>2</v>
      </c>
      <c r="P204" t="n">
        <v>2</v>
      </c>
      <c r="Q204" t="n">
        <v>2</v>
      </c>
      <c r="R204" s="2" t="inlineStr">
        <is>
          <t>Knärot
Sprickporing</t>
        </is>
      </c>
      <c r="S204">
        <f>HYPERLINK("https://klasma.github.io/Logging_1981/artfynd/A 34752-2023 artfynd.xlsx", "A 34752-2023")</f>
        <v/>
      </c>
      <c r="T204">
        <f>HYPERLINK("https://klasma.github.io/Logging_1981/kartor/A 34752-2023 karta.png", "A 34752-2023")</f>
        <v/>
      </c>
      <c r="U204">
        <f>HYPERLINK("https://klasma.github.io/Logging_1981/knärot/A 34752-2023 karta knärot.png", "A 34752-2023")</f>
        <v/>
      </c>
      <c r="V204">
        <f>HYPERLINK("https://klasma.github.io/Logging_1981/klagomål/A 34752-2023 FSC-klagomål.docx", "A 34752-2023")</f>
        <v/>
      </c>
      <c r="W204">
        <f>HYPERLINK("https://klasma.github.io/Logging_1981/klagomålsmail/A 34752-2023 FSC-klagomål mail.docx", "A 34752-2023")</f>
        <v/>
      </c>
      <c r="X204">
        <f>HYPERLINK("https://klasma.github.io/Logging_1981/tillsyn/A 34752-2023 tillsynsbegäran.docx", "A 34752-2023")</f>
        <v/>
      </c>
      <c r="Y204">
        <f>HYPERLINK("https://klasma.github.io/Logging_1981/tillsynsmail/A 34752-2023 tillsynsbegäran mail.docx", "A 34752-2023")</f>
        <v/>
      </c>
    </row>
    <row r="205" ht="15" customHeight="1">
      <c r="A205" t="inlineStr">
        <is>
          <t>A 40331-2023</t>
        </is>
      </c>
      <c r="B205" s="1" t="n">
        <v>45169</v>
      </c>
      <c r="C205" s="1" t="n">
        <v>45724</v>
      </c>
      <c r="D205" t="inlineStr">
        <is>
          <t>VÄSTMANLANDS LÄN</t>
        </is>
      </c>
      <c r="E205" t="inlineStr">
        <is>
          <t>ARBOGA</t>
        </is>
      </c>
      <c r="G205" t="n">
        <v>3.4</v>
      </c>
      <c r="H205" t="n">
        <v>1</v>
      </c>
      <c r="I205" t="n">
        <v>0</v>
      </c>
      <c r="J205" t="n">
        <v>1</v>
      </c>
      <c r="K205" t="n">
        <v>0</v>
      </c>
      <c r="L205" t="n">
        <v>0</v>
      </c>
      <c r="M205" t="n">
        <v>0</v>
      </c>
      <c r="N205" t="n">
        <v>0</v>
      </c>
      <c r="O205" t="n">
        <v>1</v>
      </c>
      <c r="P205" t="n">
        <v>0</v>
      </c>
      <c r="Q205" t="n">
        <v>2</v>
      </c>
      <c r="R205" s="2" t="inlineStr">
        <is>
          <t>Ullticka
Blåsippa</t>
        </is>
      </c>
      <c r="S205">
        <f>HYPERLINK("https://klasma.github.io/Logging_1984/artfynd/A 40331-2023 artfynd.xlsx", "A 40331-2023")</f>
        <v/>
      </c>
      <c r="T205">
        <f>HYPERLINK("https://klasma.github.io/Logging_1984/kartor/A 40331-2023 karta.png", "A 40331-2023")</f>
        <v/>
      </c>
      <c r="V205">
        <f>HYPERLINK("https://klasma.github.io/Logging_1984/klagomål/A 40331-2023 FSC-klagomål.docx", "A 40331-2023")</f>
        <v/>
      </c>
      <c r="W205">
        <f>HYPERLINK("https://klasma.github.io/Logging_1984/klagomålsmail/A 40331-2023 FSC-klagomål mail.docx", "A 40331-2023")</f>
        <v/>
      </c>
      <c r="X205">
        <f>HYPERLINK("https://klasma.github.io/Logging_1984/tillsyn/A 40331-2023 tillsynsbegäran.docx", "A 40331-2023")</f>
        <v/>
      </c>
      <c r="Y205">
        <f>HYPERLINK("https://klasma.github.io/Logging_1984/tillsynsmail/A 40331-2023 tillsynsbegäran mail.docx", "A 40331-2023")</f>
        <v/>
      </c>
    </row>
    <row r="206" ht="15" customHeight="1">
      <c r="A206" t="inlineStr">
        <is>
          <t>A 41204-2023</t>
        </is>
      </c>
      <c r="B206" s="1" t="n">
        <v>45174</v>
      </c>
      <c r="C206" s="1" t="n">
        <v>45724</v>
      </c>
      <c r="D206" t="inlineStr">
        <is>
          <t>VÄSTMANLANDS LÄN</t>
        </is>
      </c>
      <c r="E206" t="inlineStr">
        <is>
          <t>SURAHAMMAR</t>
        </is>
      </c>
      <c r="G206" t="n">
        <v>1</v>
      </c>
      <c r="H206" t="n">
        <v>1</v>
      </c>
      <c r="I206" t="n">
        <v>0</v>
      </c>
      <c r="J206" t="n">
        <v>1</v>
      </c>
      <c r="K206" t="n">
        <v>1</v>
      </c>
      <c r="L206" t="n">
        <v>0</v>
      </c>
      <c r="M206" t="n">
        <v>0</v>
      </c>
      <c r="N206" t="n">
        <v>0</v>
      </c>
      <c r="O206" t="n">
        <v>2</v>
      </c>
      <c r="P206" t="n">
        <v>1</v>
      </c>
      <c r="Q206" t="n">
        <v>2</v>
      </c>
      <c r="R206" s="2" t="inlineStr">
        <is>
          <t>Knärot
Vedtrappmossa</t>
        </is>
      </c>
      <c r="S206">
        <f>HYPERLINK("https://klasma.github.io/Logging_1907/artfynd/A 41204-2023 artfynd.xlsx", "A 41204-2023")</f>
        <v/>
      </c>
      <c r="T206">
        <f>HYPERLINK("https://klasma.github.io/Logging_1907/kartor/A 41204-2023 karta.png", "A 41204-2023")</f>
        <v/>
      </c>
      <c r="U206">
        <f>HYPERLINK("https://klasma.github.io/Logging_1907/knärot/A 41204-2023 karta knärot.png", "A 41204-2023")</f>
        <v/>
      </c>
      <c r="V206">
        <f>HYPERLINK("https://klasma.github.io/Logging_1907/klagomål/A 41204-2023 FSC-klagomål.docx", "A 41204-2023")</f>
        <v/>
      </c>
      <c r="W206">
        <f>HYPERLINK("https://klasma.github.io/Logging_1907/klagomålsmail/A 41204-2023 FSC-klagomål mail.docx", "A 41204-2023")</f>
        <v/>
      </c>
      <c r="X206">
        <f>HYPERLINK("https://klasma.github.io/Logging_1907/tillsyn/A 41204-2023 tillsynsbegäran.docx", "A 41204-2023")</f>
        <v/>
      </c>
      <c r="Y206">
        <f>HYPERLINK("https://klasma.github.io/Logging_1907/tillsynsmail/A 41204-2023 tillsynsbegäran mail.docx", "A 41204-2023")</f>
        <v/>
      </c>
    </row>
    <row r="207" ht="15" customHeight="1">
      <c r="A207" t="inlineStr">
        <is>
          <t>A 42196-2023</t>
        </is>
      </c>
      <c r="B207" s="1" t="n">
        <v>45179</v>
      </c>
      <c r="C207" s="1" t="n">
        <v>45724</v>
      </c>
      <c r="D207" t="inlineStr">
        <is>
          <t>VÄSTMANLANDS LÄN</t>
        </is>
      </c>
      <c r="E207" t="inlineStr">
        <is>
          <t>NORBERG</t>
        </is>
      </c>
      <c r="F207" t="inlineStr">
        <is>
          <t>Sveaskog</t>
        </is>
      </c>
      <c r="G207" t="n">
        <v>4.4</v>
      </c>
      <c r="H207" t="n">
        <v>2</v>
      </c>
      <c r="I207" t="n">
        <v>0</v>
      </c>
      <c r="J207" t="n">
        <v>0</v>
      </c>
      <c r="K207" t="n">
        <v>0</v>
      </c>
      <c r="L207" t="n">
        <v>0</v>
      </c>
      <c r="M207" t="n">
        <v>0</v>
      </c>
      <c r="N207" t="n">
        <v>0</v>
      </c>
      <c r="O207" t="n">
        <v>0</v>
      </c>
      <c r="P207" t="n">
        <v>0</v>
      </c>
      <c r="Q207" t="n">
        <v>2</v>
      </c>
      <c r="R207" s="2" t="inlineStr">
        <is>
          <t>Mattlummer
Revlummer</t>
        </is>
      </c>
      <c r="S207">
        <f>HYPERLINK("https://klasma.github.io/Logging_1962/artfynd/A 42196-2023 artfynd.xlsx", "A 42196-2023")</f>
        <v/>
      </c>
      <c r="T207">
        <f>HYPERLINK("https://klasma.github.io/Logging_1962/kartor/A 42196-2023 karta.png", "A 42196-2023")</f>
        <v/>
      </c>
      <c r="V207">
        <f>HYPERLINK("https://klasma.github.io/Logging_1962/klagomål/A 42196-2023 FSC-klagomål.docx", "A 42196-2023")</f>
        <v/>
      </c>
      <c r="W207">
        <f>HYPERLINK("https://klasma.github.io/Logging_1962/klagomålsmail/A 42196-2023 FSC-klagomål mail.docx", "A 42196-2023")</f>
        <v/>
      </c>
      <c r="X207">
        <f>HYPERLINK("https://klasma.github.io/Logging_1962/tillsyn/A 42196-2023 tillsynsbegäran.docx", "A 42196-2023")</f>
        <v/>
      </c>
      <c r="Y207">
        <f>HYPERLINK("https://klasma.github.io/Logging_1962/tillsynsmail/A 42196-2023 tillsynsbegäran mail.docx", "A 42196-2023")</f>
        <v/>
      </c>
    </row>
    <row r="208" ht="15" customHeight="1">
      <c r="A208" t="inlineStr">
        <is>
          <t>A 46028-2023</t>
        </is>
      </c>
      <c r="B208" s="1" t="n">
        <v>45196</v>
      </c>
      <c r="C208" s="1" t="n">
        <v>45724</v>
      </c>
      <c r="D208" t="inlineStr">
        <is>
          <t>VÄSTMANLANDS LÄN</t>
        </is>
      </c>
      <c r="E208" t="inlineStr">
        <is>
          <t>NORBERG</t>
        </is>
      </c>
      <c r="F208" t="inlineStr">
        <is>
          <t>Bergvik skog väst AB</t>
        </is>
      </c>
      <c r="G208" t="n">
        <v>7.5</v>
      </c>
      <c r="H208" t="n">
        <v>0</v>
      </c>
      <c r="I208" t="n">
        <v>0</v>
      </c>
      <c r="J208" t="n">
        <v>1</v>
      </c>
      <c r="K208" t="n">
        <v>1</v>
      </c>
      <c r="L208" t="n">
        <v>0</v>
      </c>
      <c r="M208" t="n">
        <v>0</v>
      </c>
      <c r="N208" t="n">
        <v>0</v>
      </c>
      <c r="O208" t="n">
        <v>2</v>
      </c>
      <c r="P208" t="n">
        <v>1</v>
      </c>
      <c r="Q208" t="n">
        <v>2</v>
      </c>
      <c r="R208" s="2" t="inlineStr">
        <is>
          <t>Norrlandsspindling
Dofttaggsvamp</t>
        </is>
      </c>
      <c r="S208">
        <f>HYPERLINK("https://klasma.github.io/Logging_1962/artfynd/A 46028-2023 artfynd.xlsx", "A 46028-2023")</f>
        <v/>
      </c>
      <c r="T208">
        <f>HYPERLINK("https://klasma.github.io/Logging_1962/kartor/A 46028-2023 karta.png", "A 46028-2023")</f>
        <v/>
      </c>
      <c r="V208">
        <f>HYPERLINK("https://klasma.github.io/Logging_1962/klagomål/A 46028-2023 FSC-klagomål.docx", "A 46028-2023")</f>
        <v/>
      </c>
      <c r="W208">
        <f>HYPERLINK("https://klasma.github.io/Logging_1962/klagomålsmail/A 46028-2023 FSC-klagomål mail.docx", "A 46028-2023")</f>
        <v/>
      </c>
      <c r="X208">
        <f>HYPERLINK("https://klasma.github.io/Logging_1962/tillsyn/A 46028-2023 tillsynsbegäran.docx", "A 46028-2023")</f>
        <v/>
      </c>
      <c r="Y208">
        <f>HYPERLINK("https://klasma.github.io/Logging_1962/tillsynsmail/A 46028-2023 tillsynsbegäran mail.docx", "A 46028-2023")</f>
        <v/>
      </c>
    </row>
    <row r="209" ht="15" customHeight="1">
      <c r="A209" t="inlineStr">
        <is>
          <t>A 59780-2023</t>
        </is>
      </c>
      <c r="B209" s="1" t="n">
        <v>45257</v>
      </c>
      <c r="C209" s="1" t="n">
        <v>45724</v>
      </c>
      <c r="D209" t="inlineStr">
        <is>
          <t>VÄSTMANLANDS LÄN</t>
        </is>
      </c>
      <c r="E209" t="inlineStr">
        <is>
          <t>SALA</t>
        </is>
      </c>
      <c r="G209" t="n">
        <v>5.9</v>
      </c>
      <c r="H209" t="n">
        <v>1</v>
      </c>
      <c r="I209" t="n">
        <v>0</v>
      </c>
      <c r="J209" t="n">
        <v>1</v>
      </c>
      <c r="K209" t="n">
        <v>1</v>
      </c>
      <c r="L209" t="n">
        <v>0</v>
      </c>
      <c r="M209" t="n">
        <v>0</v>
      </c>
      <c r="N209" t="n">
        <v>0</v>
      </c>
      <c r="O209" t="n">
        <v>2</v>
      </c>
      <c r="P209" t="n">
        <v>1</v>
      </c>
      <c r="Q209" t="n">
        <v>2</v>
      </c>
      <c r="R209" s="2" t="inlineStr">
        <is>
          <t>Knärot
Vedtrappmossa</t>
        </is>
      </c>
      <c r="S209">
        <f>HYPERLINK("https://klasma.github.io/Logging_1981/artfynd/A 59780-2023 artfynd.xlsx", "A 59780-2023")</f>
        <v/>
      </c>
      <c r="T209">
        <f>HYPERLINK("https://klasma.github.io/Logging_1981/kartor/A 59780-2023 karta.png", "A 59780-2023")</f>
        <v/>
      </c>
      <c r="U209">
        <f>HYPERLINK("https://klasma.github.io/Logging_1981/knärot/A 59780-2023 karta knärot.png", "A 59780-2023")</f>
        <v/>
      </c>
      <c r="V209">
        <f>HYPERLINK("https://klasma.github.io/Logging_1981/klagomål/A 59780-2023 FSC-klagomål.docx", "A 59780-2023")</f>
        <v/>
      </c>
      <c r="W209">
        <f>HYPERLINK("https://klasma.github.io/Logging_1981/klagomålsmail/A 59780-2023 FSC-klagomål mail.docx", "A 59780-2023")</f>
        <v/>
      </c>
      <c r="X209">
        <f>HYPERLINK("https://klasma.github.io/Logging_1981/tillsyn/A 59780-2023 tillsynsbegäran.docx", "A 59780-2023")</f>
        <v/>
      </c>
      <c r="Y209">
        <f>HYPERLINK("https://klasma.github.io/Logging_1981/tillsynsmail/A 59780-2023 tillsynsbegäran mail.docx", "A 59780-2023")</f>
        <v/>
      </c>
    </row>
    <row r="210" ht="15" customHeight="1">
      <c r="A210" t="inlineStr">
        <is>
          <t>A 60940-2023</t>
        </is>
      </c>
      <c r="B210" s="1" t="n">
        <v>45261</v>
      </c>
      <c r="C210" s="1" t="n">
        <v>45724</v>
      </c>
      <c r="D210" t="inlineStr">
        <is>
          <t>VÄSTMANLANDS LÄN</t>
        </is>
      </c>
      <c r="E210" t="inlineStr">
        <is>
          <t>VÄSTERÅS</t>
        </is>
      </c>
      <c r="G210" t="n">
        <v>3.9</v>
      </c>
      <c r="H210" t="n">
        <v>2</v>
      </c>
      <c r="I210" t="n">
        <v>1</v>
      </c>
      <c r="J210" t="n">
        <v>1</v>
      </c>
      <c r="K210" t="n">
        <v>0</v>
      </c>
      <c r="L210" t="n">
        <v>0</v>
      </c>
      <c r="M210" t="n">
        <v>0</v>
      </c>
      <c r="N210" t="n">
        <v>0</v>
      </c>
      <c r="O210" t="n">
        <v>1</v>
      </c>
      <c r="P210" t="n">
        <v>0</v>
      </c>
      <c r="Q210" t="n">
        <v>2</v>
      </c>
      <c r="R210" s="2" t="inlineStr">
        <is>
          <t>Spillkråka
Grön sköldmossa</t>
        </is>
      </c>
      <c r="S210">
        <f>HYPERLINK("https://klasma.github.io/Logging_1980/artfynd/A 60940-2023 artfynd.xlsx", "A 60940-2023")</f>
        <v/>
      </c>
      <c r="T210">
        <f>HYPERLINK("https://klasma.github.io/Logging_1980/kartor/A 60940-2023 karta.png", "A 60940-2023")</f>
        <v/>
      </c>
      <c r="V210">
        <f>HYPERLINK("https://klasma.github.io/Logging_1980/klagomål/A 60940-2023 FSC-klagomål.docx", "A 60940-2023")</f>
        <v/>
      </c>
      <c r="W210">
        <f>HYPERLINK("https://klasma.github.io/Logging_1980/klagomålsmail/A 60940-2023 FSC-klagomål mail.docx", "A 60940-2023")</f>
        <v/>
      </c>
      <c r="X210">
        <f>HYPERLINK("https://klasma.github.io/Logging_1980/tillsyn/A 60940-2023 tillsynsbegäran.docx", "A 60940-2023")</f>
        <v/>
      </c>
      <c r="Y210">
        <f>HYPERLINK("https://klasma.github.io/Logging_1980/tillsynsmail/A 60940-2023 tillsynsbegäran mail.docx", "A 60940-2023")</f>
        <v/>
      </c>
      <c r="Z210">
        <f>HYPERLINK("https://klasma.github.io/Logging_1980/fåglar/A 60940-2023 prioriterade fågelarter.docx", "A 60940-2023")</f>
        <v/>
      </c>
    </row>
    <row r="211" ht="15" customHeight="1">
      <c r="A211" t="inlineStr">
        <is>
          <t>A 4261-2024</t>
        </is>
      </c>
      <c r="B211" s="1" t="n">
        <v>45324</v>
      </c>
      <c r="C211" s="1" t="n">
        <v>45724</v>
      </c>
      <c r="D211" t="inlineStr">
        <is>
          <t>VÄSTMANLANDS LÄN</t>
        </is>
      </c>
      <c r="E211" t="inlineStr">
        <is>
          <t>SALA</t>
        </is>
      </c>
      <c r="G211" t="n">
        <v>5.7</v>
      </c>
      <c r="H211" t="n">
        <v>0</v>
      </c>
      <c r="I211" t="n">
        <v>1</v>
      </c>
      <c r="J211" t="n">
        <v>1</v>
      </c>
      <c r="K211" t="n">
        <v>0</v>
      </c>
      <c r="L211" t="n">
        <v>0</v>
      </c>
      <c r="M211" t="n">
        <v>0</v>
      </c>
      <c r="N211" t="n">
        <v>0</v>
      </c>
      <c r="O211" t="n">
        <v>1</v>
      </c>
      <c r="P211" t="n">
        <v>0</v>
      </c>
      <c r="Q211" t="n">
        <v>2</v>
      </c>
      <c r="R211" s="2" t="inlineStr">
        <is>
          <t>Ullticka
Västlig hakmossa</t>
        </is>
      </c>
      <c r="S211">
        <f>HYPERLINK("https://klasma.github.io/Logging_1981/artfynd/A 4261-2024 artfynd.xlsx", "A 4261-2024")</f>
        <v/>
      </c>
      <c r="T211">
        <f>HYPERLINK("https://klasma.github.io/Logging_1981/kartor/A 4261-2024 karta.png", "A 4261-2024")</f>
        <v/>
      </c>
      <c r="V211">
        <f>HYPERLINK("https://klasma.github.io/Logging_1981/klagomål/A 4261-2024 FSC-klagomål.docx", "A 4261-2024")</f>
        <v/>
      </c>
      <c r="W211">
        <f>HYPERLINK("https://klasma.github.io/Logging_1981/klagomålsmail/A 4261-2024 FSC-klagomål mail.docx", "A 4261-2024")</f>
        <v/>
      </c>
      <c r="X211">
        <f>HYPERLINK("https://klasma.github.io/Logging_1981/tillsyn/A 4261-2024 tillsynsbegäran.docx", "A 4261-2024")</f>
        <v/>
      </c>
      <c r="Y211">
        <f>HYPERLINK("https://klasma.github.io/Logging_1981/tillsynsmail/A 4261-2024 tillsynsbegäran mail.docx", "A 4261-2024")</f>
        <v/>
      </c>
    </row>
    <row r="212" ht="15" customHeight="1">
      <c r="A212" t="inlineStr">
        <is>
          <t>A 7796-2024</t>
        </is>
      </c>
      <c r="B212" s="1" t="n">
        <v>45348</v>
      </c>
      <c r="C212" s="1" t="n">
        <v>45724</v>
      </c>
      <c r="D212" t="inlineStr">
        <is>
          <t>VÄSTMANLANDS LÄN</t>
        </is>
      </c>
      <c r="E212" t="inlineStr">
        <is>
          <t>SURAHAMMAR</t>
        </is>
      </c>
      <c r="G212" t="n">
        <v>10.5</v>
      </c>
      <c r="H212" t="n">
        <v>1</v>
      </c>
      <c r="I212" t="n">
        <v>1</v>
      </c>
      <c r="J212" t="n">
        <v>1</v>
      </c>
      <c r="K212" t="n">
        <v>0</v>
      </c>
      <c r="L212" t="n">
        <v>0</v>
      </c>
      <c r="M212" t="n">
        <v>0</v>
      </c>
      <c r="N212" t="n">
        <v>0</v>
      </c>
      <c r="O212" t="n">
        <v>1</v>
      </c>
      <c r="P212" t="n">
        <v>0</v>
      </c>
      <c r="Q212" t="n">
        <v>2</v>
      </c>
      <c r="R212" s="2" t="inlineStr">
        <is>
          <t>Ullticka
Plattlummer</t>
        </is>
      </c>
      <c r="S212">
        <f>HYPERLINK("https://klasma.github.io/Logging_1907/artfynd/A 7796-2024 artfynd.xlsx", "A 7796-2024")</f>
        <v/>
      </c>
      <c r="T212">
        <f>HYPERLINK("https://klasma.github.io/Logging_1907/kartor/A 7796-2024 karta.png", "A 7796-2024")</f>
        <v/>
      </c>
      <c r="V212">
        <f>HYPERLINK("https://klasma.github.io/Logging_1907/klagomål/A 7796-2024 FSC-klagomål.docx", "A 7796-2024")</f>
        <v/>
      </c>
      <c r="W212">
        <f>HYPERLINK("https://klasma.github.io/Logging_1907/klagomålsmail/A 7796-2024 FSC-klagomål mail.docx", "A 7796-2024")</f>
        <v/>
      </c>
      <c r="X212">
        <f>HYPERLINK("https://klasma.github.io/Logging_1907/tillsyn/A 7796-2024 tillsynsbegäran.docx", "A 7796-2024")</f>
        <v/>
      </c>
      <c r="Y212">
        <f>HYPERLINK("https://klasma.github.io/Logging_1907/tillsynsmail/A 7796-2024 tillsynsbegäran mail.docx", "A 7796-2024")</f>
        <v/>
      </c>
    </row>
    <row r="213" ht="15" customHeight="1">
      <c r="A213" t="inlineStr">
        <is>
          <t>A 9921-2024</t>
        </is>
      </c>
      <c r="B213" s="1" t="n">
        <v>45363</v>
      </c>
      <c r="C213" s="1" t="n">
        <v>45724</v>
      </c>
      <c r="D213" t="inlineStr">
        <is>
          <t>VÄSTMANLANDS LÄN</t>
        </is>
      </c>
      <c r="E213" t="inlineStr">
        <is>
          <t>SALA</t>
        </is>
      </c>
      <c r="G213" t="n">
        <v>5.6</v>
      </c>
      <c r="H213" t="n">
        <v>0</v>
      </c>
      <c r="I213" t="n">
        <v>1</v>
      </c>
      <c r="J213" t="n">
        <v>1</v>
      </c>
      <c r="K213" t="n">
        <v>0</v>
      </c>
      <c r="L213" t="n">
        <v>0</v>
      </c>
      <c r="M213" t="n">
        <v>0</v>
      </c>
      <c r="N213" t="n">
        <v>0</v>
      </c>
      <c r="O213" t="n">
        <v>1</v>
      </c>
      <c r="P213" t="n">
        <v>0</v>
      </c>
      <c r="Q213" t="n">
        <v>2</v>
      </c>
      <c r="R213" s="2" t="inlineStr">
        <is>
          <t>Leptoporus erubescens
Vedticka</t>
        </is>
      </c>
      <c r="S213">
        <f>HYPERLINK("https://klasma.github.io/Logging_1981/artfynd/A 9921-2024 artfynd.xlsx", "A 9921-2024")</f>
        <v/>
      </c>
      <c r="T213">
        <f>HYPERLINK("https://klasma.github.io/Logging_1981/kartor/A 9921-2024 karta.png", "A 9921-2024")</f>
        <v/>
      </c>
      <c r="U213">
        <f>HYPERLINK("https://klasma.github.io/Logging_1981/knärot/A 9921-2024 karta knärot.png", "A 9921-2024")</f>
        <v/>
      </c>
      <c r="V213">
        <f>HYPERLINK("https://klasma.github.io/Logging_1981/klagomål/A 9921-2024 FSC-klagomål.docx", "A 9921-2024")</f>
        <v/>
      </c>
      <c r="W213">
        <f>HYPERLINK("https://klasma.github.io/Logging_1981/klagomålsmail/A 9921-2024 FSC-klagomål mail.docx", "A 9921-2024")</f>
        <v/>
      </c>
      <c r="X213">
        <f>HYPERLINK("https://klasma.github.io/Logging_1981/tillsyn/A 9921-2024 tillsynsbegäran.docx", "A 9921-2024")</f>
        <v/>
      </c>
      <c r="Y213">
        <f>HYPERLINK("https://klasma.github.io/Logging_1981/tillsynsmail/A 9921-2024 tillsynsbegäran mail.docx", "A 9921-2024")</f>
        <v/>
      </c>
    </row>
    <row r="214" ht="15" customHeight="1">
      <c r="A214" t="inlineStr">
        <is>
          <t>A 10552-2024</t>
        </is>
      </c>
      <c r="B214" s="1" t="n">
        <v>45366</v>
      </c>
      <c r="C214" s="1" t="n">
        <v>45724</v>
      </c>
      <c r="D214" t="inlineStr">
        <is>
          <t>VÄSTMANLANDS LÄN</t>
        </is>
      </c>
      <c r="E214" t="inlineStr">
        <is>
          <t>SALA</t>
        </is>
      </c>
      <c r="G214" t="n">
        <v>6.5</v>
      </c>
      <c r="H214" t="n">
        <v>2</v>
      </c>
      <c r="I214" t="n">
        <v>1</v>
      </c>
      <c r="J214" t="n">
        <v>0</v>
      </c>
      <c r="K214" t="n">
        <v>0</v>
      </c>
      <c r="L214" t="n">
        <v>0</v>
      </c>
      <c r="M214" t="n">
        <v>0</v>
      </c>
      <c r="N214" t="n">
        <v>0</v>
      </c>
      <c r="O214" t="n">
        <v>0</v>
      </c>
      <c r="P214" t="n">
        <v>0</v>
      </c>
      <c r="Q214" t="n">
        <v>2</v>
      </c>
      <c r="R214" s="2" t="inlineStr">
        <is>
          <t>Plattlummer
Fläcknycklar</t>
        </is>
      </c>
      <c r="S214">
        <f>HYPERLINK("https://klasma.github.io/Logging_1981/artfynd/A 10552-2024 artfynd.xlsx", "A 10552-2024")</f>
        <v/>
      </c>
      <c r="T214">
        <f>HYPERLINK("https://klasma.github.io/Logging_1981/kartor/A 10552-2024 karta.png", "A 10552-2024")</f>
        <v/>
      </c>
      <c r="V214">
        <f>HYPERLINK("https://klasma.github.io/Logging_1981/klagomål/A 10552-2024 FSC-klagomål.docx", "A 10552-2024")</f>
        <v/>
      </c>
      <c r="W214">
        <f>HYPERLINK("https://klasma.github.io/Logging_1981/klagomålsmail/A 10552-2024 FSC-klagomål mail.docx", "A 10552-2024")</f>
        <v/>
      </c>
      <c r="X214">
        <f>HYPERLINK("https://klasma.github.io/Logging_1981/tillsyn/A 10552-2024 tillsynsbegäran.docx", "A 10552-2024")</f>
        <v/>
      </c>
      <c r="Y214">
        <f>HYPERLINK("https://klasma.github.io/Logging_1981/tillsynsmail/A 10552-2024 tillsynsbegäran mail.docx", "A 10552-2024")</f>
        <v/>
      </c>
    </row>
    <row r="215" ht="15" customHeight="1">
      <c r="A215" t="inlineStr">
        <is>
          <t>A 11846-2024</t>
        </is>
      </c>
      <c r="B215" s="1" t="n">
        <v>45376</v>
      </c>
      <c r="C215" s="1" t="n">
        <v>45724</v>
      </c>
      <c r="D215" t="inlineStr">
        <is>
          <t>VÄSTMANLANDS LÄN</t>
        </is>
      </c>
      <c r="E215" t="inlineStr">
        <is>
          <t>SALA</t>
        </is>
      </c>
      <c r="G215" t="n">
        <v>8</v>
      </c>
      <c r="H215" t="n">
        <v>0</v>
      </c>
      <c r="I215" t="n">
        <v>2</v>
      </c>
      <c r="J215" t="n">
        <v>0</v>
      </c>
      <c r="K215" t="n">
        <v>0</v>
      </c>
      <c r="L215" t="n">
        <v>0</v>
      </c>
      <c r="M215" t="n">
        <v>0</v>
      </c>
      <c r="N215" t="n">
        <v>0</v>
      </c>
      <c r="O215" t="n">
        <v>0</v>
      </c>
      <c r="P215" t="n">
        <v>0</v>
      </c>
      <c r="Q215" t="n">
        <v>2</v>
      </c>
      <c r="R215" s="2" t="inlineStr">
        <is>
          <t>Bronshjon
Vågbandad barkbock</t>
        </is>
      </c>
      <c r="S215">
        <f>HYPERLINK("https://klasma.github.io/Logging_1981/artfynd/A 11846-2024 artfynd.xlsx", "A 11846-2024")</f>
        <v/>
      </c>
      <c r="T215">
        <f>HYPERLINK("https://klasma.github.io/Logging_1981/kartor/A 11846-2024 karta.png", "A 11846-2024")</f>
        <v/>
      </c>
      <c r="V215">
        <f>HYPERLINK("https://klasma.github.io/Logging_1981/klagomål/A 11846-2024 FSC-klagomål.docx", "A 11846-2024")</f>
        <v/>
      </c>
      <c r="W215">
        <f>HYPERLINK("https://klasma.github.io/Logging_1981/klagomålsmail/A 11846-2024 FSC-klagomål mail.docx", "A 11846-2024")</f>
        <v/>
      </c>
      <c r="X215">
        <f>HYPERLINK("https://klasma.github.io/Logging_1981/tillsyn/A 11846-2024 tillsynsbegäran.docx", "A 11846-2024")</f>
        <v/>
      </c>
      <c r="Y215">
        <f>HYPERLINK("https://klasma.github.io/Logging_1981/tillsynsmail/A 11846-2024 tillsynsbegäran mail.docx", "A 11846-2024")</f>
        <v/>
      </c>
    </row>
    <row r="216" ht="15" customHeight="1">
      <c r="A216" t="inlineStr">
        <is>
          <t>A 12444-2024</t>
        </is>
      </c>
      <c r="B216" s="1" t="n">
        <v>45379</v>
      </c>
      <c r="C216" s="1" t="n">
        <v>45724</v>
      </c>
      <c r="D216" t="inlineStr">
        <is>
          <t>VÄSTMANLANDS LÄN</t>
        </is>
      </c>
      <c r="E216" t="inlineStr">
        <is>
          <t>SALA</t>
        </is>
      </c>
      <c r="G216" t="n">
        <v>5.5</v>
      </c>
      <c r="H216" t="n">
        <v>0</v>
      </c>
      <c r="I216" t="n">
        <v>1</v>
      </c>
      <c r="J216" t="n">
        <v>1</v>
      </c>
      <c r="K216" t="n">
        <v>0</v>
      </c>
      <c r="L216" t="n">
        <v>0</v>
      </c>
      <c r="M216" t="n">
        <v>0</v>
      </c>
      <c r="N216" t="n">
        <v>0</v>
      </c>
      <c r="O216" t="n">
        <v>1</v>
      </c>
      <c r="P216" t="n">
        <v>0</v>
      </c>
      <c r="Q216" t="n">
        <v>2</v>
      </c>
      <c r="R216" s="2" t="inlineStr">
        <is>
          <t>Ullticka
Stuplav</t>
        </is>
      </c>
      <c r="S216">
        <f>HYPERLINK("https://klasma.github.io/Logging_1981/artfynd/A 12444-2024 artfynd.xlsx", "A 12444-2024")</f>
        <v/>
      </c>
      <c r="T216">
        <f>HYPERLINK("https://klasma.github.io/Logging_1981/kartor/A 12444-2024 karta.png", "A 12444-2024")</f>
        <v/>
      </c>
      <c r="U216">
        <f>HYPERLINK("https://klasma.github.io/Logging_1981/knärot/A 12444-2024 karta knärot.png", "A 12444-2024")</f>
        <v/>
      </c>
      <c r="V216">
        <f>HYPERLINK("https://klasma.github.io/Logging_1981/klagomål/A 12444-2024 FSC-klagomål.docx", "A 12444-2024")</f>
        <v/>
      </c>
      <c r="W216">
        <f>HYPERLINK("https://klasma.github.io/Logging_1981/klagomålsmail/A 12444-2024 FSC-klagomål mail.docx", "A 12444-2024")</f>
        <v/>
      </c>
      <c r="X216">
        <f>HYPERLINK("https://klasma.github.io/Logging_1981/tillsyn/A 12444-2024 tillsynsbegäran.docx", "A 12444-2024")</f>
        <v/>
      </c>
      <c r="Y216">
        <f>HYPERLINK("https://klasma.github.io/Logging_1981/tillsynsmail/A 12444-2024 tillsynsbegäran mail.docx", "A 12444-2024")</f>
        <v/>
      </c>
    </row>
    <row r="217" ht="15" customHeight="1">
      <c r="A217" t="inlineStr">
        <is>
          <t>A 19120-2024</t>
        </is>
      </c>
      <c r="B217" s="1" t="n">
        <v>45428</v>
      </c>
      <c r="C217" s="1" t="n">
        <v>45724</v>
      </c>
      <c r="D217" t="inlineStr">
        <is>
          <t>VÄSTMANLANDS LÄN</t>
        </is>
      </c>
      <c r="E217" t="inlineStr">
        <is>
          <t>SURAHAMMAR</t>
        </is>
      </c>
      <c r="F217" t="inlineStr">
        <is>
          <t>Allmännings- och besparingsskogar</t>
        </is>
      </c>
      <c r="G217" t="n">
        <v>17.5</v>
      </c>
      <c r="H217" t="n">
        <v>0</v>
      </c>
      <c r="I217" t="n">
        <v>1</v>
      </c>
      <c r="J217" t="n">
        <v>1</v>
      </c>
      <c r="K217" t="n">
        <v>0</v>
      </c>
      <c r="L217" t="n">
        <v>0</v>
      </c>
      <c r="M217" t="n">
        <v>0</v>
      </c>
      <c r="N217" t="n">
        <v>0</v>
      </c>
      <c r="O217" t="n">
        <v>1</v>
      </c>
      <c r="P217" t="n">
        <v>0</v>
      </c>
      <c r="Q217" t="n">
        <v>2</v>
      </c>
      <c r="R217" s="2" t="inlineStr">
        <is>
          <t>Tallticka
Vedticka</t>
        </is>
      </c>
      <c r="S217">
        <f>HYPERLINK("https://klasma.github.io/Logging_1907/artfynd/A 19120-2024 artfynd.xlsx", "A 19120-2024")</f>
        <v/>
      </c>
      <c r="T217">
        <f>HYPERLINK("https://klasma.github.io/Logging_1907/kartor/A 19120-2024 karta.png", "A 19120-2024")</f>
        <v/>
      </c>
      <c r="V217">
        <f>HYPERLINK("https://klasma.github.io/Logging_1907/klagomål/A 19120-2024 FSC-klagomål.docx", "A 19120-2024")</f>
        <v/>
      </c>
      <c r="W217">
        <f>HYPERLINK("https://klasma.github.io/Logging_1907/klagomålsmail/A 19120-2024 FSC-klagomål mail.docx", "A 19120-2024")</f>
        <v/>
      </c>
      <c r="X217">
        <f>HYPERLINK("https://klasma.github.io/Logging_1907/tillsyn/A 19120-2024 tillsynsbegäran.docx", "A 19120-2024")</f>
        <v/>
      </c>
      <c r="Y217">
        <f>HYPERLINK("https://klasma.github.io/Logging_1907/tillsynsmail/A 19120-2024 tillsynsbegäran mail.docx", "A 19120-2024")</f>
        <v/>
      </c>
    </row>
    <row r="218" ht="15" customHeight="1">
      <c r="A218" t="inlineStr">
        <is>
          <t>A 20705-2024</t>
        </is>
      </c>
      <c r="B218" s="1" t="n">
        <v>45436</v>
      </c>
      <c r="C218" s="1" t="n">
        <v>45724</v>
      </c>
      <c r="D218" t="inlineStr">
        <is>
          <t>VÄSTMANLANDS LÄN</t>
        </is>
      </c>
      <c r="E218" t="inlineStr">
        <is>
          <t>SURAHAMMAR</t>
        </is>
      </c>
      <c r="F218" t="inlineStr">
        <is>
          <t>Bergvik skog väst AB</t>
        </is>
      </c>
      <c r="G218" t="n">
        <v>4</v>
      </c>
      <c r="H218" t="n">
        <v>0</v>
      </c>
      <c r="I218" t="n">
        <v>1</v>
      </c>
      <c r="J218" t="n">
        <v>1</v>
      </c>
      <c r="K218" t="n">
        <v>0</v>
      </c>
      <c r="L218" t="n">
        <v>0</v>
      </c>
      <c r="M218" t="n">
        <v>0</v>
      </c>
      <c r="N218" t="n">
        <v>0</v>
      </c>
      <c r="O218" t="n">
        <v>1</v>
      </c>
      <c r="P218" t="n">
        <v>0</v>
      </c>
      <c r="Q218" t="n">
        <v>2</v>
      </c>
      <c r="R218" s="2" t="inlineStr">
        <is>
          <t>Kandelabersvamp
Rävticka</t>
        </is>
      </c>
      <c r="S218">
        <f>HYPERLINK("https://klasma.github.io/Logging_1907/artfynd/A 20705-2024 artfynd.xlsx", "A 20705-2024")</f>
        <v/>
      </c>
      <c r="T218">
        <f>HYPERLINK("https://klasma.github.io/Logging_1907/kartor/A 20705-2024 karta.png", "A 20705-2024")</f>
        <v/>
      </c>
      <c r="V218">
        <f>HYPERLINK("https://klasma.github.io/Logging_1907/klagomål/A 20705-2024 FSC-klagomål.docx", "A 20705-2024")</f>
        <v/>
      </c>
      <c r="W218">
        <f>HYPERLINK("https://klasma.github.io/Logging_1907/klagomålsmail/A 20705-2024 FSC-klagomål mail.docx", "A 20705-2024")</f>
        <v/>
      </c>
      <c r="X218">
        <f>HYPERLINK("https://klasma.github.io/Logging_1907/tillsyn/A 20705-2024 tillsynsbegäran.docx", "A 20705-2024")</f>
        <v/>
      </c>
      <c r="Y218">
        <f>HYPERLINK("https://klasma.github.io/Logging_1907/tillsynsmail/A 20705-2024 tillsynsbegäran mail.docx", "A 20705-2024")</f>
        <v/>
      </c>
    </row>
    <row r="219" ht="15" customHeight="1">
      <c r="A219" t="inlineStr">
        <is>
          <t>A 24538-2024</t>
        </is>
      </c>
      <c r="B219" s="1" t="n">
        <v>45460</v>
      </c>
      <c r="C219" s="1" t="n">
        <v>45724</v>
      </c>
      <c r="D219" t="inlineStr">
        <is>
          <t>VÄSTMANLANDS LÄN</t>
        </is>
      </c>
      <c r="E219" t="inlineStr">
        <is>
          <t>SURAHAMMAR</t>
        </is>
      </c>
      <c r="G219" t="n">
        <v>2.5</v>
      </c>
      <c r="H219" t="n">
        <v>1</v>
      </c>
      <c r="I219" t="n">
        <v>1</v>
      </c>
      <c r="J219" t="n">
        <v>0</v>
      </c>
      <c r="K219" t="n">
        <v>1</v>
      </c>
      <c r="L219" t="n">
        <v>0</v>
      </c>
      <c r="M219" t="n">
        <v>0</v>
      </c>
      <c r="N219" t="n">
        <v>0</v>
      </c>
      <c r="O219" t="n">
        <v>1</v>
      </c>
      <c r="P219" t="n">
        <v>1</v>
      </c>
      <c r="Q219" t="n">
        <v>2</v>
      </c>
      <c r="R219" s="2" t="inlineStr">
        <is>
          <t>Knärot
Vedticka</t>
        </is>
      </c>
      <c r="S219">
        <f>HYPERLINK("https://klasma.github.io/Logging_1907/artfynd/A 24538-2024 artfynd.xlsx", "A 24538-2024")</f>
        <v/>
      </c>
      <c r="T219">
        <f>HYPERLINK("https://klasma.github.io/Logging_1907/kartor/A 24538-2024 karta.png", "A 24538-2024")</f>
        <v/>
      </c>
      <c r="U219">
        <f>HYPERLINK("https://klasma.github.io/Logging_1907/knärot/A 24538-2024 karta knärot.png", "A 24538-2024")</f>
        <v/>
      </c>
      <c r="V219">
        <f>HYPERLINK("https://klasma.github.io/Logging_1907/klagomål/A 24538-2024 FSC-klagomål.docx", "A 24538-2024")</f>
        <v/>
      </c>
      <c r="W219">
        <f>HYPERLINK("https://klasma.github.io/Logging_1907/klagomålsmail/A 24538-2024 FSC-klagomål mail.docx", "A 24538-2024")</f>
        <v/>
      </c>
      <c r="X219">
        <f>HYPERLINK("https://klasma.github.io/Logging_1907/tillsyn/A 24538-2024 tillsynsbegäran.docx", "A 24538-2024")</f>
        <v/>
      </c>
      <c r="Y219">
        <f>HYPERLINK("https://klasma.github.io/Logging_1907/tillsynsmail/A 24538-2024 tillsynsbegäran mail.docx", "A 24538-2024")</f>
        <v/>
      </c>
    </row>
    <row r="220" ht="15" customHeight="1">
      <c r="A220" t="inlineStr">
        <is>
          <t>A 24779-2024</t>
        </is>
      </c>
      <c r="B220" s="1" t="n">
        <v>45460</v>
      </c>
      <c r="C220" s="1" t="n">
        <v>45724</v>
      </c>
      <c r="D220" t="inlineStr">
        <is>
          <t>VÄSTMANLANDS LÄN</t>
        </is>
      </c>
      <c r="E220" t="inlineStr">
        <is>
          <t>VÄSTERÅS</t>
        </is>
      </c>
      <c r="F220" t="inlineStr">
        <is>
          <t>Kommuner</t>
        </is>
      </c>
      <c r="G220" t="n">
        <v>3.3</v>
      </c>
      <c r="H220" t="n">
        <v>0</v>
      </c>
      <c r="I220" t="n">
        <v>2</v>
      </c>
      <c r="J220" t="n">
        <v>0</v>
      </c>
      <c r="K220" t="n">
        <v>0</v>
      </c>
      <c r="L220" t="n">
        <v>0</v>
      </c>
      <c r="M220" t="n">
        <v>0</v>
      </c>
      <c r="N220" t="n">
        <v>0</v>
      </c>
      <c r="O220" t="n">
        <v>0</v>
      </c>
      <c r="P220" t="n">
        <v>0</v>
      </c>
      <c r="Q220" t="n">
        <v>2</v>
      </c>
      <c r="R220" s="2" t="inlineStr">
        <is>
          <t>Scharlakansskål
Scharlakansvårskål agg.</t>
        </is>
      </c>
      <c r="S220">
        <f>HYPERLINK("https://klasma.github.io/Logging_1980/artfynd/A 24779-2024 artfynd.xlsx", "A 24779-2024")</f>
        <v/>
      </c>
      <c r="T220">
        <f>HYPERLINK("https://klasma.github.io/Logging_1980/kartor/A 24779-2024 karta.png", "A 24779-2024")</f>
        <v/>
      </c>
      <c r="V220">
        <f>HYPERLINK("https://klasma.github.io/Logging_1980/klagomål/A 24779-2024 FSC-klagomål.docx", "A 24779-2024")</f>
        <v/>
      </c>
      <c r="W220">
        <f>HYPERLINK("https://klasma.github.io/Logging_1980/klagomålsmail/A 24779-2024 FSC-klagomål mail.docx", "A 24779-2024")</f>
        <v/>
      </c>
      <c r="X220">
        <f>HYPERLINK("https://klasma.github.io/Logging_1980/tillsyn/A 24779-2024 tillsynsbegäran.docx", "A 24779-2024")</f>
        <v/>
      </c>
      <c r="Y220">
        <f>HYPERLINK("https://klasma.github.io/Logging_1980/tillsynsmail/A 24779-2024 tillsynsbegäran mail.docx", "A 24779-2024")</f>
        <v/>
      </c>
    </row>
    <row r="221" ht="15" customHeight="1">
      <c r="A221" t="inlineStr">
        <is>
          <t>A 24945-2024</t>
        </is>
      </c>
      <c r="B221" s="1" t="n">
        <v>45461</v>
      </c>
      <c r="C221" s="1" t="n">
        <v>45724</v>
      </c>
      <c r="D221" t="inlineStr">
        <is>
          <t>VÄSTMANLANDS LÄN</t>
        </is>
      </c>
      <c r="E221" t="inlineStr">
        <is>
          <t>VÄSTERÅS</t>
        </is>
      </c>
      <c r="F221" t="inlineStr">
        <is>
          <t>Kommuner</t>
        </is>
      </c>
      <c r="G221" t="n">
        <v>1.2</v>
      </c>
      <c r="H221" t="n">
        <v>1</v>
      </c>
      <c r="I221" t="n">
        <v>1</v>
      </c>
      <c r="J221" t="n">
        <v>0</v>
      </c>
      <c r="K221" t="n">
        <v>0</v>
      </c>
      <c r="L221" t="n">
        <v>0</v>
      </c>
      <c r="M221" t="n">
        <v>0</v>
      </c>
      <c r="N221" t="n">
        <v>0</v>
      </c>
      <c r="O221" t="n">
        <v>0</v>
      </c>
      <c r="P221" t="n">
        <v>0</v>
      </c>
      <c r="Q221" t="n">
        <v>2</v>
      </c>
      <c r="R221" s="2" t="inlineStr">
        <is>
          <t>Svart trolldruva
Blåsippa</t>
        </is>
      </c>
      <c r="S221">
        <f>HYPERLINK("https://klasma.github.io/Logging_1980/artfynd/A 24945-2024 artfynd.xlsx", "A 24945-2024")</f>
        <v/>
      </c>
      <c r="T221">
        <f>HYPERLINK("https://klasma.github.io/Logging_1980/kartor/A 24945-2024 karta.png", "A 24945-2024")</f>
        <v/>
      </c>
      <c r="V221">
        <f>HYPERLINK("https://klasma.github.io/Logging_1980/klagomål/A 24945-2024 FSC-klagomål.docx", "A 24945-2024")</f>
        <v/>
      </c>
      <c r="W221">
        <f>HYPERLINK("https://klasma.github.io/Logging_1980/klagomålsmail/A 24945-2024 FSC-klagomål mail.docx", "A 24945-2024")</f>
        <v/>
      </c>
      <c r="X221">
        <f>HYPERLINK("https://klasma.github.io/Logging_1980/tillsyn/A 24945-2024 tillsynsbegäran.docx", "A 24945-2024")</f>
        <v/>
      </c>
      <c r="Y221">
        <f>HYPERLINK("https://klasma.github.io/Logging_1980/tillsynsmail/A 24945-2024 tillsynsbegäran mail.docx", "A 24945-2024")</f>
        <v/>
      </c>
    </row>
    <row r="222" ht="15" customHeight="1">
      <c r="A222" t="inlineStr">
        <is>
          <t>A 31187-2024</t>
        </is>
      </c>
      <c r="B222" s="1" t="n">
        <v>45503</v>
      </c>
      <c r="C222" s="1" t="n">
        <v>45724</v>
      </c>
      <c r="D222" t="inlineStr">
        <is>
          <t>VÄSTMANLANDS LÄN</t>
        </is>
      </c>
      <c r="E222" t="inlineStr">
        <is>
          <t>HALLSTAHAMMAR</t>
        </is>
      </c>
      <c r="F222" t="inlineStr">
        <is>
          <t>Allmännings- och besparingsskogar</t>
        </is>
      </c>
      <c r="G222" t="n">
        <v>6.1</v>
      </c>
      <c r="H222" t="n">
        <v>0</v>
      </c>
      <c r="I222" t="n">
        <v>0</v>
      </c>
      <c r="J222" t="n">
        <v>2</v>
      </c>
      <c r="K222" t="n">
        <v>0</v>
      </c>
      <c r="L222" t="n">
        <v>0</v>
      </c>
      <c r="M222" t="n">
        <v>0</v>
      </c>
      <c r="N222" t="n">
        <v>0</v>
      </c>
      <c r="O222" t="n">
        <v>2</v>
      </c>
      <c r="P222" t="n">
        <v>0</v>
      </c>
      <c r="Q222" t="n">
        <v>2</v>
      </c>
      <c r="R222" s="2" t="inlineStr">
        <is>
          <t>Krusfrö
Svinrot</t>
        </is>
      </c>
      <c r="S222">
        <f>HYPERLINK("https://klasma.github.io/Logging_1961/artfynd/A 31187-2024 artfynd.xlsx", "A 31187-2024")</f>
        <v/>
      </c>
      <c r="T222">
        <f>HYPERLINK("https://klasma.github.io/Logging_1961/kartor/A 31187-2024 karta.png", "A 31187-2024")</f>
        <v/>
      </c>
      <c r="V222">
        <f>HYPERLINK("https://klasma.github.io/Logging_1961/klagomål/A 31187-2024 FSC-klagomål.docx", "A 31187-2024")</f>
        <v/>
      </c>
      <c r="W222">
        <f>HYPERLINK("https://klasma.github.io/Logging_1961/klagomålsmail/A 31187-2024 FSC-klagomål mail.docx", "A 31187-2024")</f>
        <v/>
      </c>
      <c r="X222">
        <f>HYPERLINK("https://klasma.github.io/Logging_1961/tillsyn/A 31187-2024 tillsynsbegäran.docx", "A 31187-2024")</f>
        <v/>
      </c>
      <c r="Y222">
        <f>HYPERLINK("https://klasma.github.io/Logging_1961/tillsynsmail/A 31187-2024 tillsynsbegäran mail.docx", "A 31187-2024")</f>
        <v/>
      </c>
    </row>
    <row r="223" ht="15" customHeight="1">
      <c r="A223" t="inlineStr">
        <is>
          <t>A 39250-2024</t>
        </is>
      </c>
      <c r="B223" s="1" t="n">
        <v>45551</v>
      </c>
      <c r="C223" s="1" t="n">
        <v>45724</v>
      </c>
      <c r="D223" t="inlineStr">
        <is>
          <t>VÄSTMANLANDS LÄN</t>
        </is>
      </c>
      <c r="E223" t="inlineStr">
        <is>
          <t>NORBERG</t>
        </is>
      </c>
      <c r="F223" t="inlineStr">
        <is>
          <t>Bergvik skog väst AB</t>
        </is>
      </c>
      <c r="G223" t="n">
        <v>8.9</v>
      </c>
      <c r="H223" t="n">
        <v>0</v>
      </c>
      <c r="I223" t="n">
        <v>0</v>
      </c>
      <c r="J223" t="n">
        <v>2</v>
      </c>
      <c r="K223" t="n">
        <v>0</v>
      </c>
      <c r="L223" t="n">
        <v>0</v>
      </c>
      <c r="M223" t="n">
        <v>0</v>
      </c>
      <c r="N223" t="n">
        <v>0</v>
      </c>
      <c r="O223" t="n">
        <v>2</v>
      </c>
      <c r="P223" t="n">
        <v>0</v>
      </c>
      <c r="Q223" t="n">
        <v>2</v>
      </c>
      <c r="R223" s="2" t="inlineStr">
        <is>
          <t>Motaggsvamp
Tallticka</t>
        </is>
      </c>
      <c r="S223">
        <f>HYPERLINK("https://klasma.github.io/Logging_1962/artfynd/A 39250-2024 artfynd.xlsx", "A 39250-2024")</f>
        <v/>
      </c>
      <c r="T223">
        <f>HYPERLINK("https://klasma.github.io/Logging_1962/kartor/A 39250-2024 karta.png", "A 39250-2024")</f>
        <v/>
      </c>
      <c r="V223">
        <f>HYPERLINK("https://klasma.github.io/Logging_1962/klagomål/A 39250-2024 FSC-klagomål.docx", "A 39250-2024")</f>
        <v/>
      </c>
      <c r="W223">
        <f>HYPERLINK("https://klasma.github.io/Logging_1962/klagomålsmail/A 39250-2024 FSC-klagomål mail.docx", "A 39250-2024")</f>
        <v/>
      </c>
      <c r="X223">
        <f>HYPERLINK("https://klasma.github.io/Logging_1962/tillsyn/A 39250-2024 tillsynsbegäran.docx", "A 39250-2024")</f>
        <v/>
      </c>
      <c r="Y223">
        <f>HYPERLINK("https://klasma.github.io/Logging_1962/tillsynsmail/A 39250-2024 tillsynsbegäran mail.docx", "A 39250-2024")</f>
        <v/>
      </c>
    </row>
    <row r="224" ht="15" customHeight="1">
      <c r="A224" t="inlineStr">
        <is>
          <t>A 41618-2024</t>
        </is>
      </c>
      <c r="B224" s="1" t="n">
        <v>45560</v>
      </c>
      <c r="C224" s="1" t="n">
        <v>45724</v>
      </c>
      <c r="D224" t="inlineStr">
        <is>
          <t>VÄSTMANLANDS LÄN</t>
        </is>
      </c>
      <c r="E224" t="inlineStr">
        <is>
          <t>SKINNSKATTEBERG</t>
        </is>
      </c>
      <c r="F224" t="inlineStr">
        <is>
          <t>Sveaskog</t>
        </is>
      </c>
      <c r="G224" t="n">
        <v>2.6</v>
      </c>
      <c r="H224" t="n">
        <v>0</v>
      </c>
      <c r="I224" t="n">
        <v>1</v>
      </c>
      <c r="J224" t="n">
        <v>1</v>
      </c>
      <c r="K224" t="n">
        <v>0</v>
      </c>
      <c r="L224" t="n">
        <v>0</v>
      </c>
      <c r="M224" t="n">
        <v>0</v>
      </c>
      <c r="N224" t="n">
        <v>0</v>
      </c>
      <c r="O224" t="n">
        <v>1</v>
      </c>
      <c r="P224" t="n">
        <v>0</v>
      </c>
      <c r="Q224" t="n">
        <v>2</v>
      </c>
      <c r="R224" s="2" t="inlineStr">
        <is>
          <t>Motaggsvamp
Dropptaggsvamp</t>
        </is>
      </c>
      <c r="S224">
        <f>HYPERLINK("https://klasma.github.io/Logging_1904/artfynd/A 41618-2024 artfynd.xlsx", "A 41618-2024")</f>
        <v/>
      </c>
      <c r="T224">
        <f>HYPERLINK("https://klasma.github.io/Logging_1904/kartor/A 41618-2024 karta.png", "A 41618-2024")</f>
        <v/>
      </c>
      <c r="V224">
        <f>HYPERLINK("https://klasma.github.io/Logging_1904/klagomål/A 41618-2024 FSC-klagomål.docx", "A 41618-2024")</f>
        <v/>
      </c>
      <c r="W224">
        <f>HYPERLINK("https://klasma.github.io/Logging_1904/klagomålsmail/A 41618-2024 FSC-klagomål mail.docx", "A 41618-2024")</f>
        <v/>
      </c>
      <c r="X224">
        <f>HYPERLINK("https://klasma.github.io/Logging_1904/tillsyn/A 41618-2024 tillsynsbegäran.docx", "A 41618-2024")</f>
        <v/>
      </c>
      <c r="Y224">
        <f>HYPERLINK("https://klasma.github.io/Logging_1904/tillsynsmail/A 41618-2024 tillsynsbegäran mail.docx", "A 41618-2024")</f>
        <v/>
      </c>
    </row>
    <row r="225" ht="15" customHeight="1">
      <c r="A225" t="inlineStr">
        <is>
          <t>A 45053-2024</t>
        </is>
      </c>
      <c r="B225" s="1" t="n">
        <v>45575</v>
      </c>
      <c r="C225" s="1" t="n">
        <v>45724</v>
      </c>
      <c r="D225" t="inlineStr">
        <is>
          <t>VÄSTMANLANDS LÄN</t>
        </is>
      </c>
      <c r="E225" t="inlineStr">
        <is>
          <t>KÖPING</t>
        </is>
      </c>
      <c r="F225" t="inlineStr">
        <is>
          <t>Sveaskog</t>
        </is>
      </c>
      <c r="G225" t="n">
        <v>7.4</v>
      </c>
      <c r="H225" t="n">
        <v>0</v>
      </c>
      <c r="I225" t="n">
        <v>0</v>
      </c>
      <c r="J225" t="n">
        <v>1</v>
      </c>
      <c r="K225" t="n">
        <v>1</v>
      </c>
      <c r="L225" t="n">
        <v>0</v>
      </c>
      <c r="M225" t="n">
        <v>0</v>
      </c>
      <c r="N225" t="n">
        <v>0</v>
      </c>
      <c r="O225" t="n">
        <v>2</v>
      </c>
      <c r="P225" t="n">
        <v>1</v>
      </c>
      <c r="Q225" t="n">
        <v>2</v>
      </c>
      <c r="R225" s="2" t="inlineStr">
        <is>
          <t>Rynkskinn
Kandelabersvamp</t>
        </is>
      </c>
      <c r="S225">
        <f>HYPERLINK("https://klasma.github.io/Logging_1983/artfynd/A 45053-2024 artfynd.xlsx", "A 45053-2024")</f>
        <v/>
      </c>
      <c r="T225">
        <f>HYPERLINK("https://klasma.github.io/Logging_1983/kartor/A 45053-2024 karta.png", "A 45053-2024")</f>
        <v/>
      </c>
      <c r="V225">
        <f>HYPERLINK("https://klasma.github.io/Logging_1983/klagomål/A 45053-2024 FSC-klagomål.docx", "A 45053-2024")</f>
        <v/>
      </c>
      <c r="W225">
        <f>HYPERLINK("https://klasma.github.io/Logging_1983/klagomålsmail/A 45053-2024 FSC-klagomål mail.docx", "A 45053-2024")</f>
        <v/>
      </c>
      <c r="X225">
        <f>HYPERLINK("https://klasma.github.io/Logging_1983/tillsyn/A 45053-2024 tillsynsbegäran.docx", "A 45053-2024")</f>
        <v/>
      </c>
      <c r="Y225">
        <f>HYPERLINK("https://klasma.github.io/Logging_1983/tillsynsmail/A 45053-2024 tillsynsbegäran mail.docx", "A 45053-2024")</f>
        <v/>
      </c>
    </row>
    <row r="226" ht="15" customHeight="1">
      <c r="A226" t="inlineStr">
        <is>
          <t>A 46872-2024</t>
        </is>
      </c>
      <c r="B226" s="1" t="n">
        <v>45583</v>
      </c>
      <c r="C226" s="1" t="n">
        <v>45724</v>
      </c>
      <c r="D226" t="inlineStr">
        <is>
          <t>VÄSTMANLANDS LÄN</t>
        </is>
      </c>
      <c r="E226" t="inlineStr">
        <is>
          <t>SKINNSKATTEBERG</t>
        </is>
      </c>
      <c r="F226" t="inlineStr">
        <is>
          <t>Sveaskog</t>
        </is>
      </c>
      <c r="G226" t="n">
        <v>3.4</v>
      </c>
      <c r="H226" t="n">
        <v>0</v>
      </c>
      <c r="I226" t="n">
        <v>0</v>
      </c>
      <c r="J226" t="n">
        <v>2</v>
      </c>
      <c r="K226" t="n">
        <v>0</v>
      </c>
      <c r="L226" t="n">
        <v>0</v>
      </c>
      <c r="M226" t="n">
        <v>0</v>
      </c>
      <c r="N226" t="n">
        <v>0</v>
      </c>
      <c r="O226" t="n">
        <v>2</v>
      </c>
      <c r="P226" t="n">
        <v>0</v>
      </c>
      <c r="Q226" t="n">
        <v>2</v>
      </c>
      <c r="R226" s="2" t="inlineStr">
        <is>
          <t>Gul taggsvamp
Orange taggsvamp</t>
        </is>
      </c>
      <c r="S226">
        <f>HYPERLINK("https://klasma.github.io/Logging_1904/artfynd/A 46872-2024 artfynd.xlsx", "A 46872-2024")</f>
        <v/>
      </c>
      <c r="T226">
        <f>HYPERLINK("https://klasma.github.io/Logging_1904/kartor/A 46872-2024 karta.png", "A 46872-2024")</f>
        <v/>
      </c>
      <c r="V226">
        <f>HYPERLINK("https://klasma.github.io/Logging_1904/klagomål/A 46872-2024 FSC-klagomål.docx", "A 46872-2024")</f>
        <v/>
      </c>
      <c r="W226">
        <f>HYPERLINK("https://klasma.github.io/Logging_1904/klagomålsmail/A 46872-2024 FSC-klagomål mail.docx", "A 46872-2024")</f>
        <v/>
      </c>
      <c r="X226">
        <f>HYPERLINK("https://klasma.github.io/Logging_1904/tillsyn/A 46872-2024 tillsynsbegäran.docx", "A 46872-2024")</f>
        <v/>
      </c>
      <c r="Y226">
        <f>HYPERLINK("https://klasma.github.io/Logging_1904/tillsynsmail/A 46872-2024 tillsynsbegäran mail.docx", "A 46872-2024")</f>
        <v/>
      </c>
    </row>
    <row r="227" ht="15" customHeight="1">
      <c r="A227" t="inlineStr">
        <is>
          <t>A 52131-2024</t>
        </is>
      </c>
      <c r="B227" s="1" t="n">
        <v>45608</v>
      </c>
      <c r="C227" s="1" t="n">
        <v>45724</v>
      </c>
      <c r="D227" t="inlineStr">
        <is>
          <t>VÄSTMANLANDS LÄN</t>
        </is>
      </c>
      <c r="E227" t="inlineStr">
        <is>
          <t>SKINNSKATTEBERG</t>
        </is>
      </c>
      <c r="G227" t="n">
        <v>8.699999999999999</v>
      </c>
      <c r="H227" t="n">
        <v>2</v>
      </c>
      <c r="I227" t="n">
        <v>0</v>
      </c>
      <c r="J227" t="n">
        <v>2</v>
      </c>
      <c r="K227" t="n">
        <v>0</v>
      </c>
      <c r="L227" t="n">
        <v>0</v>
      </c>
      <c r="M227" t="n">
        <v>0</v>
      </c>
      <c r="N227" t="n">
        <v>0</v>
      </c>
      <c r="O227" t="n">
        <v>2</v>
      </c>
      <c r="P227" t="n">
        <v>0</v>
      </c>
      <c r="Q227" t="n">
        <v>2</v>
      </c>
      <c r="R227" s="2" t="inlineStr">
        <is>
          <t>Spillkråka
Talltita</t>
        </is>
      </c>
      <c r="S227">
        <f>HYPERLINK("https://klasma.github.io/Logging_1904/artfynd/A 52131-2024 artfynd.xlsx", "A 52131-2024")</f>
        <v/>
      </c>
      <c r="T227">
        <f>HYPERLINK("https://klasma.github.io/Logging_1904/kartor/A 52131-2024 karta.png", "A 52131-2024")</f>
        <v/>
      </c>
      <c r="V227">
        <f>HYPERLINK("https://klasma.github.io/Logging_1904/klagomål/A 52131-2024 FSC-klagomål.docx", "A 52131-2024")</f>
        <v/>
      </c>
      <c r="W227">
        <f>HYPERLINK("https://klasma.github.io/Logging_1904/klagomålsmail/A 52131-2024 FSC-klagomål mail.docx", "A 52131-2024")</f>
        <v/>
      </c>
      <c r="X227">
        <f>HYPERLINK("https://klasma.github.io/Logging_1904/tillsyn/A 52131-2024 tillsynsbegäran.docx", "A 52131-2024")</f>
        <v/>
      </c>
      <c r="Y227">
        <f>HYPERLINK("https://klasma.github.io/Logging_1904/tillsynsmail/A 52131-2024 tillsynsbegäran mail.docx", "A 52131-2024")</f>
        <v/>
      </c>
      <c r="Z227">
        <f>HYPERLINK("https://klasma.github.io/Logging_1904/fåglar/A 52131-2024 prioriterade fågelarter.docx", "A 52131-2024")</f>
        <v/>
      </c>
    </row>
    <row r="228" ht="15" customHeight="1">
      <c r="A228" t="inlineStr">
        <is>
          <t>A 61454-2024</t>
        </is>
      </c>
      <c r="B228" s="1" t="n">
        <v>45646</v>
      </c>
      <c r="C228" s="1" t="n">
        <v>45724</v>
      </c>
      <c r="D228" t="inlineStr">
        <is>
          <t>VÄSTMANLANDS LÄN</t>
        </is>
      </c>
      <c r="E228" t="inlineStr">
        <is>
          <t>SALA</t>
        </is>
      </c>
      <c r="G228" t="n">
        <v>15</v>
      </c>
      <c r="H228" t="n">
        <v>2</v>
      </c>
      <c r="I228" t="n">
        <v>0</v>
      </c>
      <c r="J228" t="n">
        <v>0</v>
      </c>
      <c r="K228" t="n">
        <v>1</v>
      </c>
      <c r="L228" t="n">
        <v>0</v>
      </c>
      <c r="M228" t="n">
        <v>0</v>
      </c>
      <c r="N228" t="n">
        <v>0</v>
      </c>
      <c r="O228" t="n">
        <v>1</v>
      </c>
      <c r="P228" t="n">
        <v>1</v>
      </c>
      <c r="Q228" t="n">
        <v>2</v>
      </c>
      <c r="R228" s="2" t="inlineStr">
        <is>
          <t>Knärot
Mindre vattensalamander</t>
        </is>
      </c>
      <c r="S228">
        <f>HYPERLINK("https://klasma.github.io/Logging_1981/artfynd/A 61454-2024 artfynd.xlsx", "A 61454-2024")</f>
        <v/>
      </c>
      <c r="T228">
        <f>HYPERLINK("https://klasma.github.io/Logging_1981/kartor/A 61454-2024 karta.png", "A 61454-2024")</f>
        <v/>
      </c>
      <c r="U228">
        <f>HYPERLINK("https://klasma.github.io/Logging_1981/knärot/A 61454-2024 karta knärot.png", "A 61454-2024")</f>
        <v/>
      </c>
      <c r="V228">
        <f>HYPERLINK("https://klasma.github.io/Logging_1981/klagomål/A 61454-2024 FSC-klagomål.docx", "A 61454-2024")</f>
        <v/>
      </c>
      <c r="W228">
        <f>HYPERLINK("https://klasma.github.io/Logging_1981/klagomålsmail/A 61454-2024 FSC-klagomål mail.docx", "A 61454-2024")</f>
        <v/>
      </c>
      <c r="X228">
        <f>HYPERLINK("https://klasma.github.io/Logging_1981/tillsyn/A 61454-2024 tillsynsbegäran.docx", "A 61454-2024")</f>
        <v/>
      </c>
      <c r="Y228">
        <f>HYPERLINK("https://klasma.github.io/Logging_1981/tillsynsmail/A 61454-2024 tillsynsbegäran mail.docx", "A 61454-2024")</f>
        <v/>
      </c>
    </row>
    <row r="229" ht="15" customHeight="1">
      <c r="A229" t="inlineStr">
        <is>
          <t>A 944-2025</t>
        </is>
      </c>
      <c r="B229" s="1" t="n">
        <v>45666</v>
      </c>
      <c r="C229" s="1" t="n">
        <v>45724</v>
      </c>
      <c r="D229" t="inlineStr">
        <is>
          <t>VÄSTMANLANDS LÄN</t>
        </is>
      </c>
      <c r="E229" t="inlineStr">
        <is>
          <t>ARBOGA</t>
        </is>
      </c>
      <c r="G229" t="n">
        <v>1.3</v>
      </c>
      <c r="H229" t="n">
        <v>0</v>
      </c>
      <c r="I229" t="n">
        <v>1</v>
      </c>
      <c r="J229" t="n">
        <v>1</v>
      </c>
      <c r="K229" t="n">
        <v>0</v>
      </c>
      <c r="L229" t="n">
        <v>0</v>
      </c>
      <c r="M229" t="n">
        <v>0</v>
      </c>
      <c r="N229" t="n">
        <v>0</v>
      </c>
      <c r="O229" t="n">
        <v>1</v>
      </c>
      <c r="P229" t="n">
        <v>0</v>
      </c>
      <c r="Q229" t="n">
        <v>2</v>
      </c>
      <c r="R229" s="2" t="inlineStr">
        <is>
          <t>Koralltaggsvamp
Rävticka</t>
        </is>
      </c>
      <c r="S229">
        <f>HYPERLINK("https://klasma.github.io/Logging_1984/artfynd/A 944-2025 artfynd.xlsx", "A 944-2025")</f>
        <v/>
      </c>
      <c r="T229">
        <f>HYPERLINK("https://klasma.github.io/Logging_1984/kartor/A 944-2025 karta.png", "A 944-2025")</f>
        <v/>
      </c>
      <c r="V229">
        <f>HYPERLINK("https://klasma.github.io/Logging_1984/klagomål/A 944-2025 FSC-klagomål.docx", "A 944-2025")</f>
        <v/>
      </c>
      <c r="W229">
        <f>HYPERLINK("https://klasma.github.io/Logging_1984/klagomålsmail/A 944-2025 FSC-klagomål mail.docx", "A 944-2025")</f>
        <v/>
      </c>
      <c r="X229">
        <f>HYPERLINK("https://klasma.github.io/Logging_1984/tillsyn/A 944-2025 tillsynsbegäran.docx", "A 944-2025")</f>
        <v/>
      </c>
      <c r="Y229">
        <f>HYPERLINK("https://klasma.github.io/Logging_1984/tillsynsmail/A 944-2025 tillsynsbegäran mail.docx", "A 944-2025")</f>
        <v/>
      </c>
    </row>
    <row r="230" ht="15" customHeight="1">
      <c r="A230" t="inlineStr">
        <is>
          <t>A 2314-2025</t>
        </is>
      </c>
      <c r="B230" s="1" t="n">
        <v>45673</v>
      </c>
      <c r="C230" s="1" t="n">
        <v>45724</v>
      </c>
      <c r="D230" t="inlineStr">
        <is>
          <t>VÄSTMANLANDS LÄN</t>
        </is>
      </c>
      <c r="E230" t="inlineStr">
        <is>
          <t>FAGERSTA</t>
        </is>
      </c>
      <c r="G230" t="n">
        <v>0.8</v>
      </c>
      <c r="H230" t="n">
        <v>0</v>
      </c>
      <c r="I230" t="n">
        <v>1</v>
      </c>
      <c r="J230" t="n">
        <v>0</v>
      </c>
      <c r="K230" t="n">
        <v>0</v>
      </c>
      <c r="L230" t="n">
        <v>0</v>
      </c>
      <c r="M230" t="n">
        <v>1</v>
      </c>
      <c r="N230" t="n">
        <v>0</v>
      </c>
      <c r="O230" t="n">
        <v>1</v>
      </c>
      <c r="P230" t="n">
        <v>1</v>
      </c>
      <c r="Q230" t="n">
        <v>2</v>
      </c>
      <c r="R230" s="2" t="inlineStr">
        <is>
          <t>Skogsalm
Svart trolldruva</t>
        </is>
      </c>
      <c r="S230">
        <f>HYPERLINK("https://klasma.github.io/Logging_1982/artfynd/A 2314-2025 artfynd.xlsx", "A 2314-2025")</f>
        <v/>
      </c>
      <c r="T230">
        <f>HYPERLINK("https://klasma.github.io/Logging_1982/kartor/A 2314-2025 karta.png", "A 2314-2025")</f>
        <v/>
      </c>
      <c r="V230">
        <f>HYPERLINK("https://klasma.github.io/Logging_1982/klagomål/A 2314-2025 FSC-klagomål.docx", "A 2314-2025")</f>
        <v/>
      </c>
      <c r="W230">
        <f>HYPERLINK("https://klasma.github.io/Logging_1982/klagomålsmail/A 2314-2025 FSC-klagomål mail.docx", "A 2314-2025")</f>
        <v/>
      </c>
      <c r="X230">
        <f>HYPERLINK("https://klasma.github.io/Logging_1982/tillsyn/A 2314-2025 tillsynsbegäran.docx", "A 2314-2025")</f>
        <v/>
      </c>
      <c r="Y230">
        <f>HYPERLINK("https://klasma.github.io/Logging_1982/tillsynsmail/A 2314-2025 tillsynsbegäran mail.docx", "A 2314-2025")</f>
        <v/>
      </c>
    </row>
    <row r="231" ht="15" customHeight="1">
      <c r="A231" t="inlineStr">
        <is>
          <t>A 4082-2025</t>
        </is>
      </c>
      <c r="B231" s="1" t="n">
        <v>45684</v>
      </c>
      <c r="C231" s="1" t="n">
        <v>45724</v>
      </c>
      <c r="D231" t="inlineStr">
        <is>
          <t>VÄSTMANLANDS LÄN</t>
        </is>
      </c>
      <c r="E231" t="inlineStr">
        <is>
          <t>SURAHAMMAR</t>
        </is>
      </c>
      <c r="F231" t="inlineStr">
        <is>
          <t>Bergvik skog väst AB</t>
        </is>
      </c>
      <c r="G231" t="n">
        <v>11.6</v>
      </c>
      <c r="H231" t="n">
        <v>1</v>
      </c>
      <c r="I231" t="n">
        <v>2</v>
      </c>
      <c r="J231" t="n">
        <v>0</v>
      </c>
      <c r="K231" t="n">
        <v>0</v>
      </c>
      <c r="L231" t="n">
        <v>0</v>
      </c>
      <c r="M231" t="n">
        <v>0</v>
      </c>
      <c r="N231" t="n">
        <v>0</v>
      </c>
      <c r="O231" t="n">
        <v>0</v>
      </c>
      <c r="P231" t="n">
        <v>0</v>
      </c>
      <c r="Q231" t="n">
        <v>2</v>
      </c>
      <c r="R231" s="2" t="inlineStr">
        <is>
          <t>Grönpyrola
Plattlummer</t>
        </is>
      </c>
      <c r="S231">
        <f>HYPERLINK("https://klasma.github.io/Logging_1907/artfynd/A 4082-2025 artfynd.xlsx", "A 4082-2025")</f>
        <v/>
      </c>
      <c r="T231">
        <f>HYPERLINK("https://klasma.github.io/Logging_1907/kartor/A 4082-2025 karta.png", "A 4082-2025")</f>
        <v/>
      </c>
      <c r="V231">
        <f>HYPERLINK("https://klasma.github.io/Logging_1907/klagomål/A 4082-2025 FSC-klagomål.docx", "A 4082-2025")</f>
        <v/>
      </c>
      <c r="W231">
        <f>HYPERLINK("https://klasma.github.io/Logging_1907/klagomålsmail/A 4082-2025 FSC-klagomål mail.docx", "A 4082-2025")</f>
        <v/>
      </c>
      <c r="X231">
        <f>HYPERLINK("https://klasma.github.io/Logging_1907/tillsyn/A 4082-2025 tillsynsbegäran.docx", "A 4082-2025")</f>
        <v/>
      </c>
      <c r="Y231">
        <f>HYPERLINK("https://klasma.github.io/Logging_1907/tillsynsmail/A 4082-2025 tillsynsbegäran mail.docx", "A 4082-2025")</f>
        <v/>
      </c>
    </row>
    <row r="232" ht="15" customHeight="1">
      <c r="A232" t="inlineStr">
        <is>
          <t>A 5638-2025</t>
        </is>
      </c>
      <c r="B232" s="1" t="n">
        <v>45693</v>
      </c>
      <c r="C232" s="1" t="n">
        <v>45724</v>
      </c>
      <c r="D232" t="inlineStr">
        <is>
          <t>VÄSTMANLANDS LÄN</t>
        </is>
      </c>
      <c r="E232" t="inlineStr">
        <is>
          <t>VÄSTERÅS</t>
        </is>
      </c>
      <c r="G232" t="n">
        <v>6.5</v>
      </c>
      <c r="H232" t="n">
        <v>0</v>
      </c>
      <c r="I232" t="n">
        <v>2</v>
      </c>
      <c r="J232" t="n">
        <v>0</v>
      </c>
      <c r="K232" t="n">
        <v>0</v>
      </c>
      <c r="L232" t="n">
        <v>0</v>
      </c>
      <c r="M232" t="n">
        <v>0</v>
      </c>
      <c r="N232" t="n">
        <v>0</v>
      </c>
      <c r="O232" t="n">
        <v>0</v>
      </c>
      <c r="P232" t="n">
        <v>0</v>
      </c>
      <c r="Q232" t="n">
        <v>2</v>
      </c>
      <c r="R232" s="2" t="inlineStr">
        <is>
          <t>Fjällig taggsvamp s.str.
Strimspindling</t>
        </is>
      </c>
      <c r="S232">
        <f>HYPERLINK("https://klasma.github.io/Logging_1980/artfynd/A 5638-2025 artfynd.xlsx", "A 5638-2025")</f>
        <v/>
      </c>
      <c r="T232">
        <f>HYPERLINK("https://klasma.github.io/Logging_1980/kartor/A 5638-2025 karta.png", "A 5638-2025")</f>
        <v/>
      </c>
      <c r="V232">
        <f>HYPERLINK("https://klasma.github.io/Logging_1980/klagomål/A 5638-2025 FSC-klagomål.docx", "A 5638-2025")</f>
        <v/>
      </c>
      <c r="W232">
        <f>HYPERLINK("https://klasma.github.io/Logging_1980/klagomålsmail/A 5638-2025 FSC-klagomål mail.docx", "A 5638-2025")</f>
        <v/>
      </c>
      <c r="X232">
        <f>HYPERLINK("https://klasma.github.io/Logging_1980/tillsyn/A 5638-2025 tillsynsbegäran.docx", "A 5638-2025")</f>
        <v/>
      </c>
      <c r="Y232">
        <f>HYPERLINK("https://klasma.github.io/Logging_1980/tillsynsmail/A 5638-2025 tillsynsbegäran mail.docx", "A 5638-2025")</f>
        <v/>
      </c>
    </row>
    <row r="233" ht="15" customHeight="1">
      <c r="A233" t="inlineStr">
        <is>
          <t>A 10344-2025</t>
        </is>
      </c>
      <c r="B233" s="1" t="n">
        <v>45720</v>
      </c>
      <c r="C233" s="1" t="n">
        <v>45724</v>
      </c>
      <c r="D233" t="inlineStr">
        <is>
          <t>VÄSTMANLANDS LÄN</t>
        </is>
      </c>
      <c r="E233" t="inlineStr">
        <is>
          <t>SALA</t>
        </is>
      </c>
      <c r="G233" t="n">
        <v>4.2</v>
      </c>
      <c r="H233" t="n">
        <v>1</v>
      </c>
      <c r="I233" t="n">
        <v>0</v>
      </c>
      <c r="J233" t="n">
        <v>0</v>
      </c>
      <c r="K233" t="n">
        <v>2</v>
      </c>
      <c r="L233" t="n">
        <v>0</v>
      </c>
      <c r="M233" t="n">
        <v>0</v>
      </c>
      <c r="N233" t="n">
        <v>0</v>
      </c>
      <c r="O233" t="n">
        <v>2</v>
      </c>
      <c r="P233" t="n">
        <v>2</v>
      </c>
      <c r="Q233" t="n">
        <v>2</v>
      </c>
      <c r="R233" s="2" t="inlineStr">
        <is>
          <t>Knärot
Sprickporing</t>
        </is>
      </c>
      <c r="S233">
        <f>HYPERLINK("https://klasma.github.io/Logging_1981/artfynd/A 10344-2025 artfynd.xlsx", "A 10344-2025")</f>
        <v/>
      </c>
      <c r="T233">
        <f>HYPERLINK("https://klasma.github.io/Logging_1981/kartor/A 10344-2025 karta.png", "A 10344-2025")</f>
        <v/>
      </c>
      <c r="U233">
        <f>HYPERLINK("https://klasma.github.io/Logging_1981/knärot/A 10344-2025 karta knärot.png", "A 10344-2025")</f>
        <v/>
      </c>
      <c r="V233">
        <f>HYPERLINK("https://klasma.github.io/Logging_1981/klagomål/A 10344-2025 FSC-klagomål.docx", "A 10344-2025")</f>
        <v/>
      </c>
      <c r="W233">
        <f>HYPERLINK("https://klasma.github.io/Logging_1981/klagomålsmail/A 10344-2025 FSC-klagomål mail.docx", "A 10344-2025")</f>
        <v/>
      </c>
      <c r="X233">
        <f>HYPERLINK("https://klasma.github.io/Logging_1981/tillsyn/A 10344-2025 tillsynsbegäran.docx", "A 10344-2025")</f>
        <v/>
      </c>
      <c r="Y233">
        <f>HYPERLINK("https://klasma.github.io/Logging_1981/tillsynsmail/A 10344-2025 tillsynsbegäran mail.docx", "A 10344-2025")</f>
        <v/>
      </c>
    </row>
    <row r="234" ht="15" customHeight="1">
      <c r="A234" t="inlineStr">
        <is>
          <t>A 18948-2019</t>
        </is>
      </c>
      <c r="B234" s="1" t="n">
        <v>43563</v>
      </c>
      <c r="C234" s="1" t="n">
        <v>45724</v>
      </c>
      <c r="D234" t="inlineStr">
        <is>
          <t>VÄSTMANLANDS LÄN</t>
        </is>
      </c>
      <c r="E234" t="inlineStr">
        <is>
          <t>SURAHAMMAR</t>
        </is>
      </c>
      <c r="F234" t="inlineStr">
        <is>
          <t>Övriga Aktiebolag</t>
        </is>
      </c>
      <c r="G234" t="n">
        <v>1.9</v>
      </c>
      <c r="H234" t="n">
        <v>0</v>
      </c>
      <c r="I234" t="n">
        <v>0</v>
      </c>
      <c r="J234" t="n">
        <v>0</v>
      </c>
      <c r="K234" t="n">
        <v>0</v>
      </c>
      <c r="L234" t="n">
        <v>1</v>
      </c>
      <c r="M234" t="n">
        <v>0</v>
      </c>
      <c r="N234" t="n">
        <v>0</v>
      </c>
      <c r="O234" t="n">
        <v>1</v>
      </c>
      <c r="P234" t="n">
        <v>1</v>
      </c>
      <c r="Q234" t="n">
        <v>1</v>
      </c>
      <c r="R234" s="2" t="inlineStr">
        <is>
          <t>Ask</t>
        </is>
      </c>
      <c r="S234">
        <f>HYPERLINK("https://klasma.github.io/Logging_1907/artfynd/A 18948-2019 artfynd.xlsx", "A 18948-2019")</f>
        <v/>
      </c>
      <c r="T234">
        <f>HYPERLINK("https://klasma.github.io/Logging_1907/kartor/A 18948-2019 karta.png", "A 18948-2019")</f>
        <v/>
      </c>
      <c r="V234">
        <f>HYPERLINK("https://klasma.github.io/Logging_1907/klagomål/A 18948-2019 FSC-klagomål.docx", "A 18948-2019")</f>
        <v/>
      </c>
      <c r="W234">
        <f>HYPERLINK("https://klasma.github.io/Logging_1907/klagomålsmail/A 18948-2019 FSC-klagomål mail.docx", "A 18948-2019")</f>
        <v/>
      </c>
      <c r="X234">
        <f>HYPERLINK("https://klasma.github.io/Logging_1907/tillsyn/A 18948-2019 tillsynsbegäran.docx", "A 18948-2019")</f>
        <v/>
      </c>
      <c r="Y234">
        <f>HYPERLINK("https://klasma.github.io/Logging_1907/tillsynsmail/A 18948-2019 tillsynsbegäran mail.docx", "A 18948-2019")</f>
        <v/>
      </c>
    </row>
    <row r="235" ht="15" customHeight="1">
      <c r="A235" t="inlineStr">
        <is>
          <t>A 20797-2019</t>
        </is>
      </c>
      <c r="B235" s="1" t="n">
        <v>43573</v>
      </c>
      <c r="C235" s="1" t="n">
        <v>45724</v>
      </c>
      <c r="D235" t="inlineStr">
        <is>
          <t>VÄSTMANLANDS LÄN</t>
        </is>
      </c>
      <c r="E235" t="inlineStr">
        <is>
          <t>ARBOGA</t>
        </is>
      </c>
      <c r="G235" t="n">
        <v>9.800000000000001</v>
      </c>
      <c r="H235" t="n">
        <v>0</v>
      </c>
      <c r="I235" t="n">
        <v>0</v>
      </c>
      <c r="J235" t="n">
        <v>0</v>
      </c>
      <c r="K235" t="n">
        <v>0</v>
      </c>
      <c r="L235" t="n">
        <v>1</v>
      </c>
      <c r="M235" t="n">
        <v>0</v>
      </c>
      <c r="N235" t="n">
        <v>0</v>
      </c>
      <c r="O235" t="n">
        <v>1</v>
      </c>
      <c r="P235" t="n">
        <v>1</v>
      </c>
      <c r="Q235" t="n">
        <v>1</v>
      </c>
      <c r="R235" s="2" t="inlineStr">
        <is>
          <t>Ask</t>
        </is>
      </c>
      <c r="S235">
        <f>HYPERLINK("https://klasma.github.io/Logging_1984/artfynd/A 20797-2019 artfynd.xlsx", "A 20797-2019")</f>
        <v/>
      </c>
      <c r="T235">
        <f>HYPERLINK("https://klasma.github.io/Logging_1984/kartor/A 20797-2019 karta.png", "A 20797-2019")</f>
        <v/>
      </c>
      <c r="V235">
        <f>HYPERLINK("https://klasma.github.io/Logging_1984/klagomål/A 20797-2019 FSC-klagomål.docx", "A 20797-2019")</f>
        <v/>
      </c>
      <c r="W235">
        <f>HYPERLINK("https://klasma.github.io/Logging_1984/klagomålsmail/A 20797-2019 FSC-klagomål mail.docx", "A 20797-2019")</f>
        <v/>
      </c>
      <c r="X235">
        <f>HYPERLINK("https://klasma.github.io/Logging_1984/tillsyn/A 20797-2019 tillsynsbegäran.docx", "A 20797-2019")</f>
        <v/>
      </c>
      <c r="Y235">
        <f>HYPERLINK("https://klasma.github.io/Logging_1984/tillsynsmail/A 20797-2019 tillsynsbegäran mail.docx", "A 20797-2019")</f>
        <v/>
      </c>
    </row>
    <row r="236" ht="15" customHeight="1">
      <c r="A236" t="inlineStr">
        <is>
          <t>A 20831-2019</t>
        </is>
      </c>
      <c r="B236" s="1" t="n">
        <v>43574</v>
      </c>
      <c r="C236" s="1" t="n">
        <v>45724</v>
      </c>
      <c r="D236" t="inlineStr">
        <is>
          <t>VÄSTMANLANDS LÄN</t>
        </is>
      </c>
      <c r="E236" t="inlineStr">
        <is>
          <t>FAGERSTA</t>
        </is>
      </c>
      <c r="G236" t="n">
        <v>13.1</v>
      </c>
      <c r="H236" t="n">
        <v>0</v>
      </c>
      <c r="I236" t="n">
        <v>1</v>
      </c>
      <c r="J236" t="n">
        <v>0</v>
      </c>
      <c r="K236" t="n">
        <v>0</v>
      </c>
      <c r="L236" t="n">
        <v>0</v>
      </c>
      <c r="M236" t="n">
        <v>0</v>
      </c>
      <c r="N236" t="n">
        <v>0</v>
      </c>
      <c r="O236" t="n">
        <v>0</v>
      </c>
      <c r="P236" t="n">
        <v>0</v>
      </c>
      <c r="Q236" t="n">
        <v>1</v>
      </c>
      <c r="R236" s="2" t="inlineStr">
        <is>
          <t>Vedticka</t>
        </is>
      </c>
      <c r="S236">
        <f>HYPERLINK("https://klasma.github.io/Logging_1982/artfynd/A 20831-2019 artfynd.xlsx", "A 20831-2019")</f>
        <v/>
      </c>
      <c r="T236">
        <f>HYPERLINK("https://klasma.github.io/Logging_1982/kartor/A 20831-2019 karta.png", "A 20831-2019")</f>
        <v/>
      </c>
      <c r="V236">
        <f>HYPERLINK("https://klasma.github.io/Logging_1982/klagomål/A 20831-2019 FSC-klagomål.docx", "A 20831-2019")</f>
        <v/>
      </c>
      <c r="W236">
        <f>HYPERLINK("https://klasma.github.io/Logging_1982/klagomålsmail/A 20831-2019 FSC-klagomål mail.docx", "A 20831-2019")</f>
        <v/>
      </c>
      <c r="X236">
        <f>HYPERLINK("https://klasma.github.io/Logging_1982/tillsyn/A 20831-2019 tillsynsbegäran.docx", "A 20831-2019")</f>
        <v/>
      </c>
      <c r="Y236">
        <f>HYPERLINK("https://klasma.github.io/Logging_1982/tillsynsmail/A 20831-2019 tillsynsbegäran mail.docx", "A 20831-2019")</f>
        <v/>
      </c>
    </row>
    <row r="237" ht="15" customHeight="1">
      <c r="A237" t="inlineStr">
        <is>
          <t>A 28276-2019</t>
        </is>
      </c>
      <c r="B237" s="1" t="n">
        <v>43623</v>
      </c>
      <c r="C237" s="1" t="n">
        <v>45724</v>
      </c>
      <c r="D237" t="inlineStr">
        <is>
          <t>VÄSTMANLANDS LÄN</t>
        </is>
      </c>
      <c r="E237" t="inlineStr">
        <is>
          <t>SURAHAMMAR</t>
        </is>
      </c>
      <c r="F237" t="inlineStr">
        <is>
          <t>Allmännings- och besparingsskogar</t>
        </is>
      </c>
      <c r="G237" t="n">
        <v>8.4</v>
      </c>
      <c r="H237" t="n">
        <v>0</v>
      </c>
      <c r="I237" t="n">
        <v>0</v>
      </c>
      <c r="J237" t="n">
        <v>1</v>
      </c>
      <c r="K237" t="n">
        <v>0</v>
      </c>
      <c r="L237" t="n">
        <v>0</v>
      </c>
      <c r="M237" t="n">
        <v>0</v>
      </c>
      <c r="N237" t="n">
        <v>0</v>
      </c>
      <c r="O237" t="n">
        <v>1</v>
      </c>
      <c r="P237" t="n">
        <v>0</v>
      </c>
      <c r="Q237" t="n">
        <v>1</v>
      </c>
      <c r="R237" s="2" t="inlineStr">
        <is>
          <t>Hapalopilus aurantiacus</t>
        </is>
      </c>
      <c r="S237">
        <f>HYPERLINK("https://klasma.github.io/Logging_1907/artfynd/A 28276-2019 artfynd.xlsx", "A 28276-2019")</f>
        <v/>
      </c>
      <c r="T237">
        <f>HYPERLINK("https://klasma.github.io/Logging_1907/kartor/A 28276-2019 karta.png", "A 28276-2019")</f>
        <v/>
      </c>
      <c r="V237">
        <f>HYPERLINK("https://klasma.github.io/Logging_1907/klagomål/A 28276-2019 FSC-klagomål.docx", "A 28276-2019")</f>
        <v/>
      </c>
      <c r="W237">
        <f>HYPERLINK("https://klasma.github.io/Logging_1907/klagomålsmail/A 28276-2019 FSC-klagomål mail.docx", "A 28276-2019")</f>
        <v/>
      </c>
      <c r="X237">
        <f>HYPERLINK("https://klasma.github.io/Logging_1907/tillsyn/A 28276-2019 tillsynsbegäran.docx", "A 28276-2019")</f>
        <v/>
      </c>
      <c r="Y237">
        <f>HYPERLINK("https://klasma.github.io/Logging_1907/tillsynsmail/A 28276-2019 tillsynsbegäran mail.docx", "A 28276-2019")</f>
        <v/>
      </c>
    </row>
    <row r="238" ht="15" customHeight="1">
      <c r="A238" t="inlineStr">
        <is>
          <t>A 28360-2019</t>
        </is>
      </c>
      <c r="B238" s="1" t="n">
        <v>43625</v>
      </c>
      <c r="C238" s="1" t="n">
        <v>45724</v>
      </c>
      <c r="D238" t="inlineStr">
        <is>
          <t>VÄSTMANLANDS LÄN</t>
        </is>
      </c>
      <c r="E238" t="inlineStr">
        <is>
          <t>KÖPING</t>
        </is>
      </c>
      <c r="F238" t="inlineStr">
        <is>
          <t>Sveaskog</t>
        </is>
      </c>
      <c r="G238" t="n">
        <v>2.6</v>
      </c>
      <c r="H238" t="n">
        <v>0</v>
      </c>
      <c r="I238" t="n">
        <v>1</v>
      </c>
      <c r="J238" t="n">
        <v>0</v>
      </c>
      <c r="K238" t="n">
        <v>0</v>
      </c>
      <c r="L238" t="n">
        <v>0</v>
      </c>
      <c r="M238" t="n">
        <v>0</v>
      </c>
      <c r="N238" t="n">
        <v>0</v>
      </c>
      <c r="O238" t="n">
        <v>0</v>
      </c>
      <c r="P238" t="n">
        <v>0</v>
      </c>
      <c r="Q238" t="n">
        <v>1</v>
      </c>
      <c r="R238" s="2" t="inlineStr">
        <is>
          <t>Trådticka</t>
        </is>
      </c>
      <c r="S238">
        <f>HYPERLINK("https://klasma.github.io/Logging_1983/artfynd/A 28360-2019 artfynd.xlsx", "A 28360-2019")</f>
        <v/>
      </c>
      <c r="T238">
        <f>HYPERLINK("https://klasma.github.io/Logging_1983/kartor/A 28360-2019 karta.png", "A 28360-2019")</f>
        <v/>
      </c>
      <c r="V238">
        <f>HYPERLINK("https://klasma.github.io/Logging_1983/klagomål/A 28360-2019 FSC-klagomål.docx", "A 28360-2019")</f>
        <v/>
      </c>
      <c r="W238">
        <f>HYPERLINK("https://klasma.github.io/Logging_1983/klagomålsmail/A 28360-2019 FSC-klagomål mail.docx", "A 28360-2019")</f>
        <v/>
      </c>
      <c r="X238">
        <f>HYPERLINK("https://klasma.github.io/Logging_1983/tillsyn/A 28360-2019 tillsynsbegäran.docx", "A 28360-2019")</f>
        <v/>
      </c>
      <c r="Y238">
        <f>HYPERLINK("https://klasma.github.io/Logging_1983/tillsynsmail/A 28360-2019 tillsynsbegäran mail.docx", "A 28360-2019")</f>
        <v/>
      </c>
    </row>
    <row r="239" ht="15" customHeight="1">
      <c r="A239" t="inlineStr">
        <is>
          <t>A 33879-2019</t>
        </is>
      </c>
      <c r="B239" s="1" t="n">
        <v>43653</v>
      </c>
      <c r="C239" s="1" t="n">
        <v>45724</v>
      </c>
      <c r="D239" t="inlineStr">
        <is>
          <t>VÄSTMANLANDS LÄN</t>
        </is>
      </c>
      <c r="E239" t="inlineStr">
        <is>
          <t>SURAHAMMAR</t>
        </is>
      </c>
      <c r="F239" t="inlineStr">
        <is>
          <t>Kyrkan</t>
        </is>
      </c>
      <c r="G239" t="n">
        <v>1.8</v>
      </c>
      <c r="H239" t="n">
        <v>1</v>
      </c>
      <c r="I239" t="n">
        <v>0</v>
      </c>
      <c r="J239" t="n">
        <v>0</v>
      </c>
      <c r="K239" t="n">
        <v>1</v>
      </c>
      <c r="L239" t="n">
        <v>0</v>
      </c>
      <c r="M239" t="n">
        <v>0</v>
      </c>
      <c r="N239" t="n">
        <v>0</v>
      </c>
      <c r="O239" t="n">
        <v>1</v>
      </c>
      <c r="P239" t="n">
        <v>1</v>
      </c>
      <c r="Q239" t="n">
        <v>1</v>
      </c>
      <c r="R239" s="2" t="inlineStr">
        <is>
          <t>Bombmurkla</t>
        </is>
      </c>
      <c r="S239">
        <f>HYPERLINK("https://klasma.github.io/Logging_1907/artfynd/A 33879-2019 artfynd.xlsx", "A 33879-2019")</f>
        <v/>
      </c>
      <c r="T239">
        <f>HYPERLINK("https://klasma.github.io/Logging_1907/kartor/A 33879-2019 karta.png", "A 33879-2019")</f>
        <v/>
      </c>
      <c r="V239">
        <f>HYPERLINK("https://klasma.github.io/Logging_1907/klagomål/A 33879-2019 FSC-klagomål.docx", "A 33879-2019")</f>
        <v/>
      </c>
      <c r="W239">
        <f>HYPERLINK("https://klasma.github.io/Logging_1907/klagomålsmail/A 33879-2019 FSC-klagomål mail.docx", "A 33879-2019")</f>
        <v/>
      </c>
      <c r="X239">
        <f>HYPERLINK("https://klasma.github.io/Logging_1907/tillsyn/A 33879-2019 tillsynsbegäran.docx", "A 33879-2019")</f>
        <v/>
      </c>
      <c r="Y239">
        <f>HYPERLINK("https://klasma.github.io/Logging_1907/tillsynsmail/A 33879-2019 tillsynsbegäran mail.docx", "A 33879-2019")</f>
        <v/>
      </c>
    </row>
    <row r="240" ht="15" customHeight="1">
      <c r="A240" t="inlineStr">
        <is>
          <t>A 39755-2019</t>
        </is>
      </c>
      <c r="B240" s="1" t="n">
        <v>43692</v>
      </c>
      <c r="C240" s="1" t="n">
        <v>45724</v>
      </c>
      <c r="D240" t="inlineStr">
        <is>
          <t>VÄSTMANLANDS LÄN</t>
        </is>
      </c>
      <c r="E240" t="inlineStr">
        <is>
          <t>SURAHAMMAR</t>
        </is>
      </c>
      <c r="F240" t="inlineStr">
        <is>
          <t>Övriga Aktiebolag</t>
        </is>
      </c>
      <c r="G240" t="n">
        <v>11.8</v>
      </c>
      <c r="H240" t="n">
        <v>1</v>
      </c>
      <c r="I240" t="n">
        <v>0</v>
      </c>
      <c r="J240" t="n">
        <v>0</v>
      </c>
      <c r="K240" t="n">
        <v>0</v>
      </c>
      <c r="L240" t="n">
        <v>0</v>
      </c>
      <c r="M240" t="n">
        <v>0</v>
      </c>
      <c r="N240" t="n">
        <v>0</v>
      </c>
      <c r="O240" t="n">
        <v>0</v>
      </c>
      <c r="P240" t="n">
        <v>0</v>
      </c>
      <c r="Q240" t="n">
        <v>1</v>
      </c>
      <c r="R240" s="2" t="inlineStr">
        <is>
          <t>Kopparödla</t>
        </is>
      </c>
      <c r="S240">
        <f>HYPERLINK("https://klasma.github.io/Logging_1907/artfynd/A 39755-2019 artfynd.xlsx", "A 39755-2019")</f>
        <v/>
      </c>
      <c r="T240">
        <f>HYPERLINK("https://klasma.github.io/Logging_1907/kartor/A 39755-2019 karta.png", "A 39755-2019")</f>
        <v/>
      </c>
      <c r="V240">
        <f>HYPERLINK("https://klasma.github.io/Logging_1907/klagomål/A 39755-2019 FSC-klagomål.docx", "A 39755-2019")</f>
        <v/>
      </c>
      <c r="W240">
        <f>HYPERLINK("https://klasma.github.io/Logging_1907/klagomålsmail/A 39755-2019 FSC-klagomål mail.docx", "A 39755-2019")</f>
        <v/>
      </c>
      <c r="X240">
        <f>HYPERLINK("https://klasma.github.io/Logging_1907/tillsyn/A 39755-2019 tillsynsbegäran.docx", "A 39755-2019")</f>
        <v/>
      </c>
      <c r="Y240">
        <f>HYPERLINK("https://klasma.github.io/Logging_1907/tillsynsmail/A 39755-2019 tillsynsbegäran mail.docx", "A 39755-2019")</f>
        <v/>
      </c>
    </row>
    <row r="241" ht="15" customHeight="1">
      <c r="A241" t="inlineStr">
        <is>
          <t>A 47716-2019</t>
        </is>
      </c>
      <c r="B241" s="1" t="n">
        <v>43724</v>
      </c>
      <c r="C241" s="1" t="n">
        <v>45724</v>
      </c>
      <c r="D241" t="inlineStr">
        <is>
          <t>VÄSTMANLANDS LÄN</t>
        </is>
      </c>
      <c r="E241" t="inlineStr">
        <is>
          <t>SALA</t>
        </is>
      </c>
      <c r="G241" t="n">
        <v>5</v>
      </c>
      <c r="H241" t="n">
        <v>0</v>
      </c>
      <c r="I241" t="n">
        <v>0</v>
      </c>
      <c r="J241" t="n">
        <v>0</v>
      </c>
      <c r="K241" t="n">
        <v>0</v>
      </c>
      <c r="L241" t="n">
        <v>0</v>
      </c>
      <c r="M241" t="n">
        <v>1</v>
      </c>
      <c r="N241" t="n">
        <v>0</v>
      </c>
      <c r="O241" t="n">
        <v>1</v>
      </c>
      <c r="P241" t="n">
        <v>1</v>
      </c>
      <c r="Q241" t="n">
        <v>1</v>
      </c>
      <c r="R241" s="2" t="inlineStr">
        <is>
          <t>Skogsalm</t>
        </is>
      </c>
      <c r="S241">
        <f>HYPERLINK("https://klasma.github.io/Logging_1981/artfynd/A 47716-2019 artfynd.xlsx", "A 47716-2019")</f>
        <v/>
      </c>
      <c r="T241">
        <f>HYPERLINK("https://klasma.github.io/Logging_1981/kartor/A 47716-2019 karta.png", "A 47716-2019")</f>
        <v/>
      </c>
      <c r="V241">
        <f>HYPERLINK("https://klasma.github.io/Logging_1981/klagomål/A 47716-2019 FSC-klagomål.docx", "A 47716-2019")</f>
        <v/>
      </c>
      <c r="W241">
        <f>HYPERLINK("https://klasma.github.io/Logging_1981/klagomålsmail/A 47716-2019 FSC-klagomål mail.docx", "A 47716-2019")</f>
        <v/>
      </c>
      <c r="X241">
        <f>HYPERLINK("https://klasma.github.io/Logging_1981/tillsyn/A 47716-2019 tillsynsbegäran.docx", "A 47716-2019")</f>
        <v/>
      </c>
      <c r="Y241">
        <f>HYPERLINK("https://klasma.github.io/Logging_1981/tillsynsmail/A 47716-2019 tillsynsbegäran mail.docx", "A 47716-2019")</f>
        <v/>
      </c>
    </row>
    <row r="242" ht="15" customHeight="1">
      <c r="A242" t="inlineStr">
        <is>
          <t>A 50786-2019</t>
        </is>
      </c>
      <c r="B242" s="1" t="n">
        <v>43738</v>
      </c>
      <c r="C242" s="1" t="n">
        <v>45724</v>
      </c>
      <c r="D242" t="inlineStr">
        <is>
          <t>VÄSTMANLANDS LÄN</t>
        </is>
      </c>
      <c r="E242" t="inlineStr">
        <is>
          <t>ARBOGA</t>
        </is>
      </c>
      <c r="G242" t="n">
        <v>2.1</v>
      </c>
      <c r="H242" t="n">
        <v>1</v>
      </c>
      <c r="I242" t="n">
        <v>0</v>
      </c>
      <c r="J242" t="n">
        <v>0</v>
      </c>
      <c r="K242" t="n">
        <v>0</v>
      </c>
      <c r="L242" t="n">
        <v>0</v>
      </c>
      <c r="M242" t="n">
        <v>0</v>
      </c>
      <c r="N242" t="n">
        <v>0</v>
      </c>
      <c r="O242" t="n">
        <v>0</v>
      </c>
      <c r="P242" t="n">
        <v>0</v>
      </c>
      <c r="Q242" t="n">
        <v>1</v>
      </c>
      <c r="R242" s="2" t="inlineStr">
        <is>
          <t>Mindre vattensalamander</t>
        </is>
      </c>
      <c r="S242">
        <f>HYPERLINK("https://klasma.github.io/Logging_1984/artfynd/A 50786-2019 artfynd.xlsx", "A 50786-2019")</f>
        <v/>
      </c>
      <c r="T242">
        <f>HYPERLINK("https://klasma.github.io/Logging_1984/kartor/A 50786-2019 karta.png", "A 50786-2019")</f>
        <v/>
      </c>
      <c r="V242">
        <f>HYPERLINK("https://klasma.github.io/Logging_1984/klagomål/A 50786-2019 FSC-klagomål.docx", "A 50786-2019")</f>
        <v/>
      </c>
      <c r="W242">
        <f>HYPERLINK("https://klasma.github.io/Logging_1984/klagomålsmail/A 50786-2019 FSC-klagomål mail.docx", "A 50786-2019")</f>
        <v/>
      </c>
      <c r="X242">
        <f>HYPERLINK("https://klasma.github.io/Logging_1984/tillsyn/A 50786-2019 tillsynsbegäran.docx", "A 50786-2019")</f>
        <v/>
      </c>
      <c r="Y242">
        <f>HYPERLINK("https://klasma.github.io/Logging_1984/tillsynsmail/A 50786-2019 tillsynsbegäran mail.docx", "A 50786-2019")</f>
        <v/>
      </c>
    </row>
    <row r="243" ht="15" customHeight="1">
      <c r="A243" t="inlineStr">
        <is>
          <t>A 52753-2019</t>
        </is>
      </c>
      <c r="B243" s="1" t="n">
        <v>43739</v>
      </c>
      <c r="C243" s="1" t="n">
        <v>45724</v>
      </c>
      <c r="D243" t="inlineStr">
        <is>
          <t>VÄSTMANLANDS LÄN</t>
        </is>
      </c>
      <c r="E243" t="inlineStr">
        <is>
          <t>SALA</t>
        </is>
      </c>
      <c r="G243" t="n">
        <v>4.9</v>
      </c>
      <c r="H243" t="n">
        <v>1</v>
      </c>
      <c r="I243" t="n">
        <v>0</v>
      </c>
      <c r="J243" t="n">
        <v>0</v>
      </c>
      <c r="K243" t="n">
        <v>1</v>
      </c>
      <c r="L243" t="n">
        <v>0</v>
      </c>
      <c r="M243" t="n">
        <v>0</v>
      </c>
      <c r="N243" t="n">
        <v>0</v>
      </c>
      <c r="O243" t="n">
        <v>1</v>
      </c>
      <c r="P243" t="n">
        <v>1</v>
      </c>
      <c r="Q243" t="n">
        <v>1</v>
      </c>
      <c r="R243" s="2" t="inlineStr">
        <is>
          <t>Knärot</t>
        </is>
      </c>
      <c r="S243">
        <f>HYPERLINK("https://klasma.github.io/Logging_1981/artfynd/A 52753-2019 artfynd.xlsx", "A 52753-2019")</f>
        <v/>
      </c>
      <c r="T243">
        <f>HYPERLINK("https://klasma.github.io/Logging_1981/kartor/A 52753-2019 karta.png", "A 52753-2019")</f>
        <v/>
      </c>
      <c r="U243">
        <f>HYPERLINK("https://klasma.github.io/Logging_1981/knärot/A 52753-2019 karta knärot.png", "A 52753-2019")</f>
        <v/>
      </c>
      <c r="V243">
        <f>HYPERLINK("https://klasma.github.io/Logging_1981/klagomål/A 52753-2019 FSC-klagomål.docx", "A 52753-2019")</f>
        <v/>
      </c>
      <c r="W243">
        <f>HYPERLINK("https://klasma.github.io/Logging_1981/klagomålsmail/A 52753-2019 FSC-klagomål mail.docx", "A 52753-2019")</f>
        <v/>
      </c>
      <c r="X243">
        <f>HYPERLINK("https://klasma.github.io/Logging_1981/tillsyn/A 52753-2019 tillsynsbegäran.docx", "A 52753-2019")</f>
        <v/>
      </c>
      <c r="Y243">
        <f>HYPERLINK("https://klasma.github.io/Logging_1981/tillsynsmail/A 52753-2019 tillsynsbegäran mail.docx", "A 52753-2019")</f>
        <v/>
      </c>
    </row>
    <row r="244" ht="15" customHeight="1">
      <c r="A244" t="inlineStr">
        <is>
          <t>A 51400-2019</t>
        </is>
      </c>
      <c r="B244" s="1" t="n">
        <v>43740</v>
      </c>
      <c r="C244" s="1" t="n">
        <v>45724</v>
      </c>
      <c r="D244" t="inlineStr">
        <is>
          <t>VÄSTMANLANDS LÄN</t>
        </is>
      </c>
      <c r="E244" t="inlineStr">
        <is>
          <t>SKINNSKATTEBERG</t>
        </is>
      </c>
      <c r="F244" t="inlineStr">
        <is>
          <t>Sveaskog</t>
        </is>
      </c>
      <c r="G244" t="n">
        <v>2.4</v>
      </c>
      <c r="H244" t="n">
        <v>0</v>
      </c>
      <c r="I244" t="n">
        <v>0</v>
      </c>
      <c r="J244" t="n">
        <v>1</v>
      </c>
      <c r="K244" t="n">
        <v>0</v>
      </c>
      <c r="L244" t="n">
        <v>0</v>
      </c>
      <c r="M244" t="n">
        <v>0</v>
      </c>
      <c r="N244" t="n">
        <v>0</v>
      </c>
      <c r="O244" t="n">
        <v>1</v>
      </c>
      <c r="P244" t="n">
        <v>0</v>
      </c>
      <c r="Q244" t="n">
        <v>1</v>
      </c>
      <c r="R244" s="2" t="inlineStr">
        <is>
          <t>Motaggsvamp</t>
        </is>
      </c>
      <c r="S244">
        <f>HYPERLINK("https://klasma.github.io/Logging_1904/artfynd/A 51400-2019 artfynd.xlsx", "A 51400-2019")</f>
        <v/>
      </c>
      <c r="T244">
        <f>HYPERLINK("https://klasma.github.io/Logging_1904/kartor/A 51400-2019 karta.png", "A 51400-2019")</f>
        <v/>
      </c>
      <c r="V244">
        <f>HYPERLINK("https://klasma.github.io/Logging_1904/klagomål/A 51400-2019 FSC-klagomål.docx", "A 51400-2019")</f>
        <v/>
      </c>
      <c r="W244">
        <f>HYPERLINK("https://klasma.github.io/Logging_1904/klagomålsmail/A 51400-2019 FSC-klagomål mail.docx", "A 51400-2019")</f>
        <v/>
      </c>
      <c r="X244">
        <f>HYPERLINK("https://klasma.github.io/Logging_1904/tillsyn/A 51400-2019 tillsynsbegäran.docx", "A 51400-2019")</f>
        <v/>
      </c>
      <c r="Y244">
        <f>HYPERLINK("https://klasma.github.io/Logging_1904/tillsynsmail/A 51400-2019 tillsynsbegäran mail.docx", "A 51400-2019")</f>
        <v/>
      </c>
    </row>
    <row r="245" ht="15" customHeight="1">
      <c r="A245" t="inlineStr">
        <is>
          <t>A 58427-2019</t>
        </is>
      </c>
      <c r="B245" s="1" t="n">
        <v>43773</v>
      </c>
      <c r="C245" s="1" t="n">
        <v>45724</v>
      </c>
      <c r="D245" t="inlineStr">
        <is>
          <t>VÄSTMANLANDS LÄN</t>
        </is>
      </c>
      <c r="E245" t="inlineStr">
        <is>
          <t>VÄSTERÅS</t>
        </is>
      </c>
      <c r="F245" t="inlineStr">
        <is>
          <t>Kommuner</t>
        </is>
      </c>
      <c r="G245" t="n">
        <v>2.6</v>
      </c>
      <c r="H245" t="n">
        <v>1</v>
      </c>
      <c r="I245" t="n">
        <v>0</v>
      </c>
      <c r="J245" t="n">
        <v>0</v>
      </c>
      <c r="K245" t="n">
        <v>1</v>
      </c>
      <c r="L245" t="n">
        <v>0</v>
      </c>
      <c r="M245" t="n">
        <v>0</v>
      </c>
      <c r="N245" t="n">
        <v>0</v>
      </c>
      <c r="O245" t="n">
        <v>1</v>
      </c>
      <c r="P245" t="n">
        <v>1</v>
      </c>
      <c r="Q245" t="n">
        <v>1</v>
      </c>
      <c r="R245" s="2" t="inlineStr">
        <is>
          <t>Bombmurkla</t>
        </is>
      </c>
      <c r="S245">
        <f>HYPERLINK("https://klasma.github.io/Logging_1980/artfynd/A 58427-2019 artfynd.xlsx", "A 58427-2019")</f>
        <v/>
      </c>
      <c r="T245">
        <f>HYPERLINK("https://klasma.github.io/Logging_1980/kartor/A 58427-2019 karta.png", "A 58427-2019")</f>
        <v/>
      </c>
      <c r="V245">
        <f>HYPERLINK("https://klasma.github.io/Logging_1980/klagomål/A 58427-2019 FSC-klagomål.docx", "A 58427-2019")</f>
        <v/>
      </c>
      <c r="W245">
        <f>HYPERLINK("https://klasma.github.io/Logging_1980/klagomålsmail/A 58427-2019 FSC-klagomål mail.docx", "A 58427-2019")</f>
        <v/>
      </c>
      <c r="X245">
        <f>HYPERLINK("https://klasma.github.io/Logging_1980/tillsyn/A 58427-2019 tillsynsbegäran.docx", "A 58427-2019")</f>
        <v/>
      </c>
      <c r="Y245">
        <f>HYPERLINK("https://klasma.github.io/Logging_1980/tillsynsmail/A 58427-2019 tillsynsbegäran mail.docx", "A 58427-2019")</f>
        <v/>
      </c>
    </row>
    <row r="246" ht="15" customHeight="1">
      <c r="A246" t="inlineStr">
        <is>
          <t>A 59891-2019</t>
        </is>
      </c>
      <c r="B246" s="1" t="n">
        <v>43774</v>
      </c>
      <c r="C246" s="1" t="n">
        <v>45724</v>
      </c>
      <c r="D246" t="inlineStr">
        <is>
          <t>VÄSTMANLANDS LÄN</t>
        </is>
      </c>
      <c r="E246" t="inlineStr">
        <is>
          <t>NORBERG</t>
        </is>
      </c>
      <c r="G246" t="n">
        <v>2.6</v>
      </c>
      <c r="H246" t="n">
        <v>0</v>
      </c>
      <c r="I246" t="n">
        <v>1</v>
      </c>
      <c r="J246" t="n">
        <v>0</v>
      </c>
      <c r="K246" t="n">
        <v>0</v>
      </c>
      <c r="L246" t="n">
        <v>0</v>
      </c>
      <c r="M246" t="n">
        <v>0</v>
      </c>
      <c r="N246" t="n">
        <v>0</v>
      </c>
      <c r="O246" t="n">
        <v>0</v>
      </c>
      <c r="P246" t="n">
        <v>0</v>
      </c>
      <c r="Q246" t="n">
        <v>1</v>
      </c>
      <c r="R246" s="2" t="inlineStr">
        <is>
          <t>Bollvitmossa</t>
        </is>
      </c>
      <c r="S246">
        <f>HYPERLINK("https://klasma.github.io/Logging_1962/artfynd/A 59891-2019 artfynd.xlsx", "A 59891-2019")</f>
        <v/>
      </c>
      <c r="T246">
        <f>HYPERLINK("https://klasma.github.io/Logging_1962/kartor/A 59891-2019 karta.png", "A 59891-2019")</f>
        <v/>
      </c>
      <c r="V246">
        <f>HYPERLINK("https://klasma.github.io/Logging_1962/klagomål/A 59891-2019 FSC-klagomål.docx", "A 59891-2019")</f>
        <v/>
      </c>
      <c r="W246">
        <f>HYPERLINK("https://klasma.github.io/Logging_1962/klagomålsmail/A 59891-2019 FSC-klagomål mail.docx", "A 59891-2019")</f>
        <v/>
      </c>
      <c r="X246">
        <f>HYPERLINK("https://klasma.github.io/Logging_1962/tillsyn/A 59891-2019 tillsynsbegäran.docx", "A 59891-2019")</f>
        <v/>
      </c>
      <c r="Y246">
        <f>HYPERLINK("https://klasma.github.io/Logging_1962/tillsynsmail/A 59891-2019 tillsynsbegäran mail.docx", "A 59891-2019")</f>
        <v/>
      </c>
    </row>
    <row r="247" ht="15" customHeight="1">
      <c r="A247" t="inlineStr">
        <is>
          <t>A 59346-2019</t>
        </is>
      </c>
      <c r="B247" s="1" t="n">
        <v>43775</v>
      </c>
      <c r="C247" s="1" t="n">
        <v>45724</v>
      </c>
      <c r="D247" t="inlineStr">
        <is>
          <t>VÄSTMANLANDS LÄN</t>
        </is>
      </c>
      <c r="E247" t="inlineStr">
        <is>
          <t>SKINNSKATTEBERG</t>
        </is>
      </c>
      <c r="F247" t="inlineStr">
        <is>
          <t>Sveaskog</t>
        </is>
      </c>
      <c r="G247" t="n">
        <v>5</v>
      </c>
      <c r="H247" t="n">
        <v>0</v>
      </c>
      <c r="I247" t="n">
        <v>0</v>
      </c>
      <c r="J247" t="n">
        <v>1</v>
      </c>
      <c r="K247" t="n">
        <v>0</v>
      </c>
      <c r="L247" t="n">
        <v>0</v>
      </c>
      <c r="M247" t="n">
        <v>0</v>
      </c>
      <c r="N247" t="n">
        <v>0</v>
      </c>
      <c r="O247" t="n">
        <v>1</v>
      </c>
      <c r="P247" t="n">
        <v>0</v>
      </c>
      <c r="Q247" t="n">
        <v>1</v>
      </c>
      <c r="R247" s="2" t="inlineStr">
        <is>
          <t>Bandad skulderbock</t>
        </is>
      </c>
      <c r="S247">
        <f>HYPERLINK("https://klasma.github.io/Logging_1904/artfynd/A 59346-2019 artfynd.xlsx", "A 59346-2019")</f>
        <v/>
      </c>
      <c r="T247">
        <f>HYPERLINK("https://klasma.github.io/Logging_1904/kartor/A 59346-2019 karta.png", "A 59346-2019")</f>
        <v/>
      </c>
      <c r="V247">
        <f>HYPERLINK("https://klasma.github.io/Logging_1904/klagomål/A 59346-2019 FSC-klagomål.docx", "A 59346-2019")</f>
        <v/>
      </c>
      <c r="W247">
        <f>HYPERLINK("https://klasma.github.io/Logging_1904/klagomålsmail/A 59346-2019 FSC-klagomål mail.docx", "A 59346-2019")</f>
        <v/>
      </c>
      <c r="X247">
        <f>HYPERLINK("https://klasma.github.io/Logging_1904/tillsyn/A 59346-2019 tillsynsbegäran.docx", "A 59346-2019")</f>
        <v/>
      </c>
      <c r="Y247">
        <f>HYPERLINK("https://klasma.github.io/Logging_1904/tillsynsmail/A 59346-2019 tillsynsbegäran mail.docx", "A 59346-2019")</f>
        <v/>
      </c>
    </row>
    <row r="248" ht="15" customHeight="1">
      <c r="A248" t="inlineStr">
        <is>
          <t>A 6514-2020</t>
        </is>
      </c>
      <c r="B248" s="1" t="n">
        <v>43867</v>
      </c>
      <c r="C248" s="1" t="n">
        <v>45724</v>
      </c>
      <c r="D248" t="inlineStr">
        <is>
          <t>VÄSTMANLANDS LÄN</t>
        </is>
      </c>
      <c r="E248" t="inlineStr">
        <is>
          <t>SURAHAMMAR</t>
        </is>
      </c>
      <c r="G248" t="n">
        <v>2.2</v>
      </c>
      <c r="H248" t="n">
        <v>1</v>
      </c>
      <c r="I248" t="n">
        <v>0</v>
      </c>
      <c r="J248" t="n">
        <v>0</v>
      </c>
      <c r="K248" t="n">
        <v>1</v>
      </c>
      <c r="L248" t="n">
        <v>0</v>
      </c>
      <c r="M248" t="n">
        <v>0</v>
      </c>
      <c r="N248" t="n">
        <v>0</v>
      </c>
      <c r="O248" t="n">
        <v>1</v>
      </c>
      <c r="P248" t="n">
        <v>1</v>
      </c>
      <c r="Q248" t="n">
        <v>1</v>
      </c>
      <c r="R248" s="2" t="inlineStr">
        <is>
          <t>Bombmurkla</t>
        </is>
      </c>
      <c r="S248">
        <f>HYPERLINK("https://klasma.github.io/Logging_1907/artfynd/A 6514-2020 artfynd.xlsx", "A 6514-2020")</f>
        <v/>
      </c>
      <c r="T248">
        <f>HYPERLINK("https://klasma.github.io/Logging_1907/kartor/A 6514-2020 karta.png", "A 6514-2020")</f>
        <v/>
      </c>
      <c r="V248">
        <f>HYPERLINK("https://klasma.github.io/Logging_1907/klagomål/A 6514-2020 FSC-klagomål.docx", "A 6514-2020")</f>
        <v/>
      </c>
      <c r="W248">
        <f>HYPERLINK("https://klasma.github.io/Logging_1907/klagomålsmail/A 6514-2020 FSC-klagomål mail.docx", "A 6514-2020")</f>
        <v/>
      </c>
      <c r="X248">
        <f>HYPERLINK("https://klasma.github.io/Logging_1907/tillsyn/A 6514-2020 tillsynsbegäran.docx", "A 6514-2020")</f>
        <v/>
      </c>
      <c r="Y248">
        <f>HYPERLINK("https://klasma.github.io/Logging_1907/tillsynsmail/A 6514-2020 tillsynsbegäran mail.docx", "A 6514-2020")</f>
        <v/>
      </c>
    </row>
    <row r="249" ht="15" customHeight="1">
      <c r="A249" t="inlineStr">
        <is>
          <t>A 8432-2020</t>
        </is>
      </c>
      <c r="B249" s="1" t="n">
        <v>43875</v>
      </c>
      <c r="C249" s="1" t="n">
        <v>45724</v>
      </c>
      <c r="D249" t="inlineStr">
        <is>
          <t>VÄSTMANLANDS LÄN</t>
        </is>
      </c>
      <c r="E249" t="inlineStr">
        <is>
          <t>SALA</t>
        </is>
      </c>
      <c r="G249" t="n">
        <v>2</v>
      </c>
      <c r="H249" t="n">
        <v>1</v>
      </c>
      <c r="I249" t="n">
        <v>0</v>
      </c>
      <c r="J249" t="n">
        <v>0</v>
      </c>
      <c r="K249" t="n">
        <v>1</v>
      </c>
      <c r="L249" t="n">
        <v>0</v>
      </c>
      <c r="M249" t="n">
        <v>0</v>
      </c>
      <c r="N249" t="n">
        <v>0</v>
      </c>
      <c r="O249" t="n">
        <v>1</v>
      </c>
      <c r="P249" t="n">
        <v>1</v>
      </c>
      <c r="Q249" t="n">
        <v>1</v>
      </c>
      <c r="R249" s="2" t="inlineStr">
        <is>
          <t>Bombmurkla</t>
        </is>
      </c>
      <c r="S249">
        <f>HYPERLINK("https://klasma.github.io/Logging_1981/artfynd/A 8432-2020 artfynd.xlsx", "A 8432-2020")</f>
        <v/>
      </c>
      <c r="T249">
        <f>HYPERLINK("https://klasma.github.io/Logging_1981/kartor/A 8432-2020 karta.png", "A 8432-2020")</f>
        <v/>
      </c>
      <c r="V249">
        <f>HYPERLINK("https://klasma.github.io/Logging_1981/klagomål/A 8432-2020 FSC-klagomål.docx", "A 8432-2020")</f>
        <v/>
      </c>
      <c r="W249">
        <f>HYPERLINK("https://klasma.github.io/Logging_1981/klagomålsmail/A 8432-2020 FSC-klagomål mail.docx", "A 8432-2020")</f>
        <v/>
      </c>
      <c r="X249">
        <f>HYPERLINK("https://klasma.github.io/Logging_1981/tillsyn/A 8432-2020 tillsynsbegäran.docx", "A 8432-2020")</f>
        <v/>
      </c>
      <c r="Y249">
        <f>HYPERLINK("https://klasma.github.io/Logging_1981/tillsynsmail/A 8432-2020 tillsynsbegäran mail.docx", "A 8432-2020")</f>
        <v/>
      </c>
    </row>
    <row r="250" ht="15" customHeight="1">
      <c r="A250" t="inlineStr">
        <is>
          <t>A 12592-2020</t>
        </is>
      </c>
      <c r="B250" s="1" t="n">
        <v>43899</v>
      </c>
      <c r="C250" s="1" t="n">
        <v>45724</v>
      </c>
      <c r="D250" t="inlineStr">
        <is>
          <t>VÄSTMANLANDS LÄN</t>
        </is>
      </c>
      <c r="E250" t="inlineStr">
        <is>
          <t>SKINNSKATTEBERG</t>
        </is>
      </c>
      <c r="F250" t="inlineStr">
        <is>
          <t>Sveaskog</t>
        </is>
      </c>
      <c r="G250" t="n">
        <v>6.5</v>
      </c>
      <c r="H250" t="n">
        <v>1</v>
      </c>
      <c r="I250" t="n">
        <v>0</v>
      </c>
      <c r="J250" t="n">
        <v>0</v>
      </c>
      <c r="K250" t="n">
        <v>0</v>
      </c>
      <c r="L250" t="n">
        <v>0</v>
      </c>
      <c r="M250" t="n">
        <v>0</v>
      </c>
      <c r="N250" t="n">
        <v>0</v>
      </c>
      <c r="O250" t="n">
        <v>0</v>
      </c>
      <c r="P250" t="n">
        <v>0</v>
      </c>
      <c r="Q250" t="n">
        <v>1</v>
      </c>
      <c r="R250" s="2" t="inlineStr">
        <is>
          <t>Fläcknycklar</t>
        </is>
      </c>
      <c r="S250">
        <f>HYPERLINK("https://klasma.github.io/Logging_1904/artfynd/A 12592-2020 artfynd.xlsx", "A 12592-2020")</f>
        <v/>
      </c>
      <c r="T250">
        <f>HYPERLINK("https://klasma.github.io/Logging_1904/kartor/A 12592-2020 karta.png", "A 12592-2020")</f>
        <v/>
      </c>
      <c r="V250">
        <f>HYPERLINK("https://klasma.github.io/Logging_1904/klagomål/A 12592-2020 FSC-klagomål.docx", "A 12592-2020")</f>
        <v/>
      </c>
      <c r="W250">
        <f>HYPERLINK("https://klasma.github.io/Logging_1904/klagomålsmail/A 12592-2020 FSC-klagomål mail.docx", "A 12592-2020")</f>
        <v/>
      </c>
      <c r="X250">
        <f>HYPERLINK("https://klasma.github.io/Logging_1904/tillsyn/A 12592-2020 tillsynsbegäran.docx", "A 12592-2020")</f>
        <v/>
      </c>
      <c r="Y250">
        <f>HYPERLINK("https://klasma.github.io/Logging_1904/tillsynsmail/A 12592-2020 tillsynsbegäran mail.docx", "A 12592-2020")</f>
        <v/>
      </c>
    </row>
    <row r="251" ht="15" customHeight="1">
      <c r="A251" t="inlineStr">
        <is>
          <t>A 13671-2020</t>
        </is>
      </c>
      <c r="B251" s="1" t="n">
        <v>43903</v>
      </c>
      <c r="C251" s="1" t="n">
        <v>45724</v>
      </c>
      <c r="D251" t="inlineStr">
        <is>
          <t>VÄSTMANLANDS LÄN</t>
        </is>
      </c>
      <c r="E251" t="inlineStr">
        <is>
          <t>SALA</t>
        </is>
      </c>
      <c r="G251" t="n">
        <v>2.5</v>
      </c>
      <c r="H251" t="n">
        <v>1</v>
      </c>
      <c r="I251" t="n">
        <v>0</v>
      </c>
      <c r="J251" t="n">
        <v>0</v>
      </c>
      <c r="K251" t="n">
        <v>0</v>
      </c>
      <c r="L251" t="n">
        <v>0</v>
      </c>
      <c r="M251" t="n">
        <v>0</v>
      </c>
      <c r="N251" t="n">
        <v>0</v>
      </c>
      <c r="O251" t="n">
        <v>0</v>
      </c>
      <c r="P251" t="n">
        <v>0</v>
      </c>
      <c r="Q251" t="n">
        <v>1</v>
      </c>
      <c r="R251" s="2" t="inlineStr">
        <is>
          <t>Revlummer</t>
        </is>
      </c>
      <c r="S251">
        <f>HYPERLINK("https://klasma.github.io/Logging_1981/artfynd/A 13671-2020 artfynd.xlsx", "A 13671-2020")</f>
        <v/>
      </c>
      <c r="T251">
        <f>HYPERLINK("https://klasma.github.io/Logging_1981/kartor/A 13671-2020 karta.png", "A 13671-2020")</f>
        <v/>
      </c>
      <c r="V251">
        <f>HYPERLINK("https://klasma.github.io/Logging_1981/klagomål/A 13671-2020 FSC-klagomål.docx", "A 13671-2020")</f>
        <v/>
      </c>
      <c r="W251">
        <f>HYPERLINK("https://klasma.github.io/Logging_1981/klagomålsmail/A 13671-2020 FSC-klagomål mail.docx", "A 13671-2020")</f>
        <v/>
      </c>
      <c r="X251">
        <f>HYPERLINK("https://klasma.github.io/Logging_1981/tillsyn/A 13671-2020 tillsynsbegäran.docx", "A 13671-2020")</f>
        <v/>
      </c>
      <c r="Y251">
        <f>HYPERLINK("https://klasma.github.io/Logging_1981/tillsynsmail/A 13671-2020 tillsynsbegäran mail.docx", "A 13671-2020")</f>
        <v/>
      </c>
    </row>
    <row r="252" ht="15" customHeight="1">
      <c r="A252" t="inlineStr">
        <is>
          <t>A 21817-2020</t>
        </is>
      </c>
      <c r="B252" s="1" t="n">
        <v>43958</v>
      </c>
      <c r="C252" s="1" t="n">
        <v>45724</v>
      </c>
      <c r="D252" t="inlineStr">
        <is>
          <t>VÄSTMANLANDS LÄN</t>
        </is>
      </c>
      <c r="E252" t="inlineStr">
        <is>
          <t>VÄSTERÅS</t>
        </is>
      </c>
      <c r="F252" t="inlineStr">
        <is>
          <t>Kyrkan</t>
        </is>
      </c>
      <c r="G252" t="n">
        <v>9.5</v>
      </c>
      <c r="H252" t="n">
        <v>0</v>
      </c>
      <c r="I252" t="n">
        <v>1</v>
      </c>
      <c r="J252" t="n">
        <v>0</v>
      </c>
      <c r="K252" t="n">
        <v>0</v>
      </c>
      <c r="L252" t="n">
        <v>0</v>
      </c>
      <c r="M252" t="n">
        <v>0</v>
      </c>
      <c r="N252" t="n">
        <v>0</v>
      </c>
      <c r="O252" t="n">
        <v>0</v>
      </c>
      <c r="P252" t="n">
        <v>0</v>
      </c>
      <c r="Q252" t="n">
        <v>1</v>
      </c>
      <c r="R252" s="2" t="inlineStr">
        <is>
          <t>Trubbfjädermossa</t>
        </is>
      </c>
      <c r="S252">
        <f>HYPERLINK("https://klasma.github.io/Logging_1980/artfynd/A 21817-2020 artfynd.xlsx", "A 21817-2020")</f>
        <v/>
      </c>
      <c r="T252">
        <f>HYPERLINK("https://klasma.github.io/Logging_1980/kartor/A 21817-2020 karta.png", "A 21817-2020")</f>
        <v/>
      </c>
      <c r="V252">
        <f>HYPERLINK("https://klasma.github.io/Logging_1980/klagomål/A 21817-2020 FSC-klagomål.docx", "A 21817-2020")</f>
        <v/>
      </c>
      <c r="W252">
        <f>HYPERLINK("https://klasma.github.io/Logging_1980/klagomålsmail/A 21817-2020 FSC-klagomål mail.docx", "A 21817-2020")</f>
        <v/>
      </c>
      <c r="X252">
        <f>HYPERLINK("https://klasma.github.io/Logging_1980/tillsyn/A 21817-2020 tillsynsbegäran.docx", "A 21817-2020")</f>
        <v/>
      </c>
      <c r="Y252">
        <f>HYPERLINK("https://klasma.github.io/Logging_1980/tillsynsmail/A 21817-2020 tillsynsbegäran mail.docx", "A 21817-2020")</f>
        <v/>
      </c>
    </row>
    <row r="253" ht="15" customHeight="1">
      <c r="A253" t="inlineStr">
        <is>
          <t>A 32604-2020</t>
        </is>
      </c>
      <c r="B253" s="1" t="n">
        <v>44019</v>
      </c>
      <c r="C253" s="1" t="n">
        <v>45724</v>
      </c>
      <c r="D253" t="inlineStr">
        <is>
          <t>VÄSTMANLANDS LÄN</t>
        </is>
      </c>
      <c r="E253" t="inlineStr">
        <is>
          <t>KÖPING</t>
        </is>
      </c>
      <c r="F253" t="inlineStr">
        <is>
          <t>Sveaskog</t>
        </is>
      </c>
      <c r="G253" t="n">
        <v>5.5</v>
      </c>
      <c r="H253" t="n">
        <v>0</v>
      </c>
      <c r="I253" t="n">
        <v>0</v>
      </c>
      <c r="J253" t="n">
        <v>1</v>
      </c>
      <c r="K253" t="n">
        <v>0</v>
      </c>
      <c r="L253" t="n">
        <v>0</v>
      </c>
      <c r="M253" t="n">
        <v>0</v>
      </c>
      <c r="N253" t="n">
        <v>0</v>
      </c>
      <c r="O253" t="n">
        <v>1</v>
      </c>
      <c r="P253" t="n">
        <v>0</v>
      </c>
      <c r="Q253" t="n">
        <v>1</v>
      </c>
      <c r="R253" s="2" t="inlineStr">
        <is>
          <t>Motaggsvamp</t>
        </is>
      </c>
      <c r="S253">
        <f>HYPERLINK("https://klasma.github.io/Logging_1983/artfynd/A 32604-2020 artfynd.xlsx", "A 32604-2020")</f>
        <v/>
      </c>
      <c r="T253">
        <f>HYPERLINK("https://klasma.github.io/Logging_1983/kartor/A 32604-2020 karta.png", "A 32604-2020")</f>
        <v/>
      </c>
      <c r="V253">
        <f>HYPERLINK("https://klasma.github.io/Logging_1983/klagomål/A 32604-2020 FSC-klagomål.docx", "A 32604-2020")</f>
        <v/>
      </c>
      <c r="W253">
        <f>HYPERLINK("https://klasma.github.io/Logging_1983/klagomålsmail/A 32604-2020 FSC-klagomål mail.docx", "A 32604-2020")</f>
        <v/>
      </c>
      <c r="X253">
        <f>HYPERLINK("https://klasma.github.io/Logging_1983/tillsyn/A 32604-2020 tillsynsbegäran.docx", "A 32604-2020")</f>
        <v/>
      </c>
      <c r="Y253">
        <f>HYPERLINK("https://klasma.github.io/Logging_1983/tillsynsmail/A 32604-2020 tillsynsbegäran mail.docx", "A 32604-2020")</f>
        <v/>
      </c>
    </row>
    <row r="254" ht="15" customHeight="1">
      <c r="A254" t="inlineStr">
        <is>
          <t>A 33393-2020</t>
        </is>
      </c>
      <c r="B254" s="1" t="n">
        <v>44022</v>
      </c>
      <c r="C254" s="1" t="n">
        <v>45724</v>
      </c>
      <c r="D254" t="inlineStr">
        <is>
          <t>VÄSTMANLANDS LÄN</t>
        </is>
      </c>
      <c r="E254" t="inlineStr">
        <is>
          <t>SKINNSKATTEBERG</t>
        </is>
      </c>
      <c r="F254" t="inlineStr">
        <is>
          <t>Sveaskog</t>
        </is>
      </c>
      <c r="G254" t="n">
        <v>2.7</v>
      </c>
      <c r="H254" t="n">
        <v>0</v>
      </c>
      <c r="I254" t="n">
        <v>1</v>
      </c>
      <c r="J254" t="n">
        <v>0</v>
      </c>
      <c r="K254" t="n">
        <v>0</v>
      </c>
      <c r="L254" t="n">
        <v>0</v>
      </c>
      <c r="M254" t="n">
        <v>0</v>
      </c>
      <c r="N254" t="n">
        <v>0</v>
      </c>
      <c r="O254" t="n">
        <v>0</v>
      </c>
      <c r="P254" t="n">
        <v>0</v>
      </c>
      <c r="Q254" t="n">
        <v>1</v>
      </c>
      <c r="R254" s="2" t="inlineStr">
        <is>
          <t>Svart trolldruva</t>
        </is>
      </c>
      <c r="S254">
        <f>HYPERLINK("https://klasma.github.io/Logging_1904/artfynd/A 33393-2020 artfynd.xlsx", "A 33393-2020")</f>
        <v/>
      </c>
      <c r="T254">
        <f>HYPERLINK("https://klasma.github.io/Logging_1904/kartor/A 33393-2020 karta.png", "A 33393-2020")</f>
        <v/>
      </c>
      <c r="V254">
        <f>HYPERLINK("https://klasma.github.io/Logging_1904/klagomål/A 33393-2020 FSC-klagomål.docx", "A 33393-2020")</f>
        <v/>
      </c>
      <c r="W254">
        <f>HYPERLINK("https://klasma.github.io/Logging_1904/klagomålsmail/A 33393-2020 FSC-klagomål mail.docx", "A 33393-2020")</f>
        <v/>
      </c>
      <c r="X254">
        <f>HYPERLINK("https://klasma.github.io/Logging_1904/tillsyn/A 33393-2020 tillsynsbegäran.docx", "A 33393-2020")</f>
        <v/>
      </c>
      <c r="Y254">
        <f>HYPERLINK("https://klasma.github.io/Logging_1904/tillsynsmail/A 33393-2020 tillsynsbegäran mail.docx", "A 33393-2020")</f>
        <v/>
      </c>
    </row>
    <row r="255" ht="15" customHeight="1">
      <c r="A255" t="inlineStr">
        <is>
          <t>A 34062-2020</t>
        </is>
      </c>
      <c r="B255" s="1" t="n">
        <v>44028</v>
      </c>
      <c r="C255" s="1" t="n">
        <v>45724</v>
      </c>
      <c r="D255" t="inlineStr">
        <is>
          <t>VÄSTMANLANDS LÄN</t>
        </is>
      </c>
      <c r="E255" t="inlineStr">
        <is>
          <t>KÖPING</t>
        </is>
      </c>
      <c r="F255" t="inlineStr">
        <is>
          <t>Sveaskog</t>
        </is>
      </c>
      <c r="G255" t="n">
        <v>2.8</v>
      </c>
      <c r="H255" t="n">
        <v>0</v>
      </c>
      <c r="I255" t="n">
        <v>0</v>
      </c>
      <c r="J255" t="n">
        <v>1</v>
      </c>
      <c r="K255" t="n">
        <v>0</v>
      </c>
      <c r="L255" t="n">
        <v>0</v>
      </c>
      <c r="M255" t="n">
        <v>0</v>
      </c>
      <c r="N255" t="n">
        <v>0</v>
      </c>
      <c r="O255" t="n">
        <v>1</v>
      </c>
      <c r="P255" t="n">
        <v>0</v>
      </c>
      <c r="Q255" t="n">
        <v>1</v>
      </c>
      <c r="R255" s="2" t="inlineStr">
        <is>
          <t>Ullticka</t>
        </is>
      </c>
      <c r="S255">
        <f>HYPERLINK("https://klasma.github.io/Logging_1983/artfynd/A 34062-2020 artfynd.xlsx", "A 34062-2020")</f>
        <v/>
      </c>
      <c r="T255">
        <f>HYPERLINK("https://klasma.github.io/Logging_1983/kartor/A 34062-2020 karta.png", "A 34062-2020")</f>
        <v/>
      </c>
      <c r="V255">
        <f>HYPERLINK("https://klasma.github.io/Logging_1983/klagomål/A 34062-2020 FSC-klagomål.docx", "A 34062-2020")</f>
        <v/>
      </c>
      <c r="W255">
        <f>HYPERLINK("https://klasma.github.io/Logging_1983/klagomålsmail/A 34062-2020 FSC-klagomål mail.docx", "A 34062-2020")</f>
        <v/>
      </c>
      <c r="X255">
        <f>HYPERLINK("https://klasma.github.io/Logging_1983/tillsyn/A 34062-2020 tillsynsbegäran.docx", "A 34062-2020")</f>
        <v/>
      </c>
      <c r="Y255">
        <f>HYPERLINK("https://klasma.github.io/Logging_1983/tillsynsmail/A 34062-2020 tillsynsbegäran mail.docx", "A 34062-2020")</f>
        <v/>
      </c>
    </row>
    <row r="256" ht="15" customHeight="1">
      <c r="A256" t="inlineStr">
        <is>
          <t>A 34064-2020</t>
        </is>
      </c>
      <c r="B256" s="1" t="n">
        <v>44028</v>
      </c>
      <c r="C256" s="1" t="n">
        <v>45724</v>
      </c>
      <c r="D256" t="inlineStr">
        <is>
          <t>VÄSTMANLANDS LÄN</t>
        </is>
      </c>
      <c r="E256" t="inlineStr">
        <is>
          <t>KÖPING</t>
        </is>
      </c>
      <c r="F256" t="inlineStr">
        <is>
          <t>Sveaskog</t>
        </is>
      </c>
      <c r="G256" t="n">
        <v>3</v>
      </c>
      <c r="H256" t="n">
        <v>0</v>
      </c>
      <c r="I256" t="n">
        <v>1</v>
      </c>
      <c r="J256" t="n">
        <v>0</v>
      </c>
      <c r="K256" t="n">
        <v>0</v>
      </c>
      <c r="L256" t="n">
        <v>0</v>
      </c>
      <c r="M256" t="n">
        <v>0</v>
      </c>
      <c r="N256" t="n">
        <v>0</v>
      </c>
      <c r="O256" t="n">
        <v>0</v>
      </c>
      <c r="P256" t="n">
        <v>0</v>
      </c>
      <c r="Q256" t="n">
        <v>1</v>
      </c>
      <c r="R256" s="2" t="inlineStr">
        <is>
          <t>Bollvitmossa</t>
        </is>
      </c>
      <c r="S256">
        <f>HYPERLINK("https://klasma.github.io/Logging_1983/artfynd/A 34064-2020 artfynd.xlsx", "A 34064-2020")</f>
        <v/>
      </c>
      <c r="T256">
        <f>HYPERLINK("https://klasma.github.io/Logging_1983/kartor/A 34064-2020 karta.png", "A 34064-2020")</f>
        <v/>
      </c>
      <c r="V256">
        <f>HYPERLINK("https://klasma.github.io/Logging_1983/klagomål/A 34064-2020 FSC-klagomål.docx", "A 34064-2020")</f>
        <v/>
      </c>
      <c r="W256">
        <f>HYPERLINK("https://klasma.github.io/Logging_1983/klagomålsmail/A 34064-2020 FSC-klagomål mail.docx", "A 34064-2020")</f>
        <v/>
      </c>
      <c r="X256">
        <f>HYPERLINK("https://klasma.github.io/Logging_1983/tillsyn/A 34064-2020 tillsynsbegäran.docx", "A 34064-2020")</f>
        <v/>
      </c>
      <c r="Y256">
        <f>HYPERLINK("https://klasma.github.io/Logging_1983/tillsynsmail/A 34064-2020 tillsynsbegäran mail.docx", "A 34064-2020")</f>
        <v/>
      </c>
    </row>
    <row r="257" ht="15" customHeight="1">
      <c r="A257" t="inlineStr">
        <is>
          <t>A 35708-2020</t>
        </is>
      </c>
      <c r="B257" s="1" t="n">
        <v>44032</v>
      </c>
      <c r="C257" s="1" t="n">
        <v>45724</v>
      </c>
      <c r="D257" t="inlineStr">
        <is>
          <t>VÄSTMANLANDS LÄN</t>
        </is>
      </c>
      <c r="E257" t="inlineStr">
        <is>
          <t>VÄSTERÅS</t>
        </is>
      </c>
      <c r="G257" t="n">
        <v>2.2</v>
      </c>
      <c r="H257" t="n">
        <v>0</v>
      </c>
      <c r="I257" t="n">
        <v>0</v>
      </c>
      <c r="J257" t="n">
        <v>1</v>
      </c>
      <c r="K257" t="n">
        <v>0</v>
      </c>
      <c r="L257" t="n">
        <v>0</v>
      </c>
      <c r="M257" t="n">
        <v>0</v>
      </c>
      <c r="N257" t="n">
        <v>0</v>
      </c>
      <c r="O257" t="n">
        <v>1</v>
      </c>
      <c r="P257" t="n">
        <v>0</v>
      </c>
      <c r="Q257" t="n">
        <v>1</v>
      </c>
      <c r="R257" s="2" t="inlineStr">
        <is>
          <t>Garnlav</t>
        </is>
      </c>
      <c r="S257">
        <f>HYPERLINK("https://klasma.github.io/Logging_1980/artfynd/A 35708-2020 artfynd.xlsx", "A 35708-2020")</f>
        <v/>
      </c>
      <c r="T257">
        <f>HYPERLINK("https://klasma.github.io/Logging_1980/kartor/A 35708-2020 karta.png", "A 35708-2020")</f>
        <v/>
      </c>
      <c r="V257">
        <f>HYPERLINK("https://klasma.github.io/Logging_1980/klagomål/A 35708-2020 FSC-klagomål.docx", "A 35708-2020")</f>
        <v/>
      </c>
      <c r="W257">
        <f>HYPERLINK("https://klasma.github.io/Logging_1980/klagomålsmail/A 35708-2020 FSC-klagomål mail.docx", "A 35708-2020")</f>
        <v/>
      </c>
      <c r="X257">
        <f>HYPERLINK("https://klasma.github.io/Logging_1980/tillsyn/A 35708-2020 tillsynsbegäran.docx", "A 35708-2020")</f>
        <v/>
      </c>
      <c r="Y257">
        <f>HYPERLINK("https://klasma.github.io/Logging_1980/tillsynsmail/A 35708-2020 tillsynsbegäran mail.docx", "A 35708-2020")</f>
        <v/>
      </c>
    </row>
    <row r="258" ht="15" customHeight="1">
      <c r="A258" t="inlineStr">
        <is>
          <t>A 36828-2020</t>
        </is>
      </c>
      <c r="B258" s="1" t="n">
        <v>44053</v>
      </c>
      <c r="C258" s="1" t="n">
        <v>45724</v>
      </c>
      <c r="D258" t="inlineStr">
        <is>
          <t>VÄSTMANLANDS LÄN</t>
        </is>
      </c>
      <c r="E258" t="inlineStr">
        <is>
          <t>KÖPING</t>
        </is>
      </c>
      <c r="G258" t="n">
        <v>2</v>
      </c>
      <c r="H258" t="n">
        <v>0</v>
      </c>
      <c r="I258" t="n">
        <v>0</v>
      </c>
      <c r="J258" t="n">
        <v>1</v>
      </c>
      <c r="K258" t="n">
        <v>0</v>
      </c>
      <c r="L258" t="n">
        <v>0</v>
      </c>
      <c r="M258" t="n">
        <v>0</v>
      </c>
      <c r="N258" t="n">
        <v>0</v>
      </c>
      <c r="O258" t="n">
        <v>1</v>
      </c>
      <c r="P258" t="n">
        <v>0</v>
      </c>
      <c r="Q258" t="n">
        <v>1</v>
      </c>
      <c r="R258" s="2" t="inlineStr">
        <is>
          <t>Skumticka</t>
        </is>
      </c>
      <c r="S258">
        <f>HYPERLINK("https://klasma.github.io/Logging_1983/artfynd/A 36828-2020 artfynd.xlsx", "A 36828-2020")</f>
        <v/>
      </c>
      <c r="T258">
        <f>HYPERLINK("https://klasma.github.io/Logging_1983/kartor/A 36828-2020 karta.png", "A 36828-2020")</f>
        <v/>
      </c>
      <c r="V258">
        <f>HYPERLINK("https://klasma.github.io/Logging_1983/klagomål/A 36828-2020 FSC-klagomål.docx", "A 36828-2020")</f>
        <v/>
      </c>
      <c r="W258">
        <f>HYPERLINK("https://klasma.github.io/Logging_1983/klagomålsmail/A 36828-2020 FSC-klagomål mail.docx", "A 36828-2020")</f>
        <v/>
      </c>
      <c r="X258">
        <f>HYPERLINK("https://klasma.github.io/Logging_1983/tillsyn/A 36828-2020 tillsynsbegäran.docx", "A 36828-2020")</f>
        <v/>
      </c>
      <c r="Y258">
        <f>HYPERLINK("https://klasma.github.io/Logging_1983/tillsynsmail/A 36828-2020 tillsynsbegäran mail.docx", "A 36828-2020")</f>
        <v/>
      </c>
    </row>
    <row r="259" ht="15" customHeight="1">
      <c r="A259" t="inlineStr">
        <is>
          <t>A 37469-2020</t>
        </is>
      </c>
      <c r="B259" s="1" t="n">
        <v>44055</v>
      </c>
      <c r="C259" s="1" t="n">
        <v>45724</v>
      </c>
      <c r="D259" t="inlineStr">
        <is>
          <t>VÄSTMANLANDS LÄN</t>
        </is>
      </c>
      <c r="E259" t="inlineStr">
        <is>
          <t>KÖPING</t>
        </is>
      </c>
      <c r="F259" t="inlineStr">
        <is>
          <t>Kyrkan</t>
        </is>
      </c>
      <c r="G259" t="n">
        <v>1.7</v>
      </c>
      <c r="H259" t="n">
        <v>0</v>
      </c>
      <c r="I259" t="n">
        <v>1</v>
      </c>
      <c r="J259" t="n">
        <v>0</v>
      </c>
      <c r="K259" t="n">
        <v>0</v>
      </c>
      <c r="L259" t="n">
        <v>0</v>
      </c>
      <c r="M259" t="n">
        <v>0</v>
      </c>
      <c r="N259" t="n">
        <v>0</v>
      </c>
      <c r="O259" t="n">
        <v>0</v>
      </c>
      <c r="P259" t="n">
        <v>0</v>
      </c>
      <c r="Q259" t="n">
        <v>1</v>
      </c>
      <c r="R259" s="2" t="inlineStr">
        <is>
          <t>Blåmossa</t>
        </is>
      </c>
      <c r="S259">
        <f>HYPERLINK("https://klasma.github.io/Logging_1983/artfynd/A 37469-2020 artfynd.xlsx", "A 37469-2020")</f>
        <v/>
      </c>
      <c r="T259">
        <f>HYPERLINK("https://klasma.github.io/Logging_1983/kartor/A 37469-2020 karta.png", "A 37469-2020")</f>
        <v/>
      </c>
      <c r="V259">
        <f>HYPERLINK("https://klasma.github.io/Logging_1983/klagomål/A 37469-2020 FSC-klagomål.docx", "A 37469-2020")</f>
        <v/>
      </c>
      <c r="W259">
        <f>HYPERLINK("https://klasma.github.io/Logging_1983/klagomålsmail/A 37469-2020 FSC-klagomål mail.docx", "A 37469-2020")</f>
        <v/>
      </c>
      <c r="X259">
        <f>HYPERLINK("https://klasma.github.io/Logging_1983/tillsyn/A 37469-2020 tillsynsbegäran.docx", "A 37469-2020")</f>
        <v/>
      </c>
      <c r="Y259">
        <f>HYPERLINK("https://klasma.github.io/Logging_1983/tillsynsmail/A 37469-2020 tillsynsbegäran mail.docx", "A 37469-2020")</f>
        <v/>
      </c>
    </row>
    <row r="260" ht="15" customHeight="1">
      <c r="A260" t="inlineStr">
        <is>
          <t>A 38226-2020</t>
        </is>
      </c>
      <c r="B260" s="1" t="n">
        <v>44060</v>
      </c>
      <c r="C260" s="1" t="n">
        <v>45724</v>
      </c>
      <c r="D260" t="inlineStr">
        <is>
          <t>VÄSTMANLANDS LÄN</t>
        </is>
      </c>
      <c r="E260" t="inlineStr">
        <is>
          <t>SKINNSKATTEBERG</t>
        </is>
      </c>
      <c r="G260" t="n">
        <v>3.4</v>
      </c>
      <c r="H260" t="n">
        <v>1</v>
      </c>
      <c r="I260" t="n">
        <v>0</v>
      </c>
      <c r="J260" t="n">
        <v>0</v>
      </c>
      <c r="K260" t="n">
        <v>0</v>
      </c>
      <c r="L260" t="n">
        <v>0</v>
      </c>
      <c r="M260" t="n">
        <v>0</v>
      </c>
      <c r="N260" t="n">
        <v>0</v>
      </c>
      <c r="O260" t="n">
        <v>0</v>
      </c>
      <c r="P260" t="n">
        <v>0</v>
      </c>
      <c r="Q260" t="n">
        <v>1</v>
      </c>
      <c r="R260" s="2" t="inlineStr">
        <is>
          <t>Kopparödla</t>
        </is>
      </c>
      <c r="S260">
        <f>HYPERLINK("https://klasma.github.io/Logging_1904/artfynd/A 38226-2020 artfynd.xlsx", "A 38226-2020")</f>
        <v/>
      </c>
      <c r="T260">
        <f>HYPERLINK("https://klasma.github.io/Logging_1904/kartor/A 38226-2020 karta.png", "A 38226-2020")</f>
        <v/>
      </c>
      <c r="V260">
        <f>HYPERLINK("https://klasma.github.io/Logging_1904/klagomål/A 38226-2020 FSC-klagomål.docx", "A 38226-2020")</f>
        <v/>
      </c>
      <c r="W260">
        <f>HYPERLINK("https://klasma.github.io/Logging_1904/klagomålsmail/A 38226-2020 FSC-klagomål mail.docx", "A 38226-2020")</f>
        <v/>
      </c>
      <c r="X260">
        <f>HYPERLINK("https://klasma.github.io/Logging_1904/tillsyn/A 38226-2020 tillsynsbegäran.docx", "A 38226-2020")</f>
        <v/>
      </c>
      <c r="Y260">
        <f>HYPERLINK("https://klasma.github.io/Logging_1904/tillsynsmail/A 38226-2020 tillsynsbegäran mail.docx", "A 38226-2020")</f>
        <v/>
      </c>
    </row>
    <row r="261" ht="15" customHeight="1">
      <c r="A261" t="inlineStr">
        <is>
          <t>A 39800-2020</t>
        </is>
      </c>
      <c r="B261" s="1" t="n">
        <v>44067</v>
      </c>
      <c r="C261" s="1" t="n">
        <v>45724</v>
      </c>
      <c r="D261" t="inlineStr">
        <is>
          <t>VÄSTMANLANDS LÄN</t>
        </is>
      </c>
      <c r="E261" t="inlineStr">
        <is>
          <t>SALA</t>
        </is>
      </c>
      <c r="F261" t="inlineStr">
        <is>
          <t>Sveaskog</t>
        </is>
      </c>
      <c r="G261" t="n">
        <v>1.8</v>
      </c>
      <c r="H261" t="n">
        <v>1</v>
      </c>
      <c r="I261" t="n">
        <v>0</v>
      </c>
      <c r="J261" t="n">
        <v>0</v>
      </c>
      <c r="K261" t="n">
        <v>1</v>
      </c>
      <c r="L261" t="n">
        <v>0</v>
      </c>
      <c r="M261" t="n">
        <v>0</v>
      </c>
      <c r="N261" t="n">
        <v>0</v>
      </c>
      <c r="O261" t="n">
        <v>1</v>
      </c>
      <c r="P261" t="n">
        <v>1</v>
      </c>
      <c r="Q261" t="n">
        <v>1</v>
      </c>
      <c r="R261" s="2" t="inlineStr">
        <is>
          <t>Bombmurkla</t>
        </is>
      </c>
      <c r="S261">
        <f>HYPERLINK("https://klasma.github.io/Logging_1981/artfynd/A 39800-2020 artfynd.xlsx", "A 39800-2020")</f>
        <v/>
      </c>
      <c r="T261">
        <f>HYPERLINK("https://klasma.github.io/Logging_1981/kartor/A 39800-2020 karta.png", "A 39800-2020")</f>
        <v/>
      </c>
      <c r="V261">
        <f>HYPERLINK("https://klasma.github.io/Logging_1981/klagomål/A 39800-2020 FSC-klagomål.docx", "A 39800-2020")</f>
        <v/>
      </c>
      <c r="W261">
        <f>HYPERLINK("https://klasma.github.io/Logging_1981/klagomålsmail/A 39800-2020 FSC-klagomål mail.docx", "A 39800-2020")</f>
        <v/>
      </c>
      <c r="X261">
        <f>HYPERLINK("https://klasma.github.io/Logging_1981/tillsyn/A 39800-2020 tillsynsbegäran.docx", "A 39800-2020")</f>
        <v/>
      </c>
      <c r="Y261">
        <f>HYPERLINK("https://klasma.github.io/Logging_1981/tillsynsmail/A 39800-2020 tillsynsbegäran mail.docx", "A 39800-2020")</f>
        <v/>
      </c>
    </row>
    <row r="262" ht="15" customHeight="1">
      <c r="A262" t="inlineStr">
        <is>
          <t>A 39807-2020</t>
        </is>
      </c>
      <c r="B262" s="1" t="n">
        <v>44067</v>
      </c>
      <c r="C262" s="1" t="n">
        <v>45724</v>
      </c>
      <c r="D262" t="inlineStr">
        <is>
          <t>VÄSTMANLANDS LÄN</t>
        </is>
      </c>
      <c r="E262" t="inlineStr">
        <is>
          <t>SALA</t>
        </is>
      </c>
      <c r="F262" t="inlineStr">
        <is>
          <t>Sveaskog</t>
        </is>
      </c>
      <c r="G262" t="n">
        <v>1.8</v>
      </c>
      <c r="H262" t="n">
        <v>1</v>
      </c>
      <c r="I262" t="n">
        <v>0</v>
      </c>
      <c r="J262" t="n">
        <v>0</v>
      </c>
      <c r="K262" t="n">
        <v>1</v>
      </c>
      <c r="L262" t="n">
        <v>0</v>
      </c>
      <c r="M262" t="n">
        <v>0</v>
      </c>
      <c r="N262" t="n">
        <v>0</v>
      </c>
      <c r="O262" t="n">
        <v>1</v>
      </c>
      <c r="P262" t="n">
        <v>1</v>
      </c>
      <c r="Q262" t="n">
        <v>1</v>
      </c>
      <c r="R262" s="2" t="inlineStr">
        <is>
          <t>Bombmurkla</t>
        </is>
      </c>
      <c r="S262">
        <f>HYPERLINK("https://klasma.github.io/Logging_1981/artfynd/A 39807-2020 artfynd.xlsx", "A 39807-2020")</f>
        <v/>
      </c>
      <c r="T262">
        <f>HYPERLINK("https://klasma.github.io/Logging_1981/kartor/A 39807-2020 karta.png", "A 39807-2020")</f>
        <v/>
      </c>
      <c r="V262">
        <f>HYPERLINK("https://klasma.github.io/Logging_1981/klagomål/A 39807-2020 FSC-klagomål.docx", "A 39807-2020")</f>
        <v/>
      </c>
      <c r="W262">
        <f>HYPERLINK("https://klasma.github.io/Logging_1981/klagomålsmail/A 39807-2020 FSC-klagomål mail.docx", "A 39807-2020")</f>
        <v/>
      </c>
      <c r="X262">
        <f>HYPERLINK("https://klasma.github.io/Logging_1981/tillsyn/A 39807-2020 tillsynsbegäran.docx", "A 39807-2020")</f>
        <v/>
      </c>
      <c r="Y262">
        <f>HYPERLINK("https://klasma.github.io/Logging_1981/tillsynsmail/A 39807-2020 tillsynsbegäran mail.docx", "A 39807-2020")</f>
        <v/>
      </c>
    </row>
    <row r="263" ht="15" customHeight="1">
      <c r="A263" t="inlineStr">
        <is>
          <t>A 42352-2020</t>
        </is>
      </c>
      <c r="B263" s="1" t="n">
        <v>44076</v>
      </c>
      <c r="C263" s="1" t="n">
        <v>45724</v>
      </c>
      <c r="D263" t="inlineStr">
        <is>
          <t>VÄSTMANLANDS LÄN</t>
        </is>
      </c>
      <c r="E263" t="inlineStr">
        <is>
          <t>SALA</t>
        </is>
      </c>
      <c r="G263" t="n">
        <v>8.6</v>
      </c>
      <c r="H263" t="n">
        <v>1</v>
      </c>
      <c r="I263" t="n">
        <v>0</v>
      </c>
      <c r="J263" t="n">
        <v>0</v>
      </c>
      <c r="K263" t="n">
        <v>0</v>
      </c>
      <c r="L263" t="n">
        <v>0</v>
      </c>
      <c r="M263" t="n">
        <v>0</v>
      </c>
      <c r="N263" t="n">
        <v>0</v>
      </c>
      <c r="O263" t="n">
        <v>0</v>
      </c>
      <c r="P263" t="n">
        <v>0</v>
      </c>
      <c r="Q263" t="n">
        <v>1</v>
      </c>
      <c r="R263" s="2" t="inlineStr">
        <is>
          <t>Mattlummer</t>
        </is>
      </c>
      <c r="S263">
        <f>HYPERLINK("https://klasma.github.io/Logging_1981/artfynd/A 42352-2020 artfynd.xlsx", "A 42352-2020")</f>
        <v/>
      </c>
      <c r="T263">
        <f>HYPERLINK("https://klasma.github.io/Logging_1981/kartor/A 42352-2020 karta.png", "A 42352-2020")</f>
        <v/>
      </c>
      <c r="V263">
        <f>HYPERLINK("https://klasma.github.io/Logging_1981/klagomål/A 42352-2020 FSC-klagomål.docx", "A 42352-2020")</f>
        <v/>
      </c>
      <c r="W263">
        <f>HYPERLINK("https://klasma.github.io/Logging_1981/klagomålsmail/A 42352-2020 FSC-klagomål mail.docx", "A 42352-2020")</f>
        <v/>
      </c>
      <c r="X263">
        <f>HYPERLINK("https://klasma.github.io/Logging_1981/tillsyn/A 42352-2020 tillsynsbegäran.docx", "A 42352-2020")</f>
        <v/>
      </c>
      <c r="Y263">
        <f>HYPERLINK("https://klasma.github.io/Logging_1981/tillsynsmail/A 42352-2020 tillsynsbegäran mail.docx", "A 42352-2020")</f>
        <v/>
      </c>
    </row>
    <row r="264" ht="15" customHeight="1">
      <c r="A264" t="inlineStr">
        <is>
          <t>A 56014-2020</t>
        </is>
      </c>
      <c r="B264" s="1" t="n">
        <v>44132</v>
      </c>
      <c r="C264" s="1" t="n">
        <v>45724</v>
      </c>
      <c r="D264" t="inlineStr">
        <is>
          <t>VÄSTMANLANDS LÄN</t>
        </is>
      </c>
      <c r="E264" t="inlineStr">
        <is>
          <t>SALA</t>
        </is>
      </c>
      <c r="G264" t="n">
        <v>5.6</v>
      </c>
      <c r="H264" t="n">
        <v>0</v>
      </c>
      <c r="I264" t="n">
        <v>0</v>
      </c>
      <c r="J264" t="n">
        <v>0</v>
      </c>
      <c r="K264" t="n">
        <v>1</v>
      </c>
      <c r="L264" t="n">
        <v>0</v>
      </c>
      <c r="M264" t="n">
        <v>0</v>
      </c>
      <c r="N264" t="n">
        <v>0</v>
      </c>
      <c r="O264" t="n">
        <v>1</v>
      </c>
      <c r="P264" t="n">
        <v>1</v>
      </c>
      <c r="Q264" t="n">
        <v>1</v>
      </c>
      <c r="R264" s="2" t="inlineStr">
        <is>
          <t>Blackticka</t>
        </is>
      </c>
      <c r="S264">
        <f>HYPERLINK("https://klasma.github.io/Logging_1981/artfynd/A 56014-2020 artfynd.xlsx", "A 56014-2020")</f>
        <v/>
      </c>
      <c r="T264">
        <f>HYPERLINK("https://klasma.github.io/Logging_1981/kartor/A 56014-2020 karta.png", "A 56014-2020")</f>
        <v/>
      </c>
      <c r="V264">
        <f>HYPERLINK("https://klasma.github.io/Logging_1981/klagomål/A 56014-2020 FSC-klagomål.docx", "A 56014-2020")</f>
        <v/>
      </c>
      <c r="W264">
        <f>HYPERLINK("https://klasma.github.io/Logging_1981/klagomålsmail/A 56014-2020 FSC-klagomål mail.docx", "A 56014-2020")</f>
        <v/>
      </c>
      <c r="X264">
        <f>HYPERLINK("https://klasma.github.io/Logging_1981/tillsyn/A 56014-2020 tillsynsbegäran.docx", "A 56014-2020")</f>
        <v/>
      </c>
      <c r="Y264">
        <f>HYPERLINK("https://klasma.github.io/Logging_1981/tillsynsmail/A 56014-2020 tillsynsbegäran mail.docx", "A 56014-2020")</f>
        <v/>
      </c>
    </row>
    <row r="265" ht="15" customHeight="1">
      <c r="A265" t="inlineStr">
        <is>
          <t>A 69308-2020</t>
        </is>
      </c>
      <c r="B265" s="1" t="n">
        <v>44188</v>
      </c>
      <c r="C265" s="1" t="n">
        <v>45724</v>
      </c>
      <c r="D265" t="inlineStr">
        <is>
          <t>VÄSTMANLANDS LÄN</t>
        </is>
      </c>
      <c r="E265" t="inlineStr">
        <is>
          <t>VÄSTERÅS</t>
        </is>
      </c>
      <c r="F265" t="inlineStr">
        <is>
          <t>Övriga Aktiebolag</t>
        </is>
      </c>
      <c r="G265" t="n">
        <v>7.7</v>
      </c>
      <c r="H265" t="n">
        <v>0</v>
      </c>
      <c r="I265" t="n">
        <v>0</v>
      </c>
      <c r="J265" t="n">
        <v>0</v>
      </c>
      <c r="K265" t="n">
        <v>0</v>
      </c>
      <c r="L265" t="n">
        <v>1</v>
      </c>
      <c r="M265" t="n">
        <v>0</v>
      </c>
      <c r="N265" t="n">
        <v>0</v>
      </c>
      <c r="O265" t="n">
        <v>1</v>
      </c>
      <c r="P265" t="n">
        <v>1</v>
      </c>
      <c r="Q265" t="n">
        <v>1</v>
      </c>
      <c r="R265" s="2" t="inlineStr">
        <is>
          <t>Ask</t>
        </is>
      </c>
      <c r="S265">
        <f>HYPERLINK("https://klasma.github.io/Logging_1980/artfynd/A 69308-2020 artfynd.xlsx", "A 69308-2020")</f>
        <v/>
      </c>
      <c r="T265">
        <f>HYPERLINK("https://klasma.github.io/Logging_1980/kartor/A 69308-2020 karta.png", "A 69308-2020")</f>
        <v/>
      </c>
      <c r="V265">
        <f>HYPERLINK("https://klasma.github.io/Logging_1980/klagomål/A 69308-2020 FSC-klagomål.docx", "A 69308-2020")</f>
        <v/>
      </c>
      <c r="W265">
        <f>HYPERLINK("https://klasma.github.io/Logging_1980/klagomålsmail/A 69308-2020 FSC-klagomål mail.docx", "A 69308-2020")</f>
        <v/>
      </c>
      <c r="X265">
        <f>HYPERLINK("https://klasma.github.io/Logging_1980/tillsyn/A 69308-2020 tillsynsbegäran.docx", "A 69308-2020")</f>
        <v/>
      </c>
      <c r="Y265">
        <f>HYPERLINK("https://klasma.github.io/Logging_1980/tillsynsmail/A 69308-2020 tillsynsbegäran mail.docx", "A 69308-2020")</f>
        <v/>
      </c>
    </row>
    <row r="266" ht="15" customHeight="1">
      <c r="A266" t="inlineStr">
        <is>
          <t>A 69362-2020</t>
        </is>
      </c>
      <c r="B266" s="1" t="n">
        <v>44193</v>
      </c>
      <c r="C266" s="1" t="n">
        <v>45724</v>
      </c>
      <c r="D266" t="inlineStr">
        <is>
          <t>VÄSTMANLANDS LÄN</t>
        </is>
      </c>
      <c r="E266" t="inlineStr">
        <is>
          <t>SALA</t>
        </is>
      </c>
      <c r="G266" t="n">
        <v>13.7</v>
      </c>
      <c r="H266" t="n">
        <v>1</v>
      </c>
      <c r="I266" t="n">
        <v>0</v>
      </c>
      <c r="J266" t="n">
        <v>1</v>
      </c>
      <c r="K266" t="n">
        <v>0</v>
      </c>
      <c r="L266" t="n">
        <v>0</v>
      </c>
      <c r="M266" t="n">
        <v>0</v>
      </c>
      <c r="N266" t="n">
        <v>0</v>
      </c>
      <c r="O266" t="n">
        <v>1</v>
      </c>
      <c r="P266" t="n">
        <v>0</v>
      </c>
      <c r="Q266" t="n">
        <v>1</v>
      </c>
      <c r="R266" s="2" t="inlineStr">
        <is>
          <t>Havsörn</t>
        </is>
      </c>
      <c r="S266">
        <f>HYPERLINK("https://klasma.github.io/Logging_1981/artfynd/A 69362-2020 artfynd.xlsx", "A 69362-2020")</f>
        <v/>
      </c>
      <c r="T266">
        <f>HYPERLINK("https://klasma.github.io/Logging_1981/kartor/A 69362-2020 karta.png", "A 69362-2020")</f>
        <v/>
      </c>
      <c r="V266">
        <f>HYPERLINK("https://klasma.github.io/Logging_1981/klagomål/A 69362-2020 FSC-klagomål.docx", "A 69362-2020")</f>
        <v/>
      </c>
      <c r="W266">
        <f>HYPERLINK("https://klasma.github.io/Logging_1981/klagomålsmail/A 69362-2020 FSC-klagomål mail.docx", "A 69362-2020")</f>
        <v/>
      </c>
      <c r="X266">
        <f>HYPERLINK("https://klasma.github.io/Logging_1981/tillsyn/A 69362-2020 tillsynsbegäran.docx", "A 69362-2020")</f>
        <v/>
      </c>
      <c r="Y266">
        <f>HYPERLINK("https://klasma.github.io/Logging_1981/tillsynsmail/A 69362-2020 tillsynsbegäran mail.docx", "A 69362-2020")</f>
        <v/>
      </c>
      <c r="Z266">
        <f>HYPERLINK("https://klasma.github.io/Logging_1981/fåglar/A 69362-2020 prioriterade fågelarter.docx", "A 69362-2020")</f>
        <v/>
      </c>
    </row>
    <row r="267" ht="15" customHeight="1">
      <c r="A267" t="inlineStr">
        <is>
          <t>A 10354-2021</t>
        </is>
      </c>
      <c r="B267" s="1" t="n">
        <v>44257</v>
      </c>
      <c r="C267" s="1" t="n">
        <v>45724</v>
      </c>
      <c r="D267" t="inlineStr">
        <is>
          <t>VÄSTMANLANDS LÄN</t>
        </is>
      </c>
      <c r="E267" t="inlineStr">
        <is>
          <t>ARBOGA</t>
        </is>
      </c>
      <c r="F267" t="inlineStr">
        <is>
          <t>Sveaskog</t>
        </is>
      </c>
      <c r="G267" t="n">
        <v>3.3</v>
      </c>
      <c r="H267" t="n">
        <v>1</v>
      </c>
      <c r="I267" t="n">
        <v>0</v>
      </c>
      <c r="J267" t="n">
        <v>1</v>
      </c>
      <c r="K267" t="n">
        <v>0</v>
      </c>
      <c r="L267" t="n">
        <v>0</v>
      </c>
      <c r="M267" t="n">
        <v>0</v>
      </c>
      <c r="N267" t="n">
        <v>0</v>
      </c>
      <c r="O267" t="n">
        <v>1</v>
      </c>
      <c r="P267" t="n">
        <v>0</v>
      </c>
      <c r="Q267" t="n">
        <v>1</v>
      </c>
      <c r="R267" s="2" t="inlineStr">
        <is>
          <t>Duvhök</t>
        </is>
      </c>
      <c r="S267">
        <f>HYPERLINK("https://klasma.github.io/Logging_1984/artfynd/A 10354-2021 artfynd.xlsx", "A 10354-2021")</f>
        <v/>
      </c>
      <c r="T267">
        <f>HYPERLINK("https://klasma.github.io/Logging_1984/kartor/A 10354-2021 karta.png", "A 10354-2021")</f>
        <v/>
      </c>
      <c r="V267">
        <f>HYPERLINK("https://klasma.github.io/Logging_1984/klagomål/A 10354-2021 FSC-klagomål.docx", "A 10354-2021")</f>
        <v/>
      </c>
      <c r="W267">
        <f>HYPERLINK("https://klasma.github.io/Logging_1984/klagomålsmail/A 10354-2021 FSC-klagomål mail.docx", "A 10354-2021")</f>
        <v/>
      </c>
      <c r="X267">
        <f>HYPERLINK("https://klasma.github.io/Logging_1984/tillsyn/A 10354-2021 tillsynsbegäran.docx", "A 10354-2021")</f>
        <v/>
      </c>
      <c r="Y267">
        <f>HYPERLINK("https://klasma.github.io/Logging_1984/tillsynsmail/A 10354-2021 tillsynsbegäran mail.docx", "A 10354-2021")</f>
        <v/>
      </c>
      <c r="Z267">
        <f>HYPERLINK("https://klasma.github.io/Logging_1984/fåglar/A 10354-2021 prioriterade fågelarter.docx", "A 10354-2021")</f>
        <v/>
      </c>
    </row>
    <row r="268" ht="15" customHeight="1">
      <c r="A268" t="inlineStr">
        <is>
          <t>A 10364-2021</t>
        </is>
      </c>
      <c r="B268" s="1" t="n">
        <v>44257</v>
      </c>
      <c r="C268" s="1" t="n">
        <v>45724</v>
      </c>
      <c r="D268" t="inlineStr">
        <is>
          <t>VÄSTMANLANDS LÄN</t>
        </is>
      </c>
      <c r="E268" t="inlineStr">
        <is>
          <t>ARBOGA</t>
        </is>
      </c>
      <c r="F268" t="inlineStr">
        <is>
          <t>Sveaskog</t>
        </is>
      </c>
      <c r="G268" t="n">
        <v>2</v>
      </c>
      <c r="H268" t="n">
        <v>0</v>
      </c>
      <c r="I268" t="n">
        <v>0</v>
      </c>
      <c r="J268" t="n">
        <v>1</v>
      </c>
      <c r="K268" t="n">
        <v>0</v>
      </c>
      <c r="L268" t="n">
        <v>0</v>
      </c>
      <c r="M268" t="n">
        <v>0</v>
      </c>
      <c r="N268" t="n">
        <v>0</v>
      </c>
      <c r="O268" t="n">
        <v>1</v>
      </c>
      <c r="P268" t="n">
        <v>0</v>
      </c>
      <c r="Q268" t="n">
        <v>1</v>
      </c>
      <c r="R268" s="2" t="inlineStr">
        <is>
          <t>Mindre timmerman</t>
        </is>
      </c>
      <c r="S268">
        <f>HYPERLINK("https://klasma.github.io/Logging_1984/artfynd/A 10364-2021 artfynd.xlsx", "A 10364-2021")</f>
        <v/>
      </c>
      <c r="T268">
        <f>HYPERLINK("https://klasma.github.io/Logging_1984/kartor/A 10364-2021 karta.png", "A 10364-2021")</f>
        <v/>
      </c>
      <c r="V268">
        <f>HYPERLINK("https://klasma.github.io/Logging_1984/klagomål/A 10364-2021 FSC-klagomål.docx", "A 10364-2021")</f>
        <v/>
      </c>
      <c r="W268">
        <f>HYPERLINK("https://klasma.github.io/Logging_1984/klagomålsmail/A 10364-2021 FSC-klagomål mail.docx", "A 10364-2021")</f>
        <v/>
      </c>
      <c r="X268">
        <f>HYPERLINK("https://klasma.github.io/Logging_1984/tillsyn/A 10364-2021 tillsynsbegäran.docx", "A 10364-2021")</f>
        <v/>
      </c>
      <c r="Y268">
        <f>HYPERLINK("https://klasma.github.io/Logging_1984/tillsynsmail/A 10364-2021 tillsynsbegäran mail.docx", "A 10364-2021")</f>
        <v/>
      </c>
    </row>
    <row r="269" ht="15" customHeight="1">
      <c r="A269" t="inlineStr">
        <is>
          <t>A 13973-2021</t>
        </is>
      </c>
      <c r="B269" s="1" t="n">
        <v>44277</v>
      </c>
      <c r="C269" s="1" t="n">
        <v>45724</v>
      </c>
      <c r="D269" t="inlineStr">
        <is>
          <t>VÄSTMANLANDS LÄN</t>
        </is>
      </c>
      <c r="E269" t="inlineStr">
        <is>
          <t>SALA</t>
        </is>
      </c>
      <c r="G269" t="n">
        <v>2</v>
      </c>
      <c r="H269" t="n">
        <v>1</v>
      </c>
      <c r="I269" t="n">
        <v>0</v>
      </c>
      <c r="J269" t="n">
        <v>0</v>
      </c>
      <c r="K269" t="n">
        <v>0</v>
      </c>
      <c r="L269" t="n">
        <v>0</v>
      </c>
      <c r="M269" t="n">
        <v>0</v>
      </c>
      <c r="N269" t="n">
        <v>0</v>
      </c>
      <c r="O269" t="n">
        <v>0</v>
      </c>
      <c r="P269" t="n">
        <v>0</v>
      </c>
      <c r="Q269" t="n">
        <v>1</v>
      </c>
      <c r="R269" s="2" t="inlineStr">
        <is>
          <t>Blåsippa</t>
        </is>
      </c>
      <c r="S269">
        <f>HYPERLINK("https://klasma.github.io/Logging_1981/artfynd/A 13973-2021 artfynd.xlsx", "A 13973-2021")</f>
        <v/>
      </c>
      <c r="T269">
        <f>HYPERLINK("https://klasma.github.io/Logging_1981/kartor/A 13973-2021 karta.png", "A 13973-2021")</f>
        <v/>
      </c>
      <c r="V269">
        <f>HYPERLINK("https://klasma.github.io/Logging_1981/klagomål/A 13973-2021 FSC-klagomål.docx", "A 13973-2021")</f>
        <v/>
      </c>
      <c r="W269">
        <f>HYPERLINK("https://klasma.github.io/Logging_1981/klagomålsmail/A 13973-2021 FSC-klagomål mail.docx", "A 13973-2021")</f>
        <v/>
      </c>
      <c r="X269">
        <f>HYPERLINK("https://klasma.github.io/Logging_1981/tillsyn/A 13973-2021 tillsynsbegäran.docx", "A 13973-2021")</f>
        <v/>
      </c>
      <c r="Y269">
        <f>HYPERLINK("https://klasma.github.io/Logging_1981/tillsynsmail/A 13973-2021 tillsynsbegäran mail.docx", "A 13973-2021")</f>
        <v/>
      </c>
    </row>
    <row r="270" ht="15" customHeight="1">
      <c r="A270" t="inlineStr">
        <is>
          <t>A 18717-2021</t>
        </is>
      </c>
      <c r="B270" s="1" t="n">
        <v>44306</v>
      </c>
      <c r="C270" s="1" t="n">
        <v>45724</v>
      </c>
      <c r="D270" t="inlineStr">
        <is>
          <t>VÄSTMANLANDS LÄN</t>
        </is>
      </c>
      <c r="E270" t="inlineStr">
        <is>
          <t>SURAHAMMAR</t>
        </is>
      </c>
      <c r="F270" t="inlineStr">
        <is>
          <t>Bergvik skog väst AB</t>
        </is>
      </c>
      <c r="G270" t="n">
        <v>18</v>
      </c>
      <c r="H270" t="n">
        <v>1</v>
      </c>
      <c r="I270" t="n">
        <v>0</v>
      </c>
      <c r="J270" t="n">
        <v>0</v>
      </c>
      <c r="K270" t="n">
        <v>0</v>
      </c>
      <c r="L270" t="n">
        <v>0</v>
      </c>
      <c r="M270" t="n">
        <v>0</v>
      </c>
      <c r="N270" t="n">
        <v>0</v>
      </c>
      <c r="O270" t="n">
        <v>0</v>
      </c>
      <c r="P270" t="n">
        <v>0</v>
      </c>
      <c r="Q270" t="n">
        <v>1</v>
      </c>
      <c r="R270" s="2" t="inlineStr">
        <is>
          <t>Revlummer</t>
        </is>
      </c>
      <c r="S270">
        <f>HYPERLINK("https://klasma.github.io/Logging_1907/artfynd/A 18717-2021 artfynd.xlsx", "A 18717-2021")</f>
        <v/>
      </c>
      <c r="T270">
        <f>HYPERLINK("https://klasma.github.io/Logging_1907/kartor/A 18717-2021 karta.png", "A 18717-2021")</f>
        <v/>
      </c>
      <c r="V270">
        <f>HYPERLINK("https://klasma.github.io/Logging_1907/klagomål/A 18717-2021 FSC-klagomål.docx", "A 18717-2021")</f>
        <v/>
      </c>
      <c r="W270">
        <f>HYPERLINK("https://klasma.github.io/Logging_1907/klagomålsmail/A 18717-2021 FSC-klagomål mail.docx", "A 18717-2021")</f>
        <v/>
      </c>
      <c r="X270">
        <f>HYPERLINK("https://klasma.github.io/Logging_1907/tillsyn/A 18717-2021 tillsynsbegäran.docx", "A 18717-2021")</f>
        <v/>
      </c>
      <c r="Y270">
        <f>HYPERLINK("https://klasma.github.io/Logging_1907/tillsynsmail/A 18717-2021 tillsynsbegäran mail.docx", "A 18717-2021")</f>
        <v/>
      </c>
    </row>
    <row r="271" ht="15" customHeight="1">
      <c r="A271" t="inlineStr">
        <is>
          <t>A 20479-2021</t>
        </is>
      </c>
      <c r="B271" s="1" t="n">
        <v>44315</v>
      </c>
      <c r="C271" s="1" t="n">
        <v>45724</v>
      </c>
      <c r="D271" t="inlineStr">
        <is>
          <t>VÄSTMANLANDS LÄN</t>
        </is>
      </c>
      <c r="E271" t="inlineStr">
        <is>
          <t>SURAHAMMAR</t>
        </is>
      </c>
      <c r="F271" t="inlineStr">
        <is>
          <t>Sveaskog</t>
        </is>
      </c>
      <c r="G271" t="n">
        <v>3.8</v>
      </c>
      <c r="H271" t="n">
        <v>0</v>
      </c>
      <c r="I271" t="n">
        <v>1</v>
      </c>
      <c r="J271" t="n">
        <v>0</v>
      </c>
      <c r="K271" t="n">
        <v>0</v>
      </c>
      <c r="L271" t="n">
        <v>0</v>
      </c>
      <c r="M271" t="n">
        <v>0</v>
      </c>
      <c r="N271" t="n">
        <v>0</v>
      </c>
      <c r="O271" t="n">
        <v>0</v>
      </c>
      <c r="P271" t="n">
        <v>0</v>
      </c>
      <c r="Q271" t="n">
        <v>1</v>
      </c>
      <c r="R271" s="2" t="inlineStr">
        <is>
          <t>Grönpyrola</t>
        </is>
      </c>
      <c r="S271">
        <f>HYPERLINK("https://klasma.github.io/Logging_1907/artfynd/A 20479-2021 artfynd.xlsx", "A 20479-2021")</f>
        <v/>
      </c>
      <c r="T271">
        <f>HYPERLINK("https://klasma.github.io/Logging_1907/kartor/A 20479-2021 karta.png", "A 20479-2021")</f>
        <v/>
      </c>
      <c r="V271">
        <f>HYPERLINK("https://klasma.github.io/Logging_1907/klagomål/A 20479-2021 FSC-klagomål.docx", "A 20479-2021")</f>
        <v/>
      </c>
      <c r="W271">
        <f>HYPERLINK("https://klasma.github.io/Logging_1907/klagomålsmail/A 20479-2021 FSC-klagomål mail.docx", "A 20479-2021")</f>
        <v/>
      </c>
      <c r="X271">
        <f>HYPERLINK("https://klasma.github.io/Logging_1907/tillsyn/A 20479-2021 tillsynsbegäran.docx", "A 20479-2021")</f>
        <v/>
      </c>
      <c r="Y271">
        <f>HYPERLINK("https://klasma.github.io/Logging_1907/tillsynsmail/A 20479-2021 tillsynsbegäran mail.docx", "A 20479-2021")</f>
        <v/>
      </c>
    </row>
    <row r="272" ht="15" customHeight="1">
      <c r="A272" t="inlineStr">
        <is>
          <t>A 22099-2021</t>
        </is>
      </c>
      <c r="B272" s="1" t="n">
        <v>44323</v>
      </c>
      <c r="C272" s="1" t="n">
        <v>45724</v>
      </c>
      <c r="D272" t="inlineStr">
        <is>
          <t>VÄSTMANLANDS LÄN</t>
        </is>
      </c>
      <c r="E272" t="inlineStr">
        <is>
          <t>SKINNSKATTEBERG</t>
        </is>
      </c>
      <c r="F272" t="inlineStr">
        <is>
          <t>Sveaskog</t>
        </is>
      </c>
      <c r="G272" t="n">
        <v>10.7</v>
      </c>
      <c r="H272" t="n">
        <v>1</v>
      </c>
      <c r="I272" t="n">
        <v>0</v>
      </c>
      <c r="J272" t="n">
        <v>0</v>
      </c>
      <c r="K272" t="n">
        <v>0</v>
      </c>
      <c r="L272" t="n">
        <v>0</v>
      </c>
      <c r="M272" t="n">
        <v>0</v>
      </c>
      <c r="N272" t="n">
        <v>0</v>
      </c>
      <c r="O272" t="n">
        <v>0</v>
      </c>
      <c r="P272" t="n">
        <v>0</v>
      </c>
      <c r="Q272" t="n">
        <v>1</v>
      </c>
      <c r="R272" s="2" t="inlineStr">
        <is>
          <t>Mattlummer</t>
        </is>
      </c>
      <c r="S272">
        <f>HYPERLINK("https://klasma.github.io/Logging_1904/artfynd/A 22099-2021 artfynd.xlsx", "A 22099-2021")</f>
        <v/>
      </c>
      <c r="T272">
        <f>HYPERLINK("https://klasma.github.io/Logging_1904/kartor/A 22099-2021 karta.png", "A 22099-2021")</f>
        <v/>
      </c>
      <c r="V272">
        <f>HYPERLINK("https://klasma.github.io/Logging_1904/klagomål/A 22099-2021 FSC-klagomål.docx", "A 22099-2021")</f>
        <v/>
      </c>
      <c r="W272">
        <f>HYPERLINK("https://klasma.github.io/Logging_1904/klagomålsmail/A 22099-2021 FSC-klagomål mail.docx", "A 22099-2021")</f>
        <v/>
      </c>
      <c r="X272">
        <f>HYPERLINK("https://klasma.github.io/Logging_1904/tillsyn/A 22099-2021 tillsynsbegäran.docx", "A 22099-2021")</f>
        <v/>
      </c>
      <c r="Y272">
        <f>HYPERLINK("https://klasma.github.io/Logging_1904/tillsynsmail/A 22099-2021 tillsynsbegäran mail.docx", "A 22099-2021")</f>
        <v/>
      </c>
    </row>
    <row r="273" ht="15" customHeight="1">
      <c r="A273" t="inlineStr">
        <is>
          <t>A 24535-2021</t>
        </is>
      </c>
      <c r="B273" s="1" t="n">
        <v>44339</v>
      </c>
      <c r="C273" s="1" t="n">
        <v>45724</v>
      </c>
      <c r="D273" t="inlineStr">
        <is>
          <t>VÄSTMANLANDS LÄN</t>
        </is>
      </c>
      <c r="E273" t="inlineStr">
        <is>
          <t>KÖPING</t>
        </is>
      </c>
      <c r="F273" t="inlineStr">
        <is>
          <t>Sveaskog</t>
        </is>
      </c>
      <c r="G273" t="n">
        <v>4.8</v>
      </c>
      <c r="H273" t="n">
        <v>0</v>
      </c>
      <c r="I273" t="n">
        <v>0</v>
      </c>
      <c r="J273" t="n">
        <v>1</v>
      </c>
      <c r="K273" t="n">
        <v>0</v>
      </c>
      <c r="L273" t="n">
        <v>0</v>
      </c>
      <c r="M273" t="n">
        <v>0</v>
      </c>
      <c r="N273" t="n">
        <v>0</v>
      </c>
      <c r="O273" t="n">
        <v>1</v>
      </c>
      <c r="P273" t="n">
        <v>0</v>
      </c>
      <c r="Q273" t="n">
        <v>1</v>
      </c>
      <c r="R273" s="2" t="inlineStr">
        <is>
          <t>Skrovlig taggsvamp</t>
        </is>
      </c>
      <c r="S273">
        <f>HYPERLINK("https://klasma.github.io/Logging_1983/artfynd/A 24535-2021 artfynd.xlsx", "A 24535-2021")</f>
        <v/>
      </c>
      <c r="T273">
        <f>HYPERLINK("https://klasma.github.io/Logging_1983/kartor/A 24535-2021 karta.png", "A 24535-2021")</f>
        <v/>
      </c>
      <c r="V273">
        <f>HYPERLINK("https://klasma.github.io/Logging_1983/klagomål/A 24535-2021 FSC-klagomål.docx", "A 24535-2021")</f>
        <v/>
      </c>
      <c r="W273">
        <f>HYPERLINK("https://klasma.github.io/Logging_1983/klagomålsmail/A 24535-2021 FSC-klagomål mail.docx", "A 24535-2021")</f>
        <v/>
      </c>
      <c r="X273">
        <f>HYPERLINK("https://klasma.github.io/Logging_1983/tillsyn/A 24535-2021 tillsynsbegäran.docx", "A 24535-2021")</f>
        <v/>
      </c>
      <c r="Y273">
        <f>HYPERLINK("https://klasma.github.io/Logging_1983/tillsynsmail/A 24535-2021 tillsynsbegäran mail.docx", "A 24535-2021")</f>
        <v/>
      </c>
    </row>
    <row r="274" ht="15" customHeight="1">
      <c r="A274" t="inlineStr">
        <is>
          <t>A 25391-2021</t>
        </is>
      </c>
      <c r="B274" s="1" t="n">
        <v>44342</v>
      </c>
      <c r="C274" s="1" t="n">
        <v>45724</v>
      </c>
      <c r="D274" t="inlineStr">
        <is>
          <t>VÄSTMANLANDS LÄN</t>
        </is>
      </c>
      <c r="E274" t="inlineStr">
        <is>
          <t>NORBERG</t>
        </is>
      </c>
      <c r="G274" t="n">
        <v>4.2</v>
      </c>
      <c r="H274" t="n">
        <v>0</v>
      </c>
      <c r="I274" t="n">
        <v>1</v>
      </c>
      <c r="J274" t="n">
        <v>0</v>
      </c>
      <c r="K274" t="n">
        <v>0</v>
      </c>
      <c r="L274" t="n">
        <v>0</v>
      </c>
      <c r="M274" t="n">
        <v>0</v>
      </c>
      <c r="N274" t="n">
        <v>0</v>
      </c>
      <c r="O274" t="n">
        <v>0</v>
      </c>
      <c r="P274" t="n">
        <v>0</v>
      </c>
      <c r="Q274" t="n">
        <v>1</v>
      </c>
      <c r="R274" s="2" t="inlineStr">
        <is>
          <t>Vedticka</t>
        </is>
      </c>
      <c r="S274">
        <f>HYPERLINK("https://klasma.github.io/Logging_1962/artfynd/A 25391-2021 artfynd.xlsx", "A 25391-2021")</f>
        <v/>
      </c>
      <c r="T274">
        <f>HYPERLINK("https://klasma.github.io/Logging_1962/kartor/A 25391-2021 karta.png", "A 25391-2021")</f>
        <v/>
      </c>
      <c r="V274">
        <f>HYPERLINK("https://klasma.github.io/Logging_1962/klagomål/A 25391-2021 FSC-klagomål.docx", "A 25391-2021")</f>
        <v/>
      </c>
      <c r="W274">
        <f>HYPERLINK("https://klasma.github.io/Logging_1962/klagomålsmail/A 25391-2021 FSC-klagomål mail.docx", "A 25391-2021")</f>
        <v/>
      </c>
      <c r="X274">
        <f>HYPERLINK("https://klasma.github.io/Logging_1962/tillsyn/A 25391-2021 tillsynsbegäran.docx", "A 25391-2021")</f>
        <v/>
      </c>
      <c r="Y274">
        <f>HYPERLINK("https://klasma.github.io/Logging_1962/tillsynsmail/A 25391-2021 tillsynsbegäran mail.docx", "A 25391-2021")</f>
        <v/>
      </c>
    </row>
    <row r="275" ht="15" customHeight="1">
      <c r="A275" t="inlineStr">
        <is>
          <t>A 28050-2021</t>
        </is>
      </c>
      <c r="B275" s="1" t="n">
        <v>44355</v>
      </c>
      <c r="C275" s="1" t="n">
        <v>45724</v>
      </c>
      <c r="D275" t="inlineStr">
        <is>
          <t>VÄSTMANLANDS LÄN</t>
        </is>
      </c>
      <c r="E275" t="inlineStr">
        <is>
          <t>ARBOGA</t>
        </is>
      </c>
      <c r="G275" t="n">
        <v>1.8</v>
      </c>
      <c r="H275" t="n">
        <v>0</v>
      </c>
      <c r="I275" t="n">
        <v>1</v>
      </c>
      <c r="J275" t="n">
        <v>0</v>
      </c>
      <c r="K275" t="n">
        <v>0</v>
      </c>
      <c r="L275" t="n">
        <v>0</v>
      </c>
      <c r="M275" t="n">
        <v>0</v>
      </c>
      <c r="N275" t="n">
        <v>0</v>
      </c>
      <c r="O275" t="n">
        <v>0</v>
      </c>
      <c r="P275" t="n">
        <v>0</v>
      </c>
      <c r="Q275" t="n">
        <v>1</v>
      </c>
      <c r="R275" s="2" t="inlineStr">
        <is>
          <t>Platt fjädermossa</t>
        </is>
      </c>
      <c r="S275">
        <f>HYPERLINK("https://klasma.github.io/Logging_1984/artfynd/A 28050-2021 artfynd.xlsx", "A 28050-2021")</f>
        <v/>
      </c>
      <c r="T275">
        <f>HYPERLINK("https://klasma.github.io/Logging_1984/kartor/A 28050-2021 karta.png", "A 28050-2021")</f>
        <v/>
      </c>
      <c r="V275">
        <f>HYPERLINK("https://klasma.github.io/Logging_1984/klagomål/A 28050-2021 FSC-klagomål.docx", "A 28050-2021")</f>
        <v/>
      </c>
      <c r="W275">
        <f>HYPERLINK("https://klasma.github.io/Logging_1984/klagomålsmail/A 28050-2021 FSC-klagomål mail.docx", "A 28050-2021")</f>
        <v/>
      </c>
      <c r="X275">
        <f>HYPERLINK("https://klasma.github.io/Logging_1984/tillsyn/A 28050-2021 tillsynsbegäran.docx", "A 28050-2021")</f>
        <v/>
      </c>
      <c r="Y275">
        <f>HYPERLINK("https://klasma.github.io/Logging_1984/tillsynsmail/A 28050-2021 tillsynsbegäran mail.docx", "A 28050-2021")</f>
        <v/>
      </c>
    </row>
    <row r="276" ht="15" customHeight="1">
      <c r="A276" t="inlineStr">
        <is>
          <t>A 30186-2021</t>
        </is>
      </c>
      <c r="B276" s="1" t="n">
        <v>44363</v>
      </c>
      <c r="C276" s="1" t="n">
        <v>45724</v>
      </c>
      <c r="D276" t="inlineStr">
        <is>
          <t>VÄSTMANLANDS LÄN</t>
        </is>
      </c>
      <c r="E276" t="inlineStr">
        <is>
          <t>HALLSTAHAMMAR</t>
        </is>
      </c>
      <c r="G276" t="n">
        <v>4.8</v>
      </c>
      <c r="H276" t="n">
        <v>0</v>
      </c>
      <c r="I276" t="n">
        <v>0</v>
      </c>
      <c r="J276" t="n">
        <v>1</v>
      </c>
      <c r="K276" t="n">
        <v>0</v>
      </c>
      <c r="L276" t="n">
        <v>0</v>
      </c>
      <c r="M276" t="n">
        <v>0</v>
      </c>
      <c r="N276" t="n">
        <v>0</v>
      </c>
      <c r="O276" t="n">
        <v>1</v>
      </c>
      <c r="P276" t="n">
        <v>0</v>
      </c>
      <c r="Q276" t="n">
        <v>1</v>
      </c>
      <c r="R276" s="2" t="inlineStr">
        <is>
          <t>Ullticka</t>
        </is>
      </c>
      <c r="S276">
        <f>HYPERLINK("https://klasma.github.io/Logging_1961/artfynd/A 30186-2021 artfynd.xlsx", "A 30186-2021")</f>
        <v/>
      </c>
      <c r="T276">
        <f>HYPERLINK("https://klasma.github.io/Logging_1961/kartor/A 30186-2021 karta.png", "A 30186-2021")</f>
        <v/>
      </c>
      <c r="V276">
        <f>HYPERLINK("https://klasma.github.io/Logging_1961/klagomål/A 30186-2021 FSC-klagomål.docx", "A 30186-2021")</f>
        <v/>
      </c>
      <c r="W276">
        <f>HYPERLINK("https://klasma.github.io/Logging_1961/klagomålsmail/A 30186-2021 FSC-klagomål mail.docx", "A 30186-2021")</f>
        <v/>
      </c>
      <c r="X276">
        <f>HYPERLINK("https://klasma.github.io/Logging_1961/tillsyn/A 30186-2021 tillsynsbegäran.docx", "A 30186-2021")</f>
        <v/>
      </c>
      <c r="Y276">
        <f>HYPERLINK("https://klasma.github.io/Logging_1961/tillsynsmail/A 30186-2021 tillsynsbegäran mail.docx", "A 30186-2021")</f>
        <v/>
      </c>
    </row>
    <row r="277" ht="15" customHeight="1">
      <c r="A277" t="inlineStr">
        <is>
          <t>A 32862-2021</t>
        </is>
      </c>
      <c r="B277" s="1" t="n">
        <v>44375</v>
      </c>
      <c r="C277" s="1" t="n">
        <v>45724</v>
      </c>
      <c r="D277" t="inlineStr">
        <is>
          <t>VÄSTMANLANDS LÄN</t>
        </is>
      </c>
      <c r="E277" t="inlineStr">
        <is>
          <t>VÄSTERÅS</t>
        </is>
      </c>
      <c r="G277" t="n">
        <v>4.4</v>
      </c>
      <c r="H277" t="n">
        <v>1</v>
      </c>
      <c r="I277" t="n">
        <v>0</v>
      </c>
      <c r="J277" t="n">
        <v>0</v>
      </c>
      <c r="K277" t="n">
        <v>0</v>
      </c>
      <c r="L277" t="n">
        <v>0</v>
      </c>
      <c r="M277" t="n">
        <v>0</v>
      </c>
      <c r="N277" t="n">
        <v>0</v>
      </c>
      <c r="O277" t="n">
        <v>0</v>
      </c>
      <c r="P277" t="n">
        <v>0</v>
      </c>
      <c r="Q277" t="n">
        <v>1</v>
      </c>
      <c r="R277" s="2" t="inlineStr">
        <is>
          <t>Mistel</t>
        </is>
      </c>
      <c r="S277">
        <f>HYPERLINK("https://klasma.github.io/Logging_1980/artfynd/A 32862-2021 artfynd.xlsx", "A 32862-2021")</f>
        <v/>
      </c>
      <c r="T277">
        <f>HYPERLINK("https://klasma.github.io/Logging_1980/kartor/A 32862-2021 karta.png", "A 32862-2021")</f>
        <v/>
      </c>
      <c r="V277">
        <f>HYPERLINK("https://klasma.github.io/Logging_1980/klagomål/A 32862-2021 FSC-klagomål.docx", "A 32862-2021")</f>
        <v/>
      </c>
      <c r="W277">
        <f>HYPERLINK("https://klasma.github.io/Logging_1980/klagomålsmail/A 32862-2021 FSC-klagomål mail.docx", "A 32862-2021")</f>
        <v/>
      </c>
      <c r="X277">
        <f>HYPERLINK("https://klasma.github.io/Logging_1980/tillsyn/A 32862-2021 tillsynsbegäran.docx", "A 32862-2021")</f>
        <v/>
      </c>
      <c r="Y277">
        <f>HYPERLINK("https://klasma.github.io/Logging_1980/tillsynsmail/A 32862-2021 tillsynsbegäran mail.docx", "A 32862-2021")</f>
        <v/>
      </c>
    </row>
    <row r="278" ht="15" customHeight="1">
      <c r="A278" t="inlineStr">
        <is>
          <t>A 36209-2021</t>
        </is>
      </c>
      <c r="B278" s="1" t="n">
        <v>44389</v>
      </c>
      <c r="C278" s="1" t="n">
        <v>45724</v>
      </c>
      <c r="D278" t="inlineStr">
        <is>
          <t>VÄSTMANLANDS LÄN</t>
        </is>
      </c>
      <c r="E278" t="inlineStr">
        <is>
          <t>KÖPING</t>
        </is>
      </c>
      <c r="G278" t="n">
        <v>6.9</v>
      </c>
      <c r="H278" t="n">
        <v>0</v>
      </c>
      <c r="I278" t="n">
        <v>1</v>
      </c>
      <c r="J278" t="n">
        <v>0</v>
      </c>
      <c r="K278" t="n">
        <v>0</v>
      </c>
      <c r="L278" t="n">
        <v>0</v>
      </c>
      <c r="M278" t="n">
        <v>0</v>
      </c>
      <c r="N278" t="n">
        <v>0</v>
      </c>
      <c r="O278" t="n">
        <v>0</v>
      </c>
      <c r="P278" t="n">
        <v>0</v>
      </c>
      <c r="Q278" t="n">
        <v>1</v>
      </c>
      <c r="R278" s="2" t="inlineStr">
        <is>
          <t>Svart trolldruva</t>
        </is>
      </c>
      <c r="S278">
        <f>HYPERLINK("https://klasma.github.io/Logging_1983/artfynd/A 36209-2021 artfynd.xlsx", "A 36209-2021")</f>
        <v/>
      </c>
      <c r="T278">
        <f>HYPERLINK("https://klasma.github.io/Logging_1983/kartor/A 36209-2021 karta.png", "A 36209-2021")</f>
        <v/>
      </c>
      <c r="V278">
        <f>HYPERLINK("https://klasma.github.io/Logging_1983/klagomål/A 36209-2021 FSC-klagomål.docx", "A 36209-2021")</f>
        <v/>
      </c>
      <c r="W278">
        <f>HYPERLINK("https://klasma.github.io/Logging_1983/klagomålsmail/A 36209-2021 FSC-klagomål mail.docx", "A 36209-2021")</f>
        <v/>
      </c>
      <c r="X278">
        <f>HYPERLINK("https://klasma.github.io/Logging_1983/tillsyn/A 36209-2021 tillsynsbegäran.docx", "A 36209-2021")</f>
        <v/>
      </c>
      <c r="Y278">
        <f>HYPERLINK("https://klasma.github.io/Logging_1983/tillsynsmail/A 36209-2021 tillsynsbegäran mail.docx", "A 36209-2021")</f>
        <v/>
      </c>
    </row>
    <row r="279" ht="15" customHeight="1">
      <c r="A279" t="inlineStr">
        <is>
          <t>A 37464-2021</t>
        </is>
      </c>
      <c r="B279" s="1" t="n">
        <v>44398</v>
      </c>
      <c r="C279" s="1" t="n">
        <v>45724</v>
      </c>
      <c r="D279" t="inlineStr">
        <is>
          <t>VÄSTMANLANDS LÄN</t>
        </is>
      </c>
      <c r="E279" t="inlineStr">
        <is>
          <t>VÄSTERÅS</t>
        </is>
      </c>
      <c r="G279" t="n">
        <v>8.1</v>
      </c>
      <c r="H279" t="n">
        <v>1</v>
      </c>
      <c r="I279" t="n">
        <v>0</v>
      </c>
      <c r="J279" t="n">
        <v>0</v>
      </c>
      <c r="K279" t="n">
        <v>0</v>
      </c>
      <c r="L279" t="n">
        <v>0</v>
      </c>
      <c r="M279" t="n">
        <v>0</v>
      </c>
      <c r="N279" t="n">
        <v>0</v>
      </c>
      <c r="O279" t="n">
        <v>0</v>
      </c>
      <c r="P279" t="n">
        <v>0</v>
      </c>
      <c r="Q279" t="n">
        <v>1</v>
      </c>
      <c r="R279" s="2" t="inlineStr">
        <is>
          <t>Mistel</t>
        </is>
      </c>
      <c r="S279">
        <f>HYPERLINK("https://klasma.github.io/Logging_1980/artfynd/A 37464-2021 artfynd.xlsx", "A 37464-2021")</f>
        <v/>
      </c>
      <c r="T279">
        <f>HYPERLINK("https://klasma.github.io/Logging_1980/kartor/A 37464-2021 karta.png", "A 37464-2021")</f>
        <v/>
      </c>
      <c r="V279">
        <f>HYPERLINK("https://klasma.github.io/Logging_1980/klagomål/A 37464-2021 FSC-klagomål.docx", "A 37464-2021")</f>
        <v/>
      </c>
      <c r="W279">
        <f>HYPERLINK("https://klasma.github.io/Logging_1980/klagomålsmail/A 37464-2021 FSC-klagomål mail.docx", "A 37464-2021")</f>
        <v/>
      </c>
      <c r="X279">
        <f>HYPERLINK("https://klasma.github.io/Logging_1980/tillsyn/A 37464-2021 tillsynsbegäran.docx", "A 37464-2021")</f>
        <v/>
      </c>
      <c r="Y279">
        <f>HYPERLINK("https://klasma.github.io/Logging_1980/tillsynsmail/A 37464-2021 tillsynsbegäran mail.docx", "A 37464-2021")</f>
        <v/>
      </c>
    </row>
    <row r="280" ht="15" customHeight="1">
      <c r="A280" t="inlineStr">
        <is>
          <t>A 38127-2021</t>
        </is>
      </c>
      <c r="B280" s="1" t="n">
        <v>44405</v>
      </c>
      <c r="C280" s="1" t="n">
        <v>45724</v>
      </c>
      <c r="D280" t="inlineStr">
        <is>
          <t>VÄSTMANLANDS LÄN</t>
        </is>
      </c>
      <c r="E280" t="inlineStr">
        <is>
          <t>FAGERSTA</t>
        </is>
      </c>
      <c r="F280" t="inlineStr">
        <is>
          <t>Sveaskog</t>
        </is>
      </c>
      <c r="G280" t="n">
        <v>2.8</v>
      </c>
      <c r="H280" t="n">
        <v>1</v>
      </c>
      <c r="I280" t="n">
        <v>0</v>
      </c>
      <c r="J280" t="n">
        <v>0</v>
      </c>
      <c r="K280" t="n">
        <v>1</v>
      </c>
      <c r="L280" t="n">
        <v>0</v>
      </c>
      <c r="M280" t="n">
        <v>0</v>
      </c>
      <c r="N280" t="n">
        <v>0</v>
      </c>
      <c r="O280" t="n">
        <v>1</v>
      </c>
      <c r="P280" t="n">
        <v>1</v>
      </c>
      <c r="Q280" t="n">
        <v>1</v>
      </c>
      <c r="R280" s="2" t="inlineStr">
        <is>
          <t>Knärot</t>
        </is>
      </c>
      <c r="S280">
        <f>HYPERLINK("https://klasma.github.io/Logging_1982/artfynd/A 38127-2021 artfynd.xlsx", "A 38127-2021")</f>
        <v/>
      </c>
      <c r="T280">
        <f>HYPERLINK("https://klasma.github.io/Logging_1982/kartor/A 38127-2021 karta.png", "A 38127-2021")</f>
        <v/>
      </c>
      <c r="U280">
        <f>HYPERLINK("https://klasma.github.io/Logging_1982/knärot/A 38127-2021 karta knärot.png", "A 38127-2021")</f>
        <v/>
      </c>
      <c r="V280">
        <f>HYPERLINK("https://klasma.github.io/Logging_1982/klagomål/A 38127-2021 FSC-klagomål.docx", "A 38127-2021")</f>
        <v/>
      </c>
      <c r="W280">
        <f>HYPERLINK("https://klasma.github.io/Logging_1982/klagomålsmail/A 38127-2021 FSC-klagomål mail.docx", "A 38127-2021")</f>
        <v/>
      </c>
      <c r="X280">
        <f>HYPERLINK("https://klasma.github.io/Logging_1982/tillsyn/A 38127-2021 tillsynsbegäran.docx", "A 38127-2021")</f>
        <v/>
      </c>
      <c r="Y280">
        <f>HYPERLINK("https://klasma.github.io/Logging_1982/tillsynsmail/A 38127-2021 tillsynsbegäran mail.docx", "A 38127-2021")</f>
        <v/>
      </c>
    </row>
    <row r="281" ht="15" customHeight="1">
      <c r="A281" t="inlineStr">
        <is>
          <t>A 38170-2021</t>
        </is>
      </c>
      <c r="B281" s="1" t="n">
        <v>44405</v>
      </c>
      <c r="C281" s="1" t="n">
        <v>45724</v>
      </c>
      <c r="D281" t="inlineStr">
        <is>
          <t>VÄSTMANLANDS LÄN</t>
        </is>
      </c>
      <c r="E281" t="inlineStr">
        <is>
          <t>SURAHAMMAR</t>
        </is>
      </c>
      <c r="F281" t="inlineStr">
        <is>
          <t>Sveaskog</t>
        </is>
      </c>
      <c r="G281" t="n">
        <v>1.2</v>
      </c>
      <c r="H281" t="n">
        <v>1</v>
      </c>
      <c r="I281" t="n">
        <v>0</v>
      </c>
      <c r="J281" t="n">
        <v>0</v>
      </c>
      <c r="K281" t="n">
        <v>0</v>
      </c>
      <c r="L281" t="n">
        <v>0</v>
      </c>
      <c r="M281" t="n">
        <v>0</v>
      </c>
      <c r="N281" t="n">
        <v>0</v>
      </c>
      <c r="O281" t="n">
        <v>0</v>
      </c>
      <c r="P281" t="n">
        <v>0</v>
      </c>
      <c r="Q281" t="n">
        <v>1</v>
      </c>
      <c r="R281" s="2" t="inlineStr">
        <is>
          <t>Revlummer</t>
        </is>
      </c>
      <c r="S281">
        <f>HYPERLINK("https://klasma.github.io/Logging_1907/artfynd/A 38170-2021 artfynd.xlsx", "A 38170-2021")</f>
        <v/>
      </c>
      <c r="T281">
        <f>HYPERLINK("https://klasma.github.io/Logging_1907/kartor/A 38170-2021 karta.png", "A 38170-2021")</f>
        <v/>
      </c>
      <c r="V281">
        <f>HYPERLINK("https://klasma.github.io/Logging_1907/klagomål/A 38170-2021 FSC-klagomål.docx", "A 38170-2021")</f>
        <v/>
      </c>
      <c r="W281">
        <f>HYPERLINK("https://klasma.github.io/Logging_1907/klagomålsmail/A 38170-2021 FSC-klagomål mail.docx", "A 38170-2021")</f>
        <v/>
      </c>
      <c r="X281">
        <f>HYPERLINK("https://klasma.github.io/Logging_1907/tillsyn/A 38170-2021 tillsynsbegäran.docx", "A 38170-2021")</f>
        <v/>
      </c>
      <c r="Y281">
        <f>HYPERLINK("https://klasma.github.io/Logging_1907/tillsynsmail/A 38170-2021 tillsynsbegäran mail.docx", "A 38170-2021")</f>
        <v/>
      </c>
    </row>
    <row r="282" ht="15" customHeight="1">
      <c r="A282" t="inlineStr">
        <is>
          <t>A 38175-2021</t>
        </is>
      </c>
      <c r="B282" s="1" t="n">
        <v>44405</v>
      </c>
      <c r="C282" s="1" t="n">
        <v>45724</v>
      </c>
      <c r="D282" t="inlineStr">
        <is>
          <t>VÄSTMANLANDS LÄN</t>
        </is>
      </c>
      <c r="E282" t="inlineStr">
        <is>
          <t>SURAHAMMAR</t>
        </is>
      </c>
      <c r="F282" t="inlineStr">
        <is>
          <t>Sveaskog</t>
        </is>
      </c>
      <c r="G282" t="n">
        <v>3.1</v>
      </c>
      <c r="H282" t="n">
        <v>0</v>
      </c>
      <c r="I282" t="n">
        <v>0</v>
      </c>
      <c r="J282" t="n">
        <v>1</v>
      </c>
      <c r="K282" t="n">
        <v>0</v>
      </c>
      <c r="L282" t="n">
        <v>0</v>
      </c>
      <c r="M282" t="n">
        <v>0</v>
      </c>
      <c r="N282" t="n">
        <v>0</v>
      </c>
      <c r="O282" t="n">
        <v>1</v>
      </c>
      <c r="P282" t="n">
        <v>0</v>
      </c>
      <c r="Q282" t="n">
        <v>1</v>
      </c>
      <c r="R282" s="2" t="inlineStr">
        <is>
          <t>Ullticka</t>
        </is>
      </c>
      <c r="S282">
        <f>HYPERLINK("https://klasma.github.io/Logging_1907/artfynd/A 38175-2021 artfynd.xlsx", "A 38175-2021")</f>
        <v/>
      </c>
      <c r="T282">
        <f>HYPERLINK("https://klasma.github.io/Logging_1907/kartor/A 38175-2021 karta.png", "A 38175-2021")</f>
        <v/>
      </c>
      <c r="V282">
        <f>HYPERLINK("https://klasma.github.io/Logging_1907/klagomål/A 38175-2021 FSC-klagomål.docx", "A 38175-2021")</f>
        <v/>
      </c>
      <c r="W282">
        <f>HYPERLINK("https://klasma.github.io/Logging_1907/klagomålsmail/A 38175-2021 FSC-klagomål mail.docx", "A 38175-2021")</f>
        <v/>
      </c>
      <c r="X282">
        <f>HYPERLINK("https://klasma.github.io/Logging_1907/tillsyn/A 38175-2021 tillsynsbegäran.docx", "A 38175-2021")</f>
        <v/>
      </c>
      <c r="Y282">
        <f>HYPERLINK("https://klasma.github.io/Logging_1907/tillsynsmail/A 38175-2021 tillsynsbegäran mail.docx", "A 38175-2021")</f>
        <v/>
      </c>
    </row>
    <row r="283" ht="15" customHeight="1">
      <c r="A283" t="inlineStr">
        <is>
          <t>A 39147-2021</t>
        </is>
      </c>
      <c r="B283" s="1" t="n">
        <v>44412</v>
      </c>
      <c r="C283" s="1" t="n">
        <v>45724</v>
      </c>
      <c r="D283" t="inlineStr">
        <is>
          <t>VÄSTMANLANDS LÄN</t>
        </is>
      </c>
      <c r="E283" t="inlineStr">
        <is>
          <t>VÄSTERÅS</t>
        </is>
      </c>
      <c r="G283" t="n">
        <v>6.2</v>
      </c>
      <c r="H283" t="n">
        <v>0</v>
      </c>
      <c r="I283" t="n">
        <v>1</v>
      </c>
      <c r="J283" t="n">
        <v>0</v>
      </c>
      <c r="K283" t="n">
        <v>0</v>
      </c>
      <c r="L283" t="n">
        <v>0</v>
      </c>
      <c r="M283" t="n">
        <v>0</v>
      </c>
      <c r="N283" t="n">
        <v>0</v>
      </c>
      <c r="O283" t="n">
        <v>0</v>
      </c>
      <c r="P283" t="n">
        <v>0</v>
      </c>
      <c r="Q283" t="n">
        <v>1</v>
      </c>
      <c r="R283" s="2" t="inlineStr">
        <is>
          <t>Kornknutmossa</t>
        </is>
      </c>
      <c r="S283">
        <f>HYPERLINK("https://klasma.github.io/Logging_1980/artfynd/A 39147-2021 artfynd.xlsx", "A 39147-2021")</f>
        <v/>
      </c>
      <c r="T283">
        <f>HYPERLINK("https://klasma.github.io/Logging_1980/kartor/A 39147-2021 karta.png", "A 39147-2021")</f>
        <v/>
      </c>
      <c r="V283">
        <f>HYPERLINK("https://klasma.github.io/Logging_1980/klagomål/A 39147-2021 FSC-klagomål.docx", "A 39147-2021")</f>
        <v/>
      </c>
      <c r="W283">
        <f>HYPERLINK("https://klasma.github.io/Logging_1980/klagomålsmail/A 39147-2021 FSC-klagomål mail.docx", "A 39147-2021")</f>
        <v/>
      </c>
      <c r="X283">
        <f>HYPERLINK("https://klasma.github.io/Logging_1980/tillsyn/A 39147-2021 tillsynsbegäran.docx", "A 39147-2021")</f>
        <v/>
      </c>
      <c r="Y283">
        <f>HYPERLINK("https://klasma.github.io/Logging_1980/tillsynsmail/A 39147-2021 tillsynsbegäran mail.docx", "A 39147-2021")</f>
        <v/>
      </c>
    </row>
    <row r="284" ht="15" customHeight="1">
      <c r="A284" t="inlineStr">
        <is>
          <t>A 40411-2021</t>
        </is>
      </c>
      <c r="B284" s="1" t="n">
        <v>44419</v>
      </c>
      <c r="C284" s="1" t="n">
        <v>45724</v>
      </c>
      <c r="D284" t="inlineStr">
        <is>
          <t>VÄSTMANLANDS LÄN</t>
        </is>
      </c>
      <c r="E284" t="inlineStr">
        <is>
          <t>SURAHAMMAR</t>
        </is>
      </c>
      <c r="F284" t="inlineStr">
        <is>
          <t>Sveaskog</t>
        </is>
      </c>
      <c r="G284" t="n">
        <v>2.4</v>
      </c>
      <c r="H284" t="n">
        <v>1</v>
      </c>
      <c r="I284" t="n">
        <v>0</v>
      </c>
      <c r="J284" t="n">
        <v>0</v>
      </c>
      <c r="K284" t="n">
        <v>0</v>
      </c>
      <c r="L284" t="n">
        <v>0</v>
      </c>
      <c r="M284" t="n">
        <v>0</v>
      </c>
      <c r="N284" t="n">
        <v>0</v>
      </c>
      <c r="O284" t="n">
        <v>0</v>
      </c>
      <c r="P284" t="n">
        <v>0</v>
      </c>
      <c r="Q284" t="n">
        <v>1</v>
      </c>
      <c r="R284" s="2" t="inlineStr">
        <is>
          <t>Kopparödla</t>
        </is>
      </c>
      <c r="S284">
        <f>HYPERLINK("https://klasma.github.io/Logging_1907/artfynd/A 40411-2021 artfynd.xlsx", "A 40411-2021")</f>
        <v/>
      </c>
      <c r="T284">
        <f>HYPERLINK("https://klasma.github.io/Logging_1907/kartor/A 40411-2021 karta.png", "A 40411-2021")</f>
        <v/>
      </c>
      <c r="V284">
        <f>HYPERLINK("https://klasma.github.io/Logging_1907/klagomål/A 40411-2021 FSC-klagomål.docx", "A 40411-2021")</f>
        <v/>
      </c>
      <c r="W284">
        <f>HYPERLINK("https://klasma.github.io/Logging_1907/klagomålsmail/A 40411-2021 FSC-klagomål mail.docx", "A 40411-2021")</f>
        <v/>
      </c>
      <c r="X284">
        <f>HYPERLINK("https://klasma.github.io/Logging_1907/tillsyn/A 40411-2021 tillsynsbegäran.docx", "A 40411-2021")</f>
        <v/>
      </c>
      <c r="Y284">
        <f>HYPERLINK("https://klasma.github.io/Logging_1907/tillsynsmail/A 40411-2021 tillsynsbegäran mail.docx", "A 40411-2021")</f>
        <v/>
      </c>
    </row>
    <row r="285" ht="15" customHeight="1">
      <c r="A285" t="inlineStr">
        <is>
          <t>A 42073-2021</t>
        </is>
      </c>
      <c r="B285" s="1" t="n">
        <v>44426</v>
      </c>
      <c r="C285" s="1" t="n">
        <v>45724</v>
      </c>
      <c r="D285" t="inlineStr">
        <is>
          <t>VÄSTMANLANDS LÄN</t>
        </is>
      </c>
      <c r="E285" t="inlineStr">
        <is>
          <t>SKINNSKATTEBERG</t>
        </is>
      </c>
      <c r="F285" t="inlineStr">
        <is>
          <t>Sveaskog</t>
        </is>
      </c>
      <c r="G285" t="n">
        <v>0.8</v>
      </c>
      <c r="H285" t="n">
        <v>1</v>
      </c>
      <c r="I285" t="n">
        <v>0</v>
      </c>
      <c r="J285" t="n">
        <v>0</v>
      </c>
      <c r="K285" t="n">
        <v>0</v>
      </c>
      <c r="L285" t="n">
        <v>0</v>
      </c>
      <c r="M285" t="n">
        <v>0</v>
      </c>
      <c r="N285" t="n">
        <v>0</v>
      </c>
      <c r="O285" t="n">
        <v>0</v>
      </c>
      <c r="P285" t="n">
        <v>0</v>
      </c>
      <c r="Q285" t="n">
        <v>1</v>
      </c>
      <c r="R285" s="2" t="inlineStr">
        <is>
          <t>Fläcknycklar</t>
        </is>
      </c>
      <c r="S285">
        <f>HYPERLINK("https://klasma.github.io/Logging_1904/artfynd/A 42073-2021 artfynd.xlsx", "A 42073-2021")</f>
        <v/>
      </c>
      <c r="T285">
        <f>HYPERLINK("https://klasma.github.io/Logging_1904/kartor/A 42073-2021 karta.png", "A 42073-2021")</f>
        <v/>
      </c>
      <c r="V285">
        <f>HYPERLINK("https://klasma.github.io/Logging_1904/klagomål/A 42073-2021 FSC-klagomål.docx", "A 42073-2021")</f>
        <v/>
      </c>
      <c r="W285">
        <f>HYPERLINK("https://klasma.github.io/Logging_1904/klagomålsmail/A 42073-2021 FSC-klagomål mail.docx", "A 42073-2021")</f>
        <v/>
      </c>
      <c r="X285">
        <f>HYPERLINK("https://klasma.github.io/Logging_1904/tillsyn/A 42073-2021 tillsynsbegäran.docx", "A 42073-2021")</f>
        <v/>
      </c>
      <c r="Y285">
        <f>HYPERLINK("https://klasma.github.io/Logging_1904/tillsynsmail/A 42073-2021 tillsynsbegäran mail.docx", "A 42073-2021")</f>
        <v/>
      </c>
    </row>
    <row r="286" ht="15" customHeight="1">
      <c r="A286" t="inlineStr">
        <is>
          <t>A 44970-2021</t>
        </is>
      </c>
      <c r="B286" s="1" t="n">
        <v>44438</v>
      </c>
      <c r="C286" s="1" t="n">
        <v>45724</v>
      </c>
      <c r="D286" t="inlineStr">
        <is>
          <t>VÄSTMANLANDS LÄN</t>
        </is>
      </c>
      <c r="E286" t="inlineStr">
        <is>
          <t>SALA</t>
        </is>
      </c>
      <c r="G286" t="n">
        <v>1.2</v>
      </c>
      <c r="H286" t="n">
        <v>1</v>
      </c>
      <c r="I286" t="n">
        <v>0</v>
      </c>
      <c r="J286" t="n">
        <v>0</v>
      </c>
      <c r="K286" t="n">
        <v>0</v>
      </c>
      <c r="L286" t="n">
        <v>0</v>
      </c>
      <c r="M286" t="n">
        <v>0</v>
      </c>
      <c r="N286" t="n">
        <v>0</v>
      </c>
      <c r="O286" t="n">
        <v>0</v>
      </c>
      <c r="P286" t="n">
        <v>0</v>
      </c>
      <c r="Q286" t="n">
        <v>1</v>
      </c>
      <c r="R286" s="2" t="inlineStr">
        <is>
          <t>Revlummer</t>
        </is>
      </c>
      <c r="S286">
        <f>HYPERLINK("https://klasma.github.io/Logging_1981/artfynd/A 44970-2021 artfynd.xlsx", "A 44970-2021")</f>
        <v/>
      </c>
      <c r="T286">
        <f>HYPERLINK("https://klasma.github.io/Logging_1981/kartor/A 44970-2021 karta.png", "A 44970-2021")</f>
        <v/>
      </c>
      <c r="V286">
        <f>HYPERLINK("https://klasma.github.io/Logging_1981/klagomål/A 44970-2021 FSC-klagomål.docx", "A 44970-2021")</f>
        <v/>
      </c>
      <c r="W286">
        <f>HYPERLINK("https://klasma.github.io/Logging_1981/klagomålsmail/A 44970-2021 FSC-klagomål mail.docx", "A 44970-2021")</f>
        <v/>
      </c>
      <c r="X286">
        <f>HYPERLINK("https://klasma.github.io/Logging_1981/tillsyn/A 44970-2021 tillsynsbegäran.docx", "A 44970-2021")</f>
        <v/>
      </c>
      <c r="Y286">
        <f>HYPERLINK("https://klasma.github.io/Logging_1981/tillsynsmail/A 44970-2021 tillsynsbegäran mail.docx", "A 44970-2021")</f>
        <v/>
      </c>
    </row>
    <row r="287" ht="15" customHeight="1">
      <c r="A287" t="inlineStr">
        <is>
          <t>A 45826-2021</t>
        </is>
      </c>
      <c r="B287" s="1" t="n">
        <v>44441</v>
      </c>
      <c r="C287" s="1" t="n">
        <v>45724</v>
      </c>
      <c r="D287" t="inlineStr">
        <is>
          <t>VÄSTMANLANDS LÄN</t>
        </is>
      </c>
      <c r="E287" t="inlineStr">
        <is>
          <t>KÖPING</t>
        </is>
      </c>
      <c r="G287" t="n">
        <v>9</v>
      </c>
      <c r="H287" t="n">
        <v>1</v>
      </c>
      <c r="I287" t="n">
        <v>0</v>
      </c>
      <c r="J287" t="n">
        <v>0</v>
      </c>
      <c r="K287" t="n">
        <v>0</v>
      </c>
      <c r="L287" t="n">
        <v>0</v>
      </c>
      <c r="M287" t="n">
        <v>0</v>
      </c>
      <c r="N287" t="n">
        <v>0</v>
      </c>
      <c r="O287" t="n">
        <v>0</v>
      </c>
      <c r="P287" t="n">
        <v>0</v>
      </c>
      <c r="Q287" t="n">
        <v>1</v>
      </c>
      <c r="R287" s="2" t="inlineStr">
        <is>
          <t>Fläcknycklar</t>
        </is>
      </c>
      <c r="S287">
        <f>HYPERLINK("https://klasma.github.io/Logging_1983/artfynd/A 45826-2021 artfynd.xlsx", "A 45826-2021")</f>
        <v/>
      </c>
      <c r="T287">
        <f>HYPERLINK("https://klasma.github.io/Logging_1983/kartor/A 45826-2021 karta.png", "A 45826-2021")</f>
        <v/>
      </c>
      <c r="V287">
        <f>HYPERLINK("https://klasma.github.io/Logging_1983/klagomål/A 45826-2021 FSC-klagomål.docx", "A 45826-2021")</f>
        <v/>
      </c>
      <c r="W287">
        <f>HYPERLINK("https://klasma.github.io/Logging_1983/klagomålsmail/A 45826-2021 FSC-klagomål mail.docx", "A 45826-2021")</f>
        <v/>
      </c>
      <c r="X287">
        <f>HYPERLINK("https://klasma.github.io/Logging_1983/tillsyn/A 45826-2021 tillsynsbegäran.docx", "A 45826-2021")</f>
        <v/>
      </c>
      <c r="Y287">
        <f>HYPERLINK("https://klasma.github.io/Logging_1983/tillsynsmail/A 45826-2021 tillsynsbegäran mail.docx", "A 45826-2021")</f>
        <v/>
      </c>
    </row>
    <row r="288" ht="15" customHeight="1">
      <c r="A288" t="inlineStr">
        <is>
          <t>A 53151-2021</t>
        </is>
      </c>
      <c r="B288" s="1" t="n">
        <v>44468</v>
      </c>
      <c r="C288" s="1" t="n">
        <v>45724</v>
      </c>
      <c r="D288" t="inlineStr">
        <is>
          <t>VÄSTMANLANDS LÄN</t>
        </is>
      </c>
      <c r="E288" t="inlineStr">
        <is>
          <t>KÖPING</t>
        </is>
      </c>
      <c r="F288" t="inlineStr">
        <is>
          <t>Sveaskog</t>
        </is>
      </c>
      <c r="G288" t="n">
        <v>1.1</v>
      </c>
      <c r="H288" t="n">
        <v>0</v>
      </c>
      <c r="I288" t="n">
        <v>1</v>
      </c>
      <c r="J288" t="n">
        <v>0</v>
      </c>
      <c r="K288" t="n">
        <v>0</v>
      </c>
      <c r="L288" t="n">
        <v>0</v>
      </c>
      <c r="M288" t="n">
        <v>0</v>
      </c>
      <c r="N288" t="n">
        <v>0</v>
      </c>
      <c r="O288" t="n">
        <v>0</v>
      </c>
      <c r="P288" t="n">
        <v>0</v>
      </c>
      <c r="Q288" t="n">
        <v>1</v>
      </c>
      <c r="R288" s="2" t="inlineStr">
        <is>
          <t>Skinnlav</t>
        </is>
      </c>
      <c r="S288">
        <f>HYPERLINK("https://klasma.github.io/Logging_1983/artfynd/A 53151-2021 artfynd.xlsx", "A 53151-2021")</f>
        <v/>
      </c>
      <c r="T288">
        <f>HYPERLINK("https://klasma.github.io/Logging_1983/kartor/A 53151-2021 karta.png", "A 53151-2021")</f>
        <v/>
      </c>
      <c r="V288">
        <f>HYPERLINK("https://klasma.github.io/Logging_1983/klagomål/A 53151-2021 FSC-klagomål.docx", "A 53151-2021")</f>
        <v/>
      </c>
      <c r="W288">
        <f>HYPERLINK("https://klasma.github.io/Logging_1983/klagomålsmail/A 53151-2021 FSC-klagomål mail.docx", "A 53151-2021")</f>
        <v/>
      </c>
      <c r="X288">
        <f>HYPERLINK("https://klasma.github.io/Logging_1983/tillsyn/A 53151-2021 tillsynsbegäran.docx", "A 53151-2021")</f>
        <v/>
      </c>
      <c r="Y288">
        <f>HYPERLINK("https://klasma.github.io/Logging_1983/tillsynsmail/A 53151-2021 tillsynsbegäran mail.docx", "A 53151-2021")</f>
        <v/>
      </c>
    </row>
    <row r="289" ht="15" customHeight="1">
      <c r="A289" t="inlineStr">
        <is>
          <t>A 56825-2021</t>
        </is>
      </c>
      <c r="B289" s="1" t="n">
        <v>44480</v>
      </c>
      <c r="C289" s="1" t="n">
        <v>45724</v>
      </c>
      <c r="D289" t="inlineStr">
        <is>
          <t>VÄSTMANLANDS LÄN</t>
        </is>
      </c>
      <c r="E289" t="inlineStr">
        <is>
          <t>NORBERG</t>
        </is>
      </c>
      <c r="G289" t="n">
        <v>2.4</v>
      </c>
      <c r="H289" t="n">
        <v>1</v>
      </c>
      <c r="I289" t="n">
        <v>0</v>
      </c>
      <c r="J289" t="n">
        <v>0</v>
      </c>
      <c r="K289" t="n">
        <v>0</v>
      </c>
      <c r="L289" t="n">
        <v>0</v>
      </c>
      <c r="M289" t="n">
        <v>0</v>
      </c>
      <c r="N289" t="n">
        <v>0</v>
      </c>
      <c r="O289" t="n">
        <v>0</v>
      </c>
      <c r="P289" t="n">
        <v>0</v>
      </c>
      <c r="Q289" t="n">
        <v>1</v>
      </c>
      <c r="R289" s="2" t="inlineStr">
        <is>
          <t>Blåsippa</t>
        </is>
      </c>
      <c r="S289">
        <f>HYPERLINK("https://klasma.github.io/Logging_1962/artfynd/A 56825-2021 artfynd.xlsx", "A 56825-2021")</f>
        <v/>
      </c>
      <c r="T289">
        <f>HYPERLINK("https://klasma.github.io/Logging_1962/kartor/A 56825-2021 karta.png", "A 56825-2021")</f>
        <v/>
      </c>
      <c r="V289">
        <f>HYPERLINK("https://klasma.github.io/Logging_1962/klagomål/A 56825-2021 FSC-klagomål.docx", "A 56825-2021")</f>
        <v/>
      </c>
      <c r="W289">
        <f>HYPERLINK("https://klasma.github.io/Logging_1962/klagomålsmail/A 56825-2021 FSC-klagomål mail.docx", "A 56825-2021")</f>
        <v/>
      </c>
      <c r="X289">
        <f>HYPERLINK("https://klasma.github.io/Logging_1962/tillsyn/A 56825-2021 tillsynsbegäran.docx", "A 56825-2021")</f>
        <v/>
      </c>
      <c r="Y289">
        <f>HYPERLINK("https://klasma.github.io/Logging_1962/tillsynsmail/A 56825-2021 tillsynsbegäran mail.docx", "A 56825-2021")</f>
        <v/>
      </c>
    </row>
    <row r="290" ht="15" customHeight="1">
      <c r="A290" t="inlineStr">
        <is>
          <t>A 59566-2021</t>
        </is>
      </c>
      <c r="B290" s="1" t="n">
        <v>44491</v>
      </c>
      <c r="C290" s="1" t="n">
        <v>45724</v>
      </c>
      <c r="D290" t="inlineStr">
        <is>
          <t>VÄSTMANLANDS LÄN</t>
        </is>
      </c>
      <c r="E290" t="inlineStr">
        <is>
          <t>VÄSTERÅS</t>
        </is>
      </c>
      <c r="G290" t="n">
        <v>2.1</v>
      </c>
      <c r="H290" t="n">
        <v>0</v>
      </c>
      <c r="I290" t="n">
        <v>1</v>
      </c>
      <c r="J290" t="n">
        <v>0</v>
      </c>
      <c r="K290" t="n">
        <v>0</v>
      </c>
      <c r="L290" t="n">
        <v>0</v>
      </c>
      <c r="M290" t="n">
        <v>0</v>
      </c>
      <c r="N290" t="n">
        <v>0</v>
      </c>
      <c r="O290" t="n">
        <v>0</v>
      </c>
      <c r="P290" t="n">
        <v>0</v>
      </c>
      <c r="Q290" t="n">
        <v>1</v>
      </c>
      <c r="R290" s="2" t="inlineStr">
        <is>
          <t>Vanlig flatbagge</t>
        </is>
      </c>
      <c r="S290">
        <f>HYPERLINK("https://klasma.github.io/Logging_1980/artfynd/A 59566-2021 artfynd.xlsx", "A 59566-2021")</f>
        <v/>
      </c>
      <c r="T290">
        <f>HYPERLINK("https://klasma.github.io/Logging_1980/kartor/A 59566-2021 karta.png", "A 59566-2021")</f>
        <v/>
      </c>
      <c r="V290">
        <f>HYPERLINK("https://klasma.github.io/Logging_1980/klagomål/A 59566-2021 FSC-klagomål.docx", "A 59566-2021")</f>
        <v/>
      </c>
      <c r="W290">
        <f>HYPERLINK("https://klasma.github.io/Logging_1980/klagomålsmail/A 59566-2021 FSC-klagomål mail.docx", "A 59566-2021")</f>
        <v/>
      </c>
      <c r="X290">
        <f>HYPERLINK("https://klasma.github.io/Logging_1980/tillsyn/A 59566-2021 tillsynsbegäran.docx", "A 59566-2021")</f>
        <v/>
      </c>
      <c r="Y290">
        <f>HYPERLINK("https://klasma.github.io/Logging_1980/tillsynsmail/A 59566-2021 tillsynsbegäran mail.docx", "A 59566-2021")</f>
        <v/>
      </c>
    </row>
    <row r="291" ht="15" customHeight="1">
      <c r="A291" t="inlineStr">
        <is>
          <t>A 60242-2021</t>
        </is>
      </c>
      <c r="B291" s="1" t="n">
        <v>44495</v>
      </c>
      <c r="C291" s="1" t="n">
        <v>45724</v>
      </c>
      <c r="D291" t="inlineStr">
        <is>
          <t>VÄSTMANLANDS LÄN</t>
        </is>
      </c>
      <c r="E291" t="inlineStr">
        <is>
          <t>SKINNSKATTEBERG</t>
        </is>
      </c>
      <c r="F291" t="inlineStr">
        <is>
          <t>Sveaskog</t>
        </is>
      </c>
      <c r="G291" t="n">
        <v>0.9</v>
      </c>
      <c r="H291" t="n">
        <v>1</v>
      </c>
      <c r="I291" t="n">
        <v>0</v>
      </c>
      <c r="J291" t="n">
        <v>0</v>
      </c>
      <c r="K291" t="n">
        <v>0</v>
      </c>
      <c r="L291" t="n">
        <v>0</v>
      </c>
      <c r="M291" t="n">
        <v>0</v>
      </c>
      <c r="N291" t="n">
        <v>0</v>
      </c>
      <c r="O291" t="n">
        <v>0</v>
      </c>
      <c r="P291" t="n">
        <v>0</v>
      </c>
      <c r="Q291" t="n">
        <v>1</v>
      </c>
      <c r="R291" s="2" t="inlineStr">
        <is>
          <t>Mattlummer</t>
        </is>
      </c>
      <c r="S291">
        <f>HYPERLINK("https://klasma.github.io/Logging_1904/artfynd/A 60242-2021 artfynd.xlsx", "A 60242-2021")</f>
        <v/>
      </c>
      <c r="T291">
        <f>HYPERLINK("https://klasma.github.io/Logging_1904/kartor/A 60242-2021 karta.png", "A 60242-2021")</f>
        <v/>
      </c>
      <c r="V291">
        <f>HYPERLINK("https://klasma.github.io/Logging_1904/klagomål/A 60242-2021 FSC-klagomål.docx", "A 60242-2021")</f>
        <v/>
      </c>
      <c r="W291">
        <f>HYPERLINK("https://klasma.github.io/Logging_1904/klagomålsmail/A 60242-2021 FSC-klagomål mail.docx", "A 60242-2021")</f>
        <v/>
      </c>
      <c r="X291">
        <f>HYPERLINK("https://klasma.github.io/Logging_1904/tillsyn/A 60242-2021 tillsynsbegäran.docx", "A 60242-2021")</f>
        <v/>
      </c>
      <c r="Y291">
        <f>HYPERLINK("https://klasma.github.io/Logging_1904/tillsynsmail/A 60242-2021 tillsynsbegäran mail.docx", "A 60242-2021")</f>
        <v/>
      </c>
    </row>
    <row r="292" ht="15" customHeight="1">
      <c r="A292" t="inlineStr">
        <is>
          <t>A 69022-2021</t>
        </is>
      </c>
      <c r="B292" s="1" t="n">
        <v>44530</v>
      </c>
      <c r="C292" s="1" t="n">
        <v>45724</v>
      </c>
      <c r="D292" t="inlineStr">
        <is>
          <t>VÄSTMANLANDS LÄN</t>
        </is>
      </c>
      <c r="E292" t="inlineStr">
        <is>
          <t>KÖPING</t>
        </is>
      </c>
      <c r="G292" t="n">
        <v>3.1</v>
      </c>
      <c r="H292" t="n">
        <v>0</v>
      </c>
      <c r="I292" t="n">
        <v>1</v>
      </c>
      <c r="J292" t="n">
        <v>0</v>
      </c>
      <c r="K292" t="n">
        <v>0</v>
      </c>
      <c r="L292" t="n">
        <v>0</v>
      </c>
      <c r="M292" t="n">
        <v>0</v>
      </c>
      <c r="N292" t="n">
        <v>0</v>
      </c>
      <c r="O292" t="n">
        <v>0</v>
      </c>
      <c r="P292" t="n">
        <v>0</v>
      </c>
      <c r="Q292" t="n">
        <v>1</v>
      </c>
      <c r="R292" s="2" t="inlineStr">
        <is>
          <t>Skinnlav</t>
        </is>
      </c>
      <c r="S292">
        <f>HYPERLINK("https://klasma.github.io/Logging_1983/artfynd/A 69022-2021 artfynd.xlsx", "A 69022-2021")</f>
        <v/>
      </c>
      <c r="T292">
        <f>HYPERLINK("https://klasma.github.io/Logging_1983/kartor/A 69022-2021 karta.png", "A 69022-2021")</f>
        <v/>
      </c>
      <c r="V292">
        <f>HYPERLINK("https://klasma.github.io/Logging_1983/klagomål/A 69022-2021 FSC-klagomål.docx", "A 69022-2021")</f>
        <v/>
      </c>
      <c r="W292">
        <f>HYPERLINK("https://klasma.github.io/Logging_1983/klagomålsmail/A 69022-2021 FSC-klagomål mail.docx", "A 69022-2021")</f>
        <v/>
      </c>
      <c r="X292">
        <f>HYPERLINK("https://klasma.github.io/Logging_1983/tillsyn/A 69022-2021 tillsynsbegäran.docx", "A 69022-2021")</f>
        <v/>
      </c>
      <c r="Y292">
        <f>HYPERLINK("https://klasma.github.io/Logging_1983/tillsynsmail/A 69022-2021 tillsynsbegäran mail.docx", "A 69022-2021")</f>
        <v/>
      </c>
    </row>
    <row r="293" ht="15" customHeight="1">
      <c r="A293" t="inlineStr">
        <is>
          <t>A 69777-2021</t>
        </is>
      </c>
      <c r="B293" s="1" t="n">
        <v>44532</v>
      </c>
      <c r="C293" s="1" t="n">
        <v>45724</v>
      </c>
      <c r="D293" t="inlineStr">
        <is>
          <t>VÄSTMANLANDS LÄN</t>
        </is>
      </c>
      <c r="E293" t="inlineStr">
        <is>
          <t>SURAHAMMAR</t>
        </is>
      </c>
      <c r="G293" t="n">
        <v>2.3</v>
      </c>
      <c r="H293" t="n">
        <v>1</v>
      </c>
      <c r="I293" t="n">
        <v>0</v>
      </c>
      <c r="J293" t="n">
        <v>0</v>
      </c>
      <c r="K293" t="n">
        <v>1</v>
      </c>
      <c r="L293" t="n">
        <v>0</v>
      </c>
      <c r="M293" t="n">
        <v>0</v>
      </c>
      <c r="N293" t="n">
        <v>0</v>
      </c>
      <c r="O293" t="n">
        <v>1</v>
      </c>
      <c r="P293" t="n">
        <v>1</v>
      </c>
      <c r="Q293" t="n">
        <v>1</v>
      </c>
      <c r="R293" s="2" t="inlineStr">
        <is>
          <t>Bombmurkla</t>
        </is>
      </c>
      <c r="S293">
        <f>HYPERLINK("https://klasma.github.io/Logging_1907/artfynd/A 69777-2021 artfynd.xlsx", "A 69777-2021")</f>
        <v/>
      </c>
      <c r="T293">
        <f>HYPERLINK("https://klasma.github.io/Logging_1907/kartor/A 69777-2021 karta.png", "A 69777-2021")</f>
        <v/>
      </c>
      <c r="V293">
        <f>HYPERLINK("https://klasma.github.io/Logging_1907/klagomål/A 69777-2021 FSC-klagomål.docx", "A 69777-2021")</f>
        <v/>
      </c>
      <c r="W293">
        <f>HYPERLINK("https://klasma.github.io/Logging_1907/klagomålsmail/A 69777-2021 FSC-klagomål mail.docx", "A 69777-2021")</f>
        <v/>
      </c>
      <c r="X293">
        <f>HYPERLINK("https://klasma.github.io/Logging_1907/tillsyn/A 69777-2021 tillsynsbegäran.docx", "A 69777-2021")</f>
        <v/>
      </c>
      <c r="Y293">
        <f>HYPERLINK("https://klasma.github.io/Logging_1907/tillsynsmail/A 69777-2021 tillsynsbegäran mail.docx", "A 69777-2021")</f>
        <v/>
      </c>
    </row>
    <row r="294" ht="15" customHeight="1">
      <c r="A294" t="inlineStr">
        <is>
          <t>A 7655-2022</t>
        </is>
      </c>
      <c r="B294" s="1" t="n">
        <v>44607</v>
      </c>
      <c r="C294" s="1" t="n">
        <v>45724</v>
      </c>
      <c r="D294" t="inlineStr">
        <is>
          <t>VÄSTMANLANDS LÄN</t>
        </is>
      </c>
      <c r="E294" t="inlineStr">
        <is>
          <t>SURAHAMMAR</t>
        </is>
      </c>
      <c r="G294" t="n">
        <v>1.1</v>
      </c>
      <c r="H294" t="n">
        <v>1</v>
      </c>
      <c r="I294" t="n">
        <v>0</v>
      </c>
      <c r="J294" t="n">
        <v>0</v>
      </c>
      <c r="K294" t="n">
        <v>1</v>
      </c>
      <c r="L294" t="n">
        <v>0</v>
      </c>
      <c r="M294" t="n">
        <v>0</v>
      </c>
      <c r="N294" t="n">
        <v>0</v>
      </c>
      <c r="O294" t="n">
        <v>1</v>
      </c>
      <c r="P294" t="n">
        <v>1</v>
      </c>
      <c r="Q294" t="n">
        <v>1</v>
      </c>
      <c r="R294" s="2" t="inlineStr">
        <is>
          <t>Bombmurkla</t>
        </is>
      </c>
      <c r="S294">
        <f>HYPERLINK("https://klasma.github.io/Logging_1907/artfynd/A 7655-2022 artfynd.xlsx", "A 7655-2022")</f>
        <v/>
      </c>
      <c r="T294">
        <f>HYPERLINK("https://klasma.github.io/Logging_1907/kartor/A 7655-2022 karta.png", "A 7655-2022")</f>
        <v/>
      </c>
      <c r="V294">
        <f>HYPERLINK("https://klasma.github.io/Logging_1907/klagomål/A 7655-2022 FSC-klagomål.docx", "A 7655-2022")</f>
        <v/>
      </c>
      <c r="W294">
        <f>HYPERLINK("https://klasma.github.io/Logging_1907/klagomålsmail/A 7655-2022 FSC-klagomål mail.docx", "A 7655-2022")</f>
        <v/>
      </c>
      <c r="X294">
        <f>HYPERLINK("https://klasma.github.io/Logging_1907/tillsyn/A 7655-2022 tillsynsbegäran.docx", "A 7655-2022")</f>
        <v/>
      </c>
      <c r="Y294">
        <f>HYPERLINK("https://klasma.github.io/Logging_1907/tillsynsmail/A 7655-2022 tillsynsbegäran mail.docx", "A 7655-2022")</f>
        <v/>
      </c>
    </row>
    <row r="295" ht="15" customHeight="1">
      <c r="A295" t="inlineStr">
        <is>
          <t>A 7919-2022</t>
        </is>
      </c>
      <c r="B295" s="1" t="n">
        <v>44608</v>
      </c>
      <c r="C295" s="1" t="n">
        <v>45724</v>
      </c>
      <c r="D295" t="inlineStr">
        <is>
          <t>VÄSTMANLANDS LÄN</t>
        </is>
      </c>
      <c r="E295" t="inlineStr">
        <is>
          <t>SALA</t>
        </is>
      </c>
      <c r="F295" t="inlineStr">
        <is>
          <t>Bergvik skog öst AB</t>
        </is>
      </c>
      <c r="G295" t="n">
        <v>4.5</v>
      </c>
      <c r="H295" t="n">
        <v>1</v>
      </c>
      <c r="I295" t="n">
        <v>0</v>
      </c>
      <c r="J295" t="n">
        <v>1</v>
      </c>
      <c r="K295" t="n">
        <v>0</v>
      </c>
      <c r="L295" t="n">
        <v>0</v>
      </c>
      <c r="M295" t="n">
        <v>0</v>
      </c>
      <c r="N295" t="n">
        <v>0</v>
      </c>
      <c r="O295" t="n">
        <v>1</v>
      </c>
      <c r="P295" t="n">
        <v>0</v>
      </c>
      <c r="Q295" t="n">
        <v>1</v>
      </c>
      <c r="R295" s="2" t="inlineStr">
        <is>
          <t>Ävjepilört</t>
        </is>
      </c>
      <c r="S295">
        <f>HYPERLINK("https://klasma.github.io/Logging_1981/artfynd/A 7919-2022 artfynd.xlsx", "A 7919-2022")</f>
        <v/>
      </c>
      <c r="T295">
        <f>HYPERLINK("https://klasma.github.io/Logging_1981/kartor/A 7919-2022 karta.png", "A 7919-2022")</f>
        <v/>
      </c>
      <c r="V295">
        <f>HYPERLINK("https://klasma.github.io/Logging_1981/klagomål/A 7919-2022 FSC-klagomål.docx", "A 7919-2022")</f>
        <v/>
      </c>
      <c r="W295">
        <f>HYPERLINK("https://klasma.github.io/Logging_1981/klagomålsmail/A 7919-2022 FSC-klagomål mail.docx", "A 7919-2022")</f>
        <v/>
      </c>
      <c r="X295">
        <f>HYPERLINK("https://klasma.github.io/Logging_1981/tillsyn/A 7919-2022 tillsynsbegäran.docx", "A 7919-2022")</f>
        <v/>
      </c>
      <c r="Y295">
        <f>HYPERLINK("https://klasma.github.io/Logging_1981/tillsynsmail/A 7919-2022 tillsynsbegäran mail.docx", "A 7919-2022")</f>
        <v/>
      </c>
    </row>
    <row r="296" ht="15" customHeight="1">
      <c r="A296" t="inlineStr">
        <is>
          <t>A 9872-2022</t>
        </is>
      </c>
      <c r="B296" s="1" t="n">
        <v>44620</v>
      </c>
      <c r="C296" s="1" t="n">
        <v>45724</v>
      </c>
      <c r="D296" t="inlineStr">
        <is>
          <t>VÄSTMANLANDS LÄN</t>
        </is>
      </c>
      <c r="E296" t="inlineStr">
        <is>
          <t>NORBERG</t>
        </is>
      </c>
      <c r="G296" t="n">
        <v>0.7</v>
      </c>
      <c r="H296" t="n">
        <v>1</v>
      </c>
      <c r="I296" t="n">
        <v>0</v>
      </c>
      <c r="J296" t="n">
        <v>0</v>
      </c>
      <c r="K296" t="n">
        <v>0</v>
      </c>
      <c r="L296" t="n">
        <v>0</v>
      </c>
      <c r="M296" t="n">
        <v>0</v>
      </c>
      <c r="N296" t="n">
        <v>0</v>
      </c>
      <c r="O296" t="n">
        <v>0</v>
      </c>
      <c r="P296" t="n">
        <v>0</v>
      </c>
      <c r="Q296" t="n">
        <v>1</v>
      </c>
      <c r="R296" s="2" t="inlineStr">
        <is>
          <t>Mindre vattensalamander</t>
        </is>
      </c>
      <c r="S296">
        <f>HYPERLINK("https://klasma.github.io/Logging_1962/artfynd/A 9872-2022 artfynd.xlsx", "A 9872-2022")</f>
        <v/>
      </c>
      <c r="T296">
        <f>HYPERLINK("https://klasma.github.io/Logging_1962/kartor/A 9872-2022 karta.png", "A 9872-2022")</f>
        <v/>
      </c>
      <c r="V296">
        <f>HYPERLINK("https://klasma.github.io/Logging_1962/klagomål/A 9872-2022 FSC-klagomål.docx", "A 9872-2022")</f>
        <v/>
      </c>
      <c r="W296">
        <f>HYPERLINK("https://klasma.github.io/Logging_1962/klagomålsmail/A 9872-2022 FSC-klagomål mail.docx", "A 9872-2022")</f>
        <v/>
      </c>
      <c r="X296">
        <f>HYPERLINK("https://klasma.github.io/Logging_1962/tillsyn/A 9872-2022 tillsynsbegäran.docx", "A 9872-2022")</f>
        <v/>
      </c>
      <c r="Y296">
        <f>HYPERLINK("https://klasma.github.io/Logging_1962/tillsynsmail/A 9872-2022 tillsynsbegäran mail.docx", "A 9872-2022")</f>
        <v/>
      </c>
    </row>
    <row r="297" ht="15" customHeight="1">
      <c r="A297" t="inlineStr">
        <is>
          <t>A 10900-2022</t>
        </is>
      </c>
      <c r="B297" s="1" t="n">
        <v>44627</v>
      </c>
      <c r="C297" s="1" t="n">
        <v>45724</v>
      </c>
      <c r="D297" t="inlineStr">
        <is>
          <t>VÄSTMANLANDS LÄN</t>
        </is>
      </c>
      <c r="E297" t="inlineStr">
        <is>
          <t>KÖPING</t>
        </is>
      </c>
      <c r="G297" t="n">
        <v>1.5</v>
      </c>
      <c r="H297" t="n">
        <v>0</v>
      </c>
      <c r="I297" t="n">
        <v>0</v>
      </c>
      <c r="J297" t="n">
        <v>1</v>
      </c>
      <c r="K297" t="n">
        <v>0</v>
      </c>
      <c r="L297" t="n">
        <v>0</v>
      </c>
      <c r="M297" t="n">
        <v>0</v>
      </c>
      <c r="N297" t="n">
        <v>0</v>
      </c>
      <c r="O297" t="n">
        <v>1</v>
      </c>
      <c r="P297" t="n">
        <v>0</v>
      </c>
      <c r="Q297" t="n">
        <v>1</v>
      </c>
      <c r="R297" s="2" t="inlineStr">
        <is>
          <t>Klofibbla</t>
        </is>
      </c>
      <c r="S297">
        <f>HYPERLINK("https://klasma.github.io/Logging_1983/artfynd/A 10900-2022 artfynd.xlsx", "A 10900-2022")</f>
        <v/>
      </c>
      <c r="T297">
        <f>HYPERLINK("https://klasma.github.io/Logging_1983/kartor/A 10900-2022 karta.png", "A 10900-2022")</f>
        <v/>
      </c>
      <c r="V297">
        <f>HYPERLINK("https://klasma.github.io/Logging_1983/klagomål/A 10900-2022 FSC-klagomål.docx", "A 10900-2022")</f>
        <v/>
      </c>
      <c r="W297">
        <f>HYPERLINK("https://klasma.github.io/Logging_1983/klagomålsmail/A 10900-2022 FSC-klagomål mail.docx", "A 10900-2022")</f>
        <v/>
      </c>
      <c r="X297">
        <f>HYPERLINK("https://klasma.github.io/Logging_1983/tillsyn/A 10900-2022 tillsynsbegäran.docx", "A 10900-2022")</f>
        <v/>
      </c>
      <c r="Y297">
        <f>HYPERLINK("https://klasma.github.io/Logging_1983/tillsynsmail/A 10900-2022 tillsynsbegäran mail.docx", "A 10900-2022")</f>
        <v/>
      </c>
    </row>
    <row r="298" ht="15" customHeight="1">
      <c r="A298" t="inlineStr">
        <is>
          <t>A 12905-2022</t>
        </is>
      </c>
      <c r="B298" s="1" t="n">
        <v>44641</v>
      </c>
      <c r="C298" s="1" t="n">
        <v>45724</v>
      </c>
      <c r="D298" t="inlineStr">
        <is>
          <t>VÄSTMANLANDS LÄN</t>
        </is>
      </c>
      <c r="E298" t="inlineStr">
        <is>
          <t>VÄSTERÅS</t>
        </is>
      </c>
      <c r="F298" t="inlineStr">
        <is>
          <t>Övriga Aktiebolag</t>
        </is>
      </c>
      <c r="G298" t="n">
        <v>23.9</v>
      </c>
      <c r="H298" t="n">
        <v>0</v>
      </c>
      <c r="I298" t="n">
        <v>0</v>
      </c>
      <c r="J298" t="n">
        <v>0</v>
      </c>
      <c r="K298" t="n">
        <v>0</v>
      </c>
      <c r="L298" t="n">
        <v>1</v>
      </c>
      <c r="M298" t="n">
        <v>0</v>
      </c>
      <c r="N298" t="n">
        <v>0</v>
      </c>
      <c r="O298" t="n">
        <v>1</v>
      </c>
      <c r="P298" t="n">
        <v>1</v>
      </c>
      <c r="Q298" t="n">
        <v>1</v>
      </c>
      <c r="R298" s="2" t="inlineStr">
        <is>
          <t>Ask</t>
        </is>
      </c>
      <c r="S298">
        <f>HYPERLINK("https://klasma.github.io/Logging_1980/artfynd/A 12905-2022 artfynd.xlsx", "A 12905-2022")</f>
        <v/>
      </c>
      <c r="T298">
        <f>HYPERLINK("https://klasma.github.io/Logging_1980/kartor/A 12905-2022 karta.png", "A 12905-2022")</f>
        <v/>
      </c>
      <c r="V298">
        <f>HYPERLINK("https://klasma.github.io/Logging_1980/klagomål/A 12905-2022 FSC-klagomål.docx", "A 12905-2022")</f>
        <v/>
      </c>
      <c r="W298">
        <f>HYPERLINK("https://klasma.github.io/Logging_1980/klagomålsmail/A 12905-2022 FSC-klagomål mail.docx", "A 12905-2022")</f>
        <v/>
      </c>
      <c r="X298">
        <f>HYPERLINK("https://klasma.github.io/Logging_1980/tillsyn/A 12905-2022 tillsynsbegäran.docx", "A 12905-2022")</f>
        <v/>
      </c>
      <c r="Y298">
        <f>HYPERLINK("https://klasma.github.io/Logging_1980/tillsynsmail/A 12905-2022 tillsynsbegäran mail.docx", "A 12905-2022")</f>
        <v/>
      </c>
    </row>
    <row r="299" ht="15" customHeight="1">
      <c r="A299" t="inlineStr">
        <is>
          <t>A 15988-2022</t>
        </is>
      </c>
      <c r="B299" s="1" t="n">
        <v>44664</v>
      </c>
      <c r="C299" s="1" t="n">
        <v>45724</v>
      </c>
      <c r="D299" t="inlineStr">
        <is>
          <t>VÄSTMANLANDS LÄN</t>
        </is>
      </c>
      <c r="E299" t="inlineStr">
        <is>
          <t>SALA</t>
        </is>
      </c>
      <c r="G299" t="n">
        <v>5</v>
      </c>
      <c r="H299" t="n">
        <v>1</v>
      </c>
      <c r="I299" t="n">
        <v>0</v>
      </c>
      <c r="J299" t="n">
        <v>0</v>
      </c>
      <c r="K299" t="n">
        <v>1</v>
      </c>
      <c r="L299" t="n">
        <v>0</v>
      </c>
      <c r="M299" t="n">
        <v>0</v>
      </c>
      <c r="N299" t="n">
        <v>0</v>
      </c>
      <c r="O299" t="n">
        <v>1</v>
      </c>
      <c r="P299" t="n">
        <v>1</v>
      </c>
      <c r="Q299" t="n">
        <v>1</v>
      </c>
      <c r="R299" s="2" t="inlineStr">
        <is>
          <t>Knärot</t>
        </is>
      </c>
      <c r="S299">
        <f>HYPERLINK("https://klasma.github.io/Logging_1981/artfynd/A 15988-2022 artfynd.xlsx", "A 15988-2022")</f>
        <v/>
      </c>
      <c r="T299">
        <f>HYPERLINK("https://klasma.github.io/Logging_1981/kartor/A 15988-2022 karta.png", "A 15988-2022")</f>
        <v/>
      </c>
      <c r="U299">
        <f>HYPERLINK("https://klasma.github.io/Logging_1981/knärot/A 15988-2022 karta knärot.png", "A 15988-2022")</f>
        <v/>
      </c>
      <c r="V299">
        <f>HYPERLINK("https://klasma.github.io/Logging_1981/klagomål/A 15988-2022 FSC-klagomål.docx", "A 15988-2022")</f>
        <v/>
      </c>
      <c r="W299">
        <f>HYPERLINK("https://klasma.github.io/Logging_1981/klagomålsmail/A 15988-2022 FSC-klagomål mail.docx", "A 15988-2022")</f>
        <v/>
      </c>
      <c r="X299">
        <f>HYPERLINK("https://klasma.github.io/Logging_1981/tillsyn/A 15988-2022 tillsynsbegäran.docx", "A 15988-2022")</f>
        <v/>
      </c>
      <c r="Y299">
        <f>HYPERLINK("https://klasma.github.io/Logging_1981/tillsynsmail/A 15988-2022 tillsynsbegäran mail.docx", "A 15988-2022")</f>
        <v/>
      </c>
    </row>
    <row r="300" ht="15" customHeight="1">
      <c r="A300" t="inlineStr">
        <is>
          <t>A 17632-2022</t>
        </is>
      </c>
      <c r="B300" s="1" t="n">
        <v>44680</v>
      </c>
      <c r="C300" s="1" t="n">
        <v>45724</v>
      </c>
      <c r="D300" t="inlineStr">
        <is>
          <t>VÄSTMANLANDS LÄN</t>
        </is>
      </c>
      <c r="E300" t="inlineStr">
        <is>
          <t>SURAHAMMAR</t>
        </is>
      </c>
      <c r="G300" t="n">
        <v>5.2</v>
      </c>
      <c r="H300" t="n">
        <v>0</v>
      </c>
      <c r="I300" t="n">
        <v>1</v>
      </c>
      <c r="J300" t="n">
        <v>0</v>
      </c>
      <c r="K300" t="n">
        <v>0</v>
      </c>
      <c r="L300" t="n">
        <v>0</v>
      </c>
      <c r="M300" t="n">
        <v>0</v>
      </c>
      <c r="N300" t="n">
        <v>0</v>
      </c>
      <c r="O300" t="n">
        <v>0</v>
      </c>
      <c r="P300" t="n">
        <v>0</v>
      </c>
      <c r="Q300" t="n">
        <v>1</v>
      </c>
      <c r="R300" s="2" t="inlineStr">
        <is>
          <t>Blodticka</t>
        </is>
      </c>
      <c r="S300">
        <f>HYPERLINK("https://klasma.github.io/Logging_1907/artfynd/A 17632-2022 artfynd.xlsx", "A 17632-2022")</f>
        <v/>
      </c>
      <c r="T300">
        <f>HYPERLINK("https://klasma.github.io/Logging_1907/kartor/A 17632-2022 karta.png", "A 17632-2022")</f>
        <v/>
      </c>
      <c r="V300">
        <f>HYPERLINK("https://klasma.github.io/Logging_1907/klagomål/A 17632-2022 FSC-klagomål.docx", "A 17632-2022")</f>
        <v/>
      </c>
      <c r="W300">
        <f>HYPERLINK("https://klasma.github.io/Logging_1907/klagomålsmail/A 17632-2022 FSC-klagomål mail.docx", "A 17632-2022")</f>
        <v/>
      </c>
      <c r="X300">
        <f>HYPERLINK("https://klasma.github.io/Logging_1907/tillsyn/A 17632-2022 tillsynsbegäran.docx", "A 17632-2022")</f>
        <v/>
      </c>
      <c r="Y300">
        <f>HYPERLINK("https://klasma.github.io/Logging_1907/tillsynsmail/A 17632-2022 tillsynsbegäran mail.docx", "A 17632-2022")</f>
        <v/>
      </c>
    </row>
    <row r="301" ht="15" customHeight="1">
      <c r="A301" t="inlineStr">
        <is>
          <t>A 18282-2022</t>
        </is>
      </c>
      <c r="B301" s="1" t="n">
        <v>44685</v>
      </c>
      <c r="C301" s="1" t="n">
        <v>45724</v>
      </c>
      <c r="D301" t="inlineStr">
        <is>
          <t>VÄSTMANLANDS LÄN</t>
        </is>
      </c>
      <c r="E301" t="inlineStr">
        <is>
          <t>VÄSTERÅS</t>
        </is>
      </c>
      <c r="G301" t="n">
        <v>3.7</v>
      </c>
      <c r="H301" t="n">
        <v>1</v>
      </c>
      <c r="I301" t="n">
        <v>0</v>
      </c>
      <c r="J301" t="n">
        <v>1</v>
      </c>
      <c r="K301" t="n">
        <v>0</v>
      </c>
      <c r="L301" t="n">
        <v>0</v>
      </c>
      <c r="M301" t="n">
        <v>0</v>
      </c>
      <c r="N301" t="n">
        <v>0</v>
      </c>
      <c r="O301" t="n">
        <v>1</v>
      </c>
      <c r="P301" t="n">
        <v>0</v>
      </c>
      <c r="Q301" t="n">
        <v>1</v>
      </c>
      <c r="R301" s="2" t="inlineStr">
        <is>
          <t>Spillkråka</t>
        </is>
      </c>
      <c r="S301">
        <f>HYPERLINK("https://klasma.github.io/Logging_1980/artfynd/A 18282-2022 artfynd.xlsx", "A 18282-2022")</f>
        <v/>
      </c>
      <c r="T301">
        <f>HYPERLINK("https://klasma.github.io/Logging_1980/kartor/A 18282-2022 karta.png", "A 18282-2022")</f>
        <v/>
      </c>
      <c r="V301">
        <f>HYPERLINK("https://klasma.github.io/Logging_1980/klagomål/A 18282-2022 FSC-klagomål.docx", "A 18282-2022")</f>
        <v/>
      </c>
      <c r="W301">
        <f>HYPERLINK("https://klasma.github.io/Logging_1980/klagomålsmail/A 18282-2022 FSC-klagomål mail.docx", "A 18282-2022")</f>
        <v/>
      </c>
      <c r="X301">
        <f>HYPERLINK("https://klasma.github.io/Logging_1980/tillsyn/A 18282-2022 tillsynsbegäran.docx", "A 18282-2022")</f>
        <v/>
      </c>
      <c r="Y301">
        <f>HYPERLINK("https://klasma.github.io/Logging_1980/tillsynsmail/A 18282-2022 tillsynsbegäran mail.docx", "A 18282-2022")</f>
        <v/>
      </c>
      <c r="Z301">
        <f>HYPERLINK("https://klasma.github.io/Logging_1980/fåglar/A 18282-2022 prioriterade fågelarter.docx", "A 18282-2022")</f>
        <v/>
      </c>
    </row>
    <row r="302" ht="15" customHeight="1">
      <c r="A302" t="inlineStr">
        <is>
          <t>A 25789-2022</t>
        </is>
      </c>
      <c r="B302" s="1" t="n">
        <v>44733</v>
      </c>
      <c r="C302" s="1" t="n">
        <v>45724</v>
      </c>
      <c r="D302" t="inlineStr">
        <is>
          <t>VÄSTMANLANDS LÄN</t>
        </is>
      </c>
      <c r="E302" t="inlineStr">
        <is>
          <t>KÖPING</t>
        </is>
      </c>
      <c r="G302" t="n">
        <v>1.3</v>
      </c>
      <c r="H302" t="n">
        <v>1</v>
      </c>
      <c r="I302" t="n">
        <v>0</v>
      </c>
      <c r="J302" t="n">
        <v>1</v>
      </c>
      <c r="K302" t="n">
        <v>0</v>
      </c>
      <c r="L302" t="n">
        <v>0</v>
      </c>
      <c r="M302" t="n">
        <v>0</v>
      </c>
      <c r="N302" t="n">
        <v>0</v>
      </c>
      <c r="O302" t="n">
        <v>1</v>
      </c>
      <c r="P302" t="n">
        <v>0</v>
      </c>
      <c r="Q302" t="n">
        <v>1</v>
      </c>
      <c r="R302" s="2" t="inlineStr">
        <is>
          <t>Fjällvråk</t>
        </is>
      </c>
      <c r="S302">
        <f>HYPERLINK("https://klasma.github.io/Logging_1983/artfynd/A 25789-2022 artfynd.xlsx", "A 25789-2022")</f>
        <v/>
      </c>
      <c r="T302">
        <f>HYPERLINK("https://klasma.github.io/Logging_1983/kartor/A 25789-2022 karta.png", "A 25789-2022")</f>
        <v/>
      </c>
      <c r="V302">
        <f>HYPERLINK("https://klasma.github.io/Logging_1983/klagomål/A 25789-2022 FSC-klagomål.docx", "A 25789-2022")</f>
        <v/>
      </c>
      <c r="W302">
        <f>HYPERLINK("https://klasma.github.io/Logging_1983/klagomålsmail/A 25789-2022 FSC-klagomål mail.docx", "A 25789-2022")</f>
        <v/>
      </c>
      <c r="X302">
        <f>HYPERLINK("https://klasma.github.io/Logging_1983/tillsyn/A 25789-2022 tillsynsbegäran.docx", "A 25789-2022")</f>
        <v/>
      </c>
      <c r="Y302">
        <f>HYPERLINK("https://klasma.github.io/Logging_1983/tillsynsmail/A 25789-2022 tillsynsbegäran mail.docx", "A 25789-2022")</f>
        <v/>
      </c>
      <c r="Z302">
        <f>HYPERLINK("https://klasma.github.io/Logging_1983/fåglar/A 25789-2022 prioriterade fågelarter.docx", "A 25789-2022")</f>
        <v/>
      </c>
    </row>
    <row r="303" ht="15" customHeight="1">
      <c r="A303" t="inlineStr">
        <is>
          <t>A 28435-2022</t>
        </is>
      </c>
      <c r="B303" s="1" t="n">
        <v>44747</v>
      </c>
      <c r="C303" s="1" t="n">
        <v>45724</v>
      </c>
      <c r="D303" t="inlineStr">
        <is>
          <t>VÄSTMANLANDS LÄN</t>
        </is>
      </c>
      <c r="E303" t="inlineStr">
        <is>
          <t>FAGERSTA</t>
        </is>
      </c>
      <c r="F303" t="inlineStr">
        <is>
          <t>Sveaskog</t>
        </is>
      </c>
      <c r="G303" t="n">
        <v>0.9</v>
      </c>
      <c r="H303" t="n">
        <v>0</v>
      </c>
      <c r="I303" t="n">
        <v>0</v>
      </c>
      <c r="J303" t="n">
        <v>1</v>
      </c>
      <c r="K303" t="n">
        <v>0</v>
      </c>
      <c r="L303" t="n">
        <v>0</v>
      </c>
      <c r="M303" t="n">
        <v>0</v>
      </c>
      <c r="N303" t="n">
        <v>0</v>
      </c>
      <c r="O303" t="n">
        <v>1</v>
      </c>
      <c r="P303" t="n">
        <v>0</v>
      </c>
      <c r="Q303" t="n">
        <v>1</v>
      </c>
      <c r="R303" s="2" t="inlineStr">
        <is>
          <t>Stjärntagging</t>
        </is>
      </c>
      <c r="S303">
        <f>HYPERLINK("https://klasma.github.io/Logging_1982/artfynd/A 28435-2022 artfynd.xlsx", "A 28435-2022")</f>
        <v/>
      </c>
      <c r="T303">
        <f>HYPERLINK("https://klasma.github.io/Logging_1982/kartor/A 28435-2022 karta.png", "A 28435-2022")</f>
        <v/>
      </c>
      <c r="V303">
        <f>HYPERLINK("https://klasma.github.io/Logging_1982/klagomål/A 28435-2022 FSC-klagomål.docx", "A 28435-2022")</f>
        <v/>
      </c>
      <c r="W303">
        <f>HYPERLINK("https://klasma.github.io/Logging_1982/klagomålsmail/A 28435-2022 FSC-klagomål mail.docx", "A 28435-2022")</f>
        <v/>
      </c>
      <c r="X303">
        <f>HYPERLINK("https://klasma.github.io/Logging_1982/tillsyn/A 28435-2022 tillsynsbegäran.docx", "A 28435-2022")</f>
        <v/>
      </c>
      <c r="Y303">
        <f>HYPERLINK("https://klasma.github.io/Logging_1982/tillsynsmail/A 28435-2022 tillsynsbegäran mail.docx", "A 28435-2022")</f>
        <v/>
      </c>
    </row>
    <row r="304" ht="15" customHeight="1">
      <c r="A304" t="inlineStr">
        <is>
          <t>A 29532-2022</t>
        </is>
      </c>
      <c r="B304" s="1" t="n">
        <v>44753</v>
      </c>
      <c r="C304" s="1" t="n">
        <v>45724</v>
      </c>
      <c r="D304" t="inlineStr">
        <is>
          <t>VÄSTMANLANDS LÄN</t>
        </is>
      </c>
      <c r="E304" t="inlineStr">
        <is>
          <t>FAGERSTA</t>
        </is>
      </c>
      <c r="G304" t="n">
        <v>4.7</v>
      </c>
      <c r="H304" t="n">
        <v>0</v>
      </c>
      <c r="I304" t="n">
        <v>1</v>
      </c>
      <c r="J304" t="n">
        <v>0</v>
      </c>
      <c r="K304" t="n">
        <v>0</v>
      </c>
      <c r="L304" t="n">
        <v>0</v>
      </c>
      <c r="M304" t="n">
        <v>0</v>
      </c>
      <c r="N304" t="n">
        <v>0</v>
      </c>
      <c r="O304" t="n">
        <v>0</v>
      </c>
      <c r="P304" t="n">
        <v>0</v>
      </c>
      <c r="Q304" t="n">
        <v>1</v>
      </c>
      <c r="R304" s="2" t="inlineStr">
        <is>
          <t>Hagfingersvamp</t>
        </is>
      </c>
      <c r="S304">
        <f>HYPERLINK("https://klasma.github.io/Logging_1982/artfynd/A 29532-2022 artfynd.xlsx", "A 29532-2022")</f>
        <v/>
      </c>
      <c r="T304">
        <f>HYPERLINK("https://klasma.github.io/Logging_1982/kartor/A 29532-2022 karta.png", "A 29532-2022")</f>
        <v/>
      </c>
      <c r="V304">
        <f>HYPERLINK("https://klasma.github.io/Logging_1982/klagomål/A 29532-2022 FSC-klagomål.docx", "A 29532-2022")</f>
        <v/>
      </c>
      <c r="W304">
        <f>HYPERLINK("https://klasma.github.io/Logging_1982/klagomålsmail/A 29532-2022 FSC-klagomål mail.docx", "A 29532-2022")</f>
        <v/>
      </c>
      <c r="X304">
        <f>HYPERLINK("https://klasma.github.io/Logging_1982/tillsyn/A 29532-2022 tillsynsbegäran.docx", "A 29532-2022")</f>
        <v/>
      </c>
      <c r="Y304">
        <f>HYPERLINK("https://klasma.github.io/Logging_1982/tillsynsmail/A 29532-2022 tillsynsbegäran mail.docx", "A 29532-2022")</f>
        <v/>
      </c>
    </row>
    <row r="305" ht="15" customHeight="1">
      <c r="A305" t="inlineStr">
        <is>
          <t>A 29985-2022</t>
        </is>
      </c>
      <c r="B305" s="1" t="n">
        <v>44756</v>
      </c>
      <c r="C305" s="1" t="n">
        <v>45724</v>
      </c>
      <c r="D305" t="inlineStr">
        <is>
          <t>VÄSTMANLANDS LÄN</t>
        </is>
      </c>
      <c r="E305" t="inlineStr">
        <is>
          <t>SALA</t>
        </is>
      </c>
      <c r="F305" t="inlineStr">
        <is>
          <t>Kommuner</t>
        </is>
      </c>
      <c r="G305" t="n">
        <v>1</v>
      </c>
      <c r="H305" t="n">
        <v>1</v>
      </c>
      <c r="I305" t="n">
        <v>1</v>
      </c>
      <c r="J305" t="n">
        <v>0</v>
      </c>
      <c r="K305" t="n">
        <v>0</v>
      </c>
      <c r="L305" t="n">
        <v>0</v>
      </c>
      <c r="M305" t="n">
        <v>0</v>
      </c>
      <c r="N305" t="n">
        <v>0</v>
      </c>
      <c r="O305" t="n">
        <v>0</v>
      </c>
      <c r="P305" t="n">
        <v>0</v>
      </c>
      <c r="Q305" t="n">
        <v>1</v>
      </c>
      <c r="R305" s="2" t="inlineStr">
        <is>
          <t>Skogsknipprot</t>
        </is>
      </c>
      <c r="S305">
        <f>HYPERLINK("https://klasma.github.io/Logging_1981/artfynd/A 29985-2022 artfynd.xlsx", "A 29985-2022")</f>
        <v/>
      </c>
      <c r="T305">
        <f>HYPERLINK("https://klasma.github.io/Logging_1981/kartor/A 29985-2022 karta.png", "A 29985-2022")</f>
        <v/>
      </c>
      <c r="V305">
        <f>HYPERLINK("https://klasma.github.io/Logging_1981/klagomål/A 29985-2022 FSC-klagomål.docx", "A 29985-2022")</f>
        <v/>
      </c>
      <c r="W305">
        <f>HYPERLINK("https://klasma.github.io/Logging_1981/klagomålsmail/A 29985-2022 FSC-klagomål mail.docx", "A 29985-2022")</f>
        <v/>
      </c>
      <c r="X305">
        <f>HYPERLINK("https://klasma.github.io/Logging_1981/tillsyn/A 29985-2022 tillsynsbegäran.docx", "A 29985-2022")</f>
        <v/>
      </c>
      <c r="Y305">
        <f>HYPERLINK("https://klasma.github.io/Logging_1981/tillsynsmail/A 29985-2022 tillsynsbegäran mail.docx", "A 29985-2022")</f>
        <v/>
      </c>
    </row>
    <row r="306" ht="15" customHeight="1">
      <c r="A306" t="inlineStr">
        <is>
          <t>A 30319-2022</t>
        </is>
      </c>
      <c r="B306" s="1" t="n">
        <v>44760</v>
      </c>
      <c r="C306" s="1" t="n">
        <v>45724</v>
      </c>
      <c r="D306" t="inlineStr">
        <is>
          <t>VÄSTMANLANDS LÄN</t>
        </is>
      </c>
      <c r="E306" t="inlineStr">
        <is>
          <t>VÄSTERÅS</t>
        </is>
      </c>
      <c r="G306" t="n">
        <v>4.3</v>
      </c>
      <c r="H306" t="n">
        <v>1</v>
      </c>
      <c r="I306" t="n">
        <v>0</v>
      </c>
      <c r="J306" t="n">
        <v>0</v>
      </c>
      <c r="K306" t="n">
        <v>1</v>
      </c>
      <c r="L306" t="n">
        <v>0</v>
      </c>
      <c r="M306" t="n">
        <v>0</v>
      </c>
      <c r="N306" t="n">
        <v>0</v>
      </c>
      <c r="O306" t="n">
        <v>1</v>
      </c>
      <c r="P306" t="n">
        <v>1</v>
      </c>
      <c r="Q306" t="n">
        <v>1</v>
      </c>
      <c r="R306" s="2" t="inlineStr">
        <is>
          <t>Backsippa</t>
        </is>
      </c>
      <c r="S306">
        <f>HYPERLINK("https://klasma.github.io/Logging_1980/artfynd/A 30319-2022 artfynd.xlsx", "A 30319-2022")</f>
        <v/>
      </c>
      <c r="T306">
        <f>HYPERLINK("https://klasma.github.io/Logging_1980/kartor/A 30319-2022 karta.png", "A 30319-2022")</f>
        <v/>
      </c>
      <c r="V306">
        <f>HYPERLINK("https://klasma.github.io/Logging_1980/klagomål/A 30319-2022 FSC-klagomål.docx", "A 30319-2022")</f>
        <v/>
      </c>
      <c r="W306">
        <f>HYPERLINK("https://klasma.github.io/Logging_1980/klagomålsmail/A 30319-2022 FSC-klagomål mail.docx", "A 30319-2022")</f>
        <v/>
      </c>
      <c r="X306">
        <f>HYPERLINK("https://klasma.github.io/Logging_1980/tillsyn/A 30319-2022 tillsynsbegäran.docx", "A 30319-2022")</f>
        <v/>
      </c>
      <c r="Y306">
        <f>HYPERLINK("https://klasma.github.io/Logging_1980/tillsynsmail/A 30319-2022 tillsynsbegäran mail.docx", "A 30319-2022")</f>
        <v/>
      </c>
    </row>
    <row r="307" ht="15" customHeight="1">
      <c r="A307" t="inlineStr">
        <is>
          <t>A 30759-2022</t>
        </is>
      </c>
      <c r="B307" s="1" t="n">
        <v>44764</v>
      </c>
      <c r="C307" s="1" t="n">
        <v>45724</v>
      </c>
      <c r="D307" t="inlineStr">
        <is>
          <t>VÄSTMANLANDS LÄN</t>
        </is>
      </c>
      <c r="E307" t="inlineStr">
        <is>
          <t>VÄSTERÅS</t>
        </is>
      </c>
      <c r="F307" t="inlineStr">
        <is>
          <t>Kommuner</t>
        </is>
      </c>
      <c r="G307" t="n">
        <v>0.8</v>
      </c>
      <c r="H307" t="n">
        <v>1</v>
      </c>
      <c r="I307" t="n">
        <v>0</v>
      </c>
      <c r="J307" t="n">
        <v>0</v>
      </c>
      <c r="K307" t="n">
        <v>0</v>
      </c>
      <c r="L307" t="n">
        <v>0</v>
      </c>
      <c r="M307" t="n">
        <v>0</v>
      </c>
      <c r="N307" t="n">
        <v>0</v>
      </c>
      <c r="O307" t="n">
        <v>0</v>
      </c>
      <c r="P307" t="n">
        <v>0</v>
      </c>
      <c r="Q307" t="n">
        <v>1</v>
      </c>
      <c r="R307" s="2" t="inlineStr">
        <is>
          <t>Blåsippa</t>
        </is>
      </c>
      <c r="S307">
        <f>HYPERLINK("https://klasma.github.io/Logging_1980/artfynd/A 30759-2022 artfynd.xlsx", "A 30759-2022")</f>
        <v/>
      </c>
      <c r="T307">
        <f>HYPERLINK("https://klasma.github.io/Logging_1980/kartor/A 30759-2022 karta.png", "A 30759-2022")</f>
        <v/>
      </c>
      <c r="V307">
        <f>HYPERLINK("https://klasma.github.io/Logging_1980/klagomål/A 30759-2022 FSC-klagomål.docx", "A 30759-2022")</f>
        <v/>
      </c>
      <c r="W307">
        <f>HYPERLINK("https://klasma.github.io/Logging_1980/klagomålsmail/A 30759-2022 FSC-klagomål mail.docx", "A 30759-2022")</f>
        <v/>
      </c>
      <c r="X307">
        <f>HYPERLINK("https://klasma.github.io/Logging_1980/tillsyn/A 30759-2022 tillsynsbegäran.docx", "A 30759-2022")</f>
        <v/>
      </c>
      <c r="Y307">
        <f>HYPERLINK("https://klasma.github.io/Logging_1980/tillsynsmail/A 30759-2022 tillsynsbegäran mail.docx", "A 30759-2022")</f>
        <v/>
      </c>
    </row>
    <row r="308" ht="15" customHeight="1">
      <c r="A308" t="inlineStr">
        <is>
          <t>A 31568-2022</t>
        </is>
      </c>
      <c r="B308" s="1" t="n">
        <v>44775</v>
      </c>
      <c r="C308" s="1" t="n">
        <v>45724</v>
      </c>
      <c r="D308" t="inlineStr">
        <is>
          <t>VÄSTMANLANDS LÄN</t>
        </is>
      </c>
      <c r="E308" t="inlineStr">
        <is>
          <t>VÄSTERÅS</t>
        </is>
      </c>
      <c r="F308" t="inlineStr">
        <is>
          <t>Kommuner</t>
        </is>
      </c>
      <c r="G308" t="n">
        <v>6.2</v>
      </c>
      <c r="H308" t="n">
        <v>0</v>
      </c>
      <c r="I308" t="n">
        <v>0</v>
      </c>
      <c r="J308" t="n">
        <v>1</v>
      </c>
      <c r="K308" t="n">
        <v>0</v>
      </c>
      <c r="L308" t="n">
        <v>0</v>
      </c>
      <c r="M308" t="n">
        <v>0</v>
      </c>
      <c r="N308" t="n">
        <v>0</v>
      </c>
      <c r="O308" t="n">
        <v>1</v>
      </c>
      <c r="P308" t="n">
        <v>0</v>
      </c>
      <c r="Q308" t="n">
        <v>1</v>
      </c>
      <c r="R308" s="2" t="inlineStr">
        <is>
          <t>Ekticka</t>
        </is>
      </c>
      <c r="S308">
        <f>HYPERLINK("https://klasma.github.io/Logging_1980/artfynd/A 31568-2022 artfynd.xlsx", "A 31568-2022")</f>
        <v/>
      </c>
      <c r="T308">
        <f>HYPERLINK("https://klasma.github.io/Logging_1980/kartor/A 31568-2022 karta.png", "A 31568-2022")</f>
        <v/>
      </c>
      <c r="V308">
        <f>HYPERLINK("https://klasma.github.io/Logging_1980/klagomål/A 31568-2022 FSC-klagomål.docx", "A 31568-2022")</f>
        <v/>
      </c>
      <c r="W308">
        <f>HYPERLINK("https://klasma.github.io/Logging_1980/klagomålsmail/A 31568-2022 FSC-klagomål mail.docx", "A 31568-2022")</f>
        <v/>
      </c>
      <c r="X308">
        <f>HYPERLINK("https://klasma.github.io/Logging_1980/tillsyn/A 31568-2022 tillsynsbegäran.docx", "A 31568-2022")</f>
        <v/>
      </c>
      <c r="Y308">
        <f>HYPERLINK("https://klasma.github.io/Logging_1980/tillsynsmail/A 31568-2022 tillsynsbegäran mail.docx", "A 31568-2022")</f>
        <v/>
      </c>
    </row>
    <row r="309" ht="15" customHeight="1">
      <c r="A309" t="inlineStr">
        <is>
          <t>A 39099-2022</t>
        </is>
      </c>
      <c r="B309" s="1" t="n">
        <v>44817</v>
      </c>
      <c r="C309" s="1" t="n">
        <v>45724</v>
      </c>
      <c r="D309" t="inlineStr">
        <is>
          <t>VÄSTMANLANDS LÄN</t>
        </is>
      </c>
      <c r="E309" t="inlineStr">
        <is>
          <t>SURAHAMMAR</t>
        </is>
      </c>
      <c r="F309" t="inlineStr">
        <is>
          <t>Bergvik skog väst AB</t>
        </is>
      </c>
      <c r="G309" t="n">
        <v>7.4</v>
      </c>
      <c r="H309" t="n">
        <v>0</v>
      </c>
      <c r="I309" t="n">
        <v>1</v>
      </c>
      <c r="J309" t="n">
        <v>0</v>
      </c>
      <c r="K309" t="n">
        <v>0</v>
      </c>
      <c r="L309" t="n">
        <v>0</v>
      </c>
      <c r="M309" t="n">
        <v>0</v>
      </c>
      <c r="N309" t="n">
        <v>0</v>
      </c>
      <c r="O309" t="n">
        <v>0</v>
      </c>
      <c r="P309" t="n">
        <v>0</v>
      </c>
      <c r="Q309" t="n">
        <v>1</v>
      </c>
      <c r="R309" s="2" t="inlineStr">
        <is>
          <t>Stekelbock</t>
        </is>
      </c>
      <c r="S309">
        <f>HYPERLINK("https://klasma.github.io/Logging_1907/artfynd/A 39099-2022 artfynd.xlsx", "A 39099-2022")</f>
        <v/>
      </c>
      <c r="T309">
        <f>HYPERLINK("https://klasma.github.io/Logging_1907/kartor/A 39099-2022 karta.png", "A 39099-2022")</f>
        <v/>
      </c>
      <c r="V309">
        <f>HYPERLINK("https://klasma.github.io/Logging_1907/klagomål/A 39099-2022 FSC-klagomål.docx", "A 39099-2022")</f>
        <v/>
      </c>
      <c r="W309">
        <f>HYPERLINK("https://klasma.github.io/Logging_1907/klagomålsmail/A 39099-2022 FSC-klagomål mail.docx", "A 39099-2022")</f>
        <v/>
      </c>
      <c r="X309">
        <f>HYPERLINK("https://klasma.github.io/Logging_1907/tillsyn/A 39099-2022 tillsynsbegäran.docx", "A 39099-2022")</f>
        <v/>
      </c>
      <c r="Y309">
        <f>HYPERLINK("https://klasma.github.io/Logging_1907/tillsynsmail/A 39099-2022 tillsynsbegäran mail.docx", "A 39099-2022")</f>
        <v/>
      </c>
    </row>
    <row r="310" ht="15" customHeight="1">
      <c r="A310" t="inlineStr">
        <is>
          <t>A 41745-2022</t>
        </is>
      </c>
      <c r="B310" s="1" t="n">
        <v>44827</v>
      </c>
      <c r="C310" s="1" t="n">
        <v>45724</v>
      </c>
      <c r="D310" t="inlineStr">
        <is>
          <t>VÄSTMANLANDS LÄN</t>
        </is>
      </c>
      <c r="E310" t="inlineStr">
        <is>
          <t>NORBERG</t>
        </is>
      </c>
      <c r="G310" t="n">
        <v>12.7</v>
      </c>
      <c r="H310" t="n">
        <v>1</v>
      </c>
      <c r="I310" t="n">
        <v>0</v>
      </c>
      <c r="J310" t="n">
        <v>1</v>
      </c>
      <c r="K310" t="n">
        <v>0</v>
      </c>
      <c r="L310" t="n">
        <v>0</v>
      </c>
      <c r="M310" t="n">
        <v>0</v>
      </c>
      <c r="N310" t="n">
        <v>0</v>
      </c>
      <c r="O310" t="n">
        <v>1</v>
      </c>
      <c r="P310" t="n">
        <v>0</v>
      </c>
      <c r="Q310" t="n">
        <v>1</v>
      </c>
      <c r="R310" s="2" t="inlineStr">
        <is>
          <t>Järpe</t>
        </is>
      </c>
      <c r="S310">
        <f>HYPERLINK("https://klasma.github.io/Logging_1962/artfynd/A 41745-2022 artfynd.xlsx", "A 41745-2022")</f>
        <v/>
      </c>
      <c r="T310">
        <f>HYPERLINK("https://klasma.github.io/Logging_1962/kartor/A 41745-2022 karta.png", "A 41745-2022")</f>
        <v/>
      </c>
      <c r="V310">
        <f>HYPERLINK("https://klasma.github.io/Logging_1962/klagomål/A 41745-2022 FSC-klagomål.docx", "A 41745-2022")</f>
        <v/>
      </c>
      <c r="W310">
        <f>HYPERLINK("https://klasma.github.io/Logging_1962/klagomålsmail/A 41745-2022 FSC-klagomål mail.docx", "A 41745-2022")</f>
        <v/>
      </c>
      <c r="X310">
        <f>HYPERLINK("https://klasma.github.io/Logging_1962/tillsyn/A 41745-2022 tillsynsbegäran.docx", "A 41745-2022")</f>
        <v/>
      </c>
      <c r="Y310">
        <f>HYPERLINK("https://klasma.github.io/Logging_1962/tillsynsmail/A 41745-2022 tillsynsbegäran mail.docx", "A 41745-2022")</f>
        <v/>
      </c>
      <c r="Z310">
        <f>HYPERLINK("https://klasma.github.io/Logging_1962/fåglar/A 41745-2022 prioriterade fågelarter.docx", "A 41745-2022")</f>
        <v/>
      </c>
    </row>
    <row r="311" ht="15" customHeight="1">
      <c r="A311" t="inlineStr">
        <is>
          <t>A 42765-2022</t>
        </is>
      </c>
      <c r="B311" s="1" t="n">
        <v>44832</v>
      </c>
      <c r="C311" s="1" t="n">
        <v>45724</v>
      </c>
      <c r="D311" t="inlineStr">
        <is>
          <t>VÄSTMANLANDS LÄN</t>
        </is>
      </c>
      <c r="E311" t="inlineStr">
        <is>
          <t>SURAHAMMAR</t>
        </is>
      </c>
      <c r="G311" t="n">
        <v>1.8</v>
      </c>
      <c r="H311" t="n">
        <v>1</v>
      </c>
      <c r="I311" t="n">
        <v>0</v>
      </c>
      <c r="J311" t="n">
        <v>0</v>
      </c>
      <c r="K311" t="n">
        <v>0</v>
      </c>
      <c r="L311" t="n">
        <v>0</v>
      </c>
      <c r="M311" t="n">
        <v>0</v>
      </c>
      <c r="N311" t="n">
        <v>0</v>
      </c>
      <c r="O311" t="n">
        <v>0</v>
      </c>
      <c r="P311" t="n">
        <v>0</v>
      </c>
      <c r="Q311" t="n">
        <v>1</v>
      </c>
      <c r="R311" s="2" t="inlineStr">
        <is>
          <t>Blåsippa</t>
        </is>
      </c>
      <c r="S311">
        <f>HYPERLINK("https://klasma.github.io/Logging_1907/artfynd/A 42765-2022 artfynd.xlsx", "A 42765-2022")</f>
        <v/>
      </c>
      <c r="T311">
        <f>HYPERLINK("https://klasma.github.io/Logging_1907/kartor/A 42765-2022 karta.png", "A 42765-2022")</f>
        <v/>
      </c>
      <c r="V311">
        <f>HYPERLINK("https://klasma.github.io/Logging_1907/klagomål/A 42765-2022 FSC-klagomål.docx", "A 42765-2022")</f>
        <v/>
      </c>
      <c r="W311">
        <f>HYPERLINK("https://klasma.github.io/Logging_1907/klagomålsmail/A 42765-2022 FSC-klagomål mail.docx", "A 42765-2022")</f>
        <v/>
      </c>
      <c r="X311">
        <f>HYPERLINK("https://klasma.github.io/Logging_1907/tillsyn/A 42765-2022 tillsynsbegäran.docx", "A 42765-2022")</f>
        <v/>
      </c>
      <c r="Y311">
        <f>HYPERLINK("https://klasma.github.io/Logging_1907/tillsynsmail/A 42765-2022 tillsynsbegäran mail.docx", "A 42765-2022")</f>
        <v/>
      </c>
    </row>
    <row r="312" ht="15" customHeight="1">
      <c r="A312" t="inlineStr">
        <is>
          <t>A 43705-2022</t>
        </is>
      </c>
      <c r="B312" s="1" t="n">
        <v>44837</v>
      </c>
      <c r="C312" s="1" t="n">
        <v>45724</v>
      </c>
      <c r="D312" t="inlineStr">
        <is>
          <t>VÄSTMANLANDS LÄN</t>
        </is>
      </c>
      <c r="E312" t="inlineStr">
        <is>
          <t>SALA</t>
        </is>
      </c>
      <c r="G312" t="n">
        <v>2.9</v>
      </c>
      <c r="H312" t="n">
        <v>1</v>
      </c>
      <c r="I312" t="n">
        <v>0</v>
      </c>
      <c r="J312" t="n">
        <v>0</v>
      </c>
      <c r="K312" t="n">
        <v>1</v>
      </c>
      <c r="L312" t="n">
        <v>0</v>
      </c>
      <c r="M312" t="n">
        <v>0</v>
      </c>
      <c r="N312" t="n">
        <v>0</v>
      </c>
      <c r="O312" t="n">
        <v>1</v>
      </c>
      <c r="P312" t="n">
        <v>1</v>
      </c>
      <c r="Q312" t="n">
        <v>1</v>
      </c>
      <c r="R312" s="2" t="inlineStr">
        <is>
          <t>Knärot</t>
        </is>
      </c>
      <c r="S312">
        <f>HYPERLINK("https://klasma.github.io/Logging_1981/artfynd/A 43705-2022 artfynd.xlsx", "A 43705-2022")</f>
        <v/>
      </c>
      <c r="T312">
        <f>HYPERLINK("https://klasma.github.io/Logging_1981/kartor/A 43705-2022 karta.png", "A 43705-2022")</f>
        <v/>
      </c>
      <c r="U312">
        <f>HYPERLINK("https://klasma.github.io/Logging_1981/knärot/A 43705-2022 karta knärot.png", "A 43705-2022")</f>
        <v/>
      </c>
      <c r="V312">
        <f>HYPERLINK("https://klasma.github.io/Logging_1981/klagomål/A 43705-2022 FSC-klagomål.docx", "A 43705-2022")</f>
        <v/>
      </c>
      <c r="W312">
        <f>HYPERLINK("https://klasma.github.io/Logging_1981/klagomålsmail/A 43705-2022 FSC-klagomål mail.docx", "A 43705-2022")</f>
        <v/>
      </c>
      <c r="X312">
        <f>HYPERLINK("https://klasma.github.io/Logging_1981/tillsyn/A 43705-2022 tillsynsbegäran.docx", "A 43705-2022")</f>
        <v/>
      </c>
      <c r="Y312">
        <f>HYPERLINK("https://klasma.github.io/Logging_1981/tillsynsmail/A 43705-2022 tillsynsbegäran mail.docx", "A 43705-2022")</f>
        <v/>
      </c>
    </row>
    <row r="313" ht="15" customHeight="1">
      <c r="A313" t="inlineStr">
        <is>
          <t>A 46098-2022</t>
        </is>
      </c>
      <c r="B313" s="1" t="n">
        <v>44847</v>
      </c>
      <c r="C313" s="1" t="n">
        <v>45724</v>
      </c>
      <c r="D313" t="inlineStr">
        <is>
          <t>VÄSTMANLANDS LÄN</t>
        </is>
      </c>
      <c r="E313" t="inlineStr">
        <is>
          <t>VÄSTERÅS</t>
        </is>
      </c>
      <c r="G313" t="n">
        <v>5.5</v>
      </c>
      <c r="H313" t="n">
        <v>0</v>
      </c>
      <c r="I313" t="n">
        <v>0</v>
      </c>
      <c r="J313" t="n">
        <v>1</v>
      </c>
      <c r="K313" t="n">
        <v>0</v>
      </c>
      <c r="L313" t="n">
        <v>0</v>
      </c>
      <c r="M313" t="n">
        <v>0</v>
      </c>
      <c r="N313" t="n">
        <v>0</v>
      </c>
      <c r="O313" t="n">
        <v>1</v>
      </c>
      <c r="P313" t="n">
        <v>0</v>
      </c>
      <c r="Q313" t="n">
        <v>1</v>
      </c>
      <c r="R313" s="2" t="inlineStr">
        <is>
          <t>Flattoppad klubbsvamp</t>
        </is>
      </c>
      <c r="S313">
        <f>HYPERLINK("https://klasma.github.io/Logging_1980/artfynd/A 46098-2022 artfynd.xlsx", "A 46098-2022")</f>
        <v/>
      </c>
      <c r="T313">
        <f>HYPERLINK("https://klasma.github.io/Logging_1980/kartor/A 46098-2022 karta.png", "A 46098-2022")</f>
        <v/>
      </c>
      <c r="V313">
        <f>HYPERLINK("https://klasma.github.io/Logging_1980/klagomål/A 46098-2022 FSC-klagomål.docx", "A 46098-2022")</f>
        <v/>
      </c>
      <c r="W313">
        <f>HYPERLINK("https://klasma.github.io/Logging_1980/klagomålsmail/A 46098-2022 FSC-klagomål mail.docx", "A 46098-2022")</f>
        <v/>
      </c>
      <c r="X313">
        <f>HYPERLINK("https://klasma.github.io/Logging_1980/tillsyn/A 46098-2022 tillsynsbegäran.docx", "A 46098-2022")</f>
        <v/>
      </c>
      <c r="Y313">
        <f>HYPERLINK("https://klasma.github.io/Logging_1980/tillsynsmail/A 46098-2022 tillsynsbegäran mail.docx", "A 46098-2022")</f>
        <v/>
      </c>
    </row>
    <row r="314" ht="15" customHeight="1">
      <c r="A314" t="inlineStr">
        <is>
          <t>A 47207-2022</t>
        </is>
      </c>
      <c r="B314" s="1" t="n">
        <v>44852</v>
      </c>
      <c r="C314" s="1" t="n">
        <v>45724</v>
      </c>
      <c r="D314" t="inlineStr">
        <is>
          <t>VÄSTMANLANDS LÄN</t>
        </is>
      </c>
      <c r="E314" t="inlineStr">
        <is>
          <t>SURAHAMMAR</t>
        </is>
      </c>
      <c r="G314" t="n">
        <v>3.2</v>
      </c>
      <c r="H314" t="n">
        <v>0</v>
      </c>
      <c r="I314" t="n">
        <v>0</v>
      </c>
      <c r="J314" t="n">
        <v>1</v>
      </c>
      <c r="K314" t="n">
        <v>0</v>
      </c>
      <c r="L314" t="n">
        <v>0</v>
      </c>
      <c r="M314" t="n">
        <v>0</v>
      </c>
      <c r="N314" t="n">
        <v>0</v>
      </c>
      <c r="O314" t="n">
        <v>1</v>
      </c>
      <c r="P314" t="n">
        <v>0</v>
      </c>
      <c r="Q314" t="n">
        <v>1</v>
      </c>
      <c r="R314" s="2" t="inlineStr">
        <is>
          <t>Veckticka</t>
        </is>
      </c>
      <c r="S314">
        <f>HYPERLINK("https://klasma.github.io/Logging_1907/artfynd/A 47207-2022 artfynd.xlsx", "A 47207-2022")</f>
        <v/>
      </c>
      <c r="T314">
        <f>HYPERLINK("https://klasma.github.io/Logging_1907/kartor/A 47207-2022 karta.png", "A 47207-2022")</f>
        <v/>
      </c>
      <c r="V314">
        <f>HYPERLINK("https://klasma.github.io/Logging_1907/klagomål/A 47207-2022 FSC-klagomål.docx", "A 47207-2022")</f>
        <v/>
      </c>
      <c r="W314">
        <f>HYPERLINK("https://klasma.github.io/Logging_1907/klagomålsmail/A 47207-2022 FSC-klagomål mail.docx", "A 47207-2022")</f>
        <v/>
      </c>
      <c r="X314">
        <f>HYPERLINK("https://klasma.github.io/Logging_1907/tillsyn/A 47207-2022 tillsynsbegäran.docx", "A 47207-2022")</f>
        <v/>
      </c>
      <c r="Y314">
        <f>HYPERLINK("https://klasma.github.io/Logging_1907/tillsynsmail/A 47207-2022 tillsynsbegäran mail.docx", "A 47207-2022")</f>
        <v/>
      </c>
    </row>
    <row r="315" ht="15" customHeight="1">
      <c r="A315" t="inlineStr">
        <is>
          <t>A 48234-2022</t>
        </is>
      </c>
      <c r="B315" s="1" t="n">
        <v>44858</v>
      </c>
      <c r="C315" s="1" t="n">
        <v>45724</v>
      </c>
      <c r="D315" t="inlineStr">
        <is>
          <t>VÄSTMANLANDS LÄN</t>
        </is>
      </c>
      <c r="E315" t="inlineStr">
        <is>
          <t>ARBOGA</t>
        </is>
      </c>
      <c r="F315" t="inlineStr">
        <is>
          <t>Sveaskog</t>
        </is>
      </c>
      <c r="G315" t="n">
        <v>21.4</v>
      </c>
      <c r="H315" t="n">
        <v>0</v>
      </c>
      <c r="I315" t="n">
        <v>1</v>
      </c>
      <c r="J315" t="n">
        <v>0</v>
      </c>
      <c r="K315" t="n">
        <v>0</v>
      </c>
      <c r="L315" t="n">
        <v>0</v>
      </c>
      <c r="M315" t="n">
        <v>0</v>
      </c>
      <c r="N315" t="n">
        <v>0</v>
      </c>
      <c r="O315" t="n">
        <v>0</v>
      </c>
      <c r="P315" t="n">
        <v>0</v>
      </c>
      <c r="Q315" t="n">
        <v>1</v>
      </c>
      <c r="R315" s="2" t="inlineStr">
        <is>
          <t>Tibast</t>
        </is>
      </c>
      <c r="S315">
        <f>HYPERLINK("https://klasma.github.io/Logging_1984/artfynd/A 48234-2022 artfynd.xlsx", "A 48234-2022")</f>
        <v/>
      </c>
      <c r="T315">
        <f>HYPERLINK("https://klasma.github.io/Logging_1984/kartor/A 48234-2022 karta.png", "A 48234-2022")</f>
        <v/>
      </c>
      <c r="V315">
        <f>HYPERLINK("https://klasma.github.io/Logging_1984/klagomål/A 48234-2022 FSC-klagomål.docx", "A 48234-2022")</f>
        <v/>
      </c>
      <c r="W315">
        <f>HYPERLINK("https://klasma.github.io/Logging_1984/klagomålsmail/A 48234-2022 FSC-klagomål mail.docx", "A 48234-2022")</f>
        <v/>
      </c>
      <c r="X315">
        <f>HYPERLINK("https://klasma.github.io/Logging_1984/tillsyn/A 48234-2022 tillsynsbegäran.docx", "A 48234-2022")</f>
        <v/>
      </c>
      <c r="Y315">
        <f>HYPERLINK("https://klasma.github.io/Logging_1984/tillsynsmail/A 48234-2022 tillsynsbegäran mail.docx", "A 48234-2022")</f>
        <v/>
      </c>
    </row>
    <row r="316" ht="15" customHeight="1">
      <c r="A316" t="inlineStr">
        <is>
          <t>A 48269-2022</t>
        </is>
      </c>
      <c r="B316" s="1" t="n">
        <v>44858</v>
      </c>
      <c r="C316" s="1" t="n">
        <v>45724</v>
      </c>
      <c r="D316" t="inlineStr">
        <is>
          <t>VÄSTMANLANDS LÄN</t>
        </is>
      </c>
      <c r="E316" t="inlineStr">
        <is>
          <t>KÖPING</t>
        </is>
      </c>
      <c r="G316" t="n">
        <v>8.699999999999999</v>
      </c>
      <c r="H316" t="n">
        <v>0</v>
      </c>
      <c r="I316" t="n">
        <v>0</v>
      </c>
      <c r="J316" t="n">
        <v>1</v>
      </c>
      <c r="K316" t="n">
        <v>0</v>
      </c>
      <c r="L316" t="n">
        <v>0</v>
      </c>
      <c r="M316" t="n">
        <v>0</v>
      </c>
      <c r="N316" t="n">
        <v>0</v>
      </c>
      <c r="O316" t="n">
        <v>1</v>
      </c>
      <c r="P316" t="n">
        <v>0</v>
      </c>
      <c r="Q316" t="n">
        <v>1</v>
      </c>
      <c r="R316" s="2" t="inlineStr">
        <is>
          <t>Motaggsvamp</t>
        </is>
      </c>
      <c r="S316">
        <f>HYPERLINK("https://klasma.github.io/Logging_1983/artfynd/A 48269-2022 artfynd.xlsx", "A 48269-2022")</f>
        <v/>
      </c>
      <c r="T316">
        <f>HYPERLINK("https://klasma.github.io/Logging_1983/kartor/A 48269-2022 karta.png", "A 48269-2022")</f>
        <v/>
      </c>
      <c r="V316">
        <f>HYPERLINK("https://klasma.github.io/Logging_1983/klagomål/A 48269-2022 FSC-klagomål.docx", "A 48269-2022")</f>
        <v/>
      </c>
      <c r="W316">
        <f>HYPERLINK("https://klasma.github.io/Logging_1983/klagomålsmail/A 48269-2022 FSC-klagomål mail.docx", "A 48269-2022")</f>
        <v/>
      </c>
      <c r="X316">
        <f>HYPERLINK("https://klasma.github.io/Logging_1983/tillsyn/A 48269-2022 tillsynsbegäran.docx", "A 48269-2022")</f>
        <v/>
      </c>
      <c r="Y316">
        <f>HYPERLINK("https://klasma.github.io/Logging_1983/tillsynsmail/A 48269-2022 tillsynsbegäran mail.docx", "A 48269-2022")</f>
        <v/>
      </c>
    </row>
    <row r="317" ht="15" customHeight="1">
      <c r="A317" t="inlineStr">
        <is>
          <t>A 52304-2022</t>
        </is>
      </c>
      <c r="B317" s="1" t="n">
        <v>44869</v>
      </c>
      <c r="C317" s="1" t="n">
        <v>45724</v>
      </c>
      <c r="D317" t="inlineStr">
        <is>
          <t>VÄSTMANLANDS LÄN</t>
        </is>
      </c>
      <c r="E317" t="inlineStr">
        <is>
          <t>NORBERG</t>
        </is>
      </c>
      <c r="G317" t="n">
        <v>14.5</v>
      </c>
      <c r="H317" t="n">
        <v>0</v>
      </c>
      <c r="I317" t="n">
        <v>1</v>
      </c>
      <c r="J317" t="n">
        <v>0</v>
      </c>
      <c r="K317" t="n">
        <v>0</v>
      </c>
      <c r="L317" t="n">
        <v>0</v>
      </c>
      <c r="M317" t="n">
        <v>0</v>
      </c>
      <c r="N317" t="n">
        <v>0</v>
      </c>
      <c r="O317" t="n">
        <v>0</v>
      </c>
      <c r="P317" t="n">
        <v>0</v>
      </c>
      <c r="Q317" t="n">
        <v>1</v>
      </c>
      <c r="R317" s="2" t="inlineStr">
        <is>
          <t>Skarp dropptaggsvamp</t>
        </is>
      </c>
      <c r="S317">
        <f>HYPERLINK("https://klasma.github.io/Logging_1962/artfynd/A 52304-2022 artfynd.xlsx", "A 52304-2022")</f>
        <v/>
      </c>
      <c r="T317">
        <f>HYPERLINK("https://klasma.github.io/Logging_1962/kartor/A 52304-2022 karta.png", "A 52304-2022")</f>
        <v/>
      </c>
      <c r="V317">
        <f>HYPERLINK("https://klasma.github.io/Logging_1962/klagomål/A 52304-2022 FSC-klagomål.docx", "A 52304-2022")</f>
        <v/>
      </c>
      <c r="W317">
        <f>HYPERLINK("https://klasma.github.io/Logging_1962/klagomålsmail/A 52304-2022 FSC-klagomål mail.docx", "A 52304-2022")</f>
        <v/>
      </c>
      <c r="X317">
        <f>HYPERLINK("https://klasma.github.io/Logging_1962/tillsyn/A 52304-2022 tillsynsbegäran.docx", "A 52304-2022")</f>
        <v/>
      </c>
      <c r="Y317">
        <f>HYPERLINK("https://klasma.github.io/Logging_1962/tillsynsmail/A 52304-2022 tillsynsbegäran mail.docx", "A 52304-2022")</f>
        <v/>
      </c>
    </row>
    <row r="318" ht="15" customHeight="1">
      <c r="A318" t="inlineStr">
        <is>
          <t>A 53870-2022</t>
        </is>
      </c>
      <c r="B318" s="1" t="n">
        <v>44880</v>
      </c>
      <c r="C318" s="1" t="n">
        <v>45724</v>
      </c>
      <c r="D318" t="inlineStr">
        <is>
          <t>VÄSTMANLANDS LÄN</t>
        </is>
      </c>
      <c r="E318" t="inlineStr">
        <is>
          <t>KUNGSÖR</t>
        </is>
      </c>
      <c r="F318" t="inlineStr">
        <is>
          <t>Allmännings- och besparingsskogar</t>
        </is>
      </c>
      <c r="G318" t="n">
        <v>2.3</v>
      </c>
      <c r="H318" t="n">
        <v>1</v>
      </c>
      <c r="I318" t="n">
        <v>0</v>
      </c>
      <c r="J318" t="n">
        <v>0</v>
      </c>
      <c r="K318" t="n">
        <v>0</v>
      </c>
      <c r="L318" t="n">
        <v>0</v>
      </c>
      <c r="M318" t="n">
        <v>0</v>
      </c>
      <c r="N318" t="n">
        <v>0</v>
      </c>
      <c r="O318" t="n">
        <v>0</v>
      </c>
      <c r="P318" t="n">
        <v>0</v>
      </c>
      <c r="Q318" t="n">
        <v>1</v>
      </c>
      <c r="R318" s="2" t="inlineStr">
        <is>
          <t>Blåsippa</t>
        </is>
      </c>
      <c r="S318">
        <f>HYPERLINK("https://klasma.github.io/Logging_1960/artfynd/A 53870-2022 artfynd.xlsx", "A 53870-2022")</f>
        <v/>
      </c>
      <c r="T318">
        <f>HYPERLINK("https://klasma.github.io/Logging_1960/kartor/A 53870-2022 karta.png", "A 53870-2022")</f>
        <v/>
      </c>
      <c r="V318">
        <f>HYPERLINK("https://klasma.github.io/Logging_1960/klagomål/A 53870-2022 FSC-klagomål.docx", "A 53870-2022")</f>
        <v/>
      </c>
      <c r="W318">
        <f>HYPERLINK("https://klasma.github.io/Logging_1960/klagomålsmail/A 53870-2022 FSC-klagomål mail.docx", "A 53870-2022")</f>
        <v/>
      </c>
      <c r="X318">
        <f>HYPERLINK("https://klasma.github.io/Logging_1960/tillsyn/A 53870-2022 tillsynsbegäran.docx", "A 53870-2022")</f>
        <v/>
      </c>
      <c r="Y318">
        <f>HYPERLINK("https://klasma.github.io/Logging_1960/tillsynsmail/A 53870-2022 tillsynsbegäran mail.docx", "A 53870-2022")</f>
        <v/>
      </c>
    </row>
    <row r="319" ht="15" customHeight="1">
      <c r="A319" t="inlineStr">
        <is>
          <t>A 56704-2022</t>
        </is>
      </c>
      <c r="B319" s="1" t="n">
        <v>44893</v>
      </c>
      <c r="C319" s="1" t="n">
        <v>45724</v>
      </c>
      <c r="D319" t="inlineStr">
        <is>
          <t>VÄSTMANLANDS LÄN</t>
        </is>
      </c>
      <c r="E319" t="inlineStr">
        <is>
          <t>SALA</t>
        </is>
      </c>
      <c r="G319" t="n">
        <v>3.2</v>
      </c>
      <c r="H319" t="n">
        <v>1</v>
      </c>
      <c r="I319" t="n">
        <v>0</v>
      </c>
      <c r="J319" t="n">
        <v>0</v>
      </c>
      <c r="K319" t="n">
        <v>1</v>
      </c>
      <c r="L319" t="n">
        <v>0</v>
      </c>
      <c r="M319" t="n">
        <v>0</v>
      </c>
      <c r="N319" t="n">
        <v>0</v>
      </c>
      <c r="O319" t="n">
        <v>1</v>
      </c>
      <c r="P319" t="n">
        <v>1</v>
      </c>
      <c r="Q319" t="n">
        <v>1</v>
      </c>
      <c r="R319" s="2" t="inlineStr">
        <is>
          <t>Knärot</t>
        </is>
      </c>
      <c r="S319">
        <f>HYPERLINK("https://klasma.github.io/Logging_1981/artfynd/A 56704-2022 artfynd.xlsx", "A 56704-2022")</f>
        <v/>
      </c>
      <c r="T319">
        <f>HYPERLINK("https://klasma.github.io/Logging_1981/kartor/A 56704-2022 karta.png", "A 56704-2022")</f>
        <v/>
      </c>
      <c r="U319">
        <f>HYPERLINK("https://klasma.github.io/Logging_1981/knärot/A 56704-2022 karta knärot.png", "A 56704-2022")</f>
        <v/>
      </c>
      <c r="V319">
        <f>HYPERLINK("https://klasma.github.io/Logging_1981/klagomål/A 56704-2022 FSC-klagomål.docx", "A 56704-2022")</f>
        <v/>
      </c>
      <c r="W319">
        <f>HYPERLINK("https://klasma.github.io/Logging_1981/klagomålsmail/A 56704-2022 FSC-klagomål mail.docx", "A 56704-2022")</f>
        <v/>
      </c>
      <c r="X319">
        <f>HYPERLINK("https://klasma.github.io/Logging_1981/tillsyn/A 56704-2022 tillsynsbegäran.docx", "A 56704-2022")</f>
        <v/>
      </c>
      <c r="Y319">
        <f>HYPERLINK("https://klasma.github.io/Logging_1981/tillsynsmail/A 56704-2022 tillsynsbegäran mail.docx", "A 56704-2022")</f>
        <v/>
      </c>
    </row>
    <row r="320" ht="15" customHeight="1">
      <c r="A320" t="inlineStr">
        <is>
          <t>A 56823-2022</t>
        </is>
      </c>
      <c r="B320" s="1" t="n">
        <v>44894</v>
      </c>
      <c r="C320" s="1" t="n">
        <v>45724</v>
      </c>
      <c r="D320" t="inlineStr">
        <is>
          <t>VÄSTMANLANDS LÄN</t>
        </is>
      </c>
      <c r="E320" t="inlineStr">
        <is>
          <t>KÖPING</t>
        </is>
      </c>
      <c r="G320" t="n">
        <v>1.7</v>
      </c>
      <c r="H320" t="n">
        <v>1</v>
      </c>
      <c r="I320" t="n">
        <v>0</v>
      </c>
      <c r="J320" t="n">
        <v>1</v>
      </c>
      <c r="K320" t="n">
        <v>0</v>
      </c>
      <c r="L320" t="n">
        <v>0</v>
      </c>
      <c r="M320" t="n">
        <v>0</v>
      </c>
      <c r="N320" t="n">
        <v>0</v>
      </c>
      <c r="O320" t="n">
        <v>1</v>
      </c>
      <c r="P320" t="n">
        <v>0</v>
      </c>
      <c r="Q320" t="n">
        <v>1</v>
      </c>
      <c r="R320" s="2" t="inlineStr">
        <is>
          <t>Talltita</t>
        </is>
      </c>
      <c r="S320">
        <f>HYPERLINK("https://klasma.github.io/Logging_1983/artfynd/A 56823-2022 artfynd.xlsx", "A 56823-2022")</f>
        <v/>
      </c>
      <c r="T320">
        <f>HYPERLINK("https://klasma.github.io/Logging_1983/kartor/A 56823-2022 karta.png", "A 56823-2022")</f>
        <v/>
      </c>
      <c r="V320">
        <f>HYPERLINK("https://klasma.github.io/Logging_1983/klagomål/A 56823-2022 FSC-klagomål.docx", "A 56823-2022")</f>
        <v/>
      </c>
      <c r="W320">
        <f>HYPERLINK("https://klasma.github.io/Logging_1983/klagomålsmail/A 56823-2022 FSC-klagomål mail.docx", "A 56823-2022")</f>
        <v/>
      </c>
      <c r="X320">
        <f>HYPERLINK("https://klasma.github.io/Logging_1983/tillsyn/A 56823-2022 tillsynsbegäran.docx", "A 56823-2022")</f>
        <v/>
      </c>
      <c r="Y320">
        <f>HYPERLINK("https://klasma.github.io/Logging_1983/tillsynsmail/A 56823-2022 tillsynsbegäran mail.docx", "A 56823-2022")</f>
        <v/>
      </c>
      <c r="Z320">
        <f>HYPERLINK("https://klasma.github.io/Logging_1983/fåglar/A 56823-2022 prioriterade fågelarter.docx", "A 56823-2022")</f>
        <v/>
      </c>
    </row>
    <row r="321" ht="15" customHeight="1">
      <c r="A321" t="inlineStr">
        <is>
          <t>A 56915-2022</t>
        </is>
      </c>
      <c r="B321" s="1" t="n">
        <v>44894</v>
      </c>
      <c r="C321" s="1" t="n">
        <v>45724</v>
      </c>
      <c r="D321" t="inlineStr">
        <is>
          <t>VÄSTMANLANDS LÄN</t>
        </is>
      </c>
      <c r="E321" t="inlineStr">
        <is>
          <t>SKINNSKATTEBERG</t>
        </is>
      </c>
      <c r="F321" t="inlineStr">
        <is>
          <t>Sveaskog</t>
        </is>
      </c>
      <c r="G321" t="n">
        <v>7.7</v>
      </c>
      <c r="H321" t="n">
        <v>0</v>
      </c>
      <c r="I321" t="n">
        <v>0</v>
      </c>
      <c r="J321" t="n">
        <v>0</v>
      </c>
      <c r="K321" t="n">
        <v>0</v>
      </c>
      <c r="L321" t="n">
        <v>1</v>
      </c>
      <c r="M321" t="n">
        <v>0</v>
      </c>
      <c r="N321" t="n">
        <v>0</v>
      </c>
      <c r="O321" t="n">
        <v>1</v>
      </c>
      <c r="P321" t="n">
        <v>1</v>
      </c>
      <c r="Q321" t="n">
        <v>1</v>
      </c>
      <c r="R321" s="2" t="inlineStr">
        <is>
          <t>Ask</t>
        </is>
      </c>
      <c r="S321">
        <f>HYPERLINK("https://klasma.github.io/Logging_1904/artfynd/A 56915-2022 artfynd.xlsx", "A 56915-2022")</f>
        <v/>
      </c>
      <c r="T321">
        <f>HYPERLINK("https://klasma.github.io/Logging_1904/kartor/A 56915-2022 karta.png", "A 56915-2022")</f>
        <v/>
      </c>
      <c r="V321">
        <f>HYPERLINK("https://klasma.github.io/Logging_1904/klagomål/A 56915-2022 FSC-klagomål.docx", "A 56915-2022")</f>
        <v/>
      </c>
      <c r="W321">
        <f>HYPERLINK("https://klasma.github.io/Logging_1904/klagomålsmail/A 56915-2022 FSC-klagomål mail.docx", "A 56915-2022")</f>
        <v/>
      </c>
      <c r="X321">
        <f>HYPERLINK("https://klasma.github.io/Logging_1904/tillsyn/A 56915-2022 tillsynsbegäran.docx", "A 56915-2022")</f>
        <v/>
      </c>
      <c r="Y321">
        <f>HYPERLINK("https://klasma.github.io/Logging_1904/tillsynsmail/A 56915-2022 tillsynsbegäran mail.docx", "A 56915-2022")</f>
        <v/>
      </c>
    </row>
    <row r="322" ht="15" customHeight="1">
      <c r="A322" t="inlineStr">
        <is>
          <t>A 61212-2022</t>
        </is>
      </c>
      <c r="B322" s="1" t="n">
        <v>44908</v>
      </c>
      <c r="C322" s="1" t="n">
        <v>45724</v>
      </c>
      <c r="D322" t="inlineStr">
        <is>
          <t>VÄSTMANLANDS LÄN</t>
        </is>
      </c>
      <c r="E322" t="inlineStr">
        <is>
          <t>SKINNSKATTEBERG</t>
        </is>
      </c>
      <c r="G322" t="n">
        <v>17.4</v>
      </c>
      <c r="H322" t="n">
        <v>1</v>
      </c>
      <c r="I322" t="n">
        <v>0</v>
      </c>
      <c r="J322" t="n">
        <v>0</v>
      </c>
      <c r="K322" t="n">
        <v>0</v>
      </c>
      <c r="L322" t="n">
        <v>0</v>
      </c>
      <c r="M322" t="n">
        <v>0</v>
      </c>
      <c r="N322" t="n">
        <v>0</v>
      </c>
      <c r="O322" t="n">
        <v>0</v>
      </c>
      <c r="P322" t="n">
        <v>0</v>
      </c>
      <c r="Q322" t="n">
        <v>1</v>
      </c>
      <c r="R322" s="2" t="inlineStr">
        <is>
          <t>Blåsippa</t>
        </is>
      </c>
      <c r="S322">
        <f>HYPERLINK("https://klasma.github.io/Logging_1904/artfynd/A 61212-2022 artfynd.xlsx", "A 61212-2022")</f>
        <v/>
      </c>
      <c r="T322">
        <f>HYPERLINK("https://klasma.github.io/Logging_1904/kartor/A 61212-2022 karta.png", "A 61212-2022")</f>
        <v/>
      </c>
      <c r="V322">
        <f>HYPERLINK("https://klasma.github.io/Logging_1904/klagomål/A 61212-2022 FSC-klagomål.docx", "A 61212-2022")</f>
        <v/>
      </c>
      <c r="W322">
        <f>HYPERLINK("https://klasma.github.io/Logging_1904/klagomålsmail/A 61212-2022 FSC-klagomål mail.docx", "A 61212-2022")</f>
        <v/>
      </c>
      <c r="X322">
        <f>HYPERLINK("https://klasma.github.io/Logging_1904/tillsyn/A 61212-2022 tillsynsbegäran.docx", "A 61212-2022")</f>
        <v/>
      </c>
      <c r="Y322">
        <f>HYPERLINK("https://klasma.github.io/Logging_1904/tillsynsmail/A 61212-2022 tillsynsbegäran mail.docx", "A 61212-2022")</f>
        <v/>
      </c>
    </row>
    <row r="323" ht="15" customHeight="1">
      <c r="A323" t="inlineStr">
        <is>
          <t>A 61435-2022</t>
        </is>
      </c>
      <c r="B323" s="1" t="n">
        <v>44916</v>
      </c>
      <c r="C323" s="1" t="n">
        <v>45724</v>
      </c>
      <c r="D323" t="inlineStr">
        <is>
          <t>VÄSTMANLANDS LÄN</t>
        </is>
      </c>
      <c r="E323" t="inlineStr">
        <is>
          <t>ARBOGA</t>
        </is>
      </c>
      <c r="G323" t="n">
        <v>5.7</v>
      </c>
      <c r="H323" t="n">
        <v>0</v>
      </c>
      <c r="I323" t="n">
        <v>0</v>
      </c>
      <c r="J323" t="n">
        <v>0</v>
      </c>
      <c r="K323" t="n">
        <v>0</v>
      </c>
      <c r="L323" t="n">
        <v>1</v>
      </c>
      <c r="M323" t="n">
        <v>0</v>
      </c>
      <c r="N323" t="n">
        <v>0</v>
      </c>
      <c r="O323" t="n">
        <v>1</v>
      </c>
      <c r="P323" t="n">
        <v>1</v>
      </c>
      <c r="Q323" t="n">
        <v>1</v>
      </c>
      <c r="R323" s="2" t="inlineStr">
        <is>
          <t>Ask</t>
        </is>
      </c>
      <c r="S323">
        <f>HYPERLINK("https://klasma.github.io/Logging_1984/artfynd/A 61435-2022 artfynd.xlsx", "A 61435-2022")</f>
        <v/>
      </c>
      <c r="T323">
        <f>HYPERLINK("https://klasma.github.io/Logging_1984/kartor/A 61435-2022 karta.png", "A 61435-2022")</f>
        <v/>
      </c>
      <c r="V323">
        <f>HYPERLINK("https://klasma.github.io/Logging_1984/klagomål/A 61435-2022 FSC-klagomål.docx", "A 61435-2022")</f>
        <v/>
      </c>
      <c r="W323">
        <f>HYPERLINK("https://klasma.github.io/Logging_1984/klagomålsmail/A 61435-2022 FSC-klagomål mail.docx", "A 61435-2022")</f>
        <v/>
      </c>
      <c r="X323">
        <f>HYPERLINK("https://klasma.github.io/Logging_1984/tillsyn/A 61435-2022 tillsynsbegäran.docx", "A 61435-2022")</f>
        <v/>
      </c>
      <c r="Y323">
        <f>HYPERLINK("https://klasma.github.io/Logging_1984/tillsynsmail/A 61435-2022 tillsynsbegäran mail.docx", "A 61435-2022")</f>
        <v/>
      </c>
    </row>
    <row r="324" ht="15" customHeight="1">
      <c r="A324" t="inlineStr">
        <is>
          <t>A 6182-2023</t>
        </is>
      </c>
      <c r="B324" s="1" t="n">
        <v>44964</v>
      </c>
      <c r="C324" s="1" t="n">
        <v>45724</v>
      </c>
      <c r="D324" t="inlineStr">
        <is>
          <t>VÄSTMANLANDS LÄN</t>
        </is>
      </c>
      <c r="E324" t="inlineStr">
        <is>
          <t>SKINNSKATTEBERG</t>
        </is>
      </c>
      <c r="F324" t="inlineStr">
        <is>
          <t>Sveaskog</t>
        </is>
      </c>
      <c r="G324" t="n">
        <v>6.4</v>
      </c>
      <c r="H324" t="n">
        <v>1</v>
      </c>
      <c r="I324" t="n">
        <v>0</v>
      </c>
      <c r="J324" t="n">
        <v>0</v>
      </c>
      <c r="K324" t="n">
        <v>0</v>
      </c>
      <c r="L324" t="n">
        <v>0</v>
      </c>
      <c r="M324" t="n">
        <v>0</v>
      </c>
      <c r="N324" t="n">
        <v>0</v>
      </c>
      <c r="O324" t="n">
        <v>0</v>
      </c>
      <c r="P324" t="n">
        <v>0</v>
      </c>
      <c r="Q324" t="n">
        <v>1</v>
      </c>
      <c r="R324" s="2" t="inlineStr">
        <is>
          <t>Blåsippa</t>
        </is>
      </c>
      <c r="S324">
        <f>HYPERLINK("https://klasma.github.io/Logging_1904/artfynd/A 6182-2023 artfynd.xlsx", "A 6182-2023")</f>
        <v/>
      </c>
      <c r="T324">
        <f>HYPERLINK("https://klasma.github.io/Logging_1904/kartor/A 6182-2023 karta.png", "A 6182-2023")</f>
        <v/>
      </c>
      <c r="V324">
        <f>HYPERLINK("https://klasma.github.io/Logging_1904/klagomål/A 6182-2023 FSC-klagomål.docx", "A 6182-2023")</f>
        <v/>
      </c>
      <c r="W324">
        <f>HYPERLINK("https://klasma.github.io/Logging_1904/klagomålsmail/A 6182-2023 FSC-klagomål mail.docx", "A 6182-2023")</f>
        <v/>
      </c>
      <c r="X324">
        <f>HYPERLINK("https://klasma.github.io/Logging_1904/tillsyn/A 6182-2023 tillsynsbegäran.docx", "A 6182-2023")</f>
        <v/>
      </c>
      <c r="Y324">
        <f>HYPERLINK("https://klasma.github.io/Logging_1904/tillsynsmail/A 6182-2023 tillsynsbegäran mail.docx", "A 6182-2023")</f>
        <v/>
      </c>
    </row>
    <row r="325" ht="15" customHeight="1">
      <c r="A325" t="inlineStr">
        <is>
          <t>A 7731-2023</t>
        </is>
      </c>
      <c r="B325" s="1" t="n">
        <v>44973</v>
      </c>
      <c r="C325" s="1" t="n">
        <v>45724</v>
      </c>
      <c r="D325" t="inlineStr">
        <is>
          <t>VÄSTMANLANDS LÄN</t>
        </is>
      </c>
      <c r="E325" t="inlineStr">
        <is>
          <t>SALA</t>
        </is>
      </c>
      <c r="F325" t="inlineStr">
        <is>
          <t>Bergvik skog öst AB</t>
        </is>
      </c>
      <c r="G325" t="n">
        <v>1.7</v>
      </c>
      <c r="H325" t="n">
        <v>1</v>
      </c>
      <c r="I325" t="n">
        <v>0</v>
      </c>
      <c r="J325" t="n">
        <v>1</v>
      </c>
      <c r="K325" t="n">
        <v>0</v>
      </c>
      <c r="L325" t="n">
        <v>0</v>
      </c>
      <c r="M325" t="n">
        <v>0</v>
      </c>
      <c r="N325" t="n">
        <v>0</v>
      </c>
      <c r="O325" t="n">
        <v>1</v>
      </c>
      <c r="P325" t="n">
        <v>0</v>
      </c>
      <c r="Q325" t="n">
        <v>1</v>
      </c>
      <c r="R325" s="2" t="inlineStr">
        <is>
          <t>Ävjepilört</t>
        </is>
      </c>
      <c r="S325">
        <f>HYPERLINK("https://klasma.github.io/Logging_1981/artfynd/A 7731-2023 artfynd.xlsx", "A 7731-2023")</f>
        <v/>
      </c>
      <c r="T325">
        <f>HYPERLINK("https://klasma.github.io/Logging_1981/kartor/A 7731-2023 karta.png", "A 7731-2023")</f>
        <v/>
      </c>
      <c r="V325">
        <f>HYPERLINK("https://klasma.github.io/Logging_1981/klagomål/A 7731-2023 FSC-klagomål.docx", "A 7731-2023")</f>
        <v/>
      </c>
      <c r="W325">
        <f>HYPERLINK("https://klasma.github.io/Logging_1981/klagomålsmail/A 7731-2023 FSC-klagomål mail.docx", "A 7731-2023")</f>
        <v/>
      </c>
      <c r="X325">
        <f>HYPERLINK("https://klasma.github.io/Logging_1981/tillsyn/A 7731-2023 tillsynsbegäran.docx", "A 7731-2023")</f>
        <v/>
      </c>
      <c r="Y325">
        <f>HYPERLINK("https://klasma.github.io/Logging_1981/tillsynsmail/A 7731-2023 tillsynsbegäran mail.docx", "A 7731-2023")</f>
        <v/>
      </c>
    </row>
    <row r="326" ht="15" customHeight="1">
      <c r="A326" t="inlineStr">
        <is>
          <t>A 7832-2023</t>
        </is>
      </c>
      <c r="B326" s="1" t="n">
        <v>44973</v>
      </c>
      <c r="C326" s="1" t="n">
        <v>45724</v>
      </c>
      <c r="D326" t="inlineStr">
        <is>
          <t>VÄSTMANLANDS LÄN</t>
        </is>
      </c>
      <c r="E326" t="inlineStr">
        <is>
          <t>VÄSTERÅS</t>
        </is>
      </c>
      <c r="G326" t="n">
        <v>3.1</v>
      </c>
      <c r="H326" t="n">
        <v>1</v>
      </c>
      <c r="I326" t="n">
        <v>0</v>
      </c>
      <c r="J326" t="n">
        <v>1</v>
      </c>
      <c r="K326" t="n">
        <v>0</v>
      </c>
      <c r="L326" t="n">
        <v>0</v>
      </c>
      <c r="M326" t="n">
        <v>0</v>
      </c>
      <c r="N326" t="n">
        <v>0</v>
      </c>
      <c r="O326" t="n">
        <v>1</v>
      </c>
      <c r="P326" t="n">
        <v>0</v>
      </c>
      <c r="Q326" t="n">
        <v>1</v>
      </c>
      <c r="R326" s="2" t="inlineStr">
        <is>
          <t>Talltita</t>
        </is>
      </c>
      <c r="S326">
        <f>HYPERLINK("https://klasma.github.io/Logging_1980/artfynd/A 7832-2023 artfynd.xlsx", "A 7832-2023")</f>
        <v/>
      </c>
      <c r="T326">
        <f>HYPERLINK("https://klasma.github.io/Logging_1980/kartor/A 7832-2023 karta.png", "A 7832-2023")</f>
        <v/>
      </c>
      <c r="V326">
        <f>HYPERLINK("https://klasma.github.io/Logging_1980/klagomål/A 7832-2023 FSC-klagomål.docx", "A 7832-2023")</f>
        <v/>
      </c>
      <c r="W326">
        <f>HYPERLINK("https://klasma.github.io/Logging_1980/klagomålsmail/A 7832-2023 FSC-klagomål mail.docx", "A 7832-2023")</f>
        <v/>
      </c>
      <c r="X326">
        <f>HYPERLINK("https://klasma.github.io/Logging_1980/tillsyn/A 7832-2023 tillsynsbegäran.docx", "A 7832-2023")</f>
        <v/>
      </c>
      <c r="Y326">
        <f>HYPERLINK("https://klasma.github.io/Logging_1980/tillsynsmail/A 7832-2023 tillsynsbegäran mail.docx", "A 7832-2023")</f>
        <v/>
      </c>
      <c r="Z326">
        <f>HYPERLINK("https://klasma.github.io/Logging_1980/fåglar/A 7832-2023 prioriterade fågelarter.docx", "A 7832-2023")</f>
        <v/>
      </c>
    </row>
    <row r="327" ht="15" customHeight="1">
      <c r="A327" t="inlineStr">
        <is>
          <t>A 11259-2023</t>
        </is>
      </c>
      <c r="B327" s="1" t="n">
        <v>44991</v>
      </c>
      <c r="C327" s="1" t="n">
        <v>45724</v>
      </c>
      <c r="D327" t="inlineStr">
        <is>
          <t>VÄSTMANLANDS LÄN</t>
        </is>
      </c>
      <c r="E327" t="inlineStr">
        <is>
          <t>SURAHAMMAR</t>
        </is>
      </c>
      <c r="G327" t="n">
        <v>2.4</v>
      </c>
      <c r="H327" t="n">
        <v>1</v>
      </c>
      <c r="I327" t="n">
        <v>0</v>
      </c>
      <c r="J327" t="n">
        <v>1</v>
      </c>
      <c r="K327" t="n">
        <v>0</v>
      </c>
      <c r="L327" t="n">
        <v>0</v>
      </c>
      <c r="M327" t="n">
        <v>0</v>
      </c>
      <c r="N327" t="n">
        <v>0</v>
      </c>
      <c r="O327" t="n">
        <v>1</v>
      </c>
      <c r="P327" t="n">
        <v>0</v>
      </c>
      <c r="Q327" t="n">
        <v>1</v>
      </c>
      <c r="R327" s="2" t="inlineStr">
        <is>
          <t>Spillkråka</t>
        </is>
      </c>
      <c r="S327">
        <f>HYPERLINK("https://klasma.github.io/Logging_1907/artfynd/A 11259-2023 artfynd.xlsx", "A 11259-2023")</f>
        <v/>
      </c>
      <c r="T327">
        <f>HYPERLINK("https://klasma.github.io/Logging_1907/kartor/A 11259-2023 karta.png", "A 11259-2023")</f>
        <v/>
      </c>
      <c r="V327">
        <f>HYPERLINK("https://klasma.github.io/Logging_1907/klagomål/A 11259-2023 FSC-klagomål.docx", "A 11259-2023")</f>
        <v/>
      </c>
      <c r="W327">
        <f>HYPERLINK("https://klasma.github.io/Logging_1907/klagomålsmail/A 11259-2023 FSC-klagomål mail.docx", "A 11259-2023")</f>
        <v/>
      </c>
      <c r="X327">
        <f>HYPERLINK("https://klasma.github.io/Logging_1907/tillsyn/A 11259-2023 tillsynsbegäran.docx", "A 11259-2023")</f>
        <v/>
      </c>
      <c r="Y327">
        <f>HYPERLINK("https://klasma.github.io/Logging_1907/tillsynsmail/A 11259-2023 tillsynsbegäran mail.docx", "A 11259-2023")</f>
        <v/>
      </c>
      <c r="Z327">
        <f>HYPERLINK("https://klasma.github.io/Logging_1907/fåglar/A 11259-2023 prioriterade fågelarter.docx", "A 11259-2023")</f>
        <v/>
      </c>
    </row>
    <row r="328" ht="15" customHeight="1">
      <c r="A328" t="inlineStr">
        <is>
          <t>A 13971-2023</t>
        </is>
      </c>
      <c r="B328" s="1" t="n">
        <v>45007</v>
      </c>
      <c r="C328" s="1" t="n">
        <v>45724</v>
      </c>
      <c r="D328" t="inlineStr">
        <is>
          <t>VÄSTMANLANDS LÄN</t>
        </is>
      </c>
      <c r="E328" t="inlineStr">
        <is>
          <t>SURAHAMMAR</t>
        </is>
      </c>
      <c r="F328" t="inlineStr">
        <is>
          <t>Bergvik skog väst AB</t>
        </is>
      </c>
      <c r="G328" t="n">
        <v>2.9</v>
      </c>
      <c r="H328" t="n">
        <v>1</v>
      </c>
      <c r="I328" t="n">
        <v>0</v>
      </c>
      <c r="J328" t="n">
        <v>0</v>
      </c>
      <c r="K328" t="n">
        <v>0</v>
      </c>
      <c r="L328" t="n">
        <v>0</v>
      </c>
      <c r="M328" t="n">
        <v>0</v>
      </c>
      <c r="N328" t="n">
        <v>0</v>
      </c>
      <c r="O328" t="n">
        <v>0</v>
      </c>
      <c r="P328" t="n">
        <v>0</v>
      </c>
      <c r="Q328" t="n">
        <v>1</v>
      </c>
      <c r="R328" s="2" t="inlineStr">
        <is>
          <t>Fläcknycklar</t>
        </is>
      </c>
      <c r="S328">
        <f>HYPERLINK("https://klasma.github.io/Logging_1907/artfynd/A 13971-2023 artfynd.xlsx", "A 13971-2023")</f>
        <v/>
      </c>
      <c r="T328">
        <f>HYPERLINK("https://klasma.github.io/Logging_1907/kartor/A 13971-2023 karta.png", "A 13971-2023")</f>
        <v/>
      </c>
      <c r="V328">
        <f>HYPERLINK("https://klasma.github.io/Logging_1907/klagomål/A 13971-2023 FSC-klagomål.docx", "A 13971-2023")</f>
        <v/>
      </c>
      <c r="W328">
        <f>HYPERLINK("https://klasma.github.io/Logging_1907/klagomålsmail/A 13971-2023 FSC-klagomål mail.docx", "A 13971-2023")</f>
        <v/>
      </c>
      <c r="X328">
        <f>HYPERLINK("https://klasma.github.io/Logging_1907/tillsyn/A 13971-2023 tillsynsbegäran.docx", "A 13971-2023")</f>
        <v/>
      </c>
      <c r="Y328">
        <f>HYPERLINK("https://klasma.github.io/Logging_1907/tillsynsmail/A 13971-2023 tillsynsbegäran mail.docx", "A 13971-2023")</f>
        <v/>
      </c>
    </row>
    <row r="329" ht="15" customHeight="1">
      <c r="A329" t="inlineStr">
        <is>
          <t>A 14001-2023</t>
        </is>
      </c>
      <c r="B329" s="1" t="n">
        <v>45007</v>
      </c>
      <c r="C329" s="1" t="n">
        <v>45724</v>
      </c>
      <c r="D329" t="inlineStr">
        <is>
          <t>VÄSTMANLANDS LÄN</t>
        </is>
      </c>
      <c r="E329" t="inlineStr">
        <is>
          <t>SURAHAMMAR</t>
        </is>
      </c>
      <c r="F329" t="inlineStr">
        <is>
          <t>Bergvik skog väst AB</t>
        </is>
      </c>
      <c r="G329" t="n">
        <v>1</v>
      </c>
      <c r="H329" t="n">
        <v>0</v>
      </c>
      <c r="I329" t="n">
        <v>0</v>
      </c>
      <c r="J329" t="n">
        <v>1</v>
      </c>
      <c r="K329" t="n">
        <v>0</v>
      </c>
      <c r="L329" t="n">
        <v>0</v>
      </c>
      <c r="M329" t="n">
        <v>0</v>
      </c>
      <c r="N329" t="n">
        <v>0</v>
      </c>
      <c r="O329" t="n">
        <v>1</v>
      </c>
      <c r="P329" t="n">
        <v>0</v>
      </c>
      <c r="Q329" t="n">
        <v>1</v>
      </c>
      <c r="R329" s="2" t="inlineStr">
        <is>
          <t>Motaggsvamp</t>
        </is>
      </c>
      <c r="S329">
        <f>HYPERLINK("https://klasma.github.io/Logging_1907/artfynd/A 14001-2023 artfynd.xlsx", "A 14001-2023")</f>
        <v/>
      </c>
      <c r="T329">
        <f>HYPERLINK("https://klasma.github.io/Logging_1907/kartor/A 14001-2023 karta.png", "A 14001-2023")</f>
        <v/>
      </c>
      <c r="V329">
        <f>HYPERLINK("https://klasma.github.io/Logging_1907/klagomål/A 14001-2023 FSC-klagomål.docx", "A 14001-2023")</f>
        <v/>
      </c>
      <c r="W329">
        <f>HYPERLINK("https://klasma.github.io/Logging_1907/klagomålsmail/A 14001-2023 FSC-klagomål mail.docx", "A 14001-2023")</f>
        <v/>
      </c>
      <c r="X329">
        <f>HYPERLINK("https://klasma.github.io/Logging_1907/tillsyn/A 14001-2023 tillsynsbegäran.docx", "A 14001-2023")</f>
        <v/>
      </c>
      <c r="Y329">
        <f>HYPERLINK("https://klasma.github.io/Logging_1907/tillsynsmail/A 14001-2023 tillsynsbegäran mail.docx", "A 14001-2023")</f>
        <v/>
      </c>
    </row>
    <row r="330" ht="15" customHeight="1">
      <c r="A330" t="inlineStr">
        <is>
          <t>A 14171-2023</t>
        </is>
      </c>
      <c r="B330" s="1" t="n">
        <v>45009</v>
      </c>
      <c r="C330" s="1" t="n">
        <v>45724</v>
      </c>
      <c r="D330" t="inlineStr">
        <is>
          <t>VÄSTMANLANDS LÄN</t>
        </is>
      </c>
      <c r="E330" t="inlineStr">
        <is>
          <t>SKINNSKATTEBERG</t>
        </is>
      </c>
      <c r="F330" t="inlineStr">
        <is>
          <t>Sveaskog</t>
        </is>
      </c>
      <c r="G330" t="n">
        <v>2.7</v>
      </c>
      <c r="H330" t="n">
        <v>1</v>
      </c>
      <c r="I330" t="n">
        <v>0</v>
      </c>
      <c r="J330" t="n">
        <v>0</v>
      </c>
      <c r="K330" t="n">
        <v>0</v>
      </c>
      <c r="L330" t="n">
        <v>0</v>
      </c>
      <c r="M330" t="n">
        <v>0</v>
      </c>
      <c r="N330" t="n">
        <v>0</v>
      </c>
      <c r="O330" t="n">
        <v>0</v>
      </c>
      <c r="P330" t="n">
        <v>0</v>
      </c>
      <c r="Q330" t="n">
        <v>1</v>
      </c>
      <c r="R330" s="2" t="inlineStr">
        <is>
          <t>Mattlummer</t>
        </is>
      </c>
      <c r="S330">
        <f>HYPERLINK("https://klasma.github.io/Logging_1904/artfynd/A 14171-2023 artfynd.xlsx", "A 14171-2023")</f>
        <v/>
      </c>
      <c r="T330">
        <f>HYPERLINK("https://klasma.github.io/Logging_1904/kartor/A 14171-2023 karta.png", "A 14171-2023")</f>
        <v/>
      </c>
      <c r="V330">
        <f>HYPERLINK("https://klasma.github.io/Logging_1904/klagomål/A 14171-2023 FSC-klagomål.docx", "A 14171-2023")</f>
        <v/>
      </c>
      <c r="W330">
        <f>HYPERLINK("https://klasma.github.io/Logging_1904/klagomålsmail/A 14171-2023 FSC-klagomål mail.docx", "A 14171-2023")</f>
        <v/>
      </c>
      <c r="X330">
        <f>HYPERLINK("https://klasma.github.io/Logging_1904/tillsyn/A 14171-2023 tillsynsbegäran.docx", "A 14171-2023")</f>
        <v/>
      </c>
      <c r="Y330">
        <f>HYPERLINK("https://klasma.github.io/Logging_1904/tillsynsmail/A 14171-2023 tillsynsbegäran mail.docx", "A 14171-2023")</f>
        <v/>
      </c>
    </row>
    <row r="331" ht="15" customHeight="1">
      <c r="A331" t="inlineStr">
        <is>
          <t>A 14775-2023</t>
        </is>
      </c>
      <c r="B331" s="1" t="n">
        <v>45014</v>
      </c>
      <c r="C331" s="1" t="n">
        <v>45724</v>
      </c>
      <c r="D331" t="inlineStr">
        <is>
          <t>VÄSTMANLANDS LÄN</t>
        </is>
      </c>
      <c r="E331" t="inlineStr">
        <is>
          <t>SALA</t>
        </is>
      </c>
      <c r="G331" t="n">
        <v>1.3</v>
      </c>
      <c r="H331" t="n">
        <v>1</v>
      </c>
      <c r="I331" t="n">
        <v>0</v>
      </c>
      <c r="J331" t="n">
        <v>0</v>
      </c>
      <c r="K331" t="n">
        <v>1</v>
      </c>
      <c r="L331" t="n">
        <v>0</v>
      </c>
      <c r="M331" t="n">
        <v>0</v>
      </c>
      <c r="N331" t="n">
        <v>0</v>
      </c>
      <c r="O331" t="n">
        <v>1</v>
      </c>
      <c r="P331" t="n">
        <v>1</v>
      </c>
      <c r="Q331" t="n">
        <v>1</v>
      </c>
      <c r="R331" s="2" t="inlineStr">
        <is>
          <t>Knärot</t>
        </is>
      </c>
      <c r="S331">
        <f>HYPERLINK("https://klasma.github.io/Logging_1981/artfynd/A 14775-2023 artfynd.xlsx", "A 14775-2023")</f>
        <v/>
      </c>
      <c r="T331">
        <f>HYPERLINK("https://klasma.github.io/Logging_1981/kartor/A 14775-2023 karta.png", "A 14775-2023")</f>
        <v/>
      </c>
      <c r="U331">
        <f>HYPERLINK("https://klasma.github.io/Logging_1981/knärot/A 14775-2023 karta knärot.png", "A 14775-2023")</f>
        <v/>
      </c>
      <c r="V331">
        <f>HYPERLINK("https://klasma.github.io/Logging_1981/klagomål/A 14775-2023 FSC-klagomål.docx", "A 14775-2023")</f>
        <v/>
      </c>
      <c r="W331">
        <f>HYPERLINK("https://klasma.github.io/Logging_1981/klagomålsmail/A 14775-2023 FSC-klagomål mail.docx", "A 14775-2023")</f>
        <v/>
      </c>
      <c r="X331">
        <f>HYPERLINK("https://klasma.github.io/Logging_1981/tillsyn/A 14775-2023 tillsynsbegäran.docx", "A 14775-2023")</f>
        <v/>
      </c>
      <c r="Y331">
        <f>HYPERLINK("https://klasma.github.io/Logging_1981/tillsynsmail/A 14775-2023 tillsynsbegäran mail.docx", "A 14775-2023")</f>
        <v/>
      </c>
    </row>
    <row r="332" ht="15" customHeight="1">
      <c r="A332" t="inlineStr">
        <is>
          <t>A 15334-2023</t>
        </is>
      </c>
      <c r="B332" s="1" t="n">
        <v>45019</v>
      </c>
      <c r="C332" s="1" t="n">
        <v>45724</v>
      </c>
      <c r="D332" t="inlineStr">
        <is>
          <t>VÄSTMANLANDS LÄN</t>
        </is>
      </c>
      <c r="E332" t="inlineStr">
        <is>
          <t>FAGERSTA</t>
        </is>
      </c>
      <c r="F332" t="inlineStr">
        <is>
          <t>Övriga Aktiebolag</t>
        </is>
      </c>
      <c r="G332" t="n">
        <v>27.3</v>
      </c>
      <c r="H332" t="n">
        <v>0</v>
      </c>
      <c r="I332" t="n">
        <v>1</v>
      </c>
      <c r="J332" t="n">
        <v>0</v>
      </c>
      <c r="K332" t="n">
        <v>0</v>
      </c>
      <c r="L332" t="n">
        <v>0</v>
      </c>
      <c r="M332" t="n">
        <v>0</v>
      </c>
      <c r="N332" t="n">
        <v>0</v>
      </c>
      <c r="O332" t="n">
        <v>0</v>
      </c>
      <c r="P332" t="n">
        <v>0</v>
      </c>
      <c r="Q332" t="n">
        <v>1</v>
      </c>
      <c r="R332" s="2" t="inlineStr">
        <is>
          <t>Grovticka</t>
        </is>
      </c>
      <c r="S332">
        <f>HYPERLINK("https://klasma.github.io/Logging_1982/artfynd/A 15334-2023 artfynd.xlsx", "A 15334-2023")</f>
        <v/>
      </c>
      <c r="T332">
        <f>HYPERLINK("https://klasma.github.io/Logging_1982/kartor/A 15334-2023 karta.png", "A 15334-2023")</f>
        <v/>
      </c>
      <c r="V332">
        <f>HYPERLINK("https://klasma.github.io/Logging_1982/klagomål/A 15334-2023 FSC-klagomål.docx", "A 15334-2023")</f>
        <v/>
      </c>
      <c r="W332">
        <f>HYPERLINK("https://klasma.github.io/Logging_1982/klagomålsmail/A 15334-2023 FSC-klagomål mail.docx", "A 15334-2023")</f>
        <v/>
      </c>
      <c r="X332">
        <f>HYPERLINK("https://klasma.github.io/Logging_1982/tillsyn/A 15334-2023 tillsynsbegäran.docx", "A 15334-2023")</f>
        <v/>
      </c>
      <c r="Y332">
        <f>HYPERLINK("https://klasma.github.io/Logging_1982/tillsynsmail/A 15334-2023 tillsynsbegäran mail.docx", "A 15334-2023")</f>
        <v/>
      </c>
    </row>
    <row r="333" ht="15" customHeight="1">
      <c r="A333" t="inlineStr">
        <is>
          <t>A 15631-2023</t>
        </is>
      </c>
      <c r="B333" s="1" t="n">
        <v>45021</v>
      </c>
      <c r="C333" s="1" t="n">
        <v>45724</v>
      </c>
      <c r="D333" t="inlineStr">
        <is>
          <t>VÄSTMANLANDS LÄN</t>
        </is>
      </c>
      <c r="E333" t="inlineStr">
        <is>
          <t>FAGERSTA</t>
        </is>
      </c>
      <c r="F333" t="inlineStr">
        <is>
          <t>Bergvik skog väst AB</t>
        </is>
      </c>
      <c r="G333" t="n">
        <v>33.1</v>
      </c>
      <c r="H333" t="n">
        <v>1</v>
      </c>
      <c r="I333" t="n">
        <v>0</v>
      </c>
      <c r="J333" t="n">
        <v>1</v>
      </c>
      <c r="K333" t="n">
        <v>0</v>
      </c>
      <c r="L333" t="n">
        <v>0</v>
      </c>
      <c r="M333" t="n">
        <v>0</v>
      </c>
      <c r="N333" t="n">
        <v>0</v>
      </c>
      <c r="O333" t="n">
        <v>1</v>
      </c>
      <c r="P333" t="n">
        <v>0</v>
      </c>
      <c r="Q333" t="n">
        <v>1</v>
      </c>
      <c r="R333" s="2" t="inlineStr">
        <is>
          <t>Kungsörn</t>
        </is>
      </c>
      <c r="S333">
        <f>HYPERLINK("https://klasma.github.io/Logging_1982/artfynd/A 15631-2023 artfynd.xlsx", "A 15631-2023")</f>
        <v/>
      </c>
      <c r="T333">
        <f>HYPERLINK("https://klasma.github.io/Logging_1982/kartor/A 15631-2023 karta.png", "A 15631-2023")</f>
        <v/>
      </c>
      <c r="V333">
        <f>HYPERLINK("https://klasma.github.io/Logging_1982/klagomål/A 15631-2023 FSC-klagomål.docx", "A 15631-2023")</f>
        <v/>
      </c>
      <c r="W333">
        <f>HYPERLINK("https://klasma.github.io/Logging_1982/klagomålsmail/A 15631-2023 FSC-klagomål mail.docx", "A 15631-2023")</f>
        <v/>
      </c>
      <c r="X333">
        <f>HYPERLINK("https://klasma.github.io/Logging_1982/tillsyn/A 15631-2023 tillsynsbegäran.docx", "A 15631-2023")</f>
        <v/>
      </c>
      <c r="Y333">
        <f>HYPERLINK("https://klasma.github.io/Logging_1982/tillsynsmail/A 15631-2023 tillsynsbegäran mail.docx", "A 15631-2023")</f>
        <v/>
      </c>
      <c r="Z333">
        <f>HYPERLINK("https://klasma.github.io/Logging_1982/fåglar/A 15631-2023 prioriterade fågelarter.docx", "A 15631-2023")</f>
        <v/>
      </c>
    </row>
    <row r="334" ht="15" customHeight="1">
      <c r="A334" t="inlineStr">
        <is>
          <t>A 16219-2023</t>
        </is>
      </c>
      <c r="B334" s="1" t="n">
        <v>45022</v>
      </c>
      <c r="C334" s="1" t="n">
        <v>45724</v>
      </c>
      <c r="D334" t="inlineStr">
        <is>
          <t>VÄSTMANLANDS LÄN</t>
        </is>
      </c>
      <c r="E334" t="inlineStr">
        <is>
          <t>SURAHAMMAR</t>
        </is>
      </c>
      <c r="G334" t="n">
        <v>5.9</v>
      </c>
      <c r="H334" t="n">
        <v>1</v>
      </c>
      <c r="I334" t="n">
        <v>0</v>
      </c>
      <c r="J334" t="n">
        <v>1</v>
      </c>
      <c r="K334" t="n">
        <v>0</v>
      </c>
      <c r="L334" t="n">
        <v>0</v>
      </c>
      <c r="M334" t="n">
        <v>0</v>
      </c>
      <c r="N334" t="n">
        <v>0</v>
      </c>
      <c r="O334" t="n">
        <v>1</v>
      </c>
      <c r="P334" t="n">
        <v>0</v>
      </c>
      <c r="Q334" t="n">
        <v>1</v>
      </c>
      <c r="R334" s="2" t="inlineStr">
        <is>
          <t>Talltita</t>
        </is>
      </c>
      <c r="S334">
        <f>HYPERLINK("https://klasma.github.io/Logging_1907/artfynd/A 16219-2023 artfynd.xlsx", "A 16219-2023")</f>
        <v/>
      </c>
      <c r="T334">
        <f>HYPERLINK("https://klasma.github.io/Logging_1907/kartor/A 16219-2023 karta.png", "A 16219-2023")</f>
        <v/>
      </c>
      <c r="V334">
        <f>HYPERLINK("https://klasma.github.io/Logging_1907/klagomål/A 16219-2023 FSC-klagomål.docx", "A 16219-2023")</f>
        <v/>
      </c>
      <c r="W334">
        <f>HYPERLINK("https://klasma.github.io/Logging_1907/klagomålsmail/A 16219-2023 FSC-klagomål mail.docx", "A 16219-2023")</f>
        <v/>
      </c>
      <c r="X334">
        <f>HYPERLINK("https://klasma.github.io/Logging_1907/tillsyn/A 16219-2023 tillsynsbegäran.docx", "A 16219-2023")</f>
        <v/>
      </c>
      <c r="Y334">
        <f>HYPERLINK("https://klasma.github.io/Logging_1907/tillsynsmail/A 16219-2023 tillsynsbegäran mail.docx", "A 16219-2023")</f>
        <v/>
      </c>
      <c r="Z334">
        <f>HYPERLINK("https://klasma.github.io/Logging_1907/fåglar/A 16219-2023 prioriterade fågelarter.docx", "A 16219-2023")</f>
        <v/>
      </c>
    </row>
    <row r="335" ht="15" customHeight="1">
      <c r="A335" t="inlineStr">
        <is>
          <t>A 18648-2023</t>
        </is>
      </c>
      <c r="B335" s="1" t="n">
        <v>45043</v>
      </c>
      <c r="C335" s="1" t="n">
        <v>45724</v>
      </c>
      <c r="D335" t="inlineStr">
        <is>
          <t>VÄSTMANLANDS LÄN</t>
        </is>
      </c>
      <c r="E335" t="inlineStr">
        <is>
          <t>SKINNSKATTEBERG</t>
        </is>
      </c>
      <c r="F335" t="inlineStr">
        <is>
          <t>Sveaskog</t>
        </is>
      </c>
      <c r="G335" t="n">
        <v>7.3</v>
      </c>
      <c r="H335" t="n">
        <v>0</v>
      </c>
      <c r="I335" t="n">
        <v>0</v>
      </c>
      <c r="J335" t="n">
        <v>1</v>
      </c>
      <c r="K335" t="n">
        <v>0</v>
      </c>
      <c r="L335" t="n">
        <v>0</v>
      </c>
      <c r="M335" t="n">
        <v>0</v>
      </c>
      <c r="N335" t="n">
        <v>0</v>
      </c>
      <c r="O335" t="n">
        <v>1</v>
      </c>
      <c r="P335" t="n">
        <v>0</v>
      </c>
      <c r="Q335" t="n">
        <v>1</v>
      </c>
      <c r="R335" s="2" t="inlineStr">
        <is>
          <t>Skogsklocka</t>
        </is>
      </c>
      <c r="S335">
        <f>HYPERLINK("https://klasma.github.io/Logging_1904/artfynd/A 18648-2023 artfynd.xlsx", "A 18648-2023")</f>
        <v/>
      </c>
      <c r="T335">
        <f>HYPERLINK("https://klasma.github.io/Logging_1904/kartor/A 18648-2023 karta.png", "A 18648-2023")</f>
        <v/>
      </c>
      <c r="V335">
        <f>HYPERLINK("https://klasma.github.io/Logging_1904/klagomål/A 18648-2023 FSC-klagomål.docx", "A 18648-2023")</f>
        <v/>
      </c>
      <c r="W335">
        <f>HYPERLINK("https://klasma.github.io/Logging_1904/klagomålsmail/A 18648-2023 FSC-klagomål mail.docx", "A 18648-2023")</f>
        <v/>
      </c>
      <c r="X335">
        <f>HYPERLINK("https://klasma.github.io/Logging_1904/tillsyn/A 18648-2023 tillsynsbegäran.docx", "A 18648-2023")</f>
        <v/>
      </c>
      <c r="Y335">
        <f>HYPERLINK("https://klasma.github.io/Logging_1904/tillsynsmail/A 18648-2023 tillsynsbegäran mail.docx", "A 18648-2023")</f>
        <v/>
      </c>
    </row>
    <row r="336" ht="15" customHeight="1">
      <c r="A336" t="inlineStr">
        <is>
          <t>A 19218-2023</t>
        </is>
      </c>
      <c r="B336" s="1" t="n">
        <v>45048</v>
      </c>
      <c r="C336" s="1" t="n">
        <v>45724</v>
      </c>
      <c r="D336" t="inlineStr">
        <is>
          <t>VÄSTMANLANDS LÄN</t>
        </is>
      </c>
      <c r="E336" t="inlineStr">
        <is>
          <t>FAGERSTA</t>
        </is>
      </c>
      <c r="F336" t="inlineStr">
        <is>
          <t>Sveaskog</t>
        </is>
      </c>
      <c r="G336" t="n">
        <v>9.5</v>
      </c>
      <c r="H336" t="n">
        <v>1</v>
      </c>
      <c r="I336" t="n">
        <v>0</v>
      </c>
      <c r="J336" t="n">
        <v>0</v>
      </c>
      <c r="K336" t="n">
        <v>0</v>
      </c>
      <c r="L336" t="n">
        <v>0</v>
      </c>
      <c r="M336" t="n">
        <v>0</v>
      </c>
      <c r="N336" t="n">
        <v>0</v>
      </c>
      <c r="O336" t="n">
        <v>0</v>
      </c>
      <c r="P336" t="n">
        <v>0</v>
      </c>
      <c r="Q336" t="n">
        <v>1</v>
      </c>
      <c r="R336" s="2" t="inlineStr">
        <is>
          <t>Fläcknycklar</t>
        </is>
      </c>
      <c r="S336">
        <f>HYPERLINK("https://klasma.github.io/Logging_1982/artfynd/A 19218-2023 artfynd.xlsx", "A 19218-2023")</f>
        <v/>
      </c>
      <c r="T336">
        <f>HYPERLINK("https://klasma.github.io/Logging_1982/kartor/A 19218-2023 karta.png", "A 19218-2023")</f>
        <v/>
      </c>
      <c r="V336">
        <f>HYPERLINK("https://klasma.github.io/Logging_1982/klagomål/A 19218-2023 FSC-klagomål.docx", "A 19218-2023")</f>
        <v/>
      </c>
      <c r="W336">
        <f>HYPERLINK("https://klasma.github.io/Logging_1982/klagomålsmail/A 19218-2023 FSC-klagomål mail.docx", "A 19218-2023")</f>
        <v/>
      </c>
      <c r="X336">
        <f>HYPERLINK("https://klasma.github.io/Logging_1982/tillsyn/A 19218-2023 tillsynsbegäran.docx", "A 19218-2023")</f>
        <v/>
      </c>
      <c r="Y336">
        <f>HYPERLINK("https://klasma.github.io/Logging_1982/tillsynsmail/A 19218-2023 tillsynsbegäran mail.docx", "A 19218-2023")</f>
        <v/>
      </c>
    </row>
    <row r="337" ht="15" customHeight="1">
      <c r="A337" t="inlineStr">
        <is>
          <t>A 22840-2023</t>
        </is>
      </c>
      <c r="B337" s="1" t="n">
        <v>45072</v>
      </c>
      <c r="C337" s="1" t="n">
        <v>45724</v>
      </c>
      <c r="D337" t="inlineStr">
        <is>
          <t>VÄSTMANLANDS LÄN</t>
        </is>
      </c>
      <c r="E337" t="inlineStr">
        <is>
          <t>SURAHAMMAR</t>
        </is>
      </c>
      <c r="G337" t="n">
        <v>4.3</v>
      </c>
      <c r="H337" t="n">
        <v>1</v>
      </c>
      <c r="I337" t="n">
        <v>0</v>
      </c>
      <c r="J337" t="n">
        <v>0</v>
      </c>
      <c r="K337" t="n">
        <v>0</v>
      </c>
      <c r="L337" t="n">
        <v>0</v>
      </c>
      <c r="M337" t="n">
        <v>0</v>
      </c>
      <c r="N337" t="n">
        <v>0</v>
      </c>
      <c r="O337" t="n">
        <v>0</v>
      </c>
      <c r="P337" t="n">
        <v>0</v>
      </c>
      <c r="Q337" t="n">
        <v>1</v>
      </c>
      <c r="R337" s="2" t="inlineStr">
        <is>
          <t>Fläcknycklar</t>
        </is>
      </c>
      <c r="S337">
        <f>HYPERLINK("https://klasma.github.io/Logging_1907/artfynd/A 22840-2023 artfynd.xlsx", "A 22840-2023")</f>
        <v/>
      </c>
      <c r="T337">
        <f>HYPERLINK("https://klasma.github.io/Logging_1907/kartor/A 22840-2023 karta.png", "A 22840-2023")</f>
        <v/>
      </c>
      <c r="V337">
        <f>HYPERLINK("https://klasma.github.io/Logging_1907/klagomål/A 22840-2023 FSC-klagomål.docx", "A 22840-2023")</f>
        <v/>
      </c>
      <c r="W337">
        <f>HYPERLINK("https://klasma.github.io/Logging_1907/klagomålsmail/A 22840-2023 FSC-klagomål mail.docx", "A 22840-2023")</f>
        <v/>
      </c>
      <c r="X337">
        <f>HYPERLINK("https://klasma.github.io/Logging_1907/tillsyn/A 22840-2023 tillsynsbegäran.docx", "A 22840-2023")</f>
        <v/>
      </c>
      <c r="Y337">
        <f>HYPERLINK("https://klasma.github.io/Logging_1907/tillsynsmail/A 22840-2023 tillsynsbegäran mail.docx", "A 22840-2023")</f>
        <v/>
      </c>
    </row>
    <row r="338" ht="15" customHeight="1">
      <c r="A338" t="inlineStr">
        <is>
          <t>A 23087-2023</t>
        </is>
      </c>
      <c r="B338" s="1" t="n">
        <v>45075</v>
      </c>
      <c r="C338" s="1" t="n">
        <v>45724</v>
      </c>
      <c r="D338" t="inlineStr">
        <is>
          <t>VÄSTMANLANDS LÄN</t>
        </is>
      </c>
      <c r="E338" t="inlineStr">
        <is>
          <t>NORBERG</t>
        </is>
      </c>
      <c r="F338" t="inlineStr">
        <is>
          <t>Bergvik skog väst AB</t>
        </is>
      </c>
      <c r="G338" t="n">
        <v>8.4</v>
      </c>
      <c r="H338" t="n">
        <v>1</v>
      </c>
      <c r="I338" t="n">
        <v>1</v>
      </c>
      <c r="J338" t="n">
        <v>0</v>
      </c>
      <c r="K338" t="n">
        <v>0</v>
      </c>
      <c r="L338" t="n">
        <v>0</v>
      </c>
      <c r="M338" t="n">
        <v>0</v>
      </c>
      <c r="N338" t="n">
        <v>0</v>
      </c>
      <c r="O338" t="n">
        <v>0</v>
      </c>
      <c r="P338" t="n">
        <v>0</v>
      </c>
      <c r="Q338" t="n">
        <v>1</v>
      </c>
      <c r="R338" s="2" t="inlineStr">
        <is>
          <t>Plattlummer</t>
        </is>
      </c>
      <c r="S338">
        <f>HYPERLINK("https://klasma.github.io/Logging_1962/artfynd/A 23087-2023 artfynd.xlsx", "A 23087-2023")</f>
        <v/>
      </c>
      <c r="T338">
        <f>HYPERLINK("https://klasma.github.io/Logging_1962/kartor/A 23087-2023 karta.png", "A 23087-2023")</f>
        <v/>
      </c>
      <c r="V338">
        <f>HYPERLINK("https://klasma.github.io/Logging_1962/klagomål/A 23087-2023 FSC-klagomål.docx", "A 23087-2023")</f>
        <v/>
      </c>
      <c r="W338">
        <f>HYPERLINK("https://klasma.github.io/Logging_1962/klagomålsmail/A 23087-2023 FSC-klagomål mail.docx", "A 23087-2023")</f>
        <v/>
      </c>
      <c r="X338">
        <f>HYPERLINK("https://klasma.github.io/Logging_1962/tillsyn/A 23087-2023 tillsynsbegäran.docx", "A 23087-2023")</f>
        <v/>
      </c>
      <c r="Y338">
        <f>HYPERLINK("https://klasma.github.io/Logging_1962/tillsynsmail/A 23087-2023 tillsynsbegäran mail.docx", "A 23087-2023")</f>
        <v/>
      </c>
    </row>
    <row r="339" ht="15" customHeight="1">
      <c r="A339" t="inlineStr">
        <is>
          <t>A 23690-2023</t>
        </is>
      </c>
      <c r="B339" s="1" t="n">
        <v>45077</v>
      </c>
      <c r="C339" s="1" t="n">
        <v>45724</v>
      </c>
      <c r="D339" t="inlineStr">
        <is>
          <t>VÄSTMANLANDS LÄN</t>
        </is>
      </c>
      <c r="E339" t="inlineStr">
        <is>
          <t>NORBERG</t>
        </is>
      </c>
      <c r="G339" t="n">
        <v>2.4</v>
      </c>
      <c r="H339" t="n">
        <v>0</v>
      </c>
      <c r="I339" t="n">
        <v>1</v>
      </c>
      <c r="J339" t="n">
        <v>0</v>
      </c>
      <c r="K339" t="n">
        <v>0</v>
      </c>
      <c r="L339" t="n">
        <v>0</v>
      </c>
      <c r="M339" t="n">
        <v>0</v>
      </c>
      <c r="N339" t="n">
        <v>0</v>
      </c>
      <c r="O339" t="n">
        <v>0</v>
      </c>
      <c r="P339" t="n">
        <v>0</v>
      </c>
      <c r="Q339" t="n">
        <v>1</v>
      </c>
      <c r="R339" s="2" t="inlineStr">
        <is>
          <t>Rödgul trumpetsvamp</t>
        </is>
      </c>
      <c r="S339">
        <f>HYPERLINK("https://klasma.github.io/Logging_1962/artfynd/A 23690-2023 artfynd.xlsx", "A 23690-2023")</f>
        <v/>
      </c>
      <c r="T339">
        <f>HYPERLINK("https://klasma.github.io/Logging_1962/kartor/A 23690-2023 karta.png", "A 23690-2023")</f>
        <v/>
      </c>
      <c r="U339">
        <f>HYPERLINK("https://klasma.github.io/Logging_1962/knärot/A 23690-2023 karta knärot.png", "A 23690-2023")</f>
        <v/>
      </c>
      <c r="V339">
        <f>HYPERLINK("https://klasma.github.io/Logging_1962/klagomål/A 23690-2023 FSC-klagomål.docx", "A 23690-2023")</f>
        <v/>
      </c>
      <c r="W339">
        <f>HYPERLINK("https://klasma.github.io/Logging_1962/klagomålsmail/A 23690-2023 FSC-klagomål mail.docx", "A 23690-2023")</f>
        <v/>
      </c>
      <c r="X339">
        <f>HYPERLINK("https://klasma.github.io/Logging_1962/tillsyn/A 23690-2023 tillsynsbegäran.docx", "A 23690-2023")</f>
        <v/>
      </c>
      <c r="Y339">
        <f>HYPERLINK("https://klasma.github.io/Logging_1962/tillsynsmail/A 23690-2023 tillsynsbegäran mail.docx", "A 23690-2023")</f>
        <v/>
      </c>
    </row>
    <row r="340" ht="15" customHeight="1">
      <c r="A340" t="inlineStr">
        <is>
          <t>A 23893-2023</t>
        </is>
      </c>
      <c r="B340" s="1" t="n">
        <v>45078</v>
      </c>
      <c r="C340" s="1" t="n">
        <v>45724</v>
      </c>
      <c r="D340" t="inlineStr">
        <is>
          <t>VÄSTMANLANDS LÄN</t>
        </is>
      </c>
      <c r="E340" t="inlineStr">
        <is>
          <t>SKINNSKATTEBERG</t>
        </is>
      </c>
      <c r="G340" t="n">
        <v>1.6</v>
      </c>
      <c r="H340" t="n">
        <v>1</v>
      </c>
      <c r="I340" t="n">
        <v>0</v>
      </c>
      <c r="J340" t="n">
        <v>0</v>
      </c>
      <c r="K340" t="n">
        <v>1</v>
      </c>
      <c r="L340" t="n">
        <v>0</v>
      </c>
      <c r="M340" t="n">
        <v>0</v>
      </c>
      <c r="N340" t="n">
        <v>0</v>
      </c>
      <c r="O340" t="n">
        <v>1</v>
      </c>
      <c r="P340" t="n">
        <v>1</v>
      </c>
      <c r="Q340" t="n">
        <v>1</v>
      </c>
      <c r="R340" s="2" t="inlineStr">
        <is>
          <t>Knärot</t>
        </is>
      </c>
      <c r="S340">
        <f>HYPERLINK("https://klasma.github.io/Logging_1904/artfynd/A 23893-2023 artfynd.xlsx", "A 23893-2023")</f>
        <v/>
      </c>
      <c r="T340">
        <f>HYPERLINK("https://klasma.github.io/Logging_1904/kartor/A 23893-2023 karta.png", "A 23893-2023")</f>
        <v/>
      </c>
      <c r="U340">
        <f>HYPERLINK("https://klasma.github.io/Logging_1904/knärot/A 23893-2023 karta knärot.png", "A 23893-2023")</f>
        <v/>
      </c>
      <c r="V340">
        <f>HYPERLINK("https://klasma.github.io/Logging_1904/klagomål/A 23893-2023 FSC-klagomål.docx", "A 23893-2023")</f>
        <v/>
      </c>
      <c r="W340">
        <f>HYPERLINK("https://klasma.github.io/Logging_1904/klagomålsmail/A 23893-2023 FSC-klagomål mail.docx", "A 23893-2023")</f>
        <v/>
      </c>
      <c r="X340">
        <f>HYPERLINK("https://klasma.github.io/Logging_1904/tillsyn/A 23893-2023 tillsynsbegäran.docx", "A 23893-2023")</f>
        <v/>
      </c>
      <c r="Y340">
        <f>HYPERLINK("https://klasma.github.io/Logging_1904/tillsynsmail/A 23893-2023 tillsynsbegäran mail.docx", "A 23893-2023")</f>
        <v/>
      </c>
    </row>
    <row r="341" ht="15" customHeight="1">
      <c r="A341" t="inlineStr">
        <is>
          <t>A 24486-2023</t>
        </is>
      </c>
      <c r="B341" s="1" t="n">
        <v>45082</v>
      </c>
      <c r="C341" s="1" t="n">
        <v>45724</v>
      </c>
      <c r="D341" t="inlineStr">
        <is>
          <t>VÄSTMANLANDS LÄN</t>
        </is>
      </c>
      <c r="E341" t="inlineStr">
        <is>
          <t>VÄSTERÅS</t>
        </is>
      </c>
      <c r="G341" t="n">
        <v>12.8</v>
      </c>
      <c r="H341" t="n">
        <v>0</v>
      </c>
      <c r="I341" t="n">
        <v>1</v>
      </c>
      <c r="J341" t="n">
        <v>0</v>
      </c>
      <c r="K341" t="n">
        <v>0</v>
      </c>
      <c r="L341" t="n">
        <v>0</v>
      </c>
      <c r="M341" t="n">
        <v>0</v>
      </c>
      <c r="N341" t="n">
        <v>0</v>
      </c>
      <c r="O341" t="n">
        <v>0</v>
      </c>
      <c r="P341" t="n">
        <v>0</v>
      </c>
      <c r="Q341" t="n">
        <v>1</v>
      </c>
      <c r="R341" s="2" t="inlineStr">
        <is>
          <t>Vedticka</t>
        </is>
      </c>
      <c r="S341">
        <f>HYPERLINK("https://klasma.github.io/Logging_1980/artfynd/A 24486-2023 artfynd.xlsx", "A 24486-2023")</f>
        <v/>
      </c>
      <c r="T341">
        <f>HYPERLINK("https://klasma.github.io/Logging_1980/kartor/A 24486-2023 karta.png", "A 24486-2023")</f>
        <v/>
      </c>
      <c r="V341">
        <f>HYPERLINK("https://klasma.github.io/Logging_1980/klagomål/A 24486-2023 FSC-klagomål.docx", "A 24486-2023")</f>
        <v/>
      </c>
      <c r="W341">
        <f>HYPERLINK("https://klasma.github.io/Logging_1980/klagomålsmail/A 24486-2023 FSC-klagomål mail.docx", "A 24486-2023")</f>
        <v/>
      </c>
      <c r="X341">
        <f>HYPERLINK("https://klasma.github.io/Logging_1980/tillsyn/A 24486-2023 tillsynsbegäran.docx", "A 24486-2023")</f>
        <v/>
      </c>
      <c r="Y341">
        <f>HYPERLINK("https://klasma.github.io/Logging_1980/tillsynsmail/A 24486-2023 tillsynsbegäran mail.docx", "A 24486-2023")</f>
        <v/>
      </c>
    </row>
    <row r="342" ht="15" customHeight="1">
      <c r="A342" t="inlineStr">
        <is>
          <t>A 24920-2023</t>
        </is>
      </c>
      <c r="B342" s="1" t="n">
        <v>45085</v>
      </c>
      <c r="C342" s="1" t="n">
        <v>45724</v>
      </c>
      <c r="D342" t="inlineStr">
        <is>
          <t>VÄSTMANLANDS LÄN</t>
        </is>
      </c>
      <c r="E342" t="inlineStr">
        <is>
          <t>SURAHAMMAR</t>
        </is>
      </c>
      <c r="F342" t="inlineStr">
        <is>
          <t>Allmännings- och besparingsskogar</t>
        </is>
      </c>
      <c r="G342" t="n">
        <v>16.2</v>
      </c>
      <c r="H342" t="n">
        <v>1</v>
      </c>
      <c r="I342" t="n">
        <v>0</v>
      </c>
      <c r="J342" t="n">
        <v>1</v>
      </c>
      <c r="K342" t="n">
        <v>0</v>
      </c>
      <c r="L342" t="n">
        <v>0</v>
      </c>
      <c r="M342" t="n">
        <v>0</v>
      </c>
      <c r="N342" t="n">
        <v>0</v>
      </c>
      <c r="O342" t="n">
        <v>1</v>
      </c>
      <c r="P342" t="n">
        <v>0</v>
      </c>
      <c r="Q342" t="n">
        <v>1</v>
      </c>
      <c r="R342" s="2" t="inlineStr">
        <is>
          <t>Talltita</t>
        </is>
      </c>
      <c r="S342">
        <f>HYPERLINK("https://klasma.github.io/Logging_1907/artfynd/A 24920-2023 artfynd.xlsx", "A 24920-2023")</f>
        <v/>
      </c>
      <c r="T342">
        <f>HYPERLINK("https://klasma.github.io/Logging_1907/kartor/A 24920-2023 karta.png", "A 24920-2023")</f>
        <v/>
      </c>
      <c r="V342">
        <f>HYPERLINK("https://klasma.github.io/Logging_1907/klagomål/A 24920-2023 FSC-klagomål.docx", "A 24920-2023")</f>
        <v/>
      </c>
      <c r="W342">
        <f>HYPERLINK("https://klasma.github.io/Logging_1907/klagomålsmail/A 24920-2023 FSC-klagomål mail.docx", "A 24920-2023")</f>
        <v/>
      </c>
      <c r="X342">
        <f>HYPERLINK("https://klasma.github.io/Logging_1907/tillsyn/A 24920-2023 tillsynsbegäran.docx", "A 24920-2023")</f>
        <v/>
      </c>
      <c r="Y342">
        <f>HYPERLINK("https://klasma.github.io/Logging_1907/tillsynsmail/A 24920-2023 tillsynsbegäran mail.docx", "A 24920-2023")</f>
        <v/>
      </c>
      <c r="Z342">
        <f>HYPERLINK("https://klasma.github.io/Logging_1907/fåglar/A 24920-2023 prioriterade fågelarter.docx", "A 24920-2023")</f>
        <v/>
      </c>
    </row>
    <row r="343" ht="15" customHeight="1">
      <c r="A343" t="inlineStr">
        <is>
          <t>A 27170-2023</t>
        </is>
      </c>
      <c r="B343" s="1" t="n">
        <v>45096</v>
      </c>
      <c r="C343" s="1" t="n">
        <v>45724</v>
      </c>
      <c r="D343" t="inlineStr">
        <is>
          <t>VÄSTMANLANDS LÄN</t>
        </is>
      </c>
      <c r="E343" t="inlineStr">
        <is>
          <t>SURAHAMMAR</t>
        </is>
      </c>
      <c r="F343" t="inlineStr">
        <is>
          <t>Sveaskog</t>
        </is>
      </c>
      <c r="G343" t="n">
        <v>11.3</v>
      </c>
      <c r="H343" t="n">
        <v>0</v>
      </c>
      <c r="I343" t="n">
        <v>1</v>
      </c>
      <c r="J343" t="n">
        <v>0</v>
      </c>
      <c r="K343" t="n">
        <v>0</v>
      </c>
      <c r="L343" t="n">
        <v>0</v>
      </c>
      <c r="M343" t="n">
        <v>0</v>
      </c>
      <c r="N343" t="n">
        <v>0</v>
      </c>
      <c r="O343" t="n">
        <v>0</v>
      </c>
      <c r="P343" t="n">
        <v>0</v>
      </c>
      <c r="Q343" t="n">
        <v>1</v>
      </c>
      <c r="R343" s="2" t="inlineStr">
        <is>
          <t>Vedticka</t>
        </is>
      </c>
      <c r="S343">
        <f>HYPERLINK("https://klasma.github.io/Logging_1907/artfynd/A 27170-2023 artfynd.xlsx", "A 27170-2023")</f>
        <v/>
      </c>
      <c r="T343">
        <f>HYPERLINK("https://klasma.github.io/Logging_1907/kartor/A 27170-2023 karta.png", "A 27170-2023")</f>
        <v/>
      </c>
      <c r="V343">
        <f>HYPERLINK("https://klasma.github.io/Logging_1907/klagomål/A 27170-2023 FSC-klagomål.docx", "A 27170-2023")</f>
        <v/>
      </c>
      <c r="W343">
        <f>HYPERLINK("https://klasma.github.io/Logging_1907/klagomålsmail/A 27170-2023 FSC-klagomål mail.docx", "A 27170-2023")</f>
        <v/>
      </c>
      <c r="X343">
        <f>HYPERLINK("https://klasma.github.io/Logging_1907/tillsyn/A 27170-2023 tillsynsbegäran.docx", "A 27170-2023")</f>
        <v/>
      </c>
      <c r="Y343">
        <f>HYPERLINK("https://klasma.github.io/Logging_1907/tillsynsmail/A 27170-2023 tillsynsbegäran mail.docx", "A 27170-2023")</f>
        <v/>
      </c>
    </row>
    <row r="344" ht="15" customHeight="1">
      <c r="A344" t="inlineStr">
        <is>
          <t>A 28794-2023</t>
        </is>
      </c>
      <c r="B344" s="1" t="n">
        <v>45104</v>
      </c>
      <c r="C344" s="1" t="n">
        <v>45724</v>
      </c>
      <c r="D344" t="inlineStr">
        <is>
          <t>VÄSTMANLANDS LÄN</t>
        </is>
      </c>
      <c r="E344" t="inlineStr">
        <is>
          <t>FAGERSTA</t>
        </is>
      </c>
      <c r="G344" t="n">
        <v>12.2</v>
      </c>
      <c r="H344" t="n">
        <v>1</v>
      </c>
      <c r="I344" t="n">
        <v>0</v>
      </c>
      <c r="J344" t="n">
        <v>1</v>
      </c>
      <c r="K344" t="n">
        <v>0</v>
      </c>
      <c r="L344" t="n">
        <v>0</v>
      </c>
      <c r="M344" t="n">
        <v>0</v>
      </c>
      <c r="N344" t="n">
        <v>0</v>
      </c>
      <c r="O344" t="n">
        <v>1</v>
      </c>
      <c r="P344" t="n">
        <v>0</v>
      </c>
      <c r="Q344" t="n">
        <v>1</v>
      </c>
      <c r="R344" s="2" t="inlineStr">
        <is>
          <t>Spillkråka</t>
        </is>
      </c>
      <c r="S344">
        <f>HYPERLINK("https://klasma.github.io/Logging_1982/artfynd/A 28794-2023 artfynd.xlsx", "A 28794-2023")</f>
        <v/>
      </c>
      <c r="T344">
        <f>HYPERLINK("https://klasma.github.io/Logging_1982/kartor/A 28794-2023 karta.png", "A 28794-2023")</f>
        <v/>
      </c>
      <c r="V344">
        <f>HYPERLINK("https://klasma.github.io/Logging_1982/klagomål/A 28794-2023 FSC-klagomål.docx", "A 28794-2023")</f>
        <v/>
      </c>
      <c r="W344">
        <f>HYPERLINK("https://klasma.github.io/Logging_1982/klagomålsmail/A 28794-2023 FSC-klagomål mail.docx", "A 28794-2023")</f>
        <v/>
      </c>
      <c r="X344">
        <f>HYPERLINK("https://klasma.github.io/Logging_1982/tillsyn/A 28794-2023 tillsynsbegäran.docx", "A 28794-2023")</f>
        <v/>
      </c>
      <c r="Y344">
        <f>HYPERLINK("https://klasma.github.io/Logging_1982/tillsynsmail/A 28794-2023 tillsynsbegäran mail.docx", "A 28794-2023")</f>
        <v/>
      </c>
      <c r="Z344">
        <f>HYPERLINK("https://klasma.github.io/Logging_1982/fåglar/A 28794-2023 prioriterade fågelarter.docx", "A 28794-2023")</f>
        <v/>
      </c>
    </row>
    <row r="345" ht="15" customHeight="1">
      <c r="A345" t="inlineStr">
        <is>
          <t>A 29727-2023</t>
        </is>
      </c>
      <c r="B345" s="1" t="n">
        <v>45107</v>
      </c>
      <c r="C345" s="1" t="n">
        <v>45724</v>
      </c>
      <c r="D345" t="inlineStr">
        <is>
          <t>VÄSTMANLANDS LÄN</t>
        </is>
      </c>
      <c r="E345" t="inlineStr">
        <is>
          <t>SALA</t>
        </is>
      </c>
      <c r="G345" t="n">
        <v>1.9</v>
      </c>
      <c r="H345" t="n">
        <v>0</v>
      </c>
      <c r="I345" t="n">
        <v>0</v>
      </c>
      <c r="J345" t="n">
        <v>1</v>
      </c>
      <c r="K345" t="n">
        <v>0</v>
      </c>
      <c r="L345" t="n">
        <v>0</v>
      </c>
      <c r="M345" t="n">
        <v>0</v>
      </c>
      <c r="N345" t="n">
        <v>0</v>
      </c>
      <c r="O345" t="n">
        <v>1</v>
      </c>
      <c r="P345" t="n">
        <v>0</v>
      </c>
      <c r="Q345" t="n">
        <v>1</v>
      </c>
      <c r="R345" s="2" t="inlineStr">
        <is>
          <t>Vedtrappmossa</t>
        </is>
      </c>
      <c r="S345">
        <f>HYPERLINK("https://klasma.github.io/Logging_1981/artfynd/A 29727-2023 artfynd.xlsx", "A 29727-2023")</f>
        <v/>
      </c>
      <c r="T345">
        <f>HYPERLINK("https://klasma.github.io/Logging_1981/kartor/A 29727-2023 karta.png", "A 29727-2023")</f>
        <v/>
      </c>
      <c r="V345">
        <f>HYPERLINK("https://klasma.github.io/Logging_1981/klagomål/A 29727-2023 FSC-klagomål.docx", "A 29727-2023")</f>
        <v/>
      </c>
      <c r="W345">
        <f>HYPERLINK("https://klasma.github.io/Logging_1981/klagomålsmail/A 29727-2023 FSC-klagomål mail.docx", "A 29727-2023")</f>
        <v/>
      </c>
      <c r="X345">
        <f>HYPERLINK("https://klasma.github.io/Logging_1981/tillsyn/A 29727-2023 tillsynsbegäran.docx", "A 29727-2023")</f>
        <v/>
      </c>
      <c r="Y345">
        <f>HYPERLINK("https://klasma.github.io/Logging_1981/tillsynsmail/A 29727-2023 tillsynsbegäran mail.docx", "A 29727-2023")</f>
        <v/>
      </c>
    </row>
    <row r="346" ht="15" customHeight="1">
      <c r="A346" t="inlineStr">
        <is>
          <t>A 29787-2023</t>
        </is>
      </c>
      <c r="B346" s="1" t="n">
        <v>45107</v>
      </c>
      <c r="C346" s="1" t="n">
        <v>45724</v>
      </c>
      <c r="D346" t="inlineStr">
        <is>
          <t>VÄSTMANLANDS LÄN</t>
        </is>
      </c>
      <c r="E346" t="inlineStr">
        <is>
          <t>VÄSTERÅS</t>
        </is>
      </c>
      <c r="F346" t="inlineStr">
        <is>
          <t>Sveaskog</t>
        </is>
      </c>
      <c r="G346" t="n">
        <v>5.3</v>
      </c>
      <c r="H346" t="n">
        <v>1</v>
      </c>
      <c r="I346" t="n">
        <v>0</v>
      </c>
      <c r="J346" t="n">
        <v>0</v>
      </c>
      <c r="K346" t="n">
        <v>0</v>
      </c>
      <c r="L346" t="n">
        <v>0</v>
      </c>
      <c r="M346" t="n">
        <v>0</v>
      </c>
      <c r="N346" t="n">
        <v>0</v>
      </c>
      <c r="O346" t="n">
        <v>0</v>
      </c>
      <c r="P346" t="n">
        <v>0</v>
      </c>
      <c r="Q346" t="n">
        <v>1</v>
      </c>
      <c r="R346" s="2" t="inlineStr">
        <is>
          <t>Kopparödla</t>
        </is>
      </c>
      <c r="S346">
        <f>HYPERLINK("https://klasma.github.io/Logging_1980/artfynd/A 29787-2023 artfynd.xlsx", "A 29787-2023")</f>
        <v/>
      </c>
      <c r="T346">
        <f>HYPERLINK("https://klasma.github.io/Logging_1980/kartor/A 29787-2023 karta.png", "A 29787-2023")</f>
        <v/>
      </c>
      <c r="V346">
        <f>HYPERLINK("https://klasma.github.io/Logging_1980/klagomål/A 29787-2023 FSC-klagomål.docx", "A 29787-2023")</f>
        <v/>
      </c>
      <c r="W346">
        <f>HYPERLINK("https://klasma.github.io/Logging_1980/klagomålsmail/A 29787-2023 FSC-klagomål mail.docx", "A 29787-2023")</f>
        <v/>
      </c>
      <c r="X346">
        <f>HYPERLINK("https://klasma.github.io/Logging_1980/tillsyn/A 29787-2023 tillsynsbegäran.docx", "A 29787-2023")</f>
        <v/>
      </c>
      <c r="Y346">
        <f>HYPERLINK("https://klasma.github.io/Logging_1980/tillsynsmail/A 29787-2023 tillsynsbegäran mail.docx", "A 29787-2023")</f>
        <v/>
      </c>
    </row>
    <row r="347" ht="15" customHeight="1">
      <c r="A347" t="inlineStr">
        <is>
          <t>A 30074-2023</t>
        </is>
      </c>
      <c r="B347" s="1" t="n">
        <v>45110</v>
      </c>
      <c r="C347" s="1" t="n">
        <v>45724</v>
      </c>
      <c r="D347" t="inlineStr">
        <is>
          <t>VÄSTMANLANDS LÄN</t>
        </is>
      </c>
      <c r="E347" t="inlineStr">
        <is>
          <t>SURAHAMMAR</t>
        </is>
      </c>
      <c r="F347" t="inlineStr">
        <is>
          <t>Sveaskog</t>
        </is>
      </c>
      <c r="G347" t="n">
        <v>1.1</v>
      </c>
      <c r="H347" t="n">
        <v>1</v>
      </c>
      <c r="I347" t="n">
        <v>0</v>
      </c>
      <c r="J347" t="n">
        <v>0</v>
      </c>
      <c r="K347" t="n">
        <v>0</v>
      </c>
      <c r="L347" t="n">
        <v>0</v>
      </c>
      <c r="M347" t="n">
        <v>0</v>
      </c>
      <c r="N347" t="n">
        <v>0</v>
      </c>
      <c r="O347" t="n">
        <v>0</v>
      </c>
      <c r="P347" t="n">
        <v>0</v>
      </c>
      <c r="Q347" t="n">
        <v>1</v>
      </c>
      <c r="R347" s="2" t="inlineStr">
        <is>
          <t>Revlummer</t>
        </is>
      </c>
      <c r="S347">
        <f>HYPERLINK("https://klasma.github.io/Logging_1907/artfynd/A 30074-2023 artfynd.xlsx", "A 30074-2023")</f>
        <v/>
      </c>
      <c r="T347">
        <f>HYPERLINK("https://klasma.github.io/Logging_1907/kartor/A 30074-2023 karta.png", "A 30074-2023")</f>
        <v/>
      </c>
      <c r="V347">
        <f>HYPERLINK("https://klasma.github.io/Logging_1907/klagomål/A 30074-2023 FSC-klagomål.docx", "A 30074-2023")</f>
        <v/>
      </c>
      <c r="W347">
        <f>HYPERLINK("https://klasma.github.io/Logging_1907/klagomålsmail/A 30074-2023 FSC-klagomål mail.docx", "A 30074-2023")</f>
        <v/>
      </c>
      <c r="X347">
        <f>HYPERLINK("https://klasma.github.io/Logging_1907/tillsyn/A 30074-2023 tillsynsbegäran.docx", "A 30074-2023")</f>
        <v/>
      </c>
      <c r="Y347">
        <f>HYPERLINK("https://klasma.github.io/Logging_1907/tillsynsmail/A 30074-2023 tillsynsbegäran mail.docx", "A 30074-2023")</f>
        <v/>
      </c>
    </row>
    <row r="348" ht="15" customHeight="1">
      <c r="A348" t="inlineStr">
        <is>
          <t>A 30073-2023</t>
        </is>
      </c>
      <c r="B348" s="1" t="n">
        <v>45110</v>
      </c>
      <c r="C348" s="1" t="n">
        <v>45724</v>
      </c>
      <c r="D348" t="inlineStr">
        <is>
          <t>VÄSTMANLANDS LÄN</t>
        </is>
      </c>
      <c r="E348" t="inlineStr">
        <is>
          <t>SURAHAMMAR</t>
        </is>
      </c>
      <c r="F348" t="inlineStr">
        <is>
          <t>Sveaskog</t>
        </is>
      </c>
      <c r="G348" t="n">
        <v>4.7</v>
      </c>
      <c r="H348" t="n">
        <v>0</v>
      </c>
      <c r="I348" t="n">
        <v>1</v>
      </c>
      <c r="J348" t="n">
        <v>0</v>
      </c>
      <c r="K348" t="n">
        <v>0</v>
      </c>
      <c r="L348" t="n">
        <v>0</v>
      </c>
      <c r="M348" t="n">
        <v>0</v>
      </c>
      <c r="N348" t="n">
        <v>0</v>
      </c>
      <c r="O348" t="n">
        <v>0</v>
      </c>
      <c r="P348" t="n">
        <v>0</v>
      </c>
      <c r="Q348" t="n">
        <v>1</v>
      </c>
      <c r="R348" s="2" t="inlineStr">
        <is>
          <t>Grönpyrola</t>
        </is>
      </c>
      <c r="S348">
        <f>HYPERLINK("https://klasma.github.io/Logging_1907/artfynd/A 30073-2023 artfynd.xlsx", "A 30073-2023")</f>
        <v/>
      </c>
      <c r="T348">
        <f>HYPERLINK("https://klasma.github.io/Logging_1907/kartor/A 30073-2023 karta.png", "A 30073-2023")</f>
        <v/>
      </c>
      <c r="V348">
        <f>HYPERLINK("https://klasma.github.io/Logging_1907/klagomål/A 30073-2023 FSC-klagomål.docx", "A 30073-2023")</f>
        <v/>
      </c>
      <c r="W348">
        <f>HYPERLINK("https://klasma.github.io/Logging_1907/klagomålsmail/A 30073-2023 FSC-klagomål mail.docx", "A 30073-2023")</f>
        <v/>
      </c>
      <c r="X348">
        <f>HYPERLINK("https://klasma.github.io/Logging_1907/tillsyn/A 30073-2023 tillsynsbegäran.docx", "A 30073-2023")</f>
        <v/>
      </c>
      <c r="Y348">
        <f>HYPERLINK("https://klasma.github.io/Logging_1907/tillsynsmail/A 30073-2023 tillsynsbegäran mail.docx", "A 30073-2023")</f>
        <v/>
      </c>
    </row>
    <row r="349" ht="15" customHeight="1">
      <c r="A349" t="inlineStr">
        <is>
          <t>A 30084-2023</t>
        </is>
      </c>
      <c r="B349" s="1" t="n">
        <v>45110</v>
      </c>
      <c r="C349" s="1" t="n">
        <v>45724</v>
      </c>
      <c r="D349" t="inlineStr">
        <is>
          <t>VÄSTMANLANDS LÄN</t>
        </is>
      </c>
      <c r="E349" t="inlineStr">
        <is>
          <t>VÄSTERÅS</t>
        </is>
      </c>
      <c r="F349" t="inlineStr">
        <is>
          <t>Sveaskog</t>
        </is>
      </c>
      <c r="G349" t="n">
        <v>5.3</v>
      </c>
      <c r="H349" t="n">
        <v>1</v>
      </c>
      <c r="I349" t="n">
        <v>0</v>
      </c>
      <c r="J349" t="n">
        <v>0</v>
      </c>
      <c r="K349" t="n">
        <v>0</v>
      </c>
      <c r="L349" t="n">
        <v>0</v>
      </c>
      <c r="M349" t="n">
        <v>0</v>
      </c>
      <c r="N349" t="n">
        <v>0</v>
      </c>
      <c r="O349" t="n">
        <v>0</v>
      </c>
      <c r="P349" t="n">
        <v>0</v>
      </c>
      <c r="Q349" t="n">
        <v>1</v>
      </c>
      <c r="R349" s="2" t="inlineStr">
        <is>
          <t>Blåsippa</t>
        </is>
      </c>
      <c r="S349">
        <f>HYPERLINK("https://klasma.github.io/Logging_1980/artfynd/A 30084-2023 artfynd.xlsx", "A 30084-2023")</f>
        <v/>
      </c>
      <c r="T349">
        <f>HYPERLINK("https://klasma.github.io/Logging_1980/kartor/A 30084-2023 karta.png", "A 30084-2023")</f>
        <v/>
      </c>
      <c r="V349">
        <f>HYPERLINK("https://klasma.github.io/Logging_1980/klagomål/A 30084-2023 FSC-klagomål.docx", "A 30084-2023")</f>
        <v/>
      </c>
      <c r="W349">
        <f>HYPERLINK("https://klasma.github.io/Logging_1980/klagomålsmail/A 30084-2023 FSC-klagomål mail.docx", "A 30084-2023")</f>
        <v/>
      </c>
      <c r="X349">
        <f>HYPERLINK("https://klasma.github.io/Logging_1980/tillsyn/A 30084-2023 tillsynsbegäran.docx", "A 30084-2023")</f>
        <v/>
      </c>
      <c r="Y349">
        <f>HYPERLINK("https://klasma.github.io/Logging_1980/tillsynsmail/A 30084-2023 tillsynsbegäran mail.docx", "A 30084-2023")</f>
        <v/>
      </c>
    </row>
    <row r="350" ht="15" customHeight="1">
      <c r="A350" t="inlineStr">
        <is>
          <t>A 31354-2023</t>
        </is>
      </c>
      <c r="B350" s="1" t="n">
        <v>45114</v>
      </c>
      <c r="C350" s="1" t="n">
        <v>45724</v>
      </c>
      <c r="D350" t="inlineStr">
        <is>
          <t>VÄSTMANLANDS LÄN</t>
        </is>
      </c>
      <c r="E350" t="inlineStr">
        <is>
          <t>VÄSTERÅS</t>
        </is>
      </c>
      <c r="F350" t="inlineStr">
        <is>
          <t>Sveaskog</t>
        </is>
      </c>
      <c r="G350" t="n">
        <v>5.7</v>
      </c>
      <c r="H350" t="n">
        <v>1</v>
      </c>
      <c r="I350" t="n">
        <v>0</v>
      </c>
      <c r="J350" t="n">
        <v>1</v>
      </c>
      <c r="K350" t="n">
        <v>0</v>
      </c>
      <c r="L350" t="n">
        <v>0</v>
      </c>
      <c r="M350" t="n">
        <v>0</v>
      </c>
      <c r="N350" t="n">
        <v>0</v>
      </c>
      <c r="O350" t="n">
        <v>1</v>
      </c>
      <c r="P350" t="n">
        <v>0</v>
      </c>
      <c r="Q350" t="n">
        <v>1</v>
      </c>
      <c r="R350" s="2" t="inlineStr">
        <is>
          <t>Talltita</t>
        </is>
      </c>
      <c r="S350">
        <f>HYPERLINK("https://klasma.github.io/Logging_1980/artfynd/A 31354-2023 artfynd.xlsx", "A 31354-2023")</f>
        <v/>
      </c>
      <c r="T350">
        <f>HYPERLINK("https://klasma.github.io/Logging_1980/kartor/A 31354-2023 karta.png", "A 31354-2023")</f>
        <v/>
      </c>
      <c r="V350">
        <f>HYPERLINK("https://klasma.github.io/Logging_1980/klagomål/A 31354-2023 FSC-klagomål.docx", "A 31354-2023")</f>
        <v/>
      </c>
      <c r="W350">
        <f>HYPERLINK("https://klasma.github.io/Logging_1980/klagomålsmail/A 31354-2023 FSC-klagomål mail.docx", "A 31354-2023")</f>
        <v/>
      </c>
      <c r="X350">
        <f>HYPERLINK("https://klasma.github.io/Logging_1980/tillsyn/A 31354-2023 tillsynsbegäran.docx", "A 31354-2023")</f>
        <v/>
      </c>
      <c r="Y350">
        <f>HYPERLINK("https://klasma.github.io/Logging_1980/tillsynsmail/A 31354-2023 tillsynsbegäran mail.docx", "A 31354-2023")</f>
        <v/>
      </c>
      <c r="Z350">
        <f>HYPERLINK("https://klasma.github.io/Logging_1980/fåglar/A 31354-2023 prioriterade fågelarter.docx", "A 31354-2023")</f>
        <v/>
      </c>
    </row>
    <row r="351" ht="15" customHeight="1">
      <c r="A351" t="inlineStr">
        <is>
          <t>A 31535-2023</t>
        </is>
      </c>
      <c r="B351" s="1" t="n">
        <v>45116</v>
      </c>
      <c r="C351" s="1" t="n">
        <v>45724</v>
      </c>
      <c r="D351" t="inlineStr">
        <is>
          <t>VÄSTMANLANDS LÄN</t>
        </is>
      </c>
      <c r="E351" t="inlineStr">
        <is>
          <t>SALA</t>
        </is>
      </c>
      <c r="G351" t="n">
        <v>0.9</v>
      </c>
      <c r="H351" t="n">
        <v>0</v>
      </c>
      <c r="I351" t="n">
        <v>0</v>
      </c>
      <c r="J351" t="n">
        <v>1</v>
      </c>
      <c r="K351" t="n">
        <v>0</v>
      </c>
      <c r="L351" t="n">
        <v>0</v>
      </c>
      <c r="M351" t="n">
        <v>0</v>
      </c>
      <c r="N351" t="n">
        <v>0</v>
      </c>
      <c r="O351" t="n">
        <v>1</v>
      </c>
      <c r="P351" t="n">
        <v>0</v>
      </c>
      <c r="Q351" t="n">
        <v>1</v>
      </c>
      <c r="R351" s="2" t="inlineStr">
        <is>
          <t>Orange taggsvamp</t>
        </is>
      </c>
      <c r="S351">
        <f>HYPERLINK("https://klasma.github.io/Logging_1981/artfynd/A 31535-2023 artfynd.xlsx", "A 31535-2023")</f>
        <v/>
      </c>
      <c r="T351">
        <f>HYPERLINK("https://klasma.github.io/Logging_1981/kartor/A 31535-2023 karta.png", "A 31535-2023")</f>
        <v/>
      </c>
      <c r="V351">
        <f>HYPERLINK("https://klasma.github.io/Logging_1981/klagomål/A 31535-2023 FSC-klagomål.docx", "A 31535-2023")</f>
        <v/>
      </c>
      <c r="W351">
        <f>HYPERLINK("https://klasma.github.io/Logging_1981/klagomålsmail/A 31535-2023 FSC-klagomål mail.docx", "A 31535-2023")</f>
        <v/>
      </c>
      <c r="X351">
        <f>HYPERLINK("https://klasma.github.io/Logging_1981/tillsyn/A 31535-2023 tillsynsbegäran.docx", "A 31535-2023")</f>
        <v/>
      </c>
      <c r="Y351">
        <f>HYPERLINK("https://klasma.github.io/Logging_1981/tillsynsmail/A 31535-2023 tillsynsbegäran mail.docx", "A 31535-2023")</f>
        <v/>
      </c>
    </row>
    <row r="352" ht="15" customHeight="1">
      <c r="A352" t="inlineStr">
        <is>
          <t>A 37277-2023</t>
        </is>
      </c>
      <c r="B352" s="1" t="n">
        <v>45156</v>
      </c>
      <c r="C352" s="1" t="n">
        <v>45724</v>
      </c>
      <c r="D352" t="inlineStr">
        <is>
          <t>VÄSTMANLANDS LÄN</t>
        </is>
      </c>
      <c r="E352" t="inlineStr">
        <is>
          <t>SURAHAMMAR</t>
        </is>
      </c>
      <c r="G352" t="n">
        <v>4.3</v>
      </c>
      <c r="H352" t="n">
        <v>1</v>
      </c>
      <c r="I352" t="n">
        <v>0</v>
      </c>
      <c r="J352" t="n">
        <v>0</v>
      </c>
      <c r="K352" t="n">
        <v>1</v>
      </c>
      <c r="L352" t="n">
        <v>0</v>
      </c>
      <c r="M352" t="n">
        <v>0</v>
      </c>
      <c r="N352" t="n">
        <v>0</v>
      </c>
      <c r="O352" t="n">
        <v>1</v>
      </c>
      <c r="P352" t="n">
        <v>1</v>
      </c>
      <c r="Q352" t="n">
        <v>1</v>
      </c>
      <c r="R352" s="2" t="inlineStr">
        <is>
          <t>Bombmurkla</t>
        </is>
      </c>
      <c r="S352">
        <f>HYPERLINK("https://klasma.github.io/Logging_1907/artfynd/A 37277-2023 artfynd.xlsx", "A 37277-2023")</f>
        <v/>
      </c>
      <c r="T352">
        <f>HYPERLINK("https://klasma.github.io/Logging_1907/kartor/A 37277-2023 karta.png", "A 37277-2023")</f>
        <v/>
      </c>
      <c r="V352">
        <f>HYPERLINK("https://klasma.github.io/Logging_1907/klagomål/A 37277-2023 FSC-klagomål.docx", "A 37277-2023")</f>
        <v/>
      </c>
      <c r="W352">
        <f>HYPERLINK("https://klasma.github.io/Logging_1907/klagomålsmail/A 37277-2023 FSC-klagomål mail.docx", "A 37277-2023")</f>
        <v/>
      </c>
      <c r="X352">
        <f>HYPERLINK("https://klasma.github.io/Logging_1907/tillsyn/A 37277-2023 tillsynsbegäran.docx", "A 37277-2023")</f>
        <v/>
      </c>
      <c r="Y352">
        <f>HYPERLINK("https://klasma.github.io/Logging_1907/tillsynsmail/A 37277-2023 tillsynsbegäran mail.docx", "A 37277-2023")</f>
        <v/>
      </c>
    </row>
    <row r="353" ht="15" customHeight="1">
      <c r="A353" t="inlineStr">
        <is>
          <t>A 38849-2023</t>
        </is>
      </c>
      <c r="B353" s="1" t="n">
        <v>45163</v>
      </c>
      <c r="C353" s="1" t="n">
        <v>45724</v>
      </c>
      <c r="D353" t="inlineStr">
        <is>
          <t>VÄSTMANLANDS LÄN</t>
        </is>
      </c>
      <c r="E353" t="inlineStr">
        <is>
          <t>VÄSTERÅS</t>
        </is>
      </c>
      <c r="G353" t="n">
        <v>2.9</v>
      </c>
      <c r="H353" t="n">
        <v>1</v>
      </c>
      <c r="I353" t="n">
        <v>0</v>
      </c>
      <c r="J353" t="n">
        <v>1</v>
      </c>
      <c r="K353" t="n">
        <v>0</v>
      </c>
      <c r="L353" t="n">
        <v>0</v>
      </c>
      <c r="M353" t="n">
        <v>0</v>
      </c>
      <c r="N353" t="n">
        <v>0</v>
      </c>
      <c r="O353" t="n">
        <v>1</v>
      </c>
      <c r="P353" t="n">
        <v>0</v>
      </c>
      <c r="Q353" t="n">
        <v>1</v>
      </c>
      <c r="R353" s="2" t="inlineStr">
        <is>
          <t>Spillkråka</t>
        </is>
      </c>
      <c r="S353">
        <f>HYPERLINK("https://klasma.github.io/Logging_1980/artfynd/A 38849-2023 artfynd.xlsx", "A 38849-2023")</f>
        <v/>
      </c>
      <c r="T353">
        <f>HYPERLINK("https://klasma.github.io/Logging_1980/kartor/A 38849-2023 karta.png", "A 38849-2023")</f>
        <v/>
      </c>
      <c r="V353">
        <f>HYPERLINK("https://klasma.github.io/Logging_1980/klagomål/A 38849-2023 FSC-klagomål.docx", "A 38849-2023")</f>
        <v/>
      </c>
      <c r="W353">
        <f>HYPERLINK("https://klasma.github.io/Logging_1980/klagomålsmail/A 38849-2023 FSC-klagomål mail.docx", "A 38849-2023")</f>
        <v/>
      </c>
      <c r="X353">
        <f>HYPERLINK("https://klasma.github.io/Logging_1980/tillsyn/A 38849-2023 tillsynsbegäran.docx", "A 38849-2023")</f>
        <v/>
      </c>
      <c r="Y353">
        <f>HYPERLINK("https://klasma.github.io/Logging_1980/tillsynsmail/A 38849-2023 tillsynsbegäran mail.docx", "A 38849-2023")</f>
        <v/>
      </c>
      <c r="Z353">
        <f>HYPERLINK("https://klasma.github.io/Logging_1980/fåglar/A 38849-2023 prioriterade fågelarter.docx", "A 38849-2023")</f>
        <v/>
      </c>
    </row>
    <row r="354" ht="15" customHeight="1">
      <c r="A354" t="inlineStr">
        <is>
          <t>A 38712-2023</t>
        </is>
      </c>
      <c r="B354" s="1" t="n">
        <v>45163</v>
      </c>
      <c r="C354" s="1" t="n">
        <v>45724</v>
      </c>
      <c r="D354" t="inlineStr">
        <is>
          <t>VÄSTMANLANDS LÄN</t>
        </is>
      </c>
      <c r="E354" t="inlineStr">
        <is>
          <t>SKINNSKATTEBERG</t>
        </is>
      </c>
      <c r="F354" t="inlineStr">
        <is>
          <t>Sveaskog</t>
        </is>
      </c>
      <c r="G354" t="n">
        <v>8</v>
      </c>
      <c r="H354" t="n">
        <v>1</v>
      </c>
      <c r="I354" t="n">
        <v>0</v>
      </c>
      <c r="J354" t="n">
        <v>0</v>
      </c>
      <c r="K354" t="n">
        <v>0</v>
      </c>
      <c r="L354" t="n">
        <v>0</v>
      </c>
      <c r="M354" t="n">
        <v>0</v>
      </c>
      <c r="N354" t="n">
        <v>0</v>
      </c>
      <c r="O354" t="n">
        <v>0</v>
      </c>
      <c r="P354" t="n">
        <v>0</v>
      </c>
      <c r="Q354" t="n">
        <v>1</v>
      </c>
      <c r="R354" s="2" t="inlineStr">
        <is>
          <t>Grönvit nattviol</t>
        </is>
      </c>
      <c r="S354">
        <f>HYPERLINK("https://klasma.github.io/Logging_1904/artfynd/A 38712-2023 artfynd.xlsx", "A 38712-2023")</f>
        <v/>
      </c>
      <c r="T354">
        <f>HYPERLINK("https://klasma.github.io/Logging_1904/kartor/A 38712-2023 karta.png", "A 38712-2023")</f>
        <v/>
      </c>
      <c r="V354">
        <f>HYPERLINK("https://klasma.github.io/Logging_1904/klagomål/A 38712-2023 FSC-klagomål.docx", "A 38712-2023")</f>
        <v/>
      </c>
      <c r="W354">
        <f>HYPERLINK("https://klasma.github.io/Logging_1904/klagomålsmail/A 38712-2023 FSC-klagomål mail.docx", "A 38712-2023")</f>
        <v/>
      </c>
      <c r="X354">
        <f>HYPERLINK("https://klasma.github.io/Logging_1904/tillsyn/A 38712-2023 tillsynsbegäran.docx", "A 38712-2023")</f>
        <v/>
      </c>
      <c r="Y354">
        <f>HYPERLINK("https://klasma.github.io/Logging_1904/tillsynsmail/A 38712-2023 tillsynsbegäran mail.docx", "A 38712-2023")</f>
        <v/>
      </c>
    </row>
    <row r="355" ht="15" customHeight="1">
      <c r="A355" t="inlineStr">
        <is>
          <t>A 40302-2023</t>
        </is>
      </c>
      <c r="B355" s="1" t="n">
        <v>45169</v>
      </c>
      <c r="C355" s="1" t="n">
        <v>45724</v>
      </c>
      <c r="D355" t="inlineStr">
        <is>
          <t>VÄSTMANLANDS LÄN</t>
        </is>
      </c>
      <c r="E355" t="inlineStr">
        <is>
          <t>VÄSTERÅS</t>
        </is>
      </c>
      <c r="F355" t="inlineStr">
        <is>
          <t>Sveaskog</t>
        </is>
      </c>
      <c r="G355" t="n">
        <v>4.9</v>
      </c>
      <c r="H355" t="n">
        <v>0</v>
      </c>
      <c r="I355" t="n">
        <v>0</v>
      </c>
      <c r="J355" t="n">
        <v>1</v>
      </c>
      <c r="K355" t="n">
        <v>0</v>
      </c>
      <c r="L355" t="n">
        <v>0</v>
      </c>
      <c r="M355" t="n">
        <v>0</v>
      </c>
      <c r="N355" t="n">
        <v>0</v>
      </c>
      <c r="O355" t="n">
        <v>1</v>
      </c>
      <c r="P355" t="n">
        <v>0</v>
      </c>
      <c r="Q355" t="n">
        <v>1</v>
      </c>
      <c r="R355" s="2" t="inlineStr">
        <is>
          <t>Vedskivlav</t>
        </is>
      </c>
      <c r="S355">
        <f>HYPERLINK("https://klasma.github.io/Logging_1980/artfynd/A 40302-2023 artfynd.xlsx", "A 40302-2023")</f>
        <v/>
      </c>
      <c r="T355">
        <f>HYPERLINK("https://klasma.github.io/Logging_1980/kartor/A 40302-2023 karta.png", "A 40302-2023")</f>
        <v/>
      </c>
      <c r="V355">
        <f>HYPERLINK("https://klasma.github.io/Logging_1980/klagomål/A 40302-2023 FSC-klagomål.docx", "A 40302-2023")</f>
        <v/>
      </c>
      <c r="W355">
        <f>HYPERLINK("https://klasma.github.io/Logging_1980/klagomålsmail/A 40302-2023 FSC-klagomål mail.docx", "A 40302-2023")</f>
        <v/>
      </c>
      <c r="X355">
        <f>HYPERLINK("https://klasma.github.io/Logging_1980/tillsyn/A 40302-2023 tillsynsbegäran.docx", "A 40302-2023")</f>
        <v/>
      </c>
      <c r="Y355">
        <f>HYPERLINK("https://klasma.github.io/Logging_1980/tillsynsmail/A 40302-2023 tillsynsbegäran mail.docx", "A 40302-2023")</f>
        <v/>
      </c>
    </row>
    <row r="356" ht="15" customHeight="1">
      <c r="A356" t="inlineStr">
        <is>
          <t>A 41622-2023</t>
        </is>
      </c>
      <c r="B356" s="1" t="n">
        <v>45175</v>
      </c>
      <c r="C356" s="1" t="n">
        <v>45724</v>
      </c>
      <c r="D356" t="inlineStr">
        <is>
          <t>VÄSTMANLANDS LÄN</t>
        </is>
      </c>
      <c r="E356" t="inlineStr">
        <is>
          <t>SURAHAMMAR</t>
        </is>
      </c>
      <c r="G356" t="n">
        <v>0.6</v>
      </c>
      <c r="H356" t="n">
        <v>1</v>
      </c>
      <c r="I356" t="n">
        <v>0</v>
      </c>
      <c r="J356" t="n">
        <v>0</v>
      </c>
      <c r="K356" t="n">
        <v>1</v>
      </c>
      <c r="L356" t="n">
        <v>0</v>
      </c>
      <c r="M356" t="n">
        <v>0</v>
      </c>
      <c r="N356" t="n">
        <v>0</v>
      </c>
      <c r="O356" t="n">
        <v>1</v>
      </c>
      <c r="P356" t="n">
        <v>1</v>
      </c>
      <c r="Q356" t="n">
        <v>1</v>
      </c>
      <c r="R356" s="2" t="inlineStr">
        <is>
          <t>Knärot</t>
        </is>
      </c>
      <c r="S356">
        <f>HYPERLINK("https://klasma.github.io/Logging_1907/artfynd/A 41622-2023 artfynd.xlsx", "A 41622-2023")</f>
        <v/>
      </c>
      <c r="T356">
        <f>HYPERLINK("https://klasma.github.io/Logging_1907/kartor/A 41622-2023 karta.png", "A 41622-2023")</f>
        <v/>
      </c>
      <c r="U356">
        <f>HYPERLINK("https://klasma.github.io/Logging_1907/knärot/A 41622-2023 karta knärot.png", "A 41622-2023")</f>
        <v/>
      </c>
      <c r="V356">
        <f>HYPERLINK("https://klasma.github.io/Logging_1907/klagomål/A 41622-2023 FSC-klagomål.docx", "A 41622-2023")</f>
        <v/>
      </c>
      <c r="W356">
        <f>HYPERLINK("https://klasma.github.io/Logging_1907/klagomålsmail/A 41622-2023 FSC-klagomål mail.docx", "A 41622-2023")</f>
        <v/>
      </c>
      <c r="X356">
        <f>HYPERLINK("https://klasma.github.io/Logging_1907/tillsyn/A 41622-2023 tillsynsbegäran.docx", "A 41622-2023")</f>
        <v/>
      </c>
      <c r="Y356">
        <f>HYPERLINK("https://klasma.github.io/Logging_1907/tillsynsmail/A 41622-2023 tillsynsbegäran mail.docx", "A 41622-2023")</f>
        <v/>
      </c>
    </row>
    <row r="357" ht="15" customHeight="1">
      <c r="A357" t="inlineStr">
        <is>
          <t>A 42194-2023</t>
        </is>
      </c>
      <c r="B357" s="1" t="n">
        <v>45179</v>
      </c>
      <c r="C357" s="1" t="n">
        <v>45724</v>
      </c>
      <c r="D357" t="inlineStr">
        <is>
          <t>VÄSTMANLANDS LÄN</t>
        </is>
      </c>
      <c r="E357" t="inlineStr">
        <is>
          <t>NORBERG</t>
        </is>
      </c>
      <c r="F357" t="inlineStr">
        <is>
          <t>Sveaskog</t>
        </is>
      </c>
      <c r="G357" t="n">
        <v>2.8</v>
      </c>
      <c r="H357" t="n">
        <v>1</v>
      </c>
      <c r="I357" t="n">
        <v>0</v>
      </c>
      <c r="J357" t="n">
        <v>0</v>
      </c>
      <c r="K357" t="n">
        <v>0</v>
      </c>
      <c r="L357" t="n">
        <v>0</v>
      </c>
      <c r="M357" t="n">
        <v>0</v>
      </c>
      <c r="N357" t="n">
        <v>0</v>
      </c>
      <c r="O357" t="n">
        <v>0</v>
      </c>
      <c r="P357" t="n">
        <v>0</v>
      </c>
      <c r="Q357" t="n">
        <v>1</v>
      </c>
      <c r="R357" s="2" t="inlineStr">
        <is>
          <t>Revlummer</t>
        </is>
      </c>
      <c r="S357">
        <f>HYPERLINK("https://klasma.github.io/Logging_1962/artfynd/A 42194-2023 artfynd.xlsx", "A 42194-2023")</f>
        <v/>
      </c>
      <c r="T357">
        <f>HYPERLINK("https://klasma.github.io/Logging_1962/kartor/A 42194-2023 karta.png", "A 42194-2023")</f>
        <v/>
      </c>
      <c r="V357">
        <f>HYPERLINK("https://klasma.github.io/Logging_1962/klagomål/A 42194-2023 FSC-klagomål.docx", "A 42194-2023")</f>
        <v/>
      </c>
      <c r="W357">
        <f>HYPERLINK("https://klasma.github.io/Logging_1962/klagomålsmail/A 42194-2023 FSC-klagomål mail.docx", "A 42194-2023")</f>
        <v/>
      </c>
      <c r="X357">
        <f>HYPERLINK("https://klasma.github.io/Logging_1962/tillsyn/A 42194-2023 tillsynsbegäran.docx", "A 42194-2023")</f>
        <v/>
      </c>
      <c r="Y357">
        <f>HYPERLINK("https://klasma.github.io/Logging_1962/tillsynsmail/A 42194-2023 tillsynsbegäran mail.docx", "A 42194-2023")</f>
        <v/>
      </c>
    </row>
    <row r="358" ht="15" customHeight="1">
      <c r="A358" t="inlineStr">
        <is>
          <t>A 43175-2023</t>
        </is>
      </c>
      <c r="B358" s="1" t="n">
        <v>45183</v>
      </c>
      <c r="C358" s="1" t="n">
        <v>45724</v>
      </c>
      <c r="D358" t="inlineStr">
        <is>
          <t>VÄSTMANLANDS LÄN</t>
        </is>
      </c>
      <c r="E358" t="inlineStr">
        <is>
          <t>SALA</t>
        </is>
      </c>
      <c r="G358" t="n">
        <v>5.6</v>
      </c>
      <c r="H358" t="n">
        <v>0</v>
      </c>
      <c r="I358" t="n">
        <v>1</v>
      </c>
      <c r="J358" t="n">
        <v>0</v>
      </c>
      <c r="K358" t="n">
        <v>0</v>
      </c>
      <c r="L358" t="n">
        <v>0</v>
      </c>
      <c r="M358" t="n">
        <v>0</v>
      </c>
      <c r="N358" t="n">
        <v>0</v>
      </c>
      <c r="O358" t="n">
        <v>0</v>
      </c>
      <c r="P358" t="n">
        <v>0</v>
      </c>
      <c r="Q358" t="n">
        <v>1</v>
      </c>
      <c r="R358" s="2" t="inlineStr">
        <is>
          <t>Grönpyrola</t>
        </is>
      </c>
      <c r="S358">
        <f>HYPERLINK("https://klasma.github.io/Logging_1981/artfynd/A 43175-2023 artfynd.xlsx", "A 43175-2023")</f>
        <v/>
      </c>
      <c r="T358">
        <f>HYPERLINK("https://klasma.github.io/Logging_1981/kartor/A 43175-2023 karta.png", "A 43175-2023")</f>
        <v/>
      </c>
      <c r="V358">
        <f>HYPERLINK("https://klasma.github.io/Logging_1981/klagomål/A 43175-2023 FSC-klagomål.docx", "A 43175-2023")</f>
        <v/>
      </c>
      <c r="W358">
        <f>HYPERLINK("https://klasma.github.io/Logging_1981/klagomålsmail/A 43175-2023 FSC-klagomål mail.docx", "A 43175-2023")</f>
        <v/>
      </c>
      <c r="X358">
        <f>HYPERLINK("https://klasma.github.io/Logging_1981/tillsyn/A 43175-2023 tillsynsbegäran.docx", "A 43175-2023")</f>
        <v/>
      </c>
      <c r="Y358">
        <f>HYPERLINK("https://klasma.github.io/Logging_1981/tillsynsmail/A 43175-2023 tillsynsbegäran mail.docx", "A 43175-2023")</f>
        <v/>
      </c>
    </row>
    <row r="359" ht="15" customHeight="1">
      <c r="A359" t="inlineStr">
        <is>
          <t>A 43802-2023</t>
        </is>
      </c>
      <c r="B359" s="1" t="n">
        <v>45187</v>
      </c>
      <c r="C359" s="1" t="n">
        <v>45724</v>
      </c>
      <c r="D359" t="inlineStr">
        <is>
          <t>VÄSTMANLANDS LÄN</t>
        </is>
      </c>
      <c r="E359" t="inlineStr">
        <is>
          <t>ARBOGA</t>
        </is>
      </c>
      <c r="F359" t="inlineStr">
        <is>
          <t>Sveaskog</t>
        </is>
      </c>
      <c r="G359" t="n">
        <v>1</v>
      </c>
      <c r="H359" t="n">
        <v>0</v>
      </c>
      <c r="I359" t="n">
        <v>0</v>
      </c>
      <c r="J359" t="n">
        <v>1</v>
      </c>
      <c r="K359" t="n">
        <v>0</v>
      </c>
      <c r="L359" t="n">
        <v>0</v>
      </c>
      <c r="M359" t="n">
        <v>0</v>
      </c>
      <c r="N359" t="n">
        <v>0</v>
      </c>
      <c r="O359" t="n">
        <v>1</v>
      </c>
      <c r="P359" t="n">
        <v>0</v>
      </c>
      <c r="Q359" t="n">
        <v>1</v>
      </c>
      <c r="R359" s="2" t="inlineStr">
        <is>
          <t>Ullticka</t>
        </is>
      </c>
      <c r="S359">
        <f>HYPERLINK("https://klasma.github.io/Logging_1984/artfynd/A 43802-2023 artfynd.xlsx", "A 43802-2023")</f>
        <v/>
      </c>
      <c r="T359">
        <f>HYPERLINK("https://klasma.github.io/Logging_1984/kartor/A 43802-2023 karta.png", "A 43802-2023")</f>
        <v/>
      </c>
      <c r="V359">
        <f>HYPERLINK("https://klasma.github.io/Logging_1984/klagomål/A 43802-2023 FSC-klagomål.docx", "A 43802-2023")</f>
        <v/>
      </c>
      <c r="W359">
        <f>HYPERLINK("https://klasma.github.io/Logging_1984/klagomålsmail/A 43802-2023 FSC-klagomål mail.docx", "A 43802-2023")</f>
        <v/>
      </c>
      <c r="X359">
        <f>HYPERLINK("https://klasma.github.io/Logging_1984/tillsyn/A 43802-2023 tillsynsbegäran.docx", "A 43802-2023")</f>
        <v/>
      </c>
      <c r="Y359">
        <f>HYPERLINK("https://klasma.github.io/Logging_1984/tillsynsmail/A 43802-2023 tillsynsbegäran mail.docx", "A 43802-2023")</f>
        <v/>
      </c>
    </row>
    <row r="360" ht="15" customHeight="1">
      <c r="A360" t="inlineStr">
        <is>
          <t>A 45374-2023</t>
        </is>
      </c>
      <c r="B360" s="1" t="n">
        <v>45193</v>
      </c>
      <c r="C360" s="1" t="n">
        <v>45724</v>
      </c>
      <c r="D360" t="inlineStr">
        <is>
          <t>VÄSTMANLANDS LÄN</t>
        </is>
      </c>
      <c r="E360" t="inlineStr">
        <is>
          <t>SKINNSKATTEBERG</t>
        </is>
      </c>
      <c r="F360" t="inlineStr">
        <is>
          <t>Sveaskog</t>
        </is>
      </c>
      <c r="G360" t="n">
        <v>3.5</v>
      </c>
      <c r="H360" t="n">
        <v>0</v>
      </c>
      <c r="I360" t="n">
        <v>1</v>
      </c>
      <c r="J360" t="n">
        <v>0</v>
      </c>
      <c r="K360" t="n">
        <v>0</v>
      </c>
      <c r="L360" t="n">
        <v>0</v>
      </c>
      <c r="M360" t="n">
        <v>0</v>
      </c>
      <c r="N360" t="n">
        <v>0</v>
      </c>
      <c r="O360" t="n">
        <v>0</v>
      </c>
      <c r="P360" t="n">
        <v>0</v>
      </c>
      <c r="Q360" t="n">
        <v>1</v>
      </c>
      <c r="R360" s="2" t="inlineStr">
        <is>
          <t>Purpurmylia</t>
        </is>
      </c>
      <c r="S360">
        <f>HYPERLINK("https://klasma.github.io/Logging_1904/artfynd/A 45374-2023 artfynd.xlsx", "A 45374-2023")</f>
        <v/>
      </c>
      <c r="T360">
        <f>HYPERLINK("https://klasma.github.io/Logging_1904/kartor/A 45374-2023 karta.png", "A 45374-2023")</f>
        <v/>
      </c>
      <c r="V360">
        <f>HYPERLINK("https://klasma.github.io/Logging_1904/klagomål/A 45374-2023 FSC-klagomål.docx", "A 45374-2023")</f>
        <v/>
      </c>
      <c r="W360">
        <f>HYPERLINK("https://klasma.github.io/Logging_1904/klagomålsmail/A 45374-2023 FSC-klagomål mail.docx", "A 45374-2023")</f>
        <v/>
      </c>
      <c r="X360">
        <f>HYPERLINK("https://klasma.github.io/Logging_1904/tillsyn/A 45374-2023 tillsynsbegäran.docx", "A 45374-2023")</f>
        <v/>
      </c>
      <c r="Y360">
        <f>HYPERLINK("https://klasma.github.io/Logging_1904/tillsynsmail/A 45374-2023 tillsynsbegäran mail.docx", "A 45374-2023")</f>
        <v/>
      </c>
    </row>
    <row r="361" ht="15" customHeight="1">
      <c r="A361" t="inlineStr">
        <is>
          <t>A 47695-2023</t>
        </is>
      </c>
      <c r="B361" s="1" t="n">
        <v>45203</v>
      </c>
      <c r="C361" s="1" t="n">
        <v>45724</v>
      </c>
      <c r="D361" t="inlineStr">
        <is>
          <t>VÄSTMANLANDS LÄN</t>
        </is>
      </c>
      <c r="E361" t="inlineStr">
        <is>
          <t>VÄSTERÅS</t>
        </is>
      </c>
      <c r="G361" t="n">
        <v>6</v>
      </c>
      <c r="H361" t="n">
        <v>0</v>
      </c>
      <c r="I361" t="n">
        <v>1</v>
      </c>
      <c r="J361" t="n">
        <v>0</v>
      </c>
      <c r="K361" t="n">
        <v>0</v>
      </c>
      <c r="L361" t="n">
        <v>0</v>
      </c>
      <c r="M361" t="n">
        <v>0</v>
      </c>
      <c r="N361" t="n">
        <v>0</v>
      </c>
      <c r="O361" t="n">
        <v>0</v>
      </c>
      <c r="P361" t="n">
        <v>0</v>
      </c>
      <c r="Q361" t="n">
        <v>1</v>
      </c>
      <c r="R361" s="2" t="inlineStr">
        <is>
          <t>Hasselticka</t>
        </is>
      </c>
      <c r="S361">
        <f>HYPERLINK("https://klasma.github.io/Logging_1980/artfynd/A 47695-2023 artfynd.xlsx", "A 47695-2023")</f>
        <v/>
      </c>
      <c r="T361">
        <f>HYPERLINK("https://klasma.github.io/Logging_1980/kartor/A 47695-2023 karta.png", "A 47695-2023")</f>
        <v/>
      </c>
      <c r="V361">
        <f>HYPERLINK("https://klasma.github.io/Logging_1980/klagomål/A 47695-2023 FSC-klagomål.docx", "A 47695-2023")</f>
        <v/>
      </c>
      <c r="W361">
        <f>HYPERLINK("https://klasma.github.io/Logging_1980/klagomålsmail/A 47695-2023 FSC-klagomål mail.docx", "A 47695-2023")</f>
        <v/>
      </c>
      <c r="X361">
        <f>HYPERLINK("https://klasma.github.io/Logging_1980/tillsyn/A 47695-2023 tillsynsbegäran.docx", "A 47695-2023")</f>
        <v/>
      </c>
      <c r="Y361">
        <f>HYPERLINK("https://klasma.github.io/Logging_1980/tillsynsmail/A 47695-2023 tillsynsbegäran mail.docx", "A 47695-2023")</f>
        <v/>
      </c>
    </row>
    <row r="362" ht="15" customHeight="1">
      <c r="A362" t="inlineStr">
        <is>
          <t>A 52476-2023</t>
        </is>
      </c>
      <c r="B362" s="1" t="n">
        <v>45225</v>
      </c>
      <c r="C362" s="1" t="n">
        <v>45724</v>
      </c>
      <c r="D362" t="inlineStr">
        <is>
          <t>VÄSTMANLANDS LÄN</t>
        </is>
      </c>
      <c r="E362" t="inlineStr">
        <is>
          <t>KÖPING</t>
        </is>
      </c>
      <c r="F362" t="inlineStr">
        <is>
          <t>Sveaskog</t>
        </is>
      </c>
      <c r="G362" t="n">
        <v>1.9</v>
      </c>
      <c r="H362" t="n">
        <v>0</v>
      </c>
      <c r="I362" t="n">
        <v>1</v>
      </c>
      <c r="J362" t="n">
        <v>0</v>
      </c>
      <c r="K362" t="n">
        <v>0</v>
      </c>
      <c r="L362" t="n">
        <v>0</v>
      </c>
      <c r="M362" t="n">
        <v>0</v>
      </c>
      <c r="N362" t="n">
        <v>0</v>
      </c>
      <c r="O362" t="n">
        <v>0</v>
      </c>
      <c r="P362" t="n">
        <v>0</v>
      </c>
      <c r="Q362" t="n">
        <v>1</v>
      </c>
      <c r="R362" s="2" t="inlineStr">
        <is>
          <t>Bårdlav</t>
        </is>
      </c>
      <c r="S362">
        <f>HYPERLINK("https://klasma.github.io/Logging_1983/artfynd/A 52476-2023 artfynd.xlsx", "A 52476-2023")</f>
        <v/>
      </c>
      <c r="T362">
        <f>HYPERLINK("https://klasma.github.io/Logging_1983/kartor/A 52476-2023 karta.png", "A 52476-2023")</f>
        <v/>
      </c>
      <c r="V362">
        <f>HYPERLINK("https://klasma.github.io/Logging_1983/klagomål/A 52476-2023 FSC-klagomål.docx", "A 52476-2023")</f>
        <v/>
      </c>
      <c r="W362">
        <f>HYPERLINK("https://klasma.github.io/Logging_1983/klagomålsmail/A 52476-2023 FSC-klagomål mail.docx", "A 52476-2023")</f>
        <v/>
      </c>
      <c r="X362">
        <f>HYPERLINK("https://klasma.github.io/Logging_1983/tillsyn/A 52476-2023 tillsynsbegäran.docx", "A 52476-2023")</f>
        <v/>
      </c>
      <c r="Y362">
        <f>HYPERLINK("https://klasma.github.io/Logging_1983/tillsynsmail/A 52476-2023 tillsynsbegäran mail.docx", "A 52476-2023")</f>
        <v/>
      </c>
    </row>
    <row r="363" ht="15" customHeight="1">
      <c r="A363" t="inlineStr">
        <is>
          <t>A 55550-2023</t>
        </is>
      </c>
      <c r="B363" s="1" t="n">
        <v>45232</v>
      </c>
      <c r="C363" s="1" t="n">
        <v>45724</v>
      </c>
      <c r="D363" t="inlineStr">
        <is>
          <t>VÄSTMANLANDS LÄN</t>
        </is>
      </c>
      <c r="E363" t="inlineStr">
        <is>
          <t>SALA</t>
        </is>
      </c>
      <c r="G363" t="n">
        <v>9.9</v>
      </c>
      <c r="H363" t="n">
        <v>1</v>
      </c>
      <c r="I363" t="n">
        <v>0</v>
      </c>
      <c r="J363" t="n">
        <v>0</v>
      </c>
      <c r="K363" t="n">
        <v>1</v>
      </c>
      <c r="L363" t="n">
        <v>0</v>
      </c>
      <c r="M363" t="n">
        <v>0</v>
      </c>
      <c r="N363" t="n">
        <v>0</v>
      </c>
      <c r="O363" t="n">
        <v>1</v>
      </c>
      <c r="P363" t="n">
        <v>1</v>
      </c>
      <c r="Q363" t="n">
        <v>1</v>
      </c>
      <c r="R363" s="2" t="inlineStr">
        <is>
          <t>Knärot</t>
        </is>
      </c>
      <c r="S363">
        <f>HYPERLINK("https://klasma.github.io/Logging_1981/artfynd/A 55550-2023 artfynd.xlsx", "A 55550-2023")</f>
        <v/>
      </c>
      <c r="T363">
        <f>HYPERLINK("https://klasma.github.io/Logging_1981/kartor/A 55550-2023 karta.png", "A 55550-2023")</f>
        <v/>
      </c>
      <c r="U363">
        <f>HYPERLINK("https://klasma.github.io/Logging_1981/knärot/A 55550-2023 karta knärot.png", "A 55550-2023")</f>
        <v/>
      </c>
      <c r="V363">
        <f>HYPERLINK("https://klasma.github.io/Logging_1981/klagomål/A 55550-2023 FSC-klagomål.docx", "A 55550-2023")</f>
        <v/>
      </c>
      <c r="W363">
        <f>HYPERLINK("https://klasma.github.io/Logging_1981/klagomålsmail/A 55550-2023 FSC-klagomål mail.docx", "A 55550-2023")</f>
        <v/>
      </c>
      <c r="X363">
        <f>HYPERLINK("https://klasma.github.io/Logging_1981/tillsyn/A 55550-2023 tillsynsbegäran.docx", "A 55550-2023")</f>
        <v/>
      </c>
      <c r="Y363">
        <f>HYPERLINK("https://klasma.github.io/Logging_1981/tillsynsmail/A 55550-2023 tillsynsbegäran mail.docx", "A 55550-2023")</f>
        <v/>
      </c>
    </row>
    <row r="364" ht="15" customHeight="1">
      <c r="A364" t="inlineStr">
        <is>
          <t>A 55684-2023</t>
        </is>
      </c>
      <c r="B364" s="1" t="n">
        <v>45232</v>
      </c>
      <c r="C364" s="1" t="n">
        <v>45724</v>
      </c>
      <c r="D364" t="inlineStr">
        <is>
          <t>VÄSTMANLANDS LÄN</t>
        </is>
      </c>
      <c r="E364" t="inlineStr">
        <is>
          <t>VÄSTERÅS</t>
        </is>
      </c>
      <c r="F364" t="inlineStr">
        <is>
          <t>Övriga Aktiebolag</t>
        </is>
      </c>
      <c r="G364" t="n">
        <v>29.4</v>
      </c>
      <c r="H364" t="n">
        <v>0</v>
      </c>
      <c r="I364" t="n">
        <v>0</v>
      </c>
      <c r="J364" t="n">
        <v>1</v>
      </c>
      <c r="K364" t="n">
        <v>0</v>
      </c>
      <c r="L364" t="n">
        <v>0</v>
      </c>
      <c r="M364" t="n">
        <v>0</v>
      </c>
      <c r="N364" t="n">
        <v>0</v>
      </c>
      <c r="O364" t="n">
        <v>1</v>
      </c>
      <c r="P364" t="n">
        <v>0</v>
      </c>
      <c r="Q364" t="n">
        <v>1</v>
      </c>
      <c r="R364" s="2" t="inlineStr">
        <is>
          <t>Mindre timmerman</t>
        </is>
      </c>
      <c r="S364">
        <f>HYPERLINK("https://klasma.github.io/Logging_1980/artfynd/A 55684-2023 artfynd.xlsx", "A 55684-2023")</f>
        <v/>
      </c>
      <c r="T364">
        <f>HYPERLINK("https://klasma.github.io/Logging_1980/kartor/A 55684-2023 karta.png", "A 55684-2023")</f>
        <v/>
      </c>
      <c r="V364">
        <f>HYPERLINK("https://klasma.github.io/Logging_1980/klagomål/A 55684-2023 FSC-klagomål.docx", "A 55684-2023")</f>
        <v/>
      </c>
      <c r="W364">
        <f>HYPERLINK("https://klasma.github.io/Logging_1980/klagomålsmail/A 55684-2023 FSC-klagomål mail.docx", "A 55684-2023")</f>
        <v/>
      </c>
      <c r="X364">
        <f>HYPERLINK("https://klasma.github.io/Logging_1980/tillsyn/A 55684-2023 tillsynsbegäran.docx", "A 55684-2023")</f>
        <v/>
      </c>
      <c r="Y364">
        <f>HYPERLINK("https://klasma.github.io/Logging_1980/tillsynsmail/A 55684-2023 tillsynsbegäran mail.docx", "A 55684-2023")</f>
        <v/>
      </c>
    </row>
    <row r="365" ht="15" customHeight="1">
      <c r="A365" t="inlineStr">
        <is>
          <t>A 56362-2023</t>
        </is>
      </c>
      <c r="B365" s="1" t="n">
        <v>45236</v>
      </c>
      <c r="C365" s="1" t="n">
        <v>45724</v>
      </c>
      <c r="D365" t="inlineStr">
        <is>
          <t>VÄSTMANLANDS LÄN</t>
        </is>
      </c>
      <c r="E365" t="inlineStr">
        <is>
          <t>SURAHAMMAR</t>
        </is>
      </c>
      <c r="F365" t="inlineStr">
        <is>
          <t>Bergvik skog väst AB</t>
        </is>
      </c>
      <c r="G365" t="n">
        <v>15.2</v>
      </c>
      <c r="H365" t="n">
        <v>0</v>
      </c>
      <c r="I365" t="n">
        <v>1</v>
      </c>
      <c r="J365" t="n">
        <v>0</v>
      </c>
      <c r="K365" t="n">
        <v>0</v>
      </c>
      <c r="L365" t="n">
        <v>0</v>
      </c>
      <c r="M365" t="n">
        <v>0</v>
      </c>
      <c r="N365" t="n">
        <v>0</v>
      </c>
      <c r="O365" t="n">
        <v>0</v>
      </c>
      <c r="P365" t="n">
        <v>0</v>
      </c>
      <c r="Q365" t="n">
        <v>1</v>
      </c>
      <c r="R365" s="2" t="inlineStr">
        <is>
          <t>Grönpyrola</t>
        </is>
      </c>
      <c r="S365">
        <f>HYPERLINK("https://klasma.github.io/Logging_1907/artfynd/A 56362-2023 artfynd.xlsx", "A 56362-2023")</f>
        <v/>
      </c>
      <c r="T365">
        <f>HYPERLINK("https://klasma.github.io/Logging_1907/kartor/A 56362-2023 karta.png", "A 56362-2023")</f>
        <v/>
      </c>
      <c r="V365">
        <f>HYPERLINK("https://klasma.github.io/Logging_1907/klagomål/A 56362-2023 FSC-klagomål.docx", "A 56362-2023")</f>
        <v/>
      </c>
      <c r="W365">
        <f>HYPERLINK("https://klasma.github.io/Logging_1907/klagomålsmail/A 56362-2023 FSC-klagomål mail.docx", "A 56362-2023")</f>
        <v/>
      </c>
      <c r="X365">
        <f>HYPERLINK("https://klasma.github.io/Logging_1907/tillsyn/A 56362-2023 tillsynsbegäran.docx", "A 56362-2023")</f>
        <v/>
      </c>
      <c r="Y365">
        <f>HYPERLINK("https://klasma.github.io/Logging_1907/tillsynsmail/A 56362-2023 tillsynsbegäran mail.docx", "A 56362-2023")</f>
        <v/>
      </c>
    </row>
    <row r="366" ht="15" customHeight="1">
      <c r="A366" t="inlineStr">
        <is>
          <t>A 55157-2023</t>
        </is>
      </c>
      <c r="B366" s="1" t="n">
        <v>45237</v>
      </c>
      <c r="C366" s="1" t="n">
        <v>45724</v>
      </c>
      <c r="D366" t="inlineStr">
        <is>
          <t>VÄSTMANLANDS LÄN</t>
        </is>
      </c>
      <c r="E366" t="inlineStr">
        <is>
          <t>KÖPING</t>
        </is>
      </c>
      <c r="G366" t="n">
        <v>6.7</v>
      </c>
      <c r="H366" t="n">
        <v>1</v>
      </c>
      <c r="I366" t="n">
        <v>0</v>
      </c>
      <c r="J366" t="n">
        <v>0</v>
      </c>
      <c r="K366" t="n">
        <v>0</v>
      </c>
      <c r="L366" t="n">
        <v>0</v>
      </c>
      <c r="M366" t="n">
        <v>0</v>
      </c>
      <c r="N366" t="n">
        <v>0</v>
      </c>
      <c r="O366" t="n">
        <v>0</v>
      </c>
      <c r="P366" t="n">
        <v>0</v>
      </c>
      <c r="Q366" t="n">
        <v>1</v>
      </c>
      <c r="R366" s="2" t="inlineStr">
        <is>
          <t>Nattviol</t>
        </is>
      </c>
      <c r="S366">
        <f>HYPERLINK("https://klasma.github.io/Logging_1983/artfynd/A 55157-2023 artfynd.xlsx", "A 55157-2023")</f>
        <v/>
      </c>
      <c r="T366">
        <f>HYPERLINK("https://klasma.github.io/Logging_1983/kartor/A 55157-2023 karta.png", "A 55157-2023")</f>
        <v/>
      </c>
      <c r="V366">
        <f>HYPERLINK("https://klasma.github.io/Logging_1983/klagomål/A 55157-2023 FSC-klagomål.docx", "A 55157-2023")</f>
        <v/>
      </c>
      <c r="W366">
        <f>HYPERLINK("https://klasma.github.io/Logging_1983/klagomålsmail/A 55157-2023 FSC-klagomål mail.docx", "A 55157-2023")</f>
        <v/>
      </c>
      <c r="X366">
        <f>HYPERLINK("https://klasma.github.io/Logging_1983/tillsyn/A 55157-2023 tillsynsbegäran.docx", "A 55157-2023")</f>
        <v/>
      </c>
      <c r="Y366">
        <f>HYPERLINK("https://klasma.github.io/Logging_1983/tillsynsmail/A 55157-2023 tillsynsbegäran mail.docx", "A 55157-2023")</f>
        <v/>
      </c>
    </row>
    <row r="367" ht="15" customHeight="1">
      <c r="A367" t="inlineStr">
        <is>
          <t>A 58244-2023</t>
        </is>
      </c>
      <c r="B367" s="1" t="n">
        <v>45250</v>
      </c>
      <c r="C367" s="1" t="n">
        <v>45724</v>
      </c>
      <c r="D367" t="inlineStr">
        <is>
          <t>VÄSTMANLANDS LÄN</t>
        </is>
      </c>
      <c r="E367" t="inlineStr">
        <is>
          <t>SKINNSKATTEBERG</t>
        </is>
      </c>
      <c r="F367" t="inlineStr">
        <is>
          <t>Sveaskog</t>
        </is>
      </c>
      <c r="G367" t="n">
        <v>7.6</v>
      </c>
      <c r="H367" t="n">
        <v>0</v>
      </c>
      <c r="I367" t="n">
        <v>0</v>
      </c>
      <c r="J367" t="n">
        <v>1</v>
      </c>
      <c r="K367" t="n">
        <v>0</v>
      </c>
      <c r="L367" t="n">
        <v>0</v>
      </c>
      <c r="M367" t="n">
        <v>0</v>
      </c>
      <c r="N367" t="n">
        <v>0</v>
      </c>
      <c r="O367" t="n">
        <v>1</v>
      </c>
      <c r="P367" t="n">
        <v>0</v>
      </c>
      <c r="Q367" t="n">
        <v>1</v>
      </c>
      <c r="R367" s="2" t="inlineStr">
        <is>
          <t>Motaggsvamp</t>
        </is>
      </c>
      <c r="S367">
        <f>HYPERLINK("https://klasma.github.io/Logging_1904/artfynd/A 58244-2023 artfynd.xlsx", "A 58244-2023")</f>
        <v/>
      </c>
      <c r="T367">
        <f>HYPERLINK("https://klasma.github.io/Logging_1904/kartor/A 58244-2023 karta.png", "A 58244-2023")</f>
        <v/>
      </c>
      <c r="V367">
        <f>HYPERLINK("https://klasma.github.io/Logging_1904/klagomål/A 58244-2023 FSC-klagomål.docx", "A 58244-2023")</f>
        <v/>
      </c>
      <c r="W367">
        <f>HYPERLINK("https://klasma.github.io/Logging_1904/klagomålsmail/A 58244-2023 FSC-klagomål mail.docx", "A 58244-2023")</f>
        <v/>
      </c>
      <c r="X367">
        <f>HYPERLINK("https://klasma.github.io/Logging_1904/tillsyn/A 58244-2023 tillsynsbegäran.docx", "A 58244-2023")</f>
        <v/>
      </c>
      <c r="Y367">
        <f>HYPERLINK("https://klasma.github.io/Logging_1904/tillsynsmail/A 58244-2023 tillsynsbegäran mail.docx", "A 58244-2023")</f>
        <v/>
      </c>
    </row>
    <row r="368" ht="15" customHeight="1">
      <c r="A368" t="inlineStr">
        <is>
          <t>A 61254-2023</t>
        </is>
      </c>
      <c r="B368" s="1" t="n">
        <v>45264</v>
      </c>
      <c r="C368" s="1" t="n">
        <v>45724</v>
      </c>
      <c r="D368" t="inlineStr">
        <is>
          <t>VÄSTMANLANDS LÄN</t>
        </is>
      </c>
      <c r="E368" t="inlineStr">
        <is>
          <t>VÄSTERÅS</t>
        </is>
      </c>
      <c r="G368" t="n">
        <v>0.8</v>
      </c>
      <c r="H368" t="n">
        <v>1</v>
      </c>
      <c r="I368" t="n">
        <v>0</v>
      </c>
      <c r="J368" t="n">
        <v>0</v>
      </c>
      <c r="K368" t="n">
        <v>0</v>
      </c>
      <c r="L368" t="n">
        <v>0</v>
      </c>
      <c r="M368" t="n">
        <v>0</v>
      </c>
      <c r="N368" t="n">
        <v>0</v>
      </c>
      <c r="O368" t="n">
        <v>0</v>
      </c>
      <c r="P368" t="n">
        <v>0</v>
      </c>
      <c r="Q368" t="n">
        <v>1</v>
      </c>
      <c r="R368" s="2" t="inlineStr">
        <is>
          <t>Mistel</t>
        </is>
      </c>
      <c r="S368">
        <f>HYPERLINK("https://klasma.github.io/Logging_1980/artfynd/A 61254-2023 artfynd.xlsx", "A 61254-2023")</f>
        <v/>
      </c>
      <c r="T368">
        <f>HYPERLINK("https://klasma.github.io/Logging_1980/kartor/A 61254-2023 karta.png", "A 61254-2023")</f>
        <v/>
      </c>
      <c r="V368">
        <f>HYPERLINK("https://klasma.github.io/Logging_1980/klagomål/A 61254-2023 FSC-klagomål.docx", "A 61254-2023")</f>
        <v/>
      </c>
      <c r="W368">
        <f>HYPERLINK("https://klasma.github.io/Logging_1980/klagomålsmail/A 61254-2023 FSC-klagomål mail.docx", "A 61254-2023")</f>
        <v/>
      </c>
      <c r="X368">
        <f>HYPERLINK("https://klasma.github.io/Logging_1980/tillsyn/A 61254-2023 tillsynsbegäran.docx", "A 61254-2023")</f>
        <v/>
      </c>
      <c r="Y368">
        <f>HYPERLINK("https://klasma.github.io/Logging_1980/tillsynsmail/A 61254-2023 tillsynsbegäran mail.docx", "A 61254-2023")</f>
        <v/>
      </c>
    </row>
    <row r="369" ht="15" customHeight="1">
      <c r="A369" t="inlineStr">
        <is>
          <t>A 3534-2024</t>
        </is>
      </c>
      <c r="B369" s="1" t="n">
        <v>45320</v>
      </c>
      <c r="C369" s="1" t="n">
        <v>45724</v>
      </c>
      <c r="D369" t="inlineStr">
        <is>
          <t>VÄSTMANLANDS LÄN</t>
        </is>
      </c>
      <c r="E369" t="inlineStr">
        <is>
          <t>SALA</t>
        </is>
      </c>
      <c r="G369" t="n">
        <v>1.9</v>
      </c>
      <c r="H369" t="n">
        <v>1</v>
      </c>
      <c r="I369" t="n">
        <v>0</v>
      </c>
      <c r="J369" t="n">
        <v>0</v>
      </c>
      <c r="K369" t="n">
        <v>0</v>
      </c>
      <c r="L369" t="n">
        <v>1</v>
      </c>
      <c r="M369" t="n">
        <v>0</v>
      </c>
      <c r="N369" t="n">
        <v>0</v>
      </c>
      <c r="O369" t="n">
        <v>1</v>
      </c>
      <c r="P369" t="n">
        <v>1</v>
      </c>
      <c r="Q369" t="n">
        <v>1</v>
      </c>
      <c r="R369" s="2" t="inlineStr">
        <is>
          <t>Mosippa</t>
        </is>
      </c>
      <c r="S369">
        <f>HYPERLINK("https://klasma.github.io/Logging_1981/artfynd/A 3534-2024 artfynd.xlsx", "A 3534-2024")</f>
        <v/>
      </c>
      <c r="T369">
        <f>HYPERLINK("https://klasma.github.io/Logging_1981/kartor/A 3534-2024 karta.png", "A 3534-2024")</f>
        <v/>
      </c>
      <c r="V369">
        <f>HYPERLINK("https://klasma.github.io/Logging_1981/klagomål/A 3534-2024 FSC-klagomål.docx", "A 3534-2024")</f>
        <v/>
      </c>
      <c r="W369">
        <f>HYPERLINK("https://klasma.github.io/Logging_1981/klagomålsmail/A 3534-2024 FSC-klagomål mail.docx", "A 3534-2024")</f>
        <v/>
      </c>
      <c r="X369">
        <f>HYPERLINK("https://klasma.github.io/Logging_1981/tillsyn/A 3534-2024 tillsynsbegäran.docx", "A 3534-2024")</f>
        <v/>
      </c>
      <c r="Y369">
        <f>HYPERLINK("https://klasma.github.io/Logging_1981/tillsynsmail/A 3534-2024 tillsynsbegäran mail.docx", "A 3534-2024")</f>
        <v/>
      </c>
    </row>
    <row r="370" ht="15" customHeight="1">
      <c r="A370" t="inlineStr">
        <is>
          <t>A 3649-2024</t>
        </is>
      </c>
      <c r="B370" s="1" t="n">
        <v>45321</v>
      </c>
      <c r="C370" s="1" t="n">
        <v>45724</v>
      </c>
      <c r="D370" t="inlineStr">
        <is>
          <t>VÄSTMANLANDS LÄN</t>
        </is>
      </c>
      <c r="E370" t="inlineStr">
        <is>
          <t>SURAHAMMAR</t>
        </is>
      </c>
      <c r="F370" t="inlineStr">
        <is>
          <t>Övriga Aktiebolag</t>
        </is>
      </c>
      <c r="G370" t="n">
        <v>9.300000000000001</v>
      </c>
      <c r="H370" t="n">
        <v>1</v>
      </c>
      <c r="I370" t="n">
        <v>0</v>
      </c>
      <c r="J370" t="n">
        <v>0</v>
      </c>
      <c r="K370" t="n">
        <v>1</v>
      </c>
      <c r="L370" t="n">
        <v>0</v>
      </c>
      <c r="M370" t="n">
        <v>0</v>
      </c>
      <c r="N370" t="n">
        <v>0</v>
      </c>
      <c r="O370" t="n">
        <v>1</v>
      </c>
      <c r="P370" t="n">
        <v>1</v>
      </c>
      <c r="Q370" t="n">
        <v>1</v>
      </c>
      <c r="R370" s="2" t="inlineStr">
        <is>
          <t>Väddnätfjäril</t>
        </is>
      </c>
      <c r="S370">
        <f>HYPERLINK("https://klasma.github.io/Logging_1907/artfynd/A 3649-2024 artfynd.xlsx", "A 3649-2024")</f>
        <v/>
      </c>
      <c r="T370">
        <f>HYPERLINK("https://klasma.github.io/Logging_1907/kartor/A 3649-2024 karta.png", "A 3649-2024")</f>
        <v/>
      </c>
      <c r="V370">
        <f>HYPERLINK("https://klasma.github.io/Logging_1907/klagomål/A 3649-2024 FSC-klagomål.docx", "A 3649-2024")</f>
        <v/>
      </c>
      <c r="W370">
        <f>HYPERLINK("https://klasma.github.io/Logging_1907/klagomålsmail/A 3649-2024 FSC-klagomål mail.docx", "A 3649-2024")</f>
        <v/>
      </c>
      <c r="X370">
        <f>HYPERLINK("https://klasma.github.io/Logging_1907/tillsyn/A 3649-2024 tillsynsbegäran.docx", "A 3649-2024")</f>
        <v/>
      </c>
      <c r="Y370">
        <f>HYPERLINK("https://klasma.github.io/Logging_1907/tillsynsmail/A 3649-2024 tillsynsbegäran mail.docx", "A 3649-2024")</f>
        <v/>
      </c>
    </row>
    <row r="371" ht="15" customHeight="1">
      <c r="A371" t="inlineStr">
        <is>
          <t>A 3927-2024</t>
        </is>
      </c>
      <c r="B371" s="1" t="n">
        <v>45322</v>
      </c>
      <c r="C371" s="1" t="n">
        <v>45724</v>
      </c>
      <c r="D371" t="inlineStr">
        <is>
          <t>VÄSTMANLANDS LÄN</t>
        </is>
      </c>
      <c r="E371" t="inlineStr">
        <is>
          <t>KÖPING</t>
        </is>
      </c>
      <c r="G371" t="n">
        <v>4.8</v>
      </c>
      <c r="H371" t="n">
        <v>0</v>
      </c>
      <c r="I371" t="n">
        <v>0</v>
      </c>
      <c r="J371" t="n">
        <v>1</v>
      </c>
      <c r="K371" t="n">
        <v>0</v>
      </c>
      <c r="L371" t="n">
        <v>0</v>
      </c>
      <c r="M371" t="n">
        <v>0</v>
      </c>
      <c r="N371" t="n">
        <v>0</v>
      </c>
      <c r="O371" t="n">
        <v>1</v>
      </c>
      <c r="P371" t="n">
        <v>0</v>
      </c>
      <c r="Q371" t="n">
        <v>1</v>
      </c>
      <c r="R371" s="2" t="inlineStr">
        <is>
          <t>Druvfingersvamp</t>
        </is>
      </c>
      <c r="S371">
        <f>HYPERLINK("https://klasma.github.io/Logging_1983/artfynd/A 3927-2024 artfynd.xlsx", "A 3927-2024")</f>
        <v/>
      </c>
      <c r="T371">
        <f>HYPERLINK("https://klasma.github.io/Logging_1983/kartor/A 3927-2024 karta.png", "A 3927-2024")</f>
        <v/>
      </c>
      <c r="V371">
        <f>HYPERLINK("https://klasma.github.io/Logging_1983/klagomål/A 3927-2024 FSC-klagomål.docx", "A 3927-2024")</f>
        <v/>
      </c>
      <c r="W371">
        <f>HYPERLINK("https://klasma.github.io/Logging_1983/klagomålsmail/A 3927-2024 FSC-klagomål mail.docx", "A 3927-2024")</f>
        <v/>
      </c>
      <c r="X371">
        <f>HYPERLINK("https://klasma.github.io/Logging_1983/tillsyn/A 3927-2024 tillsynsbegäran.docx", "A 3927-2024")</f>
        <v/>
      </c>
      <c r="Y371">
        <f>HYPERLINK("https://klasma.github.io/Logging_1983/tillsynsmail/A 3927-2024 tillsynsbegäran mail.docx", "A 3927-2024")</f>
        <v/>
      </c>
    </row>
    <row r="372" ht="15" customHeight="1">
      <c r="A372" t="inlineStr">
        <is>
          <t>A 6249-2024</t>
        </is>
      </c>
      <c r="B372" s="1" t="n">
        <v>45337</v>
      </c>
      <c r="C372" s="1" t="n">
        <v>45724</v>
      </c>
      <c r="D372" t="inlineStr">
        <is>
          <t>VÄSTMANLANDS LÄN</t>
        </is>
      </c>
      <c r="E372" t="inlineStr">
        <is>
          <t>VÄSTERÅS</t>
        </is>
      </c>
      <c r="G372" t="n">
        <v>6.5</v>
      </c>
      <c r="H372" t="n">
        <v>1</v>
      </c>
      <c r="I372" t="n">
        <v>0</v>
      </c>
      <c r="J372" t="n">
        <v>0</v>
      </c>
      <c r="K372" t="n">
        <v>0</v>
      </c>
      <c r="L372" t="n">
        <v>1</v>
      </c>
      <c r="M372" t="n">
        <v>0</v>
      </c>
      <c r="N372" t="n">
        <v>0</v>
      </c>
      <c r="O372" t="n">
        <v>1</v>
      </c>
      <c r="P372" t="n">
        <v>1</v>
      </c>
      <c r="Q372" t="n">
        <v>1</v>
      </c>
      <c r="R372" s="2" t="inlineStr">
        <is>
          <t>Grönfink</t>
        </is>
      </c>
      <c r="S372">
        <f>HYPERLINK("https://klasma.github.io/Logging_1980/artfynd/A 6249-2024 artfynd.xlsx", "A 6249-2024")</f>
        <v/>
      </c>
      <c r="T372">
        <f>HYPERLINK("https://klasma.github.io/Logging_1980/kartor/A 6249-2024 karta.png", "A 6249-2024")</f>
        <v/>
      </c>
      <c r="V372">
        <f>HYPERLINK("https://klasma.github.io/Logging_1980/klagomål/A 6249-2024 FSC-klagomål.docx", "A 6249-2024")</f>
        <v/>
      </c>
      <c r="W372">
        <f>HYPERLINK("https://klasma.github.io/Logging_1980/klagomålsmail/A 6249-2024 FSC-klagomål mail.docx", "A 6249-2024")</f>
        <v/>
      </c>
      <c r="X372">
        <f>HYPERLINK("https://klasma.github.io/Logging_1980/tillsyn/A 6249-2024 tillsynsbegäran.docx", "A 6249-2024")</f>
        <v/>
      </c>
      <c r="Y372">
        <f>HYPERLINK("https://klasma.github.io/Logging_1980/tillsynsmail/A 6249-2024 tillsynsbegäran mail.docx", "A 6249-2024")</f>
        <v/>
      </c>
      <c r="Z372">
        <f>HYPERLINK("https://klasma.github.io/Logging_1980/fåglar/A 6249-2024 prioriterade fågelarter.docx", "A 6249-2024")</f>
        <v/>
      </c>
    </row>
    <row r="373" ht="15" customHeight="1">
      <c r="A373" t="inlineStr">
        <is>
          <t>A 9510-2024</t>
        </is>
      </c>
      <c r="B373" s="1" t="n">
        <v>45359</v>
      </c>
      <c r="C373" s="1" t="n">
        <v>45724</v>
      </c>
      <c r="D373" t="inlineStr">
        <is>
          <t>VÄSTMANLANDS LÄN</t>
        </is>
      </c>
      <c r="E373" t="inlineStr">
        <is>
          <t>KÖPING</t>
        </is>
      </c>
      <c r="F373" t="inlineStr">
        <is>
          <t>Sveaskog</t>
        </is>
      </c>
      <c r="G373" t="n">
        <v>3</v>
      </c>
      <c r="H373" t="n">
        <v>0</v>
      </c>
      <c r="I373" t="n">
        <v>0</v>
      </c>
      <c r="J373" t="n">
        <v>1</v>
      </c>
      <c r="K373" t="n">
        <v>0</v>
      </c>
      <c r="L373" t="n">
        <v>0</v>
      </c>
      <c r="M373" t="n">
        <v>0</v>
      </c>
      <c r="N373" t="n">
        <v>0</v>
      </c>
      <c r="O373" t="n">
        <v>1</v>
      </c>
      <c r="P373" t="n">
        <v>0</v>
      </c>
      <c r="Q373" t="n">
        <v>1</v>
      </c>
      <c r="R373" s="2" t="inlineStr">
        <is>
          <t>Storgröe</t>
        </is>
      </c>
      <c r="S373">
        <f>HYPERLINK("https://klasma.github.io/Logging_1983/artfynd/A 9510-2024 artfynd.xlsx", "A 9510-2024")</f>
        <v/>
      </c>
      <c r="T373">
        <f>HYPERLINK("https://klasma.github.io/Logging_1983/kartor/A 9510-2024 karta.png", "A 9510-2024")</f>
        <v/>
      </c>
      <c r="V373">
        <f>HYPERLINK("https://klasma.github.io/Logging_1983/klagomål/A 9510-2024 FSC-klagomål.docx", "A 9510-2024")</f>
        <v/>
      </c>
      <c r="W373">
        <f>HYPERLINK("https://klasma.github.io/Logging_1983/klagomålsmail/A 9510-2024 FSC-klagomål mail.docx", "A 9510-2024")</f>
        <v/>
      </c>
      <c r="X373">
        <f>HYPERLINK("https://klasma.github.io/Logging_1983/tillsyn/A 9510-2024 tillsynsbegäran.docx", "A 9510-2024")</f>
        <v/>
      </c>
      <c r="Y373">
        <f>HYPERLINK("https://klasma.github.io/Logging_1983/tillsynsmail/A 9510-2024 tillsynsbegäran mail.docx", "A 9510-2024")</f>
        <v/>
      </c>
    </row>
    <row r="374" ht="15" customHeight="1">
      <c r="A374" t="inlineStr">
        <is>
          <t>A 10819-2024</t>
        </is>
      </c>
      <c r="B374" s="1" t="n">
        <v>45369</v>
      </c>
      <c r="C374" s="1" t="n">
        <v>45724</v>
      </c>
      <c r="D374" t="inlineStr">
        <is>
          <t>VÄSTMANLANDS LÄN</t>
        </is>
      </c>
      <c r="E374" t="inlineStr">
        <is>
          <t>SURAHAMMAR</t>
        </is>
      </c>
      <c r="G374" t="n">
        <v>2</v>
      </c>
      <c r="H374" t="n">
        <v>0</v>
      </c>
      <c r="I374" t="n">
        <v>1</v>
      </c>
      <c r="J374" t="n">
        <v>0</v>
      </c>
      <c r="K374" t="n">
        <v>0</v>
      </c>
      <c r="L374" t="n">
        <v>0</v>
      </c>
      <c r="M374" t="n">
        <v>0</v>
      </c>
      <c r="N374" t="n">
        <v>0</v>
      </c>
      <c r="O374" t="n">
        <v>0</v>
      </c>
      <c r="P374" t="n">
        <v>0</v>
      </c>
      <c r="Q374" t="n">
        <v>1</v>
      </c>
      <c r="R374" s="2" t="inlineStr">
        <is>
          <t>Tibast</t>
        </is>
      </c>
      <c r="S374">
        <f>HYPERLINK("https://klasma.github.io/Logging_1907/artfynd/A 10819-2024 artfynd.xlsx", "A 10819-2024")</f>
        <v/>
      </c>
      <c r="T374">
        <f>HYPERLINK("https://klasma.github.io/Logging_1907/kartor/A 10819-2024 karta.png", "A 10819-2024")</f>
        <v/>
      </c>
      <c r="V374">
        <f>HYPERLINK("https://klasma.github.io/Logging_1907/klagomål/A 10819-2024 FSC-klagomål.docx", "A 10819-2024")</f>
        <v/>
      </c>
      <c r="W374">
        <f>HYPERLINK("https://klasma.github.io/Logging_1907/klagomålsmail/A 10819-2024 FSC-klagomål mail.docx", "A 10819-2024")</f>
        <v/>
      </c>
      <c r="X374">
        <f>HYPERLINK("https://klasma.github.io/Logging_1907/tillsyn/A 10819-2024 tillsynsbegäran.docx", "A 10819-2024")</f>
        <v/>
      </c>
      <c r="Y374">
        <f>HYPERLINK("https://klasma.github.io/Logging_1907/tillsynsmail/A 10819-2024 tillsynsbegäran mail.docx", "A 10819-2024")</f>
        <v/>
      </c>
    </row>
    <row r="375" ht="15" customHeight="1">
      <c r="A375" t="inlineStr">
        <is>
          <t>A 12179-2024</t>
        </is>
      </c>
      <c r="B375" s="1" t="n">
        <v>45377</v>
      </c>
      <c r="C375" s="1" t="n">
        <v>45724</v>
      </c>
      <c r="D375" t="inlineStr">
        <is>
          <t>VÄSTMANLANDS LÄN</t>
        </is>
      </c>
      <c r="E375" t="inlineStr">
        <is>
          <t>KÖPING</t>
        </is>
      </c>
      <c r="F375" t="inlineStr">
        <is>
          <t>Allmännings- och besparingsskogar</t>
        </is>
      </c>
      <c r="G375" t="n">
        <v>11.4</v>
      </c>
      <c r="H375" t="n">
        <v>1</v>
      </c>
      <c r="I375" t="n">
        <v>0</v>
      </c>
      <c r="J375" t="n">
        <v>0</v>
      </c>
      <c r="K375" t="n">
        <v>0</v>
      </c>
      <c r="L375" t="n">
        <v>0</v>
      </c>
      <c r="M375" t="n">
        <v>0</v>
      </c>
      <c r="N375" t="n">
        <v>0</v>
      </c>
      <c r="O375" t="n">
        <v>0</v>
      </c>
      <c r="P375" t="n">
        <v>0</v>
      </c>
      <c r="Q375" t="n">
        <v>1</v>
      </c>
      <c r="R375" s="2" t="inlineStr">
        <is>
          <t>Orre</t>
        </is>
      </c>
      <c r="S375">
        <f>HYPERLINK("https://klasma.github.io/Logging_1983/artfynd/A 12179-2024 artfynd.xlsx", "A 12179-2024")</f>
        <v/>
      </c>
      <c r="T375">
        <f>HYPERLINK("https://klasma.github.io/Logging_1983/kartor/A 12179-2024 karta.png", "A 12179-2024")</f>
        <v/>
      </c>
      <c r="V375">
        <f>HYPERLINK("https://klasma.github.io/Logging_1983/klagomål/A 12179-2024 FSC-klagomål.docx", "A 12179-2024")</f>
        <v/>
      </c>
      <c r="W375">
        <f>HYPERLINK("https://klasma.github.io/Logging_1983/klagomålsmail/A 12179-2024 FSC-klagomål mail.docx", "A 12179-2024")</f>
        <v/>
      </c>
      <c r="X375">
        <f>HYPERLINK("https://klasma.github.io/Logging_1983/tillsyn/A 12179-2024 tillsynsbegäran.docx", "A 12179-2024")</f>
        <v/>
      </c>
      <c r="Y375">
        <f>HYPERLINK("https://klasma.github.io/Logging_1983/tillsynsmail/A 12179-2024 tillsynsbegäran mail.docx", "A 12179-2024")</f>
        <v/>
      </c>
      <c r="Z375">
        <f>HYPERLINK("https://klasma.github.io/Logging_1983/fåglar/A 12179-2024 prioriterade fågelarter.docx", "A 12179-2024")</f>
        <v/>
      </c>
    </row>
    <row r="376" ht="15" customHeight="1">
      <c r="A376" t="inlineStr">
        <is>
          <t>A 12434-2024</t>
        </is>
      </c>
      <c r="B376" s="1" t="n">
        <v>45379</v>
      </c>
      <c r="C376" s="1" t="n">
        <v>45724</v>
      </c>
      <c r="D376" t="inlineStr">
        <is>
          <t>VÄSTMANLANDS LÄN</t>
        </is>
      </c>
      <c r="E376" t="inlineStr">
        <is>
          <t>SALA</t>
        </is>
      </c>
      <c r="G376" t="n">
        <v>7.8</v>
      </c>
      <c r="H376" t="n">
        <v>1</v>
      </c>
      <c r="I376" t="n">
        <v>0</v>
      </c>
      <c r="J376" t="n">
        <v>0</v>
      </c>
      <c r="K376" t="n">
        <v>1</v>
      </c>
      <c r="L376" t="n">
        <v>0</v>
      </c>
      <c r="M376" t="n">
        <v>0</v>
      </c>
      <c r="N376" t="n">
        <v>0</v>
      </c>
      <c r="O376" t="n">
        <v>1</v>
      </c>
      <c r="P376" t="n">
        <v>1</v>
      </c>
      <c r="Q376" t="n">
        <v>1</v>
      </c>
      <c r="R376" s="2" t="inlineStr">
        <is>
          <t>Knärot</t>
        </is>
      </c>
      <c r="S376">
        <f>HYPERLINK("https://klasma.github.io/Logging_1981/artfynd/A 12434-2024 artfynd.xlsx", "A 12434-2024")</f>
        <v/>
      </c>
      <c r="T376">
        <f>HYPERLINK("https://klasma.github.io/Logging_1981/kartor/A 12434-2024 karta.png", "A 12434-2024")</f>
        <v/>
      </c>
      <c r="U376">
        <f>HYPERLINK("https://klasma.github.io/Logging_1981/knärot/A 12434-2024 karta knärot.png", "A 12434-2024")</f>
        <v/>
      </c>
      <c r="V376">
        <f>HYPERLINK("https://klasma.github.io/Logging_1981/klagomål/A 12434-2024 FSC-klagomål.docx", "A 12434-2024")</f>
        <v/>
      </c>
      <c r="W376">
        <f>HYPERLINK("https://klasma.github.io/Logging_1981/klagomålsmail/A 12434-2024 FSC-klagomål mail.docx", "A 12434-2024")</f>
        <v/>
      </c>
      <c r="X376">
        <f>HYPERLINK("https://klasma.github.io/Logging_1981/tillsyn/A 12434-2024 tillsynsbegäran.docx", "A 12434-2024")</f>
        <v/>
      </c>
      <c r="Y376">
        <f>HYPERLINK("https://klasma.github.io/Logging_1981/tillsynsmail/A 12434-2024 tillsynsbegäran mail.docx", "A 12434-2024")</f>
        <v/>
      </c>
    </row>
    <row r="377" ht="15" customHeight="1">
      <c r="A377" t="inlineStr">
        <is>
          <t>A 16015-2024</t>
        </is>
      </c>
      <c r="B377" s="1" t="n">
        <v>45405</v>
      </c>
      <c r="C377" s="1" t="n">
        <v>45724</v>
      </c>
      <c r="D377" t="inlineStr">
        <is>
          <t>VÄSTMANLANDS LÄN</t>
        </is>
      </c>
      <c r="E377" t="inlineStr">
        <is>
          <t>VÄSTERÅS</t>
        </is>
      </c>
      <c r="G377" t="n">
        <v>6.8</v>
      </c>
      <c r="H377" t="n">
        <v>0</v>
      </c>
      <c r="I377" t="n">
        <v>0</v>
      </c>
      <c r="J377" t="n">
        <v>1</v>
      </c>
      <c r="K377" t="n">
        <v>0</v>
      </c>
      <c r="L377" t="n">
        <v>0</v>
      </c>
      <c r="M377" t="n">
        <v>0</v>
      </c>
      <c r="N377" t="n">
        <v>0</v>
      </c>
      <c r="O377" t="n">
        <v>1</v>
      </c>
      <c r="P377" t="n">
        <v>0</v>
      </c>
      <c r="Q377" t="n">
        <v>1</v>
      </c>
      <c r="R377" s="2" t="inlineStr">
        <is>
          <t>Orange taggsvamp</t>
        </is>
      </c>
      <c r="S377">
        <f>HYPERLINK("https://klasma.github.io/Logging_1980/artfynd/A 16015-2024 artfynd.xlsx", "A 16015-2024")</f>
        <v/>
      </c>
      <c r="T377">
        <f>HYPERLINK("https://klasma.github.io/Logging_1980/kartor/A 16015-2024 karta.png", "A 16015-2024")</f>
        <v/>
      </c>
      <c r="V377">
        <f>HYPERLINK("https://klasma.github.io/Logging_1980/klagomål/A 16015-2024 FSC-klagomål.docx", "A 16015-2024")</f>
        <v/>
      </c>
      <c r="W377">
        <f>HYPERLINK("https://klasma.github.io/Logging_1980/klagomålsmail/A 16015-2024 FSC-klagomål mail.docx", "A 16015-2024")</f>
        <v/>
      </c>
      <c r="X377">
        <f>HYPERLINK("https://klasma.github.io/Logging_1980/tillsyn/A 16015-2024 tillsynsbegäran.docx", "A 16015-2024")</f>
        <v/>
      </c>
      <c r="Y377">
        <f>HYPERLINK("https://klasma.github.io/Logging_1980/tillsynsmail/A 16015-2024 tillsynsbegäran mail.docx", "A 16015-2024")</f>
        <v/>
      </c>
    </row>
    <row r="378" ht="15" customHeight="1">
      <c r="A378" t="inlineStr">
        <is>
          <t>A 17381-2024</t>
        </is>
      </c>
      <c r="B378" s="1" t="n">
        <v>45414</v>
      </c>
      <c r="C378" s="1" t="n">
        <v>45724</v>
      </c>
      <c r="D378" t="inlineStr">
        <is>
          <t>VÄSTMANLANDS LÄN</t>
        </is>
      </c>
      <c r="E378" t="inlineStr">
        <is>
          <t>SKINNSKATTEBERG</t>
        </is>
      </c>
      <c r="G378" t="n">
        <v>4.4</v>
      </c>
      <c r="H378" t="n">
        <v>0</v>
      </c>
      <c r="I378" t="n">
        <v>0</v>
      </c>
      <c r="J378" t="n">
        <v>1</v>
      </c>
      <c r="K378" t="n">
        <v>0</v>
      </c>
      <c r="L378" t="n">
        <v>0</v>
      </c>
      <c r="M378" t="n">
        <v>0</v>
      </c>
      <c r="N378" t="n">
        <v>0</v>
      </c>
      <c r="O378" t="n">
        <v>1</v>
      </c>
      <c r="P378" t="n">
        <v>0</v>
      </c>
      <c r="Q378" t="n">
        <v>1</v>
      </c>
      <c r="R378" s="2" t="inlineStr">
        <is>
          <t>Skogsklocka</t>
        </is>
      </c>
      <c r="S378">
        <f>HYPERLINK("https://klasma.github.io/Logging_1904/artfynd/A 17381-2024 artfynd.xlsx", "A 17381-2024")</f>
        <v/>
      </c>
      <c r="T378">
        <f>HYPERLINK("https://klasma.github.io/Logging_1904/kartor/A 17381-2024 karta.png", "A 17381-2024")</f>
        <v/>
      </c>
      <c r="V378">
        <f>HYPERLINK("https://klasma.github.io/Logging_1904/klagomål/A 17381-2024 FSC-klagomål.docx", "A 17381-2024")</f>
        <v/>
      </c>
      <c r="W378">
        <f>HYPERLINK("https://klasma.github.io/Logging_1904/klagomålsmail/A 17381-2024 FSC-klagomål mail.docx", "A 17381-2024")</f>
        <v/>
      </c>
      <c r="X378">
        <f>HYPERLINK("https://klasma.github.io/Logging_1904/tillsyn/A 17381-2024 tillsynsbegäran.docx", "A 17381-2024")</f>
        <v/>
      </c>
      <c r="Y378">
        <f>HYPERLINK("https://klasma.github.io/Logging_1904/tillsynsmail/A 17381-2024 tillsynsbegäran mail.docx", "A 17381-2024")</f>
        <v/>
      </c>
    </row>
    <row r="379" ht="15" customHeight="1">
      <c r="A379" t="inlineStr">
        <is>
          <t>A 18148-2024</t>
        </is>
      </c>
      <c r="B379" s="1" t="n">
        <v>45420</v>
      </c>
      <c r="C379" s="1" t="n">
        <v>45724</v>
      </c>
      <c r="D379" t="inlineStr">
        <is>
          <t>VÄSTMANLANDS LÄN</t>
        </is>
      </c>
      <c r="E379" t="inlineStr">
        <is>
          <t>VÄSTERÅS</t>
        </is>
      </c>
      <c r="G379" t="n">
        <v>11.2</v>
      </c>
      <c r="H379" t="n">
        <v>1</v>
      </c>
      <c r="I379" t="n">
        <v>0</v>
      </c>
      <c r="J379" t="n">
        <v>0</v>
      </c>
      <c r="K379" t="n">
        <v>0</v>
      </c>
      <c r="L379" t="n">
        <v>0</v>
      </c>
      <c r="M379" t="n">
        <v>0</v>
      </c>
      <c r="N379" t="n">
        <v>0</v>
      </c>
      <c r="O379" t="n">
        <v>0</v>
      </c>
      <c r="P379" t="n">
        <v>0</v>
      </c>
      <c r="Q379" t="n">
        <v>1</v>
      </c>
      <c r="R379" s="2" t="inlineStr">
        <is>
          <t>Vanlig padda</t>
        </is>
      </c>
      <c r="S379">
        <f>HYPERLINK("https://klasma.github.io/Logging_1980/artfynd/A 18148-2024 artfynd.xlsx", "A 18148-2024")</f>
        <v/>
      </c>
      <c r="T379">
        <f>HYPERLINK("https://klasma.github.io/Logging_1980/kartor/A 18148-2024 karta.png", "A 18148-2024")</f>
        <v/>
      </c>
      <c r="V379">
        <f>HYPERLINK("https://klasma.github.io/Logging_1980/klagomål/A 18148-2024 FSC-klagomål.docx", "A 18148-2024")</f>
        <v/>
      </c>
      <c r="W379">
        <f>HYPERLINK("https://klasma.github.io/Logging_1980/klagomålsmail/A 18148-2024 FSC-klagomål mail.docx", "A 18148-2024")</f>
        <v/>
      </c>
      <c r="X379">
        <f>HYPERLINK("https://klasma.github.io/Logging_1980/tillsyn/A 18148-2024 tillsynsbegäran.docx", "A 18148-2024")</f>
        <v/>
      </c>
      <c r="Y379">
        <f>HYPERLINK("https://klasma.github.io/Logging_1980/tillsynsmail/A 18148-2024 tillsynsbegäran mail.docx", "A 18148-2024")</f>
        <v/>
      </c>
    </row>
    <row r="380" ht="15" customHeight="1">
      <c r="A380" t="inlineStr">
        <is>
          <t>A 18495-2024</t>
        </is>
      </c>
      <c r="B380" s="1" t="n">
        <v>45425</v>
      </c>
      <c r="C380" s="1" t="n">
        <v>45724</v>
      </c>
      <c r="D380" t="inlineStr">
        <is>
          <t>VÄSTMANLANDS LÄN</t>
        </is>
      </c>
      <c r="E380" t="inlineStr">
        <is>
          <t>ARBOGA</t>
        </is>
      </c>
      <c r="F380" t="inlineStr">
        <is>
          <t>Sveaskog</t>
        </is>
      </c>
      <c r="G380" t="n">
        <v>1.6</v>
      </c>
      <c r="H380" t="n">
        <v>1</v>
      </c>
      <c r="I380" t="n">
        <v>0</v>
      </c>
      <c r="J380" t="n">
        <v>0</v>
      </c>
      <c r="K380" t="n">
        <v>0</v>
      </c>
      <c r="L380" t="n">
        <v>0</v>
      </c>
      <c r="M380" t="n">
        <v>0</v>
      </c>
      <c r="N380" t="n">
        <v>0</v>
      </c>
      <c r="O380" t="n">
        <v>0</v>
      </c>
      <c r="P380" t="n">
        <v>0</v>
      </c>
      <c r="Q380" t="n">
        <v>1</v>
      </c>
      <c r="R380" s="2" t="inlineStr">
        <is>
          <t>Blåsippa</t>
        </is>
      </c>
      <c r="S380">
        <f>HYPERLINK("https://klasma.github.io/Logging_1984/artfynd/A 18495-2024 artfynd.xlsx", "A 18495-2024")</f>
        <v/>
      </c>
      <c r="T380">
        <f>HYPERLINK("https://klasma.github.io/Logging_1984/kartor/A 18495-2024 karta.png", "A 18495-2024")</f>
        <v/>
      </c>
      <c r="V380">
        <f>HYPERLINK("https://klasma.github.io/Logging_1984/klagomål/A 18495-2024 FSC-klagomål.docx", "A 18495-2024")</f>
        <v/>
      </c>
      <c r="W380">
        <f>HYPERLINK("https://klasma.github.io/Logging_1984/klagomålsmail/A 18495-2024 FSC-klagomål mail.docx", "A 18495-2024")</f>
        <v/>
      </c>
      <c r="X380">
        <f>HYPERLINK("https://klasma.github.io/Logging_1984/tillsyn/A 18495-2024 tillsynsbegäran.docx", "A 18495-2024")</f>
        <v/>
      </c>
      <c r="Y380">
        <f>HYPERLINK("https://klasma.github.io/Logging_1984/tillsynsmail/A 18495-2024 tillsynsbegäran mail.docx", "A 18495-2024")</f>
        <v/>
      </c>
    </row>
    <row r="381" ht="15" customHeight="1">
      <c r="A381" t="inlineStr">
        <is>
          <t>A 19201-2024</t>
        </is>
      </c>
      <c r="B381" s="1" t="n">
        <v>45428</v>
      </c>
      <c r="C381" s="1" t="n">
        <v>45724</v>
      </c>
      <c r="D381" t="inlineStr">
        <is>
          <t>VÄSTMANLANDS LÄN</t>
        </is>
      </c>
      <c r="E381" t="inlineStr">
        <is>
          <t>SKINNSKATTEBERG</t>
        </is>
      </c>
      <c r="F381" t="inlineStr">
        <is>
          <t>Sveaskog</t>
        </is>
      </c>
      <c r="G381" t="n">
        <v>2.3</v>
      </c>
      <c r="H381" t="n">
        <v>1</v>
      </c>
      <c r="I381" t="n">
        <v>0</v>
      </c>
      <c r="J381" t="n">
        <v>1</v>
      </c>
      <c r="K381" t="n">
        <v>0</v>
      </c>
      <c r="L381" t="n">
        <v>0</v>
      </c>
      <c r="M381" t="n">
        <v>0</v>
      </c>
      <c r="N381" t="n">
        <v>0</v>
      </c>
      <c r="O381" t="n">
        <v>1</v>
      </c>
      <c r="P381" t="n">
        <v>0</v>
      </c>
      <c r="Q381" t="n">
        <v>1</v>
      </c>
      <c r="R381" s="2" t="inlineStr">
        <is>
          <t>Spillkråka</t>
        </is>
      </c>
      <c r="S381">
        <f>HYPERLINK("https://klasma.github.io/Logging_1904/artfynd/A 19201-2024 artfynd.xlsx", "A 19201-2024")</f>
        <v/>
      </c>
      <c r="T381">
        <f>HYPERLINK("https://klasma.github.io/Logging_1904/kartor/A 19201-2024 karta.png", "A 19201-2024")</f>
        <v/>
      </c>
      <c r="V381">
        <f>HYPERLINK("https://klasma.github.io/Logging_1904/klagomål/A 19201-2024 FSC-klagomål.docx", "A 19201-2024")</f>
        <v/>
      </c>
      <c r="W381">
        <f>HYPERLINK("https://klasma.github.io/Logging_1904/klagomålsmail/A 19201-2024 FSC-klagomål mail.docx", "A 19201-2024")</f>
        <v/>
      </c>
      <c r="X381">
        <f>HYPERLINK("https://klasma.github.io/Logging_1904/tillsyn/A 19201-2024 tillsynsbegäran.docx", "A 19201-2024")</f>
        <v/>
      </c>
      <c r="Y381">
        <f>HYPERLINK("https://klasma.github.io/Logging_1904/tillsynsmail/A 19201-2024 tillsynsbegäran mail.docx", "A 19201-2024")</f>
        <v/>
      </c>
      <c r="Z381">
        <f>HYPERLINK("https://klasma.github.io/Logging_1904/fåglar/A 19201-2024 prioriterade fågelarter.docx", "A 19201-2024")</f>
        <v/>
      </c>
    </row>
    <row r="382" ht="15" customHeight="1">
      <c r="A382" t="inlineStr">
        <is>
          <t>A 19716-2024</t>
        </is>
      </c>
      <c r="B382" s="1" t="n">
        <v>45432</v>
      </c>
      <c r="C382" s="1" t="n">
        <v>45724</v>
      </c>
      <c r="D382" t="inlineStr">
        <is>
          <t>VÄSTMANLANDS LÄN</t>
        </is>
      </c>
      <c r="E382" t="inlineStr">
        <is>
          <t>SALA</t>
        </is>
      </c>
      <c r="G382" t="n">
        <v>5.5</v>
      </c>
      <c r="H382" t="n">
        <v>1</v>
      </c>
      <c r="I382" t="n">
        <v>0</v>
      </c>
      <c r="J382" t="n">
        <v>0</v>
      </c>
      <c r="K382" t="n">
        <v>0</v>
      </c>
      <c r="L382" t="n">
        <v>0</v>
      </c>
      <c r="M382" t="n">
        <v>0</v>
      </c>
      <c r="N382" t="n">
        <v>0</v>
      </c>
      <c r="O382" t="n">
        <v>0</v>
      </c>
      <c r="P382" t="n">
        <v>0</v>
      </c>
      <c r="Q382" t="n">
        <v>1</v>
      </c>
      <c r="R382" s="2" t="inlineStr">
        <is>
          <t>Fläcknycklar</t>
        </is>
      </c>
      <c r="S382">
        <f>HYPERLINK("https://klasma.github.io/Logging_1981/artfynd/A 19716-2024 artfynd.xlsx", "A 19716-2024")</f>
        <v/>
      </c>
      <c r="T382">
        <f>HYPERLINK("https://klasma.github.io/Logging_1981/kartor/A 19716-2024 karta.png", "A 19716-2024")</f>
        <v/>
      </c>
      <c r="V382">
        <f>HYPERLINK("https://klasma.github.io/Logging_1981/klagomål/A 19716-2024 FSC-klagomål.docx", "A 19716-2024")</f>
        <v/>
      </c>
      <c r="W382">
        <f>HYPERLINK("https://klasma.github.io/Logging_1981/klagomålsmail/A 19716-2024 FSC-klagomål mail.docx", "A 19716-2024")</f>
        <v/>
      </c>
      <c r="X382">
        <f>HYPERLINK("https://klasma.github.io/Logging_1981/tillsyn/A 19716-2024 tillsynsbegäran.docx", "A 19716-2024")</f>
        <v/>
      </c>
      <c r="Y382">
        <f>HYPERLINK("https://klasma.github.io/Logging_1981/tillsynsmail/A 19716-2024 tillsynsbegäran mail.docx", "A 19716-2024")</f>
        <v/>
      </c>
    </row>
    <row r="383" ht="15" customHeight="1">
      <c r="A383" t="inlineStr">
        <is>
          <t>A 20064-2024</t>
        </is>
      </c>
      <c r="B383" s="1" t="n">
        <v>45434</v>
      </c>
      <c r="C383" s="1" t="n">
        <v>45724</v>
      </c>
      <c r="D383" t="inlineStr">
        <is>
          <t>VÄSTMANLANDS LÄN</t>
        </is>
      </c>
      <c r="E383" t="inlineStr">
        <is>
          <t>ARBOGA</t>
        </is>
      </c>
      <c r="G383" t="n">
        <v>7.1</v>
      </c>
      <c r="H383" t="n">
        <v>0</v>
      </c>
      <c r="I383" t="n">
        <v>0</v>
      </c>
      <c r="J383" t="n">
        <v>0</v>
      </c>
      <c r="K383" t="n">
        <v>0</v>
      </c>
      <c r="L383" t="n">
        <v>1</v>
      </c>
      <c r="M383" t="n">
        <v>0</v>
      </c>
      <c r="N383" t="n">
        <v>0</v>
      </c>
      <c r="O383" t="n">
        <v>1</v>
      </c>
      <c r="P383" t="n">
        <v>1</v>
      </c>
      <c r="Q383" t="n">
        <v>1</v>
      </c>
      <c r="R383" s="2" t="inlineStr">
        <is>
          <t>Ask</t>
        </is>
      </c>
      <c r="S383">
        <f>HYPERLINK("https://klasma.github.io/Logging_1984/artfynd/A 20064-2024 artfynd.xlsx", "A 20064-2024")</f>
        <v/>
      </c>
      <c r="T383">
        <f>HYPERLINK("https://klasma.github.io/Logging_1984/kartor/A 20064-2024 karta.png", "A 20064-2024")</f>
        <v/>
      </c>
      <c r="V383">
        <f>HYPERLINK("https://klasma.github.io/Logging_1984/klagomål/A 20064-2024 FSC-klagomål.docx", "A 20064-2024")</f>
        <v/>
      </c>
      <c r="W383">
        <f>HYPERLINK("https://klasma.github.io/Logging_1984/klagomålsmail/A 20064-2024 FSC-klagomål mail.docx", "A 20064-2024")</f>
        <v/>
      </c>
      <c r="X383">
        <f>HYPERLINK("https://klasma.github.io/Logging_1984/tillsyn/A 20064-2024 tillsynsbegäran.docx", "A 20064-2024")</f>
        <v/>
      </c>
      <c r="Y383">
        <f>HYPERLINK("https://klasma.github.io/Logging_1984/tillsynsmail/A 20064-2024 tillsynsbegäran mail.docx", "A 20064-2024")</f>
        <v/>
      </c>
    </row>
    <row r="384" ht="15" customHeight="1">
      <c r="A384" t="inlineStr">
        <is>
          <t>A 21576-2024</t>
        </is>
      </c>
      <c r="B384" s="1" t="n">
        <v>45441</v>
      </c>
      <c r="C384" s="1" t="n">
        <v>45724</v>
      </c>
      <c r="D384" t="inlineStr">
        <is>
          <t>VÄSTMANLANDS LÄN</t>
        </is>
      </c>
      <c r="E384" t="inlineStr">
        <is>
          <t>KÖPING</t>
        </is>
      </c>
      <c r="F384" t="inlineStr">
        <is>
          <t>Sveaskog</t>
        </is>
      </c>
      <c r="G384" t="n">
        <v>6.1</v>
      </c>
      <c r="H384" t="n">
        <v>0</v>
      </c>
      <c r="I384" t="n">
        <v>0</v>
      </c>
      <c r="J384" t="n">
        <v>1</v>
      </c>
      <c r="K384" t="n">
        <v>0</v>
      </c>
      <c r="L384" t="n">
        <v>0</v>
      </c>
      <c r="M384" t="n">
        <v>0</v>
      </c>
      <c r="N384" t="n">
        <v>0</v>
      </c>
      <c r="O384" t="n">
        <v>1</v>
      </c>
      <c r="P384" t="n">
        <v>0</v>
      </c>
      <c r="Q384" t="n">
        <v>1</v>
      </c>
      <c r="R384" s="2" t="inlineStr">
        <is>
          <t>Motaggsvamp</t>
        </is>
      </c>
      <c r="S384">
        <f>HYPERLINK("https://klasma.github.io/Logging_1983/artfynd/A 21576-2024 artfynd.xlsx", "A 21576-2024")</f>
        <v/>
      </c>
      <c r="T384">
        <f>HYPERLINK("https://klasma.github.io/Logging_1983/kartor/A 21576-2024 karta.png", "A 21576-2024")</f>
        <v/>
      </c>
      <c r="V384">
        <f>HYPERLINK("https://klasma.github.io/Logging_1983/klagomål/A 21576-2024 FSC-klagomål.docx", "A 21576-2024")</f>
        <v/>
      </c>
      <c r="W384">
        <f>HYPERLINK("https://klasma.github.io/Logging_1983/klagomålsmail/A 21576-2024 FSC-klagomål mail.docx", "A 21576-2024")</f>
        <v/>
      </c>
      <c r="X384">
        <f>HYPERLINK("https://klasma.github.io/Logging_1983/tillsyn/A 21576-2024 tillsynsbegäran.docx", "A 21576-2024")</f>
        <v/>
      </c>
      <c r="Y384">
        <f>HYPERLINK("https://klasma.github.io/Logging_1983/tillsynsmail/A 21576-2024 tillsynsbegäran mail.docx", "A 21576-2024")</f>
        <v/>
      </c>
    </row>
    <row r="385" ht="15" customHeight="1">
      <c r="A385" t="inlineStr">
        <is>
          <t>A 21574-2024</t>
        </is>
      </c>
      <c r="B385" s="1" t="n">
        <v>45441</v>
      </c>
      <c r="C385" s="1" t="n">
        <v>45724</v>
      </c>
      <c r="D385" t="inlineStr">
        <is>
          <t>VÄSTMANLANDS LÄN</t>
        </is>
      </c>
      <c r="E385" t="inlineStr">
        <is>
          <t>SKINNSKATTEBERG</t>
        </is>
      </c>
      <c r="F385" t="inlineStr">
        <is>
          <t>Sveaskog</t>
        </is>
      </c>
      <c r="G385" t="n">
        <v>2.2</v>
      </c>
      <c r="H385" t="n">
        <v>0</v>
      </c>
      <c r="I385" t="n">
        <v>0</v>
      </c>
      <c r="J385" t="n">
        <v>1</v>
      </c>
      <c r="K385" t="n">
        <v>0</v>
      </c>
      <c r="L385" t="n">
        <v>0</v>
      </c>
      <c r="M385" t="n">
        <v>0</v>
      </c>
      <c r="N385" t="n">
        <v>0</v>
      </c>
      <c r="O385" t="n">
        <v>1</v>
      </c>
      <c r="P385" t="n">
        <v>0</v>
      </c>
      <c r="Q385" t="n">
        <v>1</v>
      </c>
      <c r="R385" s="2" t="inlineStr">
        <is>
          <t>Vedskivlav</t>
        </is>
      </c>
      <c r="S385">
        <f>HYPERLINK("https://klasma.github.io/Logging_1904/artfynd/A 21574-2024 artfynd.xlsx", "A 21574-2024")</f>
        <v/>
      </c>
      <c r="T385">
        <f>HYPERLINK("https://klasma.github.io/Logging_1904/kartor/A 21574-2024 karta.png", "A 21574-2024")</f>
        <v/>
      </c>
      <c r="V385">
        <f>HYPERLINK("https://klasma.github.io/Logging_1904/klagomål/A 21574-2024 FSC-klagomål.docx", "A 21574-2024")</f>
        <v/>
      </c>
      <c r="W385">
        <f>HYPERLINK("https://klasma.github.io/Logging_1904/klagomålsmail/A 21574-2024 FSC-klagomål mail.docx", "A 21574-2024")</f>
        <v/>
      </c>
      <c r="X385">
        <f>HYPERLINK("https://klasma.github.io/Logging_1904/tillsyn/A 21574-2024 tillsynsbegäran.docx", "A 21574-2024")</f>
        <v/>
      </c>
      <c r="Y385">
        <f>HYPERLINK("https://klasma.github.io/Logging_1904/tillsynsmail/A 21574-2024 tillsynsbegäran mail.docx", "A 21574-2024")</f>
        <v/>
      </c>
    </row>
    <row r="386" ht="15" customHeight="1">
      <c r="A386" t="inlineStr">
        <is>
          <t>A 22350-2024</t>
        </is>
      </c>
      <c r="B386" s="1" t="n">
        <v>45446</v>
      </c>
      <c r="C386" s="1" t="n">
        <v>45724</v>
      </c>
      <c r="D386" t="inlineStr">
        <is>
          <t>VÄSTMANLANDS LÄN</t>
        </is>
      </c>
      <c r="E386" t="inlineStr">
        <is>
          <t>SALA</t>
        </is>
      </c>
      <c r="G386" t="n">
        <v>1.2</v>
      </c>
      <c r="H386" t="n">
        <v>1</v>
      </c>
      <c r="I386" t="n">
        <v>0</v>
      </c>
      <c r="J386" t="n">
        <v>0</v>
      </c>
      <c r="K386" t="n">
        <v>0</v>
      </c>
      <c r="L386" t="n">
        <v>0</v>
      </c>
      <c r="M386" t="n">
        <v>0</v>
      </c>
      <c r="N386" t="n">
        <v>0</v>
      </c>
      <c r="O386" t="n">
        <v>0</v>
      </c>
      <c r="P386" t="n">
        <v>0</v>
      </c>
      <c r="Q386" t="n">
        <v>1</v>
      </c>
      <c r="R386" s="2" t="inlineStr">
        <is>
          <t>Blåsippa</t>
        </is>
      </c>
      <c r="S386">
        <f>HYPERLINK("https://klasma.github.io/Logging_1981/artfynd/A 22350-2024 artfynd.xlsx", "A 22350-2024")</f>
        <v/>
      </c>
      <c r="T386">
        <f>HYPERLINK("https://klasma.github.io/Logging_1981/kartor/A 22350-2024 karta.png", "A 22350-2024")</f>
        <v/>
      </c>
      <c r="V386">
        <f>HYPERLINK("https://klasma.github.io/Logging_1981/klagomål/A 22350-2024 FSC-klagomål.docx", "A 22350-2024")</f>
        <v/>
      </c>
      <c r="W386">
        <f>HYPERLINK("https://klasma.github.io/Logging_1981/klagomålsmail/A 22350-2024 FSC-klagomål mail.docx", "A 22350-2024")</f>
        <v/>
      </c>
      <c r="X386">
        <f>HYPERLINK("https://klasma.github.io/Logging_1981/tillsyn/A 22350-2024 tillsynsbegäran.docx", "A 22350-2024")</f>
        <v/>
      </c>
      <c r="Y386">
        <f>HYPERLINK("https://klasma.github.io/Logging_1981/tillsynsmail/A 22350-2024 tillsynsbegäran mail.docx", "A 22350-2024")</f>
        <v/>
      </c>
    </row>
    <row r="387" ht="15" customHeight="1">
      <c r="A387" t="inlineStr">
        <is>
          <t>A 23444-2024</t>
        </is>
      </c>
      <c r="B387" s="1" t="n">
        <v>45453</v>
      </c>
      <c r="C387" s="1" t="n">
        <v>45724</v>
      </c>
      <c r="D387" t="inlineStr">
        <is>
          <t>VÄSTMANLANDS LÄN</t>
        </is>
      </c>
      <c r="E387" t="inlineStr">
        <is>
          <t>VÄSTERÅS</t>
        </is>
      </c>
      <c r="G387" t="n">
        <v>4.5</v>
      </c>
      <c r="H387" t="n">
        <v>0</v>
      </c>
      <c r="I387" t="n">
        <v>0</v>
      </c>
      <c r="J387" t="n">
        <v>1</v>
      </c>
      <c r="K387" t="n">
        <v>0</v>
      </c>
      <c r="L387" t="n">
        <v>0</v>
      </c>
      <c r="M387" t="n">
        <v>0</v>
      </c>
      <c r="N387" t="n">
        <v>0</v>
      </c>
      <c r="O387" t="n">
        <v>1</v>
      </c>
      <c r="P387" t="n">
        <v>0</v>
      </c>
      <c r="Q387" t="n">
        <v>1</v>
      </c>
      <c r="R387" s="2" t="inlineStr">
        <is>
          <t>Svart taggsvamp</t>
        </is>
      </c>
      <c r="S387">
        <f>HYPERLINK("https://klasma.github.io/Logging_1980/artfynd/A 23444-2024 artfynd.xlsx", "A 23444-2024")</f>
        <v/>
      </c>
      <c r="T387">
        <f>HYPERLINK("https://klasma.github.io/Logging_1980/kartor/A 23444-2024 karta.png", "A 23444-2024")</f>
        <v/>
      </c>
      <c r="V387">
        <f>HYPERLINK("https://klasma.github.io/Logging_1980/klagomål/A 23444-2024 FSC-klagomål.docx", "A 23444-2024")</f>
        <v/>
      </c>
      <c r="W387">
        <f>HYPERLINK("https://klasma.github.io/Logging_1980/klagomålsmail/A 23444-2024 FSC-klagomål mail.docx", "A 23444-2024")</f>
        <v/>
      </c>
      <c r="X387">
        <f>HYPERLINK("https://klasma.github.io/Logging_1980/tillsyn/A 23444-2024 tillsynsbegäran.docx", "A 23444-2024")</f>
        <v/>
      </c>
      <c r="Y387">
        <f>HYPERLINK("https://klasma.github.io/Logging_1980/tillsynsmail/A 23444-2024 tillsynsbegäran mail.docx", "A 23444-2024")</f>
        <v/>
      </c>
    </row>
    <row r="388" ht="15" customHeight="1">
      <c r="A388" t="inlineStr">
        <is>
          <t>A 25583-2024</t>
        </is>
      </c>
      <c r="B388" s="1" t="n">
        <v>45463</v>
      </c>
      <c r="C388" s="1" t="n">
        <v>45724</v>
      </c>
      <c r="D388" t="inlineStr">
        <is>
          <t>VÄSTMANLANDS LÄN</t>
        </is>
      </c>
      <c r="E388" t="inlineStr">
        <is>
          <t>SURAHAMMAR</t>
        </is>
      </c>
      <c r="F388" t="inlineStr">
        <is>
          <t>Bergvik skog väst AB</t>
        </is>
      </c>
      <c r="G388" t="n">
        <v>7.8</v>
      </c>
      <c r="H388" t="n">
        <v>1</v>
      </c>
      <c r="I388" t="n">
        <v>0</v>
      </c>
      <c r="J388" t="n">
        <v>0</v>
      </c>
      <c r="K388" t="n">
        <v>0</v>
      </c>
      <c r="L388" t="n">
        <v>0</v>
      </c>
      <c r="M388" t="n">
        <v>0</v>
      </c>
      <c r="N388" t="n">
        <v>0</v>
      </c>
      <c r="O388" t="n">
        <v>0</v>
      </c>
      <c r="P388" t="n">
        <v>0</v>
      </c>
      <c r="Q388" t="n">
        <v>1</v>
      </c>
      <c r="R388" s="2" t="inlineStr">
        <is>
          <t>Blåsippa</t>
        </is>
      </c>
      <c r="S388">
        <f>HYPERLINK("https://klasma.github.io/Logging_1907/artfynd/A 25583-2024 artfynd.xlsx", "A 25583-2024")</f>
        <v/>
      </c>
      <c r="T388">
        <f>HYPERLINK("https://klasma.github.io/Logging_1907/kartor/A 25583-2024 karta.png", "A 25583-2024")</f>
        <v/>
      </c>
      <c r="V388">
        <f>HYPERLINK("https://klasma.github.io/Logging_1907/klagomål/A 25583-2024 FSC-klagomål.docx", "A 25583-2024")</f>
        <v/>
      </c>
      <c r="W388">
        <f>HYPERLINK("https://klasma.github.io/Logging_1907/klagomålsmail/A 25583-2024 FSC-klagomål mail.docx", "A 25583-2024")</f>
        <v/>
      </c>
      <c r="X388">
        <f>HYPERLINK("https://klasma.github.io/Logging_1907/tillsyn/A 25583-2024 tillsynsbegäran.docx", "A 25583-2024")</f>
        <v/>
      </c>
      <c r="Y388">
        <f>HYPERLINK("https://klasma.github.io/Logging_1907/tillsynsmail/A 25583-2024 tillsynsbegäran mail.docx", "A 25583-2024")</f>
        <v/>
      </c>
    </row>
    <row r="389" ht="15" customHeight="1">
      <c r="A389" t="inlineStr">
        <is>
          <t>A 27591-2024</t>
        </is>
      </c>
      <c r="B389" s="1" t="n">
        <v>45474</v>
      </c>
      <c r="C389" s="1" t="n">
        <v>45724</v>
      </c>
      <c r="D389" t="inlineStr">
        <is>
          <t>VÄSTMANLANDS LÄN</t>
        </is>
      </c>
      <c r="E389" t="inlineStr">
        <is>
          <t>SALA</t>
        </is>
      </c>
      <c r="G389" t="n">
        <v>5.1</v>
      </c>
      <c r="H389" t="n">
        <v>1</v>
      </c>
      <c r="I389" t="n">
        <v>0</v>
      </c>
      <c r="J389" t="n">
        <v>1</v>
      </c>
      <c r="K389" t="n">
        <v>0</v>
      </c>
      <c r="L389" t="n">
        <v>0</v>
      </c>
      <c r="M389" t="n">
        <v>0</v>
      </c>
      <c r="N389" t="n">
        <v>0</v>
      </c>
      <c r="O389" t="n">
        <v>1</v>
      </c>
      <c r="P389" t="n">
        <v>0</v>
      </c>
      <c r="Q389" t="n">
        <v>1</v>
      </c>
      <c r="R389" s="2" t="inlineStr">
        <is>
          <t>Spillkråka</t>
        </is>
      </c>
      <c r="S389">
        <f>HYPERLINK("https://klasma.github.io/Logging_1981/artfynd/A 27591-2024 artfynd.xlsx", "A 27591-2024")</f>
        <v/>
      </c>
      <c r="T389">
        <f>HYPERLINK("https://klasma.github.io/Logging_1981/kartor/A 27591-2024 karta.png", "A 27591-2024")</f>
        <v/>
      </c>
      <c r="V389">
        <f>HYPERLINK("https://klasma.github.io/Logging_1981/klagomål/A 27591-2024 FSC-klagomål.docx", "A 27591-2024")</f>
        <v/>
      </c>
      <c r="W389">
        <f>HYPERLINK("https://klasma.github.io/Logging_1981/klagomålsmail/A 27591-2024 FSC-klagomål mail.docx", "A 27591-2024")</f>
        <v/>
      </c>
      <c r="X389">
        <f>HYPERLINK("https://klasma.github.io/Logging_1981/tillsyn/A 27591-2024 tillsynsbegäran.docx", "A 27591-2024")</f>
        <v/>
      </c>
      <c r="Y389">
        <f>HYPERLINK("https://klasma.github.io/Logging_1981/tillsynsmail/A 27591-2024 tillsynsbegäran mail.docx", "A 27591-2024")</f>
        <v/>
      </c>
      <c r="Z389">
        <f>HYPERLINK("https://klasma.github.io/Logging_1981/fåglar/A 27591-2024 prioriterade fågelarter.docx", "A 27591-2024")</f>
        <v/>
      </c>
    </row>
    <row r="390" ht="15" customHeight="1">
      <c r="A390" t="inlineStr">
        <is>
          <t>A 27957-2024</t>
        </is>
      </c>
      <c r="B390" s="1" t="n">
        <v>45476</v>
      </c>
      <c r="C390" s="1" t="n">
        <v>45724</v>
      </c>
      <c r="D390" t="inlineStr">
        <is>
          <t>VÄSTMANLANDS LÄN</t>
        </is>
      </c>
      <c r="E390" t="inlineStr">
        <is>
          <t>SURAHAMMAR</t>
        </is>
      </c>
      <c r="F390" t="inlineStr">
        <is>
          <t>Sveaskog</t>
        </is>
      </c>
      <c r="G390" t="n">
        <v>14.4</v>
      </c>
      <c r="H390" t="n">
        <v>1</v>
      </c>
      <c r="I390" t="n">
        <v>0</v>
      </c>
      <c r="J390" t="n">
        <v>0</v>
      </c>
      <c r="K390" t="n">
        <v>0</v>
      </c>
      <c r="L390" t="n">
        <v>0</v>
      </c>
      <c r="M390" t="n">
        <v>0</v>
      </c>
      <c r="N390" t="n">
        <v>0</v>
      </c>
      <c r="O390" t="n">
        <v>0</v>
      </c>
      <c r="P390" t="n">
        <v>0</v>
      </c>
      <c r="Q390" t="n">
        <v>1</v>
      </c>
      <c r="R390" s="2" t="inlineStr">
        <is>
          <t>Fläcknycklar</t>
        </is>
      </c>
      <c r="S390">
        <f>HYPERLINK("https://klasma.github.io/Logging_1907/artfynd/A 27957-2024 artfynd.xlsx", "A 27957-2024")</f>
        <v/>
      </c>
      <c r="T390">
        <f>HYPERLINK("https://klasma.github.io/Logging_1907/kartor/A 27957-2024 karta.png", "A 27957-2024")</f>
        <v/>
      </c>
      <c r="V390">
        <f>HYPERLINK("https://klasma.github.io/Logging_1907/klagomål/A 27957-2024 FSC-klagomål.docx", "A 27957-2024")</f>
        <v/>
      </c>
      <c r="W390">
        <f>HYPERLINK("https://klasma.github.io/Logging_1907/klagomålsmail/A 27957-2024 FSC-klagomål mail.docx", "A 27957-2024")</f>
        <v/>
      </c>
      <c r="X390">
        <f>HYPERLINK("https://klasma.github.io/Logging_1907/tillsyn/A 27957-2024 tillsynsbegäran.docx", "A 27957-2024")</f>
        <v/>
      </c>
      <c r="Y390">
        <f>HYPERLINK("https://klasma.github.io/Logging_1907/tillsynsmail/A 27957-2024 tillsynsbegäran mail.docx", "A 27957-2024")</f>
        <v/>
      </c>
    </row>
    <row r="391" ht="15" customHeight="1">
      <c r="A391" t="inlineStr">
        <is>
          <t>A 29156-2024</t>
        </is>
      </c>
      <c r="B391" s="1" t="n">
        <v>45482</v>
      </c>
      <c r="C391" s="1" t="n">
        <v>45724</v>
      </c>
      <c r="D391" t="inlineStr">
        <is>
          <t>VÄSTMANLANDS LÄN</t>
        </is>
      </c>
      <c r="E391" t="inlineStr">
        <is>
          <t>SURAHAMMAR</t>
        </is>
      </c>
      <c r="F391" t="inlineStr">
        <is>
          <t>Sveaskog</t>
        </is>
      </c>
      <c r="G391" t="n">
        <v>2.6</v>
      </c>
      <c r="H391" t="n">
        <v>0</v>
      </c>
      <c r="I391" t="n">
        <v>1</v>
      </c>
      <c r="J391" t="n">
        <v>0</v>
      </c>
      <c r="K391" t="n">
        <v>0</v>
      </c>
      <c r="L391" t="n">
        <v>0</v>
      </c>
      <c r="M391" t="n">
        <v>0</v>
      </c>
      <c r="N391" t="n">
        <v>0</v>
      </c>
      <c r="O391" t="n">
        <v>0</v>
      </c>
      <c r="P391" t="n">
        <v>0</v>
      </c>
      <c r="Q391" t="n">
        <v>1</v>
      </c>
      <c r="R391" s="2" t="inlineStr">
        <is>
          <t>Fjällig taggsvamp s.str.</t>
        </is>
      </c>
      <c r="S391">
        <f>HYPERLINK("https://klasma.github.io/Logging_1907/artfynd/A 29156-2024 artfynd.xlsx", "A 29156-2024")</f>
        <v/>
      </c>
      <c r="T391">
        <f>HYPERLINK("https://klasma.github.io/Logging_1907/kartor/A 29156-2024 karta.png", "A 29156-2024")</f>
        <v/>
      </c>
      <c r="V391">
        <f>HYPERLINK("https://klasma.github.io/Logging_1907/klagomål/A 29156-2024 FSC-klagomål.docx", "A 29156-2024")</f>
        <v/>
      </c>
      <c r="W391">
        <f>HYPERLINK("https://klasma.github.io/Logging_1907/klagomålsmail/A 29156-2024 FSC-klagomål mail.docx", "A 29156-2024")</f>
        <v/>
      </c>
      <c r="X391">
        <f>HYPERLINK("https://klasma.github.io/Logging_1907/tillsyn/A 29156-2024 tillsynsbegäran.docx", "A 29156-2024")</f>
        <v/>
      </c>
      <c r="Y391">
        <f>HYPERLINK("https://klasma.github.io/Logging_1907/tillsynsmail/A 29156-2024 tillsynsbegäran mail.docx", "A 29156-2024")</f>
        <v/>
      </c>
    </row>
    <row r="392" ht="15" customHeight="1">
      <c r="A392" t="inlineStr">
        <is>
          <t>A 31176-2024</t>
        </is>
      </c>
      <c r="B392" s="1" t="n">
        <v>45503</v>
      </c>
      <c r="C392" s="1" t="n">
        <v>45724</v>
      </c>
      <c r="D392" t="inlineStr">
        <is>
          <t>VÄSTMANLANDS LÄN</t>
        </is>
      </c>
      <c r="E392" t="inlineStr">
        <is>
          <t>SURAHAMMAR</t>
        </is>
      </c>
      <c r="F392" t="inlineStr">
        <is>
          <t>Allmännings- och besparingsskogar</t>
        </is>
      </c>
      <c r="G392" t="n">
        <v>10.7</v>
      </c>
      <c r="H392" t="n">
        <v>0</v>
      </c>
      <c r="I392" t="n">
        <v>0</v>
      </c>
      <c r="J392" t="n">
        <v>1</v>
      </c>
      <c r="K392" t="n">
        <v>0</v>
      </c>
      <c r="L392" t="n">
        <v>0</v>
      </c>
      <c r="M392" t="n">
        <v>0</v>
      </c>
      <c r="N392" t="n">
        <v>0</v>
      </c>
      <c r="O392" t="n">
        <v>1</v>
      </c>
      <c r="P392" t="n">
        <v>0</v>
      </c>
      <c r="Q392" t="n">
        <v>1</v>
      </c>
      <c r="R392" s="2" t="inlineStr">
        <is>
          <t>Doftskinn</t>
        </is>
      </c>
      <c r="S392">
        <f>HYPERLINK("https://klasma.github.io/Logging_1907/artfynd/A 31176-2024 artfynd.xlsx", "A 31176-2024")</f>
        <v/>
      </c>
      <c r="T392">
        <f>HYPERLINK("https://klasma.github.io/Logging_1907/kartor/A 31176-2024 karta.png", "A 31176-2024")</f>
        <v/>
      </c>
      <c r="V392">
        <f>HYPERLINK("https://klasma.github.io/Logging_1907/klagomål/A 31176-2024 FSC-klagomål.docx", "A 31176-2024")</f>
        <v/>
      </c>
      <c r="W392">
        <f>HYPERLINK("https://klasma.github.io/Logging_1907/klagomålsmail/A 31176-2024 FSC-klagomål mail.docx", "A 31176-2024")</f>
        <v/>
      </c>
      <c r="X392">
        <f>HYPERLINK("https://klasma.github.io/Logging_1907/tillsyn/A 31176-2024 tillsynsbegäran.docx", "A 31176-2024")</f>
        <v/>
      </c>
      <c r="Y392">
        <f>HYPERLINK("https://klasma.github.io/Logging_1907/tillsynsmail/A 31176-2024 tillsynsbegäran mail.docx", "A 31176-2024")</f>
        <v/>
      </c>
    </row>
    <row r="393" ht="15" customHeight="1">
      <c r="A393" t="inlineStr">
        <is>
          <t>A 31263-2024</t>
        </is>
      </c>
      <c r="B393" s="1" t="n">
        <v>45503</v>
      </c>
      <c r="C393" s="1" t="n">
        <v>45724</v>
      </c>
      <c r="D393" t="inlineStr">
        <is>
          <t>VÄSTMANLANDS LÄN</t>
        </is>
      </c>
      <c r="E393" t="inlineStr">
        <is>
          <t>KÖPING</t>
        </is>
      </c>
      <c r="G393" t="n">
        <v>12.4</v>
      </c>
      <c r="H393" t="n">
        <v>0</v>
      </c>
      <c r="I393" t="n">
        <v>0</v>
      </c>
      <c r="J393" t="n">
        <v>1</v>
      </c>
      <c r="K393" t="n">
        <v>0</v>
      </c>
      <c r="L393" t="n">
        <v>0</v>
      </c>
      <c r="M393" t="n">
        <v>0</v>
      </c>
      <c r="N393" t="n">
        <v>0</v>
      </c>
      <c r="O393" t="n">
        <v>1</v>
      </c>
      <c r="P393" t="n">
        <v>0</v>
      </c>
      <c r="Q393" t="n">
        <v>1</v>
      </c>
      <c r="R393" s="2" t="inlineStr">
        <is>
          <t>Mindre bastardsvärmare</t>
        </is>
      </c>
      <c r="S393">
        <f>HYPERLINK("https://klasma.github.io/Logging_1983/artfynd/A 31263-2024 artfynd.xlsx", "A 31263-2024")</f>
        <v/>
      </c>
      <c r="T393">
        <f>HYPERLINK("https://klasma.github.io/Logging_1983/kartor/A 31263-2024 karta.png", "A 31263-2024")</f>
        <v/>
      </c>
      <c r="V393">
        <f>HYPERLINK("https://klasma.github.io/Logging_1983/klagomål/A 31263-2024 FSC-klagomål.docx", "A 31263-2024")</f>
        <v/>
      </c>
      <c r="W393">
        <f>HYPERLINK("https://klasma.github.io/Logging_1983/klagomålsmail/A 31263-2024 FSC-klagomål mail.docx", "A 31263-2024")</f>
        <v/>
      </c>
      <c r="X393">
        <f>HYPERLINK("https://klasma.github.io/Logging_1983/tillsyn/A 31263-2024 tillsynsbegäran.docx", "A 31263-2024")</f>
        <v/>
      </c>
      <c r="Y393">
        <f>HYPERLINK("https://klasma.github.io/Logging_1983/tillsynsmail/A 31263-2024 tillsynsbegäran mail.docx", "A 31263-2024")</f>
        <v/>
      </c>
    </row>
    <row r="394" ht="15" customHeight="1">
      <c r="A394" t="inlineStr">
        <is>
          <t>A 36596-2024</t>
        </is>
      </c>
      <c r="B394" s="1" t="n">
        <v>45537</v>
      </c>
      <c r="C394" s="1" t="n">
        <v>45724</v>
      </c>
      <c r="D394" t="inlineStr">
        <is>
          <t>VÄSTMANLANDS LÄN</t>
        </is>
      </c>
      <c r="E394" t="inlineStr">
        <is>
          <t>SKINNSKATTEBERG</t>
        </is>
      </c>
      <c r="F394" t="inlineStr">
        <is>
          <t>Sveaskog</t>
        </is>
      </c>
      <c r="G394" t="n">
        <v>0.8</v>
      </c>
      <c r="H394" t="n">
        <v>0</v>
      </c>
      <c r="I394" t="n">
        <v>0</v>
      </c>
      <c r="J394" t="n">
        <v>0</v>
      </c>
      <c r="K394" t="n">
        <v>1</v>
      </c>
      <c r="L394" t="n">
        <v>0</v>
      </c>
      <c r="M394" t="n">
        <v>0</v>
      </c>
      <c r="N394" t="n">
        <v>0</v>
      </c>
      <c r="O394" t="n">
        <v>1</v>
      </c>
      <c r="P394" t="n">
        <v>1</v>
      </c>
      <c r="Q394" t="n">
        <v>1</v>
      </c>
      <c r="R394" s="2" t="inlineStr">
        <is>
          <t>Lakritsmusseron</t>
        </is>
      </c>
      <c r="S394">
        <f>HYPERLINK("https://klasma.github.io/Logging_1904/artfynd/A 36596-2024 artfynd.xlsx", "A 36596-2024")</f>
        <v/>
      </c>
      <c r="T394">
        <f>HYPERLINK("https://klasma.github.io/Logging_1904/kartor/A 36596-2024 karta.png", "A 36596-2024")</f>
        <v/>
      </c>
      <c r="V394">
        <f>HYPERLINK("https://klasma.github.io/Logging_1904/klagomål/A 36596-2024 FSC-klagomål.docx", "A 36596-2024")</f>
        <v/>
      </c>
      <c r="W394">
        <f>HYPERLINK("https://klasma.github.io/Logging_1904/klagomålsmail/A 36596-2024 FSC-klagomål mail.docx", "A 36596-2024")</f>
        <v/>
      </c>
      <c r="X394">
        <f>HYPERLINK("https://klasma.github.io/Logging_1904/tillsyn/A 36596-2024 tillsynsbegäran.docx", "A 36596-2024")</f>
        <v/>
      </c>
      <c r="Y394">
        <f>HYPERLINK("https://klasma.github.io/Logging_1904/tillsynsmail/A 36596-2024 tillsynsbegäran mail.docx", "A 36596-2024")</f>
        <v/>
      </c>
    </row>
    <row r="395" ht="15" customHeight="1">
      <c r="A395" t="inlineStr">
        <is>
          <t>A 36595-2024</t>
        </is>
      </c>
      <c r="B395" s="1" t="n">
        <v>45537</v>
      </c>
      <c r="C395" s="1" t="n">
        <v>45724</v>
      </c>
      <c r="D395" t="inlineStr">
        <is>
          <t>VÄSTMANLANDS LÄN</t>
        </is>
      </c>
      <c r="E395" t="inlineStr">
        <is>
          <t>SKINNSKATTEBERG</t>
        </is>
      </c>
      <c r="F395" t="inlineStr">
        <is>
          <t>Sveaskog</t>
        </is>
      </c>
      <c r="G395" t="n">
        <v>1</v>
      </c>
      <c r="H395" t="n">
        <v>0</v>
      </c>
      <c r="I395" t="n">
        <v>0</v>
      </c>
      <c r="J395" t="n">
        <v>0</v>
      </c>
      <c r="K395" t="n">
        <v>1</v>
      </c>
      <c r="L395" t="n">
        <v>0</v>
      </c>
      <c r="M395" t="n">
        <v>0</v>
      </c>
      <c r="N395" t="n">
        <v>0</v>
      </c>
      <c r="O395" t="n">
        <v>1</v>
      </c>
      <c r="P395" t="n">
        <v>1</v>
      </c>
      <c r="Q395" t="n">
        <v>1</v>
      </c>
      <c r="R395" s="2" t="inlineStr">
        <is>
          <t>Lammticka</t>
        </is>
      </c>
      <c r="S395">
        <f>HYPERLINK("https://klasma.github.io/Logging_1904/artfynd/A 36595-2024 artfynd.xlsx", "A 36595-2024")</f>
        <v/>
      </c>
      <c r="T395">
        <f>HYPERLINK("https://klasma.github.io/Logging_1904/kartor/A 36595-2024 karta.png", "A 36595-2024")</f>
        <v/>
      </c>
      <c r="U395">
        <f>HYPERLINK("https://klasma.github.io/Logging_1904/knärot/A 36595-2024 karta knärot.png", "A 36595-2024")</f>
        <v/>
      </c>
      <c r="V395">
        <f>HYPERLINK("https://klasma.github.io/Logging_1904/klagomål/A 36595-2024 FSC-klagomål.docx", "A 36595-2024")</f>
        <v/>
      </c>
      <c r="W395">
        <f>HYPERLINK("https://klasma.github.io/Logging_1904/klagomålsmail/A 36595-2024 FSC-klagomål mail.docx", "A 36595-2024")</f>
        <v/>
      </c>
      <c r="X395">
        <f>HYPERLINK("https://klasma.github.io/Logging_1904/tillsyn/A 36595-2024 tillsynsbegäran.docx", "A 36595-2024")</f>
        <v/>
      </c>
      <c r="Y395">
        <f>HYPERLINK("https://klasma.github.io/Logging_1904/tillsynsmail/A 36595-2024 tillsynsbegäran mail.docx", "A 36595-2024")</f>
        <v/>
      </c>
    </row>
    <row r="396" ht="15" customHeight="1">
      <c r="A396" t="inlineStr">
        <is>
          <t>A 37166-2024</t>
        </is>
      </c>
      <c r="B396" s="1" t="n">
        <v>45539</v>
      </c>
      <c r="C396" s="1" t="n">
        <v>45724</v>
      </c>
      <c r="D396" t="inlineStr">
        <is>
          <t>VÄSTMANLANDS LÄN</t>
        </is>
      </c>
      <c r="E396" t="inlineStr">
        <is>
          <t>SALA</t>
        </is>
      </c>
      <c r="G396" t="n">
        <v>1.3</v>
      </c>
      <c r="H396" t="n">
        <v>1</v>
      </c>
      <c r="I396" t="n">
        <v>0</v>
      </c>
      <c r="J396" t="n">
        <v>0</v>
      </c>
      <c r="K396" t="n">
        <v>1</v>
      </c>
      <c r="L396" t="n">
        <v>0</v>
      </c>
      <c r="M396" t="n">
        <v>0</v>
      </c>
      <c r="N396" t="n">
        <v>0</v>
      </c>
      <c r="O396" t="n">
        <v>1</v>
      </c>
      <c r="P396" t="n">
        <v>1</v>
      </c>
      <c r="Q396" t="n">
        <v>1</v>
      </c>
      <c r="R396" s="2" t="inlineStr">
        <is>
          <t>Knärot</t>
        </is>
      </c>
      <c r="S396">
        <f>HYPERLINK("https://klasma.github.io/Logging_1981/artfynd/A 37166-2024 artfynd.xlsx", "A 37166-2024")</f>
        <v/>
      </c>
      <c r="T396">
        <f>HYPERLINK("https://klasma.github.io/Logging_1981/kartor/A 37166-2024 karta.png", "A 37166-2024")</f>
        <v/>
      </c>
      <c r="U396">
        <f>HYPERLINK("https://klasma.github.io/Logging_1981/knärot/A 37166-2024 karta knärot.png", "A 37166-2024")</f>
        <v/>
      </c>
      <c r="V396">
        <f>HYPERLINK("https://klasma.github.io/Logging_1981/klagomål/A 37166-2024 FSC-klagomål.docx", "A 37166-2024")</f>
        <v/>
      </c>
      <c r="W396">
        <f>HYPERLINK("https://klasma.github.io/Logging_1981/klagomålsmail/A 37166-2024 FSC-klagomål mail.docx", "A 37166-2024")</f>
        <v/>
      </c>
      <c r="X396">
        <f>HYPERLINK("https://klasma.github.io/Logging_1981/tillsyn/A 37166-2024 tillsynsbegäran.docx", "A 37166-2024")</f>
        <v/>
      </c>
      <c r="Y396">
        <f>HYPERLINK("https://klasma.github.io/Logging_1981/tillsynsmail/A 37166-2024 tillsynsbegäran mail.docx", "A 37166-2024")</f>
        <v/>
      </c>
    </row>
    <row r="397" ht="15" customHeight="1">
      <c r="A397" t="inlineStr">
        <is>
          <t>A 39292-2024</t>
        </is>
      </c>
      <c r="B397" s="1" t="n">
        <v>45551</v>
      </c>
      <c r="C397" s="1" t="n">
        <v>45724</v>
      </c>
      <c r="D397" t="inlineStr">
        <is>
          <t>VÄSTMANLANDS LÄN</t>
        </is>
      </c>
      <c r="E397" t="inlineStr">
        <is>
          <t>KÖPING</t>
        </is>
      </c>
      <c r="G397" t="n">
        <v>4</v>
      </c>
      <c r="H397" t="n">
        <v>1</v>
      </c>
      <c r="I397" t="n">
        <v>0</v>
      </c>
      <c r="J397" t="n">
        <v>0</v>
      </c>
      <c r="K397" t="n">
        <v>1</v>
      </c>
      <c r="L397" t="n">
        <v>0</v>
      </c>
      <c r="M397" t="n">
        <v>0</v>
      </c>
      <c r="N397" t="n">
        <v>0</v>
      </c>
      <c r="O397" t="n">
        <v>1</v>
      </c>
      <c r="P397" t="n">
        <v>1</v>
      </c>
      <c r="Q397" t="n">
        <v>1</v>
      </c>
      <c r="R397" s="2" t="inlineStr">
        <is>
          <t>Knärot</t>
        </is>
      </c>
      <c r="S397">
        <f>HYPERLINK("https://klasma.github.io/Logging_1983/artfynd/A 39292-2024 artfynd.xlsx", "A 39292-2024")</f>
        <v/>
      </c>
      <c r="T397">
        <f>HYPERLINK("https://klasma.github.io/Logging_1983/kartor/A 39292-2024 karta.png", "A 39292-2024")</f>
        <v/>
      </c>
      <c r="U397">
        <f>HYPERLINK("https://klasma.github.io/Logging_1983/knärot/A 39292-2024 karta knärot.png", "A 39292-2024")</f>
        <v/>
      </c>
      <c r="V397">
        <f>HYPERLINK("https://klasma.github.io/Logging_1983/klagomål/A 39292-2024 FSC-klagomål.docx", "A 39292-2024")</f>
        <v/>
      </c>
      <c r="W397">
        <f>HYPERLINK("https://klasma.github.io/Logging_1983/klagomålsmail/A 39292-2024 FSC-klagomål mail.docx", "A 39292-2024")</f>
        <v/>
      </c>
      <c r="X397">
        <f>HYPERLINK("https://klasma.github.io/Logging_1983/tillsyn/A 39292-2024 tillsynsbegäran.docx", "A 39292-2024")</f>
        <v/>
      </c>
      <c r="Y397">
        <f>HYPERLINK("https://klasma.github.io/Logging_1983/tillsynsmail/A 39292-2024 tillsynsbegäran mail.docx", "A 39292-2024")</f>
        <v/>
      </c>
    </row>
    <row r="398" ht="15" customHeight="1">
      <c r="A398" t="inlineStr">
        <is>
          <t>A 41270-2024</t>
        </is>
      </c>
      <c r="B398" s="1" t="n">
        <v>45559</v>
      </c>
      <c r="C398" s="1" t="n">
        <v>45724</v>
      </c>
      <c r="D398" t="inlineStr">
        <is>
          <t>VÄSTMANLANDS LÄN</t>
        </is>
      </c>
      <c r="E398" t="inlineStr">
        <is>
          <t>SALA</t>
        </is>
      </c>
      <c r="G398" t="n">
        <v>15.2</v>
      </c>
      <c r="H398" t="n">
        <v>1</v>
      </c>
      <c r="I398" t="n">
        <v>0</v>
      </c>
      <c r="J398" t="n">
        <v>1</v>
      </c>
      <c r="K398" t="n">
        <v>0</v>
      </c>
      <c r="L398" t="n">
        <v>0</v>
      </c>
      <c r="M398" t="n">
        <v>0</v>
      </c>
      <c r="N398" t="n">
        <v>0</v>
      </c>
      <c r="O398" t="n">
        <v>1</v>
      </c>
      <c r="P398" t="n">
        <v>0</v>
      </c>
      <c r="Q398" t="n">
        <v>1</v>
      </c>
      <c r="R398" s="2" t="inlineStr">
        <is>
          <t>Havsörn</t>
        </is>
      </c>
      <c r="S398">
        <f>HYPERLINK("https://klasma.github.io/Logging_1981/artfynd/A 41270-2024 artfynd.xlsx", "A 41270-2024")</f>
        <v/>
      </c>
      <c r="T398">
        <f>HYPERLINK("https://klasma.github.io/Logging_1981/kartor/A 41270-2024 karta.png", "A 41270-2024")</f>
        <v/>
      </c>
      <c r="V398">
        <f>HYPERLINK("https://klasma.github.io/Logging_1981/klagomål/A 41270-2024 FSC-klagomål.docx", "A 41270-2024")</f>
        <v/>
      </c>
      <c r="W398">
        <f>HYPERLINK("https://klasma.github.io/Logging_1981/klagomålsmail/A 41270-2024 FSC-klagomål mail.docx", "A 41270-2024")</f>
        <v/>
      </c>
      <c r="X398">
        <f>HYPERLINK("https://klasma.github.io/Logging_1981/tillsyn/A 41270-2024 tillsynsbegäran.docx", "A 41270-2024")</f>
        <v/>
      </c>
      <c r="Y398">
        <f>HYPERLINK("https://klasma.github.io/Logging_1981/tillsynsmail/A 41270-2024 tillsynsbegäran mail.docx", "A 41270-2024")</f>
        <v/>
      </c>
      <c r="Z398">
        <f>HYPERLINK("https://klasma.github.io/Logging_1981/fåglar/A 41270-2024 prioriterade fågelarter.docx", "A 41270-2024")</f>
        <v/>
      </c>
    </row>
    <row r="399" ht="15" customHeight="1">
      <c r="A399" t="inlineStr">
        <is>
          <t>A 41468-2024</t>
        </is>
      </c>
      <c r="B399" s="1" t="n">
        <v>45560</v>
      </c>
      <c r="C399" s="1" t="n">
        <v>45724</v>
      </c>
      <c r="D399" t="inlineStr">
        <is>
          <t>VÄSTMANLANDS LÄN</t>
        </is>
      </c>
      <c r="E399" t="inlineStr">
        <is>
          <t>NORBERG</t>
        </is>
      </c>
      <c r="F399" t="inlineStr">
        <is>
          <t>Bergvik skog väst AB</t>
        </is>
      </c>
      <c r="G399" t="n">
        <v>14.2</v>
      </c>
      <c r="H399" t="n">
        <v>1</v>
      </c>
      <c r="I399" t="n">
        <v>0</v>
      </c>
      <c r="J399" t="n">
        <v>0</v>
      </c>
      <c r="K399" t="n">
        <v>1</v>
      </c>
      <c r="L399" t="n">
        <v>0</v>
      </c>
      <c r="M399" t="n">
        <v>0</v>
      </c>
      <c r="N399" t="n">
        <v>0</v>
      </c>
      <c r="O399" t="n">
        <v>1</v>
      </c>
      <c r="P399" t="n">
        <v>1</v>
      </c>
      <c r="Q399" t="n">
        <v>1</v>
      </c>
      <c r="R399" s="2" t="inlineStr">
        <is>
          <t>Knärot</t>
        </is>
      </c>
      <c r="S399">
        <f>HYPERLINK("https://klasma.github.io/Logging_1962/artfynd/A 41468-2024 artfynd.xlsx", "A 41468-2024")</f>
        <v/>
      </c>
      <c r="T399">
        <f>HYPERLINK("https://klasma.github.io/Logging_1962/kartor/A 41468-2024 karta.png", "A 41468-2024")</f>
        <v/>
      </c>
      <c r="U399">
        <f>HYPERLINK("https://klasma.github.io/Logging_1962/knärot/A 41468-2024 karta knärot.png", "A 41468-2024")</f>
        <v/>
      </c>
      <c r="V399">
        <f>HYPERLINK("https://klasma.github.io/Logging_1962/klagomål/A 41468-2024 FSC-klagomål.docx", "A 41468-2024")</f>
        <v/>
      </c>
      <c r="W399">
        <f>HYPERLINK("https://klasma.github.io/Logging_1962/klagomålsmail/A 41468-2024 FSC-klagomål mail.docx", "A 41468-2024")</f>
        <v/>
      </c>
      <c r="X399">
        <f>HYPERLINK("https://klasma.github.io/Logging_1962/tillsyn/A 41468-2024 tillsynsbegäran.docx", "A 41468-2024")</f>
        <v/>
      </c>
      <c r="Y399">
        <f>HYPERLINK("https://klasma.github.io/Logging_1962/tillsynsmail/A 41468-2024 tillsynsbegäran mail.docx", "A 41468-2024")</f>
        <v/>
      </c>
    </row>
    <row r="400" ht="15" customHeight="1">
      <c r="A400" t="inlineStr">
        <is>
          <t>A 43068-2024</t>
        </is>
      </c>
      <c r="B400" s="1" t="n">
        <v>45567</v>
      </c>
      <c r="C400" s="1" t="n">
        <v>45724</v>
      </c>
      <c r="D400" t="inlineStr">
        <is>
          <t>VÄSTMANLANDS LÄN</t>
        </is>
      </c>
      <c r="E400" t="inlineStr">
        <is>
          <t>SALA</t>
        </is>
      </c>
      <c r="G400" t="n">
        <v>1.1</v>
      </c>
      <c r="H400" t="n">
        <v>0</v>
      </c>
      <c r="I400" t="n">
        <v>1</v>
      </c>
      <c r="J400" t="n">
        <v>0</v>
      </c>
      <c r="K400" t="n">
        <v>0</v>
      </c>
      <c r="L400" t="n">
        <v>0</v>
      </c>
      <c r="M400" t="n">
        <v>0</v>
      </c>
      <c r="N400" t="n">
        <v>0</v>
      </c>
      <c r="O400" t="n">
        <v>0</v>
      </c>
      <c r="P400" t="n">
        <v>0</v>
      </c>
      <c r="Q400" t="n">
        <v>1</v>
      </c>
      <c r="R400" s="2" t="inlineStr">
        <is>
          <t>Vedticka</t>
        </is>
      </c>
      <c r="S400">
        <f>HYPERLINK("https://klasma.github.io/Logging_1981/artfynd/A 43068-2024 artfynd.xlsx", "A 43068-2024")</f>
        <v/>
      </c>
      <c r="T400">
        <f>HYPERLINK("https://klasma.github.io/Logging_1981/kartor/A 43068-2024 karta.png", "A 43068-2024")</f>
        <v/>
      </c>
      <c r="V400">
        <f>HYPERLINK("https://klasma.github.io/Logging_1981/klagomål/A 43068-2024 FSC-klagomål.docx", "A 43068-2024")</f>
        <v/>
      </c>
      <c r="W400">
        <f>HYPERLINK("https://klasma.github.io/Logging_1981/klagomålsmail/A 43068-2024 FSC-klagomål mail.docx", "A 43068-2024")</f>
        <v/>
      </c>
      <c r="X400">
        <f>HYPERLINK("https://klasma.github.io/Logging_1981/tillsyn/A 43068-2024 tillsynsbegäran.docx", "A 43068-2024")</f>
        <v/>
      </c>
      <c r="Y400">
        <f>HYPERLINK("https://klasma.github.io/Logging_1981/tillsynsmail/A 43068-2024 tillsynsbegäran mail.docx", "A 43068-2024")</f>
        <v/>
      </c>
    </row>
    <row r="401" ht="15" customHeight="1">
      <c r="A401" t="inlineStr">
        <is>
          <t>A 43451-2024</t>
        </is>
      </c>
      <c r="B401" s="1" t="n">
        <v>45568</v>
      </c>
      <c r="C401" s="1" t="n">
        <v>45724</v>
      </c>
      <c r="D401" t="inlineStr">
        <is>
          <t>VÄSTMANLANDS LÄN</t>
        </is>
      </c>
      <c r="E401" t="inlineStr">
        <is>
          <t>SURAHAMMAR</t>
        </is>
      </c>
      <c r="F401" t="inlineStr">
        <is>
          <t>Bergvik skog väst AB</t>
        </is>
      </c>
      <c r="G401" t="n">
        <v>2.9</v>
      </c>
      <c r="H401" t="n">
        <v>0</v>
      </c>
      <c r="I401" t="n">
        <v>0</v>
      </c>
      <c r="J401" t="n">
        <v>1</v>
      </c>
      <c r="K401" t="n">
        <v>0</v>
      </c>
      <c r="L401" t="n">
        <v>0</v>
      </c>
      <c r="M401" t="n">
        <v>0</v>
      </c>
      <c r="N401" t="n">
        <v>0</v>
      </c>
      <c r="O401" t="n">
        <v>1</v>
      </c>
      <c r="P401" t="n">
        <v>0</v>
      </c>
      <c r="Q401" t="n">
        <v>1</v>
      </c>
      <c r="R401" s="2" t="inlineStr">
        <is>
          <t>Ullticka</t>
        </is>
      </c>
      <c r="S401">
        <f>HYPERLINK("https://klasma.github.io/Logging_1907/artfynd/A 43451-2024 artfynd.xlsx", "A 43451-2024")</f>
        <v/>
      </c>
      <c r="T401">
        <f>HYPERLINK("https://klasma.github.io/Logging_1907/kartor/A 43451-2024 karta.png", "A 43451-2024")</f>
        <v/>
      </c>
      <c r="V401">
        <f>HYPERLINK("https://klasma.github.io/Logging_1907/klagomål/A 43451-2024 FSC-klagomål.docx", "A 43451-2024")</f>
        <v/>
      </c>
      <c r="W401">
        <f>HYPERLINK("https://klasma.github.io/Logging_1907/klagomålsmail/A 43451-2024 FSC-klagomål mail.docx", "A 43451-2024")</f>
        <v/>
      </c>
      <c r="X401">
        <f>HYPERLINK("https://klasma.github.io/Logging_1907/tillsyn/A 43451-2024 tillsynsbegäran.docx", "A 43451-2024")</f>
        <v/>
      </c>
      <c r="Y401">
        <f>HYPERLINK("https://klasma.github.io/Logging_1907/tillsynsmail/A 43451-2024 tillsynsbegäran mail.docx", "A 43451-2024")</f>
        <v/>
      </c>
    </row>
    <row r="402" ht="15" customHeight="1">
      <c r="A402" t="inlineStr">
        <is>
          <t>A 43413-2024</t>
        </is>
      </c>
      <c r="B402" s="1" t="n">
        <v>45568</v>
      </c>
      <c r="C402" s="1" t="n">
        <v>45724</v>
      </c>
      <c r="D402" t="inlineStr">
        <is>
          <t>VÄSTMANLANDS LÄN</t>
        </is>
      </c>
      <c r="E402" t="inlineStr">
        <is>
          <t>SKINNSKATTEBERG</t>
        </is>
      </c>
      <c r="F402" t="inlineStr">
        <is>
          <t>Sveaskog</t>
        </is>
      </c>
      <c r="G402" t="n">
        <v>1.9</v>
      </c>
      <c r="H402" t="n">
        <v>0</v>
      </c>
      <c r="I402" t="n">
        <v>0</v>
      </c>
      <c r="J402" t="n">
        <v>1</v>
      </c>
      <c r="K402" t="n">
        <v>0</v>
      </c>
      <c r="L402" t="n">
        <v>0</v>
      </c>
      <c r="M402" t="n">
        <v>0</v>
      </c>
      <c r="N402" t="n">
        <v>0</v>
      </c>
      <c r="O402" t="n">
        <v>1</v>
      </c>
      <c r="P402" t="n">
        <v>0</v>
      </c>
      <c r="Q402" t="n">
        <v>1</v>
      </c>
      <c r="R402" s="2" t="inlineStr">
        <is>
          <t>Orange taggsvamp</t>
        </is>
      </c>
      <c r="S402">
        <f>HYPERLINK("https://klasma.github.io/Logging_1904/artfynd/A 43413-2024 artfynd.xlsx", "A 43413-2024")</f>
        <v/>
      </c>
      <c r="T402">
        <f>HYPERLINK("https://klasma.github.io/Logging_1904/kartor/A 43413-2024 karta.png", "A 43413-2024")</f>
        <v/>
      </c>
      <c r="V402">
        <f>HYPERLINK("https://klasma.github.io/Logging_1904/klagomål/A 43413-2024 FSC-klagomål.docx", "A 43413-2024")</f>
        <v/>
      </c>
      <c r="W402">
        <f>HYPERLINK("https://klasma.github.io/Logging_1904/klagomålsmail/A 43413-2024 FSC-klagomål mail.docx", "A 43413-2024")</f>
        <v/>
      </c>
      <c r="X402">
        <f>HYPERLINK("https://klasma.github.io/Logging_1904/tillsyn/A 43413-2024 tillsynsbegäran.docx", "A 43413-2024")</f>
        <v/>
      </c>
      <c r="Y402">
        <f>HYPERLINK("https://klasma.github.io/Logging_1904/tillsynsmail/A 43413-2024 tillsynsbegäran mail.docx", "A 43413-2024")</f>
        <v/>
      </c>
    </row>
    <row r="403" ht="15" customHeight="1">
      <c r="A403" t="inlineStr">
        <is>
          <t>A 44356-2024</t>
        </is>
      </c>
      <c r="B403" s="1" t="n">
        <v>45573</v>
      </c>
      <c r="C403" s="1" t="n">
        <v>45724</v>
      </c>
      <c r="D403" t="inlineStr">
        <is>
          <t>VÄSTMANLANDS LÄN</t>
        </is>
      </c>
      <c r="E403" t="inlineStr">
        <is>
          <t>SURAHAMMAR</t>
        </is>
      </c>
      <c r="F403" t="inlineStr">
        <is>
          <t>Sveaskog</t>
        </is>
      </c>
      <c r="G403" t="n">
        <v>0.7</v>
      </c>
      <c r="H403" t="n">
        <v>1</v>
      </c>
      <c r="I403" t="n">
        <v>0</v>
      </c>
      <c r="J403" t="n">
        <v>0</v>
      </c>
      <c r="K403" t="n">
        <v>0</v>
      </c>
      <c r="L403" t="n">
        <v>0</v>
      </c>
      <c r="M403" t="n">
        <v>0</v>
      </c>
      <c r="N403" t="n">
        <v>0</v>
      </c>
      <c r="O403" t="n">
        <v>0</v>
      </c>
      <c r="P403" t="n">
        <v>0</v>
      </c>
      <c r="Q403" t="n">
        <v>1</v>
      </c>
      <c r="R403" s="2" t="inlineStr">
        <is>
          <t>Revlummer</t>
        </is>
      </c>
      <c r="S403">
        <f>HYPERLINK("https://klasma.github.io/Logging_1907/artfynd/A 44356-2024 artfynd.xlsx", "A 44356-2024")</f>
        <v/>
      </c>
      <c r="T403">
        <f>HYPERLINK("https://klasma.github.io/Logging_1907/kartor/A 44356-2024 karta.png", "A 44356-2024")</f>
        <v/>
      </c>
      <c r="V403">
        <f>HYPERLINK("https://klasma.github.io/Logging_1907/klagomål/A 44356-2024 FSC-klagomål.docx", "A 44356-2024")</f>
        <v/>
      </c>
      <c r="W403">
        <f>HYPERLINK("https://klasma.github.io/Logging_1907/klagomålsmail/A 44356-2024 FSC-klagomål mail.docx", "A 44356-2024")</f>
        <v/>
      </c>
      <c r="X403">
        <f>HYPERLINK("https://klasma.github.io/Logging_1907/tillsyn/A 44356-2024 tillsynsbegäran.docx", "A 44356-2024")</f>
        <v/>
      </c>
      <c r="Y403">
        <f>HYPERLINK("https://klasma.github.io/Logging_1907/tillsynsmail/A 44356-2024 tillsynsbegäran mail.docx", "A 44356-2024")</f>
        <v/>
      </c>
    </row>
    <row r="404" ht="15" customHeight="1">
      <c r="A404" t="inlineStr">
        <is>
          <t>A 44355-2024</t>
        </is>
      </c>
      <c r="B404" s="1" t="n">
        <v>45573</v>
      </c>
      <c r="C404" s="1" t="n">
        <v>45724</v>
      </c>
      <c r="D404" t="inlineStr">
        <is>
          <t>VÄSTMANLANDS LÄN</t>
        </is>
      </c>
      <c r="E404" t="inlineStr">
        <is>
          <t>SURAHAMMAR</t>
        </is>
      </c>
      <c r="F404" t="inlineStr">
        <is>
          <t>Sveaskog</t>
        </is>
      </c>
      <c r="G404" t="n">
        <v>3.5</v>
      </c>
      <c r="H404" t="n">
        <v>1</v>
      </c>
      <c r="I404" t="n">
        <v>0</v>
      </c>
      <c r="J404" t="n">
        <v>0</v>
      </c>
      <c r="K404" t="n">
        <v>0</v>
      </c>
      <c r="L404" t="n">
        <v>0</v>
      </c>
      <c r="M404" t="n">
        <v>0</v>
      </c>
      <c r="N404" t="n">
        <v>0</v>
      </c>
      <c r="O404" t="n">
        <v>0</v>
      </c>
      <c r="P404" t="n">
        <v>0</v>
      </c>
      <c r="Q404" t="n">
        <v>1</v>
      </c>
      <c r="R404" s="2" t="inlineStr">
        <is>
          <t>Revlummer</t>
        </is>
      </c>
      <c r="S404">
        <f>HYPERLINK("https://klasma.github.io/Logging_1907/artfynd/A 44355-2024 artfynd.xlsx", "A 44355-2024")</f>
        <v/>
      </c>
      <c r="T404">
        <f>HYPERLINK("https://klasma.github.io/Logging_1907/kartor/A 44355-2024 karta.png", "A 44355-2024")</f>
        <v/>
      </c>
      <c r="V404">
        <f>HYPERLINK("https://klasma.github.io/Logging_1907/klagomål/A 44355-2024 FSC-klagomål.docx", "A 44355-2024")</f>
        <v/>
      </c>
      <c r="W404">
        <f>HYPERLINK("https://klasma.github.io/Logging_1907/klagomålsmail/A 44355-2024 FSC-klagomål mail.docx", "A 44355-2024")</f>
        <v/>
      </c>
      <c r="X404">
        <f>HYPERLINK("https://klasma.github.io/Logging_1907/tillsyn/A 44355-2024 tillsynsbegäran.docx", "A 44355-2024")</f>
        <v/>
      </c>
      <c r="Y404">
        <f>HYPERLINK("https://klasma.github.io/Logging_1907/tillsynsmail/A 44355-2024 tillsynsbegäran mail.docx", "A 44355-2024")</f>
        <v/>
      </c>
    </row>
    <row r="405" ht="15" customHeight="1">
      <c r="A405" t="inlineStr">
        <is>
          <t>A 45735-2024</t>
        </is>
      </c>
      <c r="B405" s="1" t="n">
        <v>45579</v>
      </c>
      <c r="C405" s="1" t="n">
        <v>45724</v>
      </c>
      <c r="D405" t="inlineStr">
        <is>
          <t>VÄSTMANLANDS LÄN</t>
        </is>
      </c>
      <c r="E405" t="inlineStr">
        <is>
          <t>SURAHAMMAR</t>
        </is>
      </c>
      <c r="F405" t="inlineStr">
        <is>
          <t>Sveaskog</t>
        </is>
      </c>
      <c r="G405" t="n">
        <v>13.5</v>
      </c>
      <c r="H405" t="n">
        <v>1</v>
      </c>
      <c r="I405" t="n">
        <v>0</v>
      </c>
      <c r="J405" t="n">
        <v>0</v>
      </c>
      <c r="K405" t="n">
        <v>0</v>
      </c>
      <c r="L405" t="n">
        <v>0</v>
      </c>
      <c r="M405" t="n">
        <v>0</v>
      </c>
      <c r="N405" t="n">
        <v>0</v>
      </c>
      <c r="O405" t="n">
        <v>0</v>
      </c>
      <c r="P405" t="n">
        <v>0</v>
      </c>
      <c r="Q405" t="n">
        <v>1</v>
      </c>
      <c r="R405" s="2" t="inlineStr">
        <is>
          <t>Revlummer</t>
        </is>
      </c>
      <c r="S405">
        <f>HYPERLINK("https://klasma.github.io/Logging_1907/artfynd/A 45735-2024 artfynd.xlsx", "A 45735-2024")</f>
        <v/>
      </c>
      <c r="T405">
        <f>HYPERLINK("https://klasma.github.io/Logging_1907/kartor/A 45735-2024 karta.png", "A 45735-2024")</f>
        <v/>
      </c>
      <c r="V405">
        <f>HYPERLINK("https://klasma.github.io/Logging_1907/klagomål/A 45735-2024 FSC-klagomål.docx", "A 45735-2024")</f>
        <v/>
      </c>
      <c r="W405">
        <f>HYPERLINK("https://klasma.github.io/Logging_1907/klagomålsmail/A 45735-2024 FSC-klagomål mail.docx", "A 45735-2024")</f>
        <v/>
      </c>
      <c r="X405">
        <f>HYPERLINK("https://klasma.github.io/Logging_1907/tillsyn/A 45735-2024 tillsynsbegäran.docx", "A 45735-2024")</f>
        <v/>
      </c>
      <c r="Y405">
        <f>HYPERLINK("https://klasma.github.io/Logging_1907/tillsynsmail/A 45735-2024 tillsynsbegäran mail.docx", "A 45735-2024")</f>
        <v/>
      </c>
    </row>
    <row r="406" ht="15" customHeight="1">
      <c r="A406" t="inlineStr">
        <is>
          <t>A 47139-2024</t>
        </is>
      </c>
      <c r="B406" s="1" t="n">
        <v>45586</v>
      </c>
      <c r="C406" s="1" t="n">
        <v>45724</v>
      </c>
      <c r="D406" t="inlineStr">
        <is>
          <t>VÄSTMANLANDS LÄN</t>
        </is>
      </c>
      <c r="E406" t="inlineStr">
        <is>
          <t>NORBERG</t>
        </is>
      </c>
      <c r="F406" t="inlineStr">
        <is>
          <t>Sveaskog</t>
        </is>
      </c>
      <c r="G406" t="n">
        <v>5</v>
      </c>
      <c r="H406" t="n">
        <v>1</v>
      </c>
      <c r="I406" t="n">
        <v>1</v>
      </c>
      <c r="J406" t="n">
        <v>0</v>
      </c>
      <c r="K406" t="n">
        <v>0</v>
      </c>
      <c r="L406" t="n">
        <v>0</v>
      </c>
      <c r="M406" t="n">
        <v>0</v>
      </c>
      <c r="N406" t="n">
        <v>0</v>
      </c>
      <c r="O406" t="n">
        <v>0</v>
      </c>
      <c r="P406" t="n">
        <v>0</v>
      </c>
      <c r="Q406" t="n">
        <v>1</v>
      </c>
      <c r="R406" s="2" t="inlineStr">
        <is>
          <t>Skogsknipprot</t>
        </is>
      </c>
      <c r="S406">
        <f>HYPERLINK("https://klasma.github.io/Logging_1962/artfynd/A 47139-2024 artfynd.xlsx", "A 47139-2024")</f>
        <v/>
      </c>
      <c r="T406">
        <f>HYPERLINK("https://klasma.github.io/Logging_1962/kartor/A 47139-2024 karta.png", "A 47139-2024")</f>
        <v/>
      </c>
      <c r="V406">
        <f>HYPERLINK("https://klasma.github.io/Logging_1962/klagomål/A 47139-2024 FSC-klagomål.docx", "A 47139-2024")</f>
        <v/>
      </c>
      <c r="W406">
        <f>HYPERLINK("https://klasma.github.io/Logging_1962/klagomålsmail/A 47139-2024 FSC-klagomål mail.docx", "A 47139-2024")</f>
        <v/>
      </c>
      <c r="X406">
        <f>HYPERLINK("https://klasma.github.io/Logging_1962/tillsyn/A 47139-2024 tillsynsbegäran.docx", "A 47139-2024")</f>
        <v/>
      </c>
      <c r="Y406">
        <f>HYPERLINK("https://klasma.github.io/Logging_1962/tillsynsmail/A 47139-2024 tillsynsbegäran mail.docx", "A 47139-2024")</f>
        <v/>
      </c>
    </row>
    <row r="407" ht="15" customHeight="1">
      <c r="A407" t="inlineStr">
        <is>
          <t>A 47549-2024</t>
        </is>
      </c>
      <c r="B407" s="1" t="n">
        <v>45587</v>
      </c>
      <c r="C407" s="1" t="n">
        <v>45724</v>
      </c>
      <c r="D407" t="inlineStr">
        <is>
          <t>VÄSTMANLANDS LÄN</t>
        </is>
      </c>
      <c r="E407" t="inlineStr">
        <is>
          <t>KUNGSÖR</t>
        </is>
      </c>
      <c r="G407" t="n">
        <v>1.9</v>
      </c>
      <c r="H407" t="n">
        <v>0</v>
      </c>
      <c r="I407" t="n">
        <v>0</v>
      </c>
      <c r="J407" t="n">
        <v>1</v>
      </c>
      <c r="K407" t="n">
        <v>0</v>
      </c>
      <c r="L407" t="n">
        <v>0</v>
      </c>
      <c r="M407" t="n">
        <v>0</v>
      </c>
      <c r="N407" t="n">
        <v>0</v>
      </c>
      <c r="O407" t="n">
        <v>1</v>
      </c>
      <c r="P407" t="n">
        <v>0</v>
      </c>
      <c r="Q407" t="n">
        <v>1</v>
      </c>
      <c r="R407" s="2" t="inlineStr">
        <is>
          <t>Ullticka</t>
        </is>
      </c>
      <c r="S407">
        <f>HYPERLINK("https://klasma.github.io/Logging_1960/artfynd/A 47549-2024 artfynd.xlsx", "A 47549-2024")</f>
        <v/>
      </c>
      <c r="T407">
        <f>HYPERLINK("https://klasma.github.io/Logging_1960/kartor/A 47549-2024 karta.png", "A 47549-2024")</f>
        <v/>
      </c>
      <c r="V407">
        <f>HYPERLINK("https://klasma.github.io/Logging_1960/klagomål/A 47549-2024 FSC-klagomål.docx", "A 47549-2024")</f>
        <v/>
      </c>
      <c r="W407">
        <f>HYPERLINK("https://klasma.github.io/Logging_1960/klagomålsmail/A 47549-2024 FSC-klagomål mail.docx", "A 47549-2024")</f>
        <v/>
      </c>
      <c r="X407">
        <f>HYPERLINK("https://klasma.github.io/Logging_1960/tillsyn/A 47549-2024 tillsynsbegäran.docx", "A 47549-2024")</f>
        <v/>
      </c>
      <c r="Y407">
        <f>HYPERLINK("https://klasma.github.io/Logging_1960/tillsynsmail/A 47549-2024 tillsynsbegäran mail.docx", "A 47549-2024")</f>
        <v/>
      </c>
    </row>
    <row r="408" ht="15" customHeight="1">
      <c r="A408" t="inlineStr">
        <is>
          <t>A 49630-2024</t>
        </is>
      </c>
      <c r="B408" s="1" t="n">
        <v>45596</v>
      </c>
      <c r="C408" s="1" t="n">
        <v>45724</v>
      </c>
      <c r="D408" t="inlineStr">
        <is>
          <t>VÄSTMANLANDS LÄN</t>
        </is>
      </c>
      <c r="E408" t="inlineStr">
        <is>
          <t>SKINNSKATTEBERG</t>
        </is>
      </c>
      <c r="F408" t="inlineStr">
        <is>
          <t>Sveaskog</t>
        </is>
      </c>
      <c r="G408" t="n">
        <v>7.3</v>
      </c>
      <c r="H408" t="n">
        <v>1</v>
      </c>
      <c r="I408" t="n">
        <v>0</v>
      </c>
      <c r="J408" t="n">
        <v>0</v>
      </c>
      <c r="K408" t="n">
        <v>0</v>
      </c>
      <c r="L408" t="n">
        <v>0</v>
      </c>
      <c r="M408" t="n">
        <v>0</v>
      </c>
      <c r="N408" t="n">
        <v>0</v>
      </c>
      <c r="O408" t="n">
        <v>0</v>
      </c>
      <c r="P408" t="n">
        <v>0</v>
      </c>
      <c r="Q408" t="n">
        <v>1</v>
      </c>
      <c r="R408" s="2" t="inlineStr">
        <is>
          <t>Fläcknycklar</t>
        </is>
      </c>
      <c r="S408">
        <f>HYPERLINK("https://klasma.github.io/Logging_1904/artfynd/A 49630-2024 artfynd.xlsx", "A 49630-2024")</f>
        <v/>
      </c>
      <c r="T408">
        <f>HYPERLINK("https://klasma.github.io/Logging_1904/kartor/A 49630-2024 karta.png", "A 49630-2024")</f>
        <v/>
      </c>
      <c r="V408">
        <f>HYPERLINK("https://klasma.github.io/Logging_1904/klagomål/A 49630-2024 FSC-klagomål.docx", "A 49630-2024")</f>
        <v/>
      </c>
      <c r="W408">
        <f>HYPERLINK("https://klasma.github.io/Logging_1904/klagomålsmail/A 49630-2024 FSC-klagomål mail.docx", "A 49630-2024")</f>
        <v/>
      </c>
      <c r="X408">
        <f>HYPERLINK("https://klasma.github.io/Logging_1904/tillsyn/A 49630-2024 tillsynsbegäran.docx", "A 49630-2024")</f>
        <v/>
      </c>
      <c r="Y408">
        <f>HYPERLINK("https://klasma.github.io/Logging_1904/tillsynsmail/A 49630-2024 tillsynsbegäran mail.docx", "A 49630-2024")</f>
        <v/>
      </c>
    </row>
    <row r="409" ht="15" customHeight="1">
      <c r="A409" t="inlineStr">
        <is>
          <t>A 51122-2024</t>
        </is>
      </c>
      <c r="B409" s="1" t="n">
        <v>45603</v>
      </c>
      <c r="C409" s="1" t="n">
        <v>45724</v>
      </c>
      <c r="D409" t="inlineStr">
        <is>
          <t>VÄSTMANLANDS LÄN</t>
        </is>
      </c>
      <c r="E409" t="inlineStr">
        <is>
          <t>FAGERSTA</t>
        </is>
      </c>
      <c r="F409" t="inlineStr">
        <is>
          <t>Sveaskog</t>
        </is>
      </c>
      <c r="G409" t="n">
        <v>8</v>
      </c>
      <c r="H409" t="n">
        <v>0</v>
      </c>
      <c r="I409" t="n">
        <v>0</v>
      </c>
      <c r="J409" t="n">
        <v>1</v>
      </c>
      <c r="K409" t="n">
        <v>0</v>
      </c>
      <c r="L409" t="n">
        <v>0</v>
      </c>
      <c r="M409" t="n">
        <v>0</v>
      </c>
      <c r="N409" t="n">
        <v>0</v>
      </c>
      <c r="O409" t="n">
        <v>1</v>
      </c>
      <c r="P409" t="n">
        <v>0</v>
      </c>
      <c r="Q409" t="n">
        <v>1</v>
      </c>
      <c r="R409" s="2" t="inlineStr">
        <is>
          <t>Brunklöver</t>
        </is>
      </c>
      <c r="S409">
        <f>HYPERLINK("https://klasma.github.io/Logging_1982/artfynd/A 51122-2024 artfynd.xlsx", "A 51122-2024")</f>
        <v/>
      </c>
      <c r="T409">
        <f>HYPERLINK("https://klasma.github.io/Logging_1982/kartor/A 51122-2024 karta.png", "A 51122-2024")</f>
        <v/>
      </c>
      <c r="V409">
        <f>HYPERLINK("https://klasma.github.io/Logging_1982/klagomål/A 51122-2024 FSC-klagomål.docx", "A 51122-2024")</f>
        <v/>
      </c>
      <c r="W409">
        <f>HYPERLINK("https://klasma.github.io/Logging_1982/klagomålsmail/A 51122-2024 FSC-klagomål mail.docx", "A 51122-2024")</f>
        <v/>
      </c>
      <c r="X409">
        <f>HYPERLINK("https://klasma.github.io/Logging_1982/tillsyn/A 51122-2024 tillsynsbegäran.docx", "A 51122-2024")</f>
        <v/>
      </c>
      <c r="Y409">
        <f>HYPERLINK("https://klasma.github.io/Logging_1982/tillsynsmail/A 51122-2024 tillsynsbegäran mail.docx", "A 51122-2024")</f>
        <v/>
      </c>
    </row>
    <row r="410" ht="15" customHeight="1">
      <c r="A410" t="inlineStr">
        <is>
          <t>A 51947-2024</t>
        </is>
      </c>
      <c r="B410" s="1" t="n">
        <v>45607</v>
      </c>
      <c r="C410" s="1" t="n">
        <v>45724</v>
      </c>
      <c r="D410" t="inlineStr">
        <is>
          <t>VÄSTMANLANDS LÄN</t>
        </is>
      </c>
      <c r="E410" t="inlineStr">
        <is>
          <t>ARBOGA</t>
        </is>
      </c>
      <c r="F410" t="inlineStr">
        <is>
          <t>Sveaskog</t>
        </is>
      </c>
      <c r="G410" t="n">
        <v>2.3</v>
      </c>
      <c r="H410" t="n">
        <v>0</v>
      </c>
      <c r="I410" t="n">
        <v>0</v>
      </c>
      <c r="J410" t="n">
        <v>1</v>
      </c>
      <c r="K410" t="n">
        <v>0</v>
      </c>
      <c r="L410" t="n">
        <v>0</v>
      </c>
      <c r="M410" t="n">
        <v>0</v>
      </c>
      <c r="N410" t="n">
        <v>0</v>
      </c>
      <c r="O410" t="n">
        <v>1</v>
      </c>
      <c r="P410" t="n">
        <v>0</v>
      </c>
      <c r="Q410" t="n">
        <v>1</v>
      </c>
      <c r="R410" s="2" t="inlineStr">
        <is>
          <t>Ullticka</t>
        </is>
      </c>
      <c r="S410">
        <f>HYPERLINK("https://klasma.github.io/Logging_1984/artfynd/A 51947-2024 artfynd.xlsx", "A 51947-2024")</f>
        <v/>
      </c>
      <c r="T410">
        <f>HYPERLINK("https://klasma.github.io/Logging_1984/kartor/A 51947-2024 karta.png", "A 51947-2024")</f>
        <v/>
      </c>
      <c r="V410">
        <f>HYPERLINK("https://klasma.github.io/Logging_1984/klagomål/A 51947-2024 FSC-klagomål.docx", "A 51947-2024")</f>
        <v/>
      </c>
      <c r="W410">
        <f>HYPERLINK("https://klasma.github.io/Logging_1984/klagomålsmail/A 51947-2024 FSC-klagomål mail.docx", "A 51947-2024")</f>
        <v/>
      </c>
      <c r="X410">
        <f>HYPERLINK("https://klasma.github.io/Logging_1984/tillsyn/A 51947-2024 tillsynsbegäran.docx", "A 51947-2024")</f>
        <v/>
      </c>
      <c r="Y410">
        <f>HYPERLINK("https://klasma.github.io/Logging_1984/tillsynsmail/A 51947-2024 tillsynsbegäran mail.docx", "A 51947-2024")</f>
        <v/>
      </c>
    </row>
    <row r="411" ht="15" customHeight="1">
      <c r="A411" t="inlineStr">
        <is>
          <t>A 51912-2024</t>
        </is>
      </c>
      <c r="B411" s="1" t="n">
        <v>45607</v>
      </c>
      <c r="C411" s="1" t="n">
        <v>45724</v>
      </c>
      <c r="D411" t="inlineStr">
        <is>
          <t>VÄSTMANLANDS LÄN</t>
        </is>
      </c>
      <c r="E411" t="inlineStr">
        <is>
          <t>VÄSTERÅS</t>
        </is>
      </c>
      <c r="G411" t="n">
        <v>13.2</v>
      </c>
      <c r="H411" t="n">
        <v>0</v>
      </c>
      <c r="I411" t="n">
        <v>0</v>
      </c>
      <c r="J411" t="n">
        <v>1</v>
      </c>
      <c r="K411" t="n">
        <v>0</v>
      </c>
      <c r="L411" t="n">
        <v>0</v>
      </c>
      <c r="M411" t="n">
        <v>0</v>
      </c>
      <c r="N411" t="n">
        <v>0</v>
      </c>
      <c r="O411" t="n">
        <v>1</v>
      </c>
      <c r="P411" t="n">
        <v>0</v>
      </c>
      <c r="Q411" t="n">
        <v>1</v>
      </c>
      <c r="R411" s="2" t="inlineStr">
        <is>
          <t>Tallticka</t>
        </is>
      </c>
      <c r="S411">
        <f>HYPERLINK("https://klasma.github.io/Logging_1980/artfynd/A 51912-2024 artfynd.xlsx", "A 51912-2024")</f>
        <v/>
      </c>
      <c r="T411">
        <f>HYPERLINK("https://klasma.github.io/Logging_1980/kartor/A 51912-2024 karta.png", "A 51912-2024")</f>
        <v/>
      </c>
      <c r="V411">
        <f>HYPERLINK("https://klasma.github.io/Logging_1980/klagomål/A 51912-2024 FSC-klagomål.docx", "A 51912-2024")</f>
        <v/>
      </c>
      <c r="W411">
        <f>HYPERLINK("https://klasma.github.io/Logging_1980/klagomålsmail/A 51912-2024 FSC-klagomål mail.docx", "A 51912-2024")</f>
        <v/>
      </c>
      <c r="X411">
        <f>HYPERLINK("https://klasma.github.io/Logging_1980/tillsyn/A 51912-2024 tillsynsbegäran.docx", "A 51912-2024")</f>
        <v/>
      </c>
      <c r="Y411">
        <f>HYPERLINK("https://klasma.github.io/Logging_1980/tillsynsmail/A 51912-2024 tillsynsbegäran mail.docx", "A 51912-2024")</f>
        <v/>
      </c>
    </row>
    <row r="412" ht="15" customHeight="1">
      <c r="A412" t="inlineStr">
        <is>
          <t>A 54868-2024</t>
        </is>
      </c>
      <c r="B412" s="1" t="n">
        <v>45618</v>
      </c>
      <c r="C412" s="1" t="n">
        <v>45724</v>
      </c>
      <c r="D412" t="inlineStr">
        <is>
          <t>VÄSTMANLANDS LÄN</t>
        </is>
      </c>
      <c r="E412" t="inlineStr">
        <is>
          <t>KÖPING</t>
        </is>
      </c>
      <c r="F412" t="inlineStr">
        <is>
          <t>Sveaskog</t>
        </is>
      </c>
      <c r="G412" t="n">
        <v>6.4</v>
      </c>
      <c r="H412" t="n">
        <v>0</v>
      </c>
      <c r="I412" t="n">
        <v>0</v>
      </c>
      <c r="J412" t="n">
        <v>1</v>
      </c>
      <c r="K412" t="n">
        <v>0</v>
      </c>
      <c r="L412" t="n">
        <v>0</v>
      </c>
      <c r="M412" t="n">
        <v>0</v>
      </c>
      <c r="N412" t="n">
        <v>0</v>
      </c>
      <c r="O412" t="n">
        <v>1</v>
      </c>
      <c r="P412" t="n">
        <v>0</v>
      </c>
      <c r="Q412" t="n">
        <v>1</v>
      </c>
      <c r="R412" s="2" t="inlineStr">
        <is>
          <t>Skogsklocka</t>
        </is>
      </c>
      <c r="S412">
        <f>HYPERLINK("https://klasma.github.io/Logging_1983/artfynd/A 54868-2024 artfynd.xlsx", "A 54868-2024")</f>
        <v/>
      </c>
      <c r="T412">
        <f>HYPERLINK("https://klasma.github.io/Logging_1983/kartor/A 54868-2024 karta.png", "A 54868-2024")</f>
        <v/>
      </c>
      <c r="V412">
        <f>HYPERLINK("https://klasma.github.io/Logging_1983/klagomål/A 54868-2024 FSC-klagomål.docx", "A 54868-2024")</f>
        <v/>
      </c>
      <c r="W412">
        <f>HYPERLINK("https://klasma.github.io/Logging_1983/klagomålsmail/A 54868-2024 FSC-klagomål mail.docx", "A 54868-2024")</f>
        <v/>
      </c>
      <c r="X412">
        <f>HYPERLINK("https://klasma.github.io/Logging_1983/tillsyn/A 54868-2024 tillsynsbegäran.docx", "A 54868-2024")</f>
        <v/>
      </c>
      <c r="Y412">
        <f>HYPERLINK("https://klasma.github.io/Logging_1983/tillsynsmail/A 54868-2024 tillsynsbegäran mail.docx", "A 54868-2024")</f>
        <v/>
      </c>
    </row>
    <row r="413" ht="15" customHeight="1">
      <c r="A413" t="inlineStr">
        <is>
          <t>A 55711-2024</t>
        </is>
      </c>
      <c r="B413" s="1" t="n">
        <v>45622</v>
      </c>
      <c r="C413" s="1" t="n">
        <v>45724</v>
      </c>
      <c r="D413" t="inlineStr">
        <is>
          <t>VÄSTMANLANDS LÄN</t>
        </is>
      </c>
      <c r="E413" t="inlineStr">
        <is>
          <t>NORBERG</t>
        </is>
      </c>
      <c r="G413" t="n">
        <v>2.5</v>
      </c>
      <c r="H413" t="n">
        <v>1</v>
      </c>
      <c r="I413" t="n">
        <v>1</v>
      </c>
      <c r="J413" t="n">
        <v>0</v>
      </c>
      <c r="K413" t="n">
        <v>0</v>
      </c>
      <c r="L413" t="n">
        <v>0</v>
      </c>
      <c r="M413" t="n">
        <v>0</v>
      </c>
      <c r="N413" t="n">
        <v>0</v>
      </c>
      <c r="O413" t="n">
        <v>0</v>
      </c>
      <c r="P413" t="n">
        <v>0</v>
      </c>
      <c r="Q413" t="n">
        <v>1</v>
      </c>
      <c r="R413" s="2" t="inlineStr">
        <is>
          <t>Skogsknipprot</t>
        </is>
      </c>
      <c r="S413">
        <f>HYPERLINK("https://klasma.github.io/Logging_1962/artfynd/A 55711-2024 artfynd.xlsx", "A 55711-2024")</f>
        <v/>
      </c>
      <c r="T413">
        <f>HYPERLINK("https://klasma.github.io/Logging_1962/kartor/A 55711-2024 karta.png", "A 55711-2024")</f>
        <v/>
      </c>
      <c r="V413">
        <f>HYPERLINK("https://klasma.github.io/Logging_1962/klagomål/A 55711-2024 FSC-klagomål.docx", "A 55711-2024")</f>
        <v/>
      </c>
      <c r="W413">
        <f>HYPERLINK("https://klasma.github.io/Logging_1962/klagomålsmail/A 55711-2024 FSC-klagomål mail.docx", "A 55711-2024")</f>
        <v/>
      </c>
      <c r="X413">
        <f>HYPERLINK("https://klasma.github.io/Logging_1962/tillsyn/A 55711-2024 tillsynsbegäran.docx", "A 55711-2024")</f>
        <v/>
      </c>
      <c r="Y413">
        <f>HYPERLINK("https://klasma.github.io/Logging_1962/tillsynsmail/A 55711-2024 tillsynsbegäran mail.docx", "A 55711-2024")</f>
        <v/>
      </c>
    </row>
    <row r="414" ht="15" customHeight="1">
      <c r="A414" t="inlineStr">
        <is>
          <t>A 58307-2024</t>
        </is>
      </c>
      <c r="B414" s="1" t="n">
        <v>45632</v>
      </c>
      <c r="C414" s="1" t="n">
        <v>45724</v>
      </c>
      <c r="D414" t="inlineStr">
        <is>
          <t>VÄSTMANLANDS LÄN</t>
        </is>
      </c>
      <c r="E414" t="inlineStr">
        <is>
          <t>FAGERSTA</t>
        </is>
      </c>
      <c r="G414" t="n">
        <v>1</v>
      </c>
      <c r="H414" t="n">
        <v>0</v>
      </c>
      <c r="I414" t="n">
        <v>1</v>
      </c>
      <c r="J414" t="n">
        <v>0</v>
      </c>
      <c r="K414" t="n">
        <v>0</v>
      </c>
      <c r="L414" t="n">
        <v>0</v>
      </c>
      <c r="M414" t="n">
        <v>0</v>
      </c>
      <c r="N414" t="n">
        <v>0</v>
      </c>
      <c r="O414" t="n">
        <v>0</v>
      </c>
      <c r="P414" t="n">
        <v>0</v>
      </c>
      <c r="Q414" t="n">
        <v>1</v>
      </c>
      <c r="R414" s="2" t="inlineStr">
        <is>
          <t>Mindre märgborre</t>
        </is>
      </c>
      <c r="S414">
        <f>HYPERLINK("https://klasma.github.io/Logging_1982/artfynd/A 58307-2024 artfynd.xlsx", "A 58307-2024")</f>
        <v/>
      </c>
      <c r="T414">
        <f>HYPERLINK("https://klasma.github.io/Logging_1982/kartor/A 58307-2024 karta.png", "A 58307-2024")</f>
        <v/>
      </c>
      <c r="V414">
        <f>HYPERLINK("https://klasma.github.io/Logging_1982/klagomål/A 58307-2024 FSC-klagomål.docx", "A 58307-2024")</f>
        <v/>
      </c>
      <c r="W414">
        <f>HYPERLINK("https://klasma.github.io/Logging_1982/klagomålsmail/A 58307-2024 FSC-klagomål mail.docx", "A 58307-2024")</f>
        <v/>
      </c>
      <c r="X414">
        <f>HYPERLINK("https://klasma.github.io/Logging_1982/tillsyn/A 58307-2024 tillsynsbegäran.docx", "A 58307-2024")</f>
        <v/>
      </c>
      <c r="Y414">
        <f>HYPERLINK("https://klasma.github.io/Logging_1982/tillsynsmail/A 58307-2024 tillsynsbegäran mail.docx", "A 58307-2024")</f>
        <v/>
      </c>
    </row>
    <row r="415" ht="15" customHeight="1">
      <c r="A415" t="inlineStr">
        <is>
          <t>A 58122-2024</t>
        </is>
      </c>
      <c r="B415" s="1" t="n">
        <v>45632</v>
      </c>
      <c r="C415" s="1" t="n">
        <v>45724</v>
      </c>
      <c r="D415" t="inlineStr">
        <is>
          <t>VÄSTMANLANDS LÄN</t>
        </is>
      </c>
      <c r="E415" t="inlineStr">
        <is>
          <t>KÖPING</t>
        </is>
      </c>
      <c r="G415" t="n">
        <v>5.7</v>
      </c>
      <c r="H415" t="n">
        <v>1</v>
      </c>
      <c r="I415" t="n">
        <v>0</v>
      </c>
      <c r="J415" t="n">
        <v>0</v>
      </c>
      <c r="K415" t="n">
        <v>0</v>
      </c>
      <c r="L415" t="n">
        <v>0</v>
      </c>
      <c r="M415" t="n">
        <v>0</v>
      </c>
      <c r="N415" t="n">
        <v>0</v>
      </c>
      <c r="O415" t="n">
        <v>0</v>
      </c>
      <c r="P415" t="n">
        <v>0</v>
      </c>
      <c r="Q415" t="n">
        <v>1</v>
      </c>
      <c r="R415" s="2" t="inlineStr">
        <is>
          <t>Vanlig groda</t>
        </is>
      </c>
      <c r="S415">
        <f>HYPERLINK("https://klasma.github.io/Logging_1983/artfynd/A 58122-2024 artfynd.xlsx", "A 58122-2024")</f>
        <v/>
      </c>
      <c r="T415">
        <f>HYPERLINK("https://klasma.github.io/Logging_1983/kartor/A 58122-2024 karta.png", "A 58122-2024")</f>
        <v/>
      </c>
      <c r="V415">
        <f>HYPERLINK("https://klasma.github.io/Logging_1983/klagomål/A 58122-2024 FSC-klagomål.docx", "A 58122-2024")</f>
        <v/>
      </c>
      <c r="W415">
        <f>HYPERLINK("https://klasma.github.io/Logging_1983/klagomålsmail/A 58122-2024 FSC-klagomål mail.docx", "A 58122-2024")</f>
        <v/>
      </c>
      <c r="X415">
        <f>HYPERLINK("https://klasma.github.io/Logging_1983/tillsyn/A 58122-2024 tillsynsbegäran.docx", "A 58122-2024")</f>
        <v/>
      </c>
      <c r="Y415">
        <f>HYPERLINK("https://klasma.github.io/Logging_1983/tillsynsmail/A 58122-2024 tillsynsbegäran mail.docx", "A 58122-2024")</f>
        <v/>
      </c>
    </row>
    <row r="416" ht="15" customHeight="1">
      <c r="A416" t="inlineStr">
        <is>
          <t>A 58711-2024</t>
        </is>
      </c>
      <c r="B416" s="1" t="n">
        <v>45635</v>
      </c>
      <c r="C416" s="1" t="n">
        <v>45724</v>
      </c>
      <c r="D416" t="inlineStr">
        <is>
          <t>VÄSTMANLANDS LÄN</t>
        </is>
      </c>
      <c r="E416" t="inlineStr">
        <is>
          <t>SALA</t>
        </is>
      </c>
      <c r="G416" t="n">
        <v>1.5</v>
      </c>
      <c r="H416" t="n">
        <v>1</v>
      </c>
      <c r="I416" t="n">
        <v>0</v>
      </c>
      <c r="J416" t="n">
        <v>0</v>
      </c>
      <c r="K416" t="n">
        <v>0</v>
      </c>
      <c r="L416" t="n">
        <v>0</v>
      </c>
      <c r="M416" t="n">
        <v>0</v>
      </c>
      <c r="N416" t="n">
        <v>0</v>
      </c>
      <c r="O416" t="n">
        <v>0</v>
      </c>
      <c r="P416" t="n">
        <v>0</v>
      </c>
      <c r="Q416" t="n">
        <v>1</v>
      </c>
      <c r="R416" s="2" t="inlineStr">
        <is>
          <t>Gröngöling</t>
        </is>
      </c>
      <c r="S416">
        <f>HYPERLINK("https://klasma.github.io/Logging_1981/artfynd/A 58711-2024 artfynd.xlsx", "A 58711-2024")</f>
        <v/>
      </c>
      <c r="T416">
        <f>HYPERLINK("https://klasma.github.io/Logging_1981/kartor/A 58711-2024 karta.png", "A 58711-2024")</f>
        <v/>
      </c>
      <c r="V416">
        <f>HYPERLINK("https://klasma.github.io/Logging_1981/klagomål/A 58711-2024 FSC-klagomål.docx", "A 58711-2024")</f>
        <v/>
      </c>
      <c r="W416">
        <f>HYPERLINK("https://klasma.github.io/Logging_1981/klagomålsmail/A 58711-2024 FSC-klagomål mail.docx", "A 58711-2024")</f>
        <v/>
      </c>
      <c r="X416">
        <f>HYPERLINK("https://klasma.github.io/Logging_1981/tillsyn/A 58711-2024 tillsynsbegäran.docx", "A 58711-2024")</f>
        <v/>
      </c>
      <c r="Y416">
        <f>HYPERLINK("https://klasma.github.io/Logging_1981/tillsynsmail/A 58711-2024 tillsynsbegäran mail.docx", "A 58711-2024")</f>
        <v/>
      </c>
      <c r="Z416">
        <f>HYPERLINK("https://klasma.github.io/Logging_1981/fåglar/A 58711-2024 prioriterade fågelarter.docx", "A 58711-2024")</f>
        <v/>
      </c>
    </row>
    <row r="417" ht="15" customHeight="1">
      <c r="A417" t="inlineStr">
        <is>
          <t>A 60218-2024</t>
        </is>
      </c>
      <c r="B417" s="1" t="n">
        <v>45642</v>
      </c>
      <c r="C417" s="1" t="n">
        <v>45724</v>
      </c>
      <c r="D417" t="inlineStr">
        <is>
          <t>VÄSTMANLANDS LÄN</t>
        </is>
      </c>
      <c r="E417" t="inlineStr">
        <is>
          <t>VÄSTERÅS</t>
        </is>
      </c>
      <c r="G417" t="n">
        <v>7.3</v>
      </c>
      <c r="H417" t="n">
        <v>1</v>
      </c>
      <c r="I417" t="n">
        <v>0</v>
      </c>
      <c r="J417" t="n">
        <v>0</v>
      </c>
      <c r="K417" t="n">
        <v>0</v>
      </c>
      <c r="L417" t="n">
        <v>0</v>
      </c>
      <c r="M417" t="n">
        <v>0</v>
      </c>
      <c r="N417" t="n">
        <v>0</v>
      </c>
      <c r="O417" t="n">
        <v>0</v>
      </c>
      <c r="P417" t="n">
        <v>0</v>
      </c>
      <c r="Q417" t="n">
        <v>1</v>
      </c>
      <c r="R417" s="2" t="inlineStr">
        <is>
          <t>Mindre vattensalamander</t>
        </is>
      </c>
      <c r="S417">
        <f>HYPERLINK("https://klasma.github.io/Logging_1980/artfynd/A 60218-2024 artfynd.xlsx", "A 60218-2024")</f>
        <v/>
      </c>
      <c r="T417">
        <f>HYPERLINK("https://klasma.github.io/Logging_1980/kartor/A 60218-2024 karta.png", "A 60218-2024")</f>
        <v/>
      </c>
      <c r="V417">
        <f>HYPERLINK("https://klasma.github.io/Logging_1980/klagomål/A 60218-2024 FSC-klagomål.docx", "A 60218-2024")</f>
        <v/>
      </c>
      <c r="W417">
        <f>HYPERLINK("https://klasma.github.io/Logging_1980/klagomålsmail/A 60218-2024 FSC-klagomål mail.docx", "A 60218-2024")</f>
        <v/>
      </c>
      <c r="X417">
        <f>HYPERLINK("https://klasma.github.io/Logging_1980/tillsyn/A 60218-2024 tillsynsbegäran.docx", "A 60218-2024")</f>
        <v/>
      </c>
      <c r="Y417">
        <f>HYPERLINK("https://klasma.github.io/Logging_1980/tillsynsmail/A 60218-2024 tillsynsbegäran mail.docx", "A 60218-2024")</f>
        <v/>
      </c>
    </row>
    <row r="418" ht="15" customHeight="1">
      <c r="A418" t="inlineStr">
        <is>
          <t>A 61099-2024</t>
        </is>
      </c>
      <c r="B418" s="1" t="n">
        <v>45644</v>
      </c>
      <c r="C418" s="1" t="n">
        <v>45724</v>
      </c>
      <c r="D418" t="inlineStr">
        <is>
          <t>VÄSTMANLANDS LÄN</t>
        </is>
      </c>
      <c r="E418" t="inlineStr">
        <is>
          <t>NORBERG</t>
        </is>
      </c>
      <c r="G418" t="n">
        <v>0.4</v>
      </c>
      <c r="H418" t="n">
        <v>1</v>
      </c>
      <c r="I418" t="n">
        <v>0</v>
      </c>
      <c r="J418" t="n">
        <v>0</v>
      </c>
      <c r="K418" t="n">
        <v>0</v>
      </c>
      <c r="L418" t="n">
        <v>0</v>
      </c>
      <c r="M418" t="n">
        <v>0</v>
      </c>
      <c r="N418" t="n">
        <v>0</v>
      </c>
      <c r="O418" t="n">
        <v>0</v>
      </c>
      <c r="P418" t="n">
        <v>0</v>
      </c>
      <c r="Q418" t="n">
        <v>1</v>
      </c>
      <c r="R418" s="2" t="inlineStr">
        <is>
          <t>Blåsippa</t>
        </is>
      </c>
      <c r="S418">
        <f>HYPERLINK("https://klasma.github.io/Logging_1962/artfynd/A 61099-2024 artfynd.xlsx", "A 61099-2024")</f>
        <v/>
      </c>
      <c r="T418">
        <f>HYPERLINK("https://klasma.github.io/Logging_1962/kartor/A 61099-2024 karta.png", "A 61099-2024")</f>
        <v/>
      </c>
      <c r="V418">
        <f>HYPERLINK("https://klasma.github.io/Logging_1962/klagomål/A 61099-2024 FSC-klagomål.docx", "A 61099-2024")</f>
        <v/>
      </c>
      <c r="W418">
        <f>HYPERLINK("https://klasma.github.io/Logging_1962/klagomålsmail/A 61099-2024 FSC-klagomål mail.docx", "A 61099-2024")</f>
        <v/>
      </c>
      <c r="X418">
        <f>HYPERLINK("https://klasma.github.io/Logging_1962/tillsyn/A 61099-2024 tillsynsbegäran.docx", "A 61099-2024")</f>
        <v/>
      </c>
      <c r="Y418">
        <f>HYPERLINK("https://klasma.github.io/Logging_1962/tillsynsmail/A 61099-2024 tillsynsbegäran mail.docx", "A 61099-2024")</f>
        <v/>
      </c>
    </row>
    <row r="419" ht="15" customHeight="1">
      <c r="A419" t="inlineStr">
        <is>
          <t>A 61036-2024</t>
        </is>
      </c>
      <c r="B419" s="1" t="n">
        <v>45645</v>
      </c>
      <c r="C419" s="1" t="n">
        <v>45724</v>
      </c>
      <c r="D419" t="inlineStr">
        <is>
          <t>VÄSTMANLANDS LÄN</t>
        </is>
      </c>
      <c r="E419" t="inlineStr">
        <is>
          <t>VÄSTERÅS</t>
        </is>
      </c>
      <c r="G419" t="n">
        <v>3.7</v>
      </c>
      <c r="H419" t="n">
        <v>1</v>
      </c>
      <c r="I419" t="n">
        <v>0</v>
      </c>
      <c r="J419" t="n">
        <v>0</v>
      </c>
      <c r="K419" t="n">
        <v>0</v>
      </c>
      <c r="L419" t="n">
        <v>0</v>
      </c>
      <c r="M419" t="n">
        <v>0</v>
      </c>
      <c r="N419" t="n">
        <v>0</v>
      </c>
      <c r="O419" t="n">
        <v>0</v>
      </c>
      <c r="P419" t="n">
        <v>0</v>
      </c>
      <c r="Q419" t="n">
        <v>1</v>
      </c>
      <c r="R419" s="2" t="inlineStr">
        <is>
          <t>Revlummer</t>
        </is>
      </c>
      <c r="S419">
        <f>HYPERLINK("https://klasma.github.io/Logging_1980/artfynd/A 61036-2024 artfynd.xlsx", "A 61036-2024")</f>
        <v/>
      </c>
      <c r="T419">
        <f>HYPERLINK("https://klasma.github.io/Logging_1980/kartor/A 61036-2024 karta.png", "A 61036-2024")</f>
        <v/>
      </c>
      <c r="V419">
        <f>HYPERLINK("https://klasma.github.io/Logging_1980/klagomål/A 61036-2024 FSC-klagomål.docx", "A 61036-2024")</f>
        <v/>
      </c>
      <c r="W419">
        <f>HYPERLINK("https://klasma.github.io/Logging_1980/klagomålsmail/A 61036-2024 FSC-klagomål mail.docx", "A 61036-2024")</f>
        <v/>
      </c>
      <c r="X419">
        <f>HYPERLINK("https://klasma.github.io/Logging_1980/tillsyn/A 61036-2024 tillsynsbegäran.docx", "A 61036-2024")</f>
        <v/>
      </c>
      <c r="Y419">
        <f>HYPERLINK("https://klasma.github.io/Logging_1980/tillsynsmail/A 61036-2024 tillsynsbegäran mail.docx", "A 61036-2024")</f>
        <v/>
      </c>
    </row>
    <row r="420" ht="15" customHeight="1">
      <c r="A420" t="inlineStr">
        <is>
          <t>A 61577-2024</t>
        </is>
      </c>
      <c r="B420" s="1" t="n">
        <v>45646</v>
      </c>
      <c r="C420" s="1" t="n">
        <v>45724</v>
      </c>
      <c r="D420" t="inlineStr">
        <is>
          <t>VÄSTMANLANDS LÄN</t>
        </is>
      </c>
      <c r="E420" t="inlineStr">
        <is>
          <t>KÖPING</t>
        </is>
      </c>
      <c r="G420" t="n">
        <v>5.6</v>
      </c>
      <c r="H420" t="n">
        <v>1</v>
      </c>
      <c r="I420" t="n">
        <v>0</v>
      </c>
      <c r="J420" t="n">
        <v>0</v>
      </c>
      <c r="K420" t="n">
        <v>0</v>
      </c>
      <c r="L420" t="n">
        <v>0</v>
      </c>
      <c r="M420" t="n">
        <v>0</v>
      </c>
      <c r="N420" t="n">
        <v>0</v>
      </c>
      <c r="O420" t="n">
        <v>0</v>
      </c>
      <c r="P420" t="n">
        <v>0</v>
      </c>
      <c r="Q420" t="n">
        <v>1</v>
      </c>
      <c r="R420" s="2" t="inlineStr">
        <is>
          <t>Skogsödla</t>
        </is>
      </c>
      <c r="S420">
        <f>HYPERLINK("https://klasma.github.io/Logging_1983/artfynd/A 61577-2024 artfynd.xlsx", "A 61577-2024")</f>
        <v/>
      </c>
      <c r="T420">
        <f>HYPERLINK("https://klasma.github.io/Logging_1983/kartor/A 61577-2024 karta.png", "A 61577-2024")</f>
        <v/>
      </c>
      <c r="V420">
        <f>HYPERLINK("https://klasma.github.io/Logging_1983/klagomål/A 61577-2024 FSC-klagomål.docx", "A 61577-2024")</f>
        <v/>
      </c>
      <c r="W420">
        <f>HYPERLINK("https://klasma.github.io/Logging_1983/klagomålsmail/A 61577-2024 FSC-klagomål mail.docx", "A 61577-2024")</f>
        <v/>
      </c>
      <c r="X420">
        <f>HYPERLINK("https://klasma.github.io/Logging_1983/tillsyn/A 61577-2024 tillsynsbegäran.docx", "A 61577-2024")</f>
        <v/>
      </c>
      <c r="Y420">
        <f>HYPERLINK("https://klasma.github.io/Logging_1983/tillsynsmail/A 61577-2024 tillsynsbegäran mail.docx", "A 61577-2024")</f>
        <v/>
      </c>
    </row>
    <row r="421" ht="15" customHeight="1">
      <c r="A421" t="inlineStr">
        <is>
          <t>A 62097-2024</t>
        </is>
      </c>
      <c r="B421" s="1" t="n">
        <v>45646</v>
      </c>
      <c r="C421" s="1" t="n">
        <v>45724</v>
      </c>
      <c r="D421" t="inlineStr">
        <is>
          <t>VÄSTMANLANDS LÄN</t>
        </is>
      </c>
      <c r="E421" t="inlineStr">
        <is>
          <t>SURAHAMMAR</t>
        </is>
      </c>
      <c r="F421" t="inlineStr">
        <is>
          <t>Bergvik skog väst AB</t>
        </is>
      </c>
      <c r="G421" t="n">
        <v>21.7</v>
      </c>
      <c r="H421" t="n">
        <v>1</v>
      </c>
      <c r="I421" t="n">
        <v>0</v>
      </c>
      <c r="J421" t="n">
        <v>0</v>
      </c>
      <c r="K421" t="n">
        <v>0</v>
      </c>
      <c r="L421" t="n">
        <v>0</v>
      </c>
      <c r="M421" t="n">
        <v>0</v>
      </c>
      <c r="N421" t="n">
        <v>0</v>
      </c>
      <c r="O421" t="n">
        <v>0</v>
      </c>
      <c r="P421" t="n">
        <v>0</v>
      </c>
      <c r="Q421" t="n">
        <v>1</v>
      </c>
      <c r="R421" s="2" t="inlineStr">
        <is>
          <t>Revlummer</t>
        </is>
      </c>
      <c r="S421">
        <f>HYPERLINK("https://klasma.github.io/Logging_1907/artfynd/A 62097-2024 artfynd.xlsx", "A 62097-2024")</f>
        <v/>
      </c>
      <c r="T421">
        <f>HYPERLINK("https://klasma.github.io/Logging_1907/kartor/A 62097-2024 karta.png", "A 62097-2024")</f>
        <v/>
      </c>
      <c r="V421">
        <f>HYPERLINK("https://klasma.github.io/Logging_1907/klagomål/A 62097-2024 FSC-klagomål.docx", "A 62097-2024")</f>
        <v/>
      </c>
      <c r="W421">
        <f>HYPERLINK("https://klasma.github.io/Logging_1907/klagomålsmail/A 62097-2024 FSC-klagomål mail.docx", "A 62097-2024")</f>
        <v/>
      </c>
      <c r="X421">
        <f>HYPERLINK("https://klasma.github.io/Logging_1907/tillsyn/A 62097-2024 tillsynsbegäran.docx", "A 62097-2024")</f>
        <v/>
      </c>
      <c r="Y421">
        <f>HYPERLINK("https://klasma.github.io/Logging_1907/tillsynsmail/A 62097-2024 tillsynsbegäran mail.docx", "A 62097-2024")</f>
        <v/>
      </c>
    </row>
    <row r="422" ht="15" customHeight="1">
      <c r="A422" t="inlineStr">
        <is>
          <t>A 62156-2024</t>
        </is>
      </c>
      <c r="B422" s="1" t="n">
        <v>45656</v>
      </c>
      <c r="C422" s="1" t="n">
        <v>45724</v>
      </c>
      <c r="D422" t="inlineStr">
        <is>
          <t>VÄSTMANLANDS LÄN</t>
        </is>
      </c>
      <c r="E422" t="inlineStr">
        <is>
          <t>SKINNSKATTEBERG</t>
        </is>
      </c>
      <c r="G422" t="n">
        <v>11.5</v>
      </c>
      <c r="H422" t="n">
        <v>0</v>
      </c>
      <c r="I422" t="n">
        <v>1</v>
      </c>
      <c r="J422" t="n">
        <v>0</v>
      </c>
      <c r="K422" t="n">
        <v>0</v>
      </c>
      <c r="L422" t="n">
        <v>0</v>
      </c>
      <c r="M422" t="n">
        <v>0</v>
      </c>
      <c r="N422" t="n">
        <v>0</v>
      </c>
      <c r="O422" t="n">
        <v>0</v>
      </c>
      <c r="P422" t="n">
        <v>0</v>
      </c>
      <c r="Q422" t="n">
        <v>1</v>
      </c>
      <c r="R422" s="2" t="inlineStr">
        <is>
          <t>Vedticka</t>
        </is>
      </c>
      <c r="S422">
        <f>HYPERLINK("https://klasma.github.io/Logging_1904/artfynd/A 62156-2024 artfynd.xlsx", "A 62156-2024")</f>
        <v/>
      </c>
      <c r="T422">
        <f>HYPERLINK("https://klasma.github.io/Logging_1904/kartor/A 62156-2024 karta.png", "A 62156-2024")</f>
        <v/>
      </c>
      <c r="V422">
        <f>HYPERLINK("https://klasma.github.io/Logging_1904/klagomål/A 62156-2024 FSC-klagomål.docx", "A 62156-2024")</f>
        <v/>
      </c>
      <c r="W422">
        <f>HYPERLINK("https://klasma.github.io/Logging_1904/klagomålsmail/A 62156-2024 FSC-klagomål mail.docx", "A 62156-2024")</f>
        <v/>
      </c>
      <c r="X422">
        <f>HYPERLINK("https://klasma.github.io/Logging_1904/tillsyn/A 62156-2024 tillsynsbegäran.docx", "A 62156-2024")</f>
        <v/>
      </c>
      <c r="Y422">
        <f>HYPERLINK("https://klasma.github.io/Logging_1904/tillsynsmail/A 62156-2024 tillsynsbegäran mail.docx", "A 62156-2024")</f>
        <v/>
      </c>
    </row>
    <row r="423" ht="15" customHeight="1">
      <c r="A423" t="inlineStr">
        <is>
          <t>A 6603-2025</t>
        </is>
      </c>
      <c r="B423" s="1" t="n">
        <v>45700</v>
      </c>
      <c r="C423" s="1" t="n">
        <v>45724</v>
      </c>
      <c r="D423" t="inlineStr">
        <is>
          <t>VÄSTMANLANDS LÄN</t>
        </is>
      </c>
      <c r="E423" t="inlineStr">
        <is>
          <t>KÖPING</t>
        </is>
      </c>
      <c r="G423" t="n">
        <v>12.1</v>
      </c>
      <c r="H423" t="n">
        <v>0</v>
      </c>
      <c r="I423" t="n">
        <v>0</v>
      </c>
      <c r="J423" t="n">
        <v>1</v>
      </c>
      <c r="K423" t="n">
        <v>0</v>
      </c>
      <c r="L423" t="n">
        <v>0</v>
      </c>
      <c r="M423" t="n">
        <v>0</v>
      </c>
      <c r="N423" t="n">
        <v>0</v>
      </c>
      <c r="O423" t="n">
        <v>1</v>
      </c>
      <c r="P423" t="n">
        <v>0</v>
      </c>
      <c r="Q423" t="n">
        <v>1</v>
      </c>
      <c r="R423" s="2" t="inlineStr">
        <is>
          <t>Motaggsvamp</t>
        </is>
      </c>
      <c r="S423">
        <f>HYPERLINK("https://klasma.github.io/Logging_1983/artfynd/A 6603-2025 artfynd.xlsx", "A 6603-2025")</f>
        <v/>
      </c>
      <c r="T423">
        <f>HYPERLINK("https://klasma.github.io/Logging_1983/kartor/A 6603-2025 karta.png", "A 6603-2025")</f>
        <v/>
      </c>
      <c r="V423">
        <f>HYPERLINK("https://klasma.github.io/Logging_1983/klagomål/A 6603-2025 FSC-klagomål.docx", "A 6603-2025")</f>
        <v/>
      </c>
      <c r="W423">
        <f>HYPERLINK("https://klasma.github.io/Logging_1983/klagomålsmail/A 6603-2025 FSC-klagomål mail.docx", "A 6603-2025")</f>
        <v/>
      </c>
      <c r="X423">
        <f>HYPERLINK("https://klasma.github.io/Logging_1983/tillsyn/A 6603-2025 tillsynsbegäran.docx", "A 6603-2025")</f>
        <v/>
      </c>
      <c r="Y423">
        <f>HYPERLINK("https://klasma.github.io/Logging_1983/tillsynsmail/A 6603-2025 tillsynsbegäran mail.docx", "A 6603-2025")</f>
        <v/>
      </c>
    </row>
    <row r="424" ht="15" customHeight="1">
      <c r="A424" t="inlineStr">
        <is>
          <t>A 9803-2025</t>
        </is>
      </c>
      <c r="B424" s="1" t="n">
        <v>45716</v>
      </c>
      <c r="C424" s="1" t="n">
        <v>45724</v>
      </c>
      <c r="D424" t="inlineStr">
        <is>
          <t>VÄSTMANLANDS LÄN</t>
        </is>
      </c>
      <c r="E424" t="inlineStr">
        <is>
          <t>FAGERSTA</t>
        </is>
      </c>
      <c r="F424" t="inlineStr">
        <is>
          <t>Sveaskog</t>
        </is>
      </c>
      <c r="G424" t="n">
        <v>4.5</v>
      </c>
      <c r="H424" t="n">
        <v>1</v>
      </c>
      <c r="I424" t="n">
        <v>0</v>
      </c>
      <c r="J424" t="n">
        <v>0</v>
      </c>
      <c r="K424" t="n">
        <v>1</v>
      </c>
      <c r="L424" t="n">
        <v>0</v>
      </c>
      <c r="M424" t="n">
        <v>0</v>
      </c>
      <c r="N424" t="n">
        <v>0</v>
      </c>
      <c r="O424" t="n">
        <v>1</v>
      </c>
      <c r="P424" t="n">
        <v>1</v>
      </c>
      <c r="Q424" t="n">
        <v>1</v>
      </c>
      <c r="R424" s="2" t="inlineStr">
        <is>
          <t>Tallbit</t>
        </is>
      </c>
      <c r="S424">
        <f>HYPERLINK("https://klasma.github.io/Logging_1982/artfynd/A 9803-2025 artfynd.xlsx", "A 9803-2025")</f>
        <v/>
      </c>
      <c r="T424">
        <f>HYPERLINK("https://klasma.github.io/Logging_1982/kartor/A 9803-2025 karta.png", "A 9803-2025")</f>
        <v/>
      </c>
      <c r="V424">
        <f>HYPERLINK("https://klasma.github.io/Logging_1982/klagomål/A 9803-2025 FSC-klagomål.docx", "A 9803-2025")</f>
        <v/>
      </c>
      <c r="W424">
        <f>HYPERLINK("https://klasma.github.io/Logging_1982/klagomålsmail/A 9803-2025 FSC-klagomål mail.docx", "A 9803-2025")</f>
        <v/>
      </c>
      <c r="X424">
        <f>HYPERLINK("https://klasma.github.io/Logging_1982/tillsyn/A 9803-2025 tillsynsbegäran.docx", "A 9803-2025")</f>
        <v/>
      </c>
      <c r="Y424">
        <f>HYPERLINK("https://klasma.github.io/Logging_1982/tillsynsmail/A 9803-2025 tillsynsbegäran mail.docx", "A 9803-2025")</f>
        <v/>
      </c>
      <c r="Z424">
        <f>HYPERLINK("https://klasma.github.io/Logging_1982/fåglar/A 9803-2025 prioriterade fågelarter.docx", "A 9803-2025")</f>
        <v/>
      </c>
    </row>
    <row r="425" ht="15" customHeight="1">
      <c r="A425" t="inlineStr">
        <is>
          <t>A 10373-2025</t>
        </is>
      </c>
      <c r="B425" s="1" t="n">
        <v>45720</v>
      </c>
      <c r="C425" s="1" t="n">
        <v>45724</v>
      </c>
      <c r="D425" t="inlineStr">
        <is>
          <t>VÄSTMANLANDS LÄN</t>
        </is>
      </c>
      <c r="E425" t="inlineStr">
        <is>
          <t>FAGERSTA</t>
        </is>
      </c>
      <c r="G425" t="n">
        <v>3</v>
      </c>
      <c r="H425" t="n">
        <v>1</v>
      </c>
      <c r="I425" t="n">
        <v>1</v>
      </c>
      <c r="J425" t="n">
        <v>0</v>
      </c>
      <c r="K425" t="n">
        <v>0</v>
      </c>
      <c r="L425" t="n">
        <v>0</v>
      </c>
      <c r="M425" t="n">
        <v>0</v>
      </c>
      <c r="N425" t="n">
        <v>0</v>
      </c>
      <c r="O425" t="n">
        <v>0</v>
      </c>
      <c r="P425" t="n">
        <v>0</v>
      </c>
      <c r="Q425" t="n">
        <v>1</v>
      </c>
      <c r="R425" s="2" t="inlineStr">
        <is>
          <t>Plattlummer</t>
        </is>
      </c>
      <c r="S425">
        <f>HYPERLINK("https://klasma.github.io/Logging_1982/artfynd/A 10373-2025 artfynd.xlsx", "A 10373-2025")</f>
        <v/>
      </c>
      <c r="T425">
        <f>HYPERLINK("https://klasma.github.io/Logging_1982/kartor/A 10373-2025 karta.png", "A 10373-2025")</f>
        <v/>
      </c>
      <c r="V425">
        <f>HYPERLINK("https://klasma.github.io/Logging_1982/klagomål/A 10373-2025 FSC-klagomål.docx", "A 10373-2025")</f>
        <v/>
      </c>
      <c r="W425">
        <f>HYPERLINK("https://klasma.github.io/Logging_1982/klagomålsmail/A 10373-2025 FSC-klagomål mail.docx", "A 10373-2025")</f>
        <v/>
      </c>
      <c r="X425">
        <f>HYPERLINK("https://klasma.github.io/Logging_1982/tillsyn/A 10373-2025 tillsynsbegäran.docx", "A 10373-2025")</f>
        <v/>
      </c>
      <c r="Y425">
        <f>HYPERLINK("https://klasma.github.io/Logging_1982/tillsynsmail/A 10373-2025 tillsynsbegäran mail.docx", "A 10373-2025")</f>
        <v/>
      </c>
    </row>
    <row r="426" ht="15" customHeight="1">
      <c r="A426" t="inlineStr">
        <is>
          <t>A 17915-2019</t>
        </is>
      </c>
      <c r="B426" s="1" t="n">
        <v>43557</v>
      </c>
      <c r="C426" s="1" t="n">
        <v>45724</v>
      </c>
      <c r="D426" t="inlineStr">
        <is>
          <t>VÄSTMANLANDS LÄN</t>
        </is>
      </c>
      <c r="E426" t="inlineStr">
        <is>
          <t>KÖPING</t>
        </is>
      </c>
      <c r="G426" t="n">
        <v>2.7</v>
      </c>
      <c r="H426" t="n">
        <v>0</v>
      </c>
      <c r="I426" t="n">
        <v>0</v>
      </c>
      <c r="J426" t="n">
        <v>0</v>
      </c>
      <c r="K426" t="n">
        <v>0</v>
      </c>
      <c r="L426" t="n">
        <v>0</v>
      </c>
      <c r="M426" t="n">
        <v>0</v>
      </c>
      <c r="N426" t="n">
        <v>0</v>
      </c>
      <c r="O426" t="n">
        <v>0</v>
      </c>
      <c r="P426" t="n">
        <v>0</v>
      </c>
      <c r="Q426" t="n">
        <v>0</v>
      </c>
      <c r="R426" s="2" t="inlineStr"/>
    </row>
    <row r="427" ht="15" customHeight="1">
      <c r="A427" t="inlineStr">
        <is>
          <t>A 17946-2019</t>
        </is>
      </c>
      <c r="B427" s="1" t="n">
        <v>43557</v>
      </c>
      <c r="C427" s="1" t="n">
        <v>45724</v>
      </c>
      <c r="D427" t="inlineStr">
        <is>
          <t>VÄSTMANLANDS LÄN</t>
        </is>
      </c>
      <c r="E427" t="inlineStr">
        <is>
          <t>SURAHAMMAR</t>
        </is>
      </c>
      <c r="G427" t="n">
        <v>9.9</v>
      </c>
      <c r="H427" t="n">
        <v>0</v>
      </c>
      <c r="I427" t="n">
        <v>0</v>
      </c>
      <c r="J427" t="n">
        <v>0</v>
      </c>
      <c r="K427" t="n">
        <v>0</v>
      </c>
      <c r="L427" t="n">
        <v>0</v>
      </c>
      <c r="M427" t="n">
        <v>0</v>
      </c>
      <c r="N427" t="n">
        <v>0</v>
      </c>
      <c r="O427" t="n">
        <v>0</v>
      </c>
      <c r="P427" t="n">
        <v>0</v>
      </c>
      <c r="Q427" t="n">
        <v>0</v>
      </c>
      <c r="R427" s="2" t="inlineStr"/>
    </row>
    <row r="428" ht="15" customHeight="1">
      <c r="A428" t="inlineStr">
        <is>
          <t>A 18255-2019</t>
        </is>
      </c>
      <c r="B428" s="1" t="n">
        <v>43558</v>
      </c>
      <c r="C428" s="1" t="n">
        <v>45724</v>
      </c>
      <c r="D428" t="inlineStr">
        <is>
          <t>VÄSTMANLANDS LÄN</t>
        </is>
      </c>
      <c r="E428" t="inlineStr">
        <is>
          <t>SALA</t>
        </is>
      </c>
      <c r="F428" t="inlineStr">
        <is>
          <t>Kommuner</t>
        </is>
      </c>
      <c r="G428" t="n">
        <v>2.2</v>
      </c>
      <c r="H428" t="n">
        <v>0</v>
      </c>
      <c r="I428" t="n">
        <v>0</v>
      </c>
      <c r="J428" t="n">
        <v>0</v>
      </c>
      <c r="K428" t="n">
        <v>0</v>
      </c>
      <c r="L428" t="n">
        <v>0</v>
      </c>
      <c r="M428" t="n">
        <v>0</v>
      </c>
      <c r="N428" t="n">
        <v>0</v>
      </c>
      <c r="O428" t="n">
        <v>0</v>
      </c>
      <c r="P428" t="n">
        <v>0</v>
      </c>
      <c r="Q428" t="n">
        <v>0</v>
      </c>
      <c r="R428" s="2" t="inlineStr"/>
    </row>
    <row r="429" ht="15" customHeight="1">
      <c r="A429" t="inlineStr">
        <is>
          <t>A 18352-2019</t>
        </is>
      </c>
      <c r="B429" s="1" t="n">
        <v>43559</v>
      </c>
      <c r="C429" s="1" t="n">
        <v>45724</v>
      </c>
      <c r="D429" t="inlineStr">
        <is>
          <t>VÄSTMANLANDS LÄN</t>
        </is>
      </c>
      <c r="E429" t="inlineStr">
        <is>
          <t>SALA</t>
        </is>
      </c>
      <c r="F429" t="inlineStr">
        <is>
          <t>Kommuner</t>
        </is>
      </c>
      <c r="G429" t="n">
        <v>1.7</v>
      </c>
      <c r="H429" t="n">
        <v>0</v>
      </c>
      <c r="I429" t="n">
        <v>0</v>
      </c>
      <c r="J429" t="n">
        <v>0</v>
      </c>
      <c r="K429" t="n">
        <v>0</v>
      </c>
      <c r="L429" t="n">
        <v>0</v>
      </c>
      <c r="M429" t="n">
        <v>0</v>
      </c>
      <c r="N429" t="n">
        <v>0</v>
      </c>
      <c r="O429" t="n">
        <v>0</v>
      </c>
      <c r="P429" t="n">
        <v>0</v>
      </c>
      <c r="Q429" t="n">
        <v>0</v>
      </c>
      <c r="R429" s="2" t="inlineStr"/>
    </row>
    <row r="430" ht="15" customHeight="1">
      <c r="A430" t="inlineStr">
        <is>
          <t>A 18469-2019</t>
        </is>
      </c>
      <c r="B430" s="1" t="n">
        <v>43559</v>
      </c>
      <c r="C430" s="1" t="n">
        <v>45724</v>
      </c>
      <c r="D430" t="inlineStr">
        <is>
          <t>VÄSTMANLANDS LÄN</t>
        </is>
      </c>
      <c r="E430" t="inlineStr">
        <is>
          <t>HALLSTAHAMMAR</t>
        </is>
      </c>
      <c r="F430" t="inlineStr">
        <is>
          <t>Kyrkan</t>
        </is>
      </c>
      <c r="G430" t="n">
        <v>6.8</v>
      </c>
      <c r="H430" t="n">
        <v>0</v>
      </c>
      <c r="I430" t="n">
        <v>0</v>
      </c>
      <c r="J430" t="n">
        <v>0</v>
      </c>
      <c r="K430" t="n">
        <v>0</v>
      </c>
      <c r="L430" t="n">
        <v>0</v>
      </c>
      <c r="M430" t="n">
        <v>0</v>
      </c>
      <c r="N430" t="n">
        <v>0</v>
      </c>
      <c r="O430" t="n">
        <v>0</v>
      </c>
      <c r="P430" t="n">
        <v>0</v>
      </c>
      <c r="Q430" t="n">
        <v>0</v>
      </c>
      <c r="R430" s="2" t="inlineStr"/>
    </row>
    <row r="431" ht="15" customHeight="1">
      <c r="A431" t="inlineStr">
        <is>
          <t>A 18641-2019</t>
        </is>
      </c>
      <c r="B431" s="1" t="n">
        <v>43560</v>
      </c>
      <c r="C431" s="1" t="n">
        <v>45724</v>
      </c>
      <c r="D431" t="inlineStr">
        <is>
          <t>VÄSTMANLANDS LÄN</t>
        </is>
      </c>
      <c r="E431" t="inlineStr">
        <is>
          <t>VÄSTERÅS</t>
        </is>
      </c>
      <c r="G431" t="n">
        <v>1.4</v>
      </c>
      <c r="H431" t="n">
        <v>0</v>
      </c>
      <c r="I431" t="n">
        <v>0</v>
      </c>
      <c r="J431" t="n">
        <v>0</v>
      </c>
      <c r="K431" t="n">
        <v>0</v>
      </c>
      <c r="L431" t="n">
        <v>0</v>
      </c>
      <c r="M431" t="n">
        <v>0</v>
      </c>
      <c r="N431" t="n">
        <v>0</v>
      </c>
      <c r="O431" t="n">
        <v>0</v>
      </c>
      <c r="P431" t="n">
        <v>0</v>
      </c>
      <c r="Q431" t="n">
        <v>0</v>
      </c>
      <c r="R431" s="2" t="inlineStr"/>
    </row>
    <row r="432" ht="15" customHeight="1">
      <c r="A432" t="inlineStr">
        <is>
          <t>A 18765-2019</t>
        </is>
      </c>
      <c r="B432" s="1" t="n">
        <v>43560</v>
      </c>
      <c r="C432" s="1" t="n">
        <v>45724</v>
      </c>
      <c r="D432" t="inlineStr">
        <is>
          <t>VÄSTMANLANDS LÄN</t>
        </is>
      </c>
      <c r="E432" t="inlineStr">
        <is>
          <t>VÄSTERÅS</t>
        </is>
      </c>
      <c r="G432" t="n">
        <v>1</v>
      </c>
      <c r="H432" t="n">
        <v>0</v>
      </c>
      <c r="I432" t="n">
        <v>0</v>
      </c>
      <c r="J432" t="n">
        <v>0</v>
      </c>
      <c r="K432" t="n">
        <v>0</v>
      </c>
      <c r="L432" t="n">
        <v>0</v>
      </c>
      <c r="M432" t="n">
        <v>0</v>
      </c>
      <c r="N432" t="n">
        <v>0</v>
      </c>
      <c r="O432" t="n">
        <v>0</v>
      </c>
      <c r="P432" t="n">
        <v>0</v>
      </c>
      <c r="Q432" t="n">
        <v>0</v>
      </c>
      <c r="R432" s="2" t="inlineStr"/>
    </row>
    <row r="433" ht="15" customHeight="1">
      <c r="A433" t="inlineStr">
        <is>
          <t>A 18791-2019</t>
        </is>
      </c>
      <c r="B433" s="1" t="n">
        <v>43562</v>
      </c>
      <c r="C433" s="1" t="n">
        <v>45724</v>
      </c>
      <c r="D433" t="inlineStr">
        <is>
          <t>VÄSTMANLANDS LÄN</t>
        </is>
      </c>
      <c r="E433" t="inlineStr">
        <is>
          <t>SALA</t>
        </is>
      </c>
      <c r="G433" t="n">
        <v>3.4</v>
      </c>
      <c r="H433" t="n">
        <v>0</v>
      </c>
      <c r="I433" t="n">
        <v>0</v>
      </c>
      <c r="J433" t="n">
        <v>0</v>
      </c>
      <c r="K433" t="n">
        <v>0</v>
      </c>
      <c r="L433" t="n">
        <v>0</v>
      </c>
      <c r="M433" t="n">
        <v>0</v>
      </c>
      <c r="N433" t="n">
        <v>0</v>
      </c>
      <c r="O433" t="n">
        <v>0</v>
      </c>
      <c r="P433" t="n">
        <v>0</v>
      </c>
      <c r="Q433" t="n">
        <v>0</v>
      </c>
      <c r="R433" s="2" t="inlineStr"/>
    </row>
    <row r="434" ht="15" customHeight="1">
      <c r="A434" t="inlineStr">
        <is>
          <t>A 18953-2019</t>
        </is>
      </c>
      <c r="B434" s="1" t="n">
        <v>43563</v>
      </c>
      <c r="C434" s="1" t="n">
        <v>45724</v>
      </c>
      <c r="D434" t="inlineStr">
        <is>
          <t>VÄSTMANLANDS LÄN</t>
        </is>
      </c>
      <c r="E434" t="inlineStr">
        <is>
          <t>SURAHAMMAR</t>
        </is>
      </c>
      <c r="F434" t="inlineStr">
        <is>
          <t>Övriga Aktiebolag</t>
        </is>
      </c>
      <c r="G434" t="n">
        <v>2.2</v>
      </c>
      <c r="H434" t="n">
        <v>0</v>
      </c>
      <c r="I434" t="n">
        <v>0</v>
      </c>
      <c r="J434" t="n">
        <v>0</v>
      </c>
      <c r="K434" t="n">
        <v>0</v>
      </c>
      <c r="L434" t="n">
        <v>0</v>
      </c>
      <c r="M434" t="n">
        <v>0</v>
      </c>
      <c r="N434" t="n">
        <v>0</v>
      </c>
      <c r="O434" t="n">
        <v>0</v>
      </c>
      <c r="P434" t="n">
        <v>0</v>
      </c>
      <c r="Q434" t="n">
        <v>0</v>
      </c>
      <c r="R434" s="2" t="inlineStr"/>
    </row>
    <row r="435" ht="15" customHeight="1">
      <c r="A435" t="inlineStr">
        <is>
          <t>A 18960-2019</t>
        </is>
      </c>
      <c r="B435" s="1" t="n">
        <v>43563</v>
      </c>
      <c r="C435" s="1" t="n">
        <v>45724</v>
      </c>
      <c r="D435" t="inlineStr">
        <is>
          <t>VÄSTMANLANDS LÄN</t>
        </is>
      </c>
      <c r="E435" t="inlineStr">
        <is>
          <t>SURAHAMMAR</t>
        </is>
      </c>
      <c r="F435" t="inlineStr">
        <is>
          <t>Övriga Aktiebolag</t>
        </is>
      </c>
      <c r="G435" t="n">
        <v>4.1</v>
      </c>
      <c r="H435" t="n">
        <v>0</v>
      </c>
      <c r="I435" t="n">
        <v>0</v>
      </c>
      <c r="J435" t="n">
        <v>0</v>
      </c>
      <c r="K435" t="n">
        <v>0</v>
      </c>
      <c r="L435" t="n">
        <v>0</v>
      </c>
      <c r="M435" t="n">
        <v>0</v>
      </c>
      <c r="N435" t="n">
        <v>0</v>
      </c>
      <c r="O435" t="n">
        <v>0</v>
      </c>
      <c r="P435" t="n">
        <v>0</v>
      </c>
      <c r="Q435" t="n">
        <v>0</v>
      </c>
      <c r="R435" s="2" t="inlineStr"/>
    </row>
    <row r="436" ht="15" customHeight="1">
      <c r="A436" t="inlineStr">
        <is>
          <t>A 18961-2019</t>
        </is>
      </c>
      <c r="B436" s="1" t="n">
        <v>43563</v>
      </c>
      <c r="C436" s="1" t="n">
        <v>45724</v>
      </c>
      <c r="D436" t="inlineStr">
        <is>
          <t>VÄSTMANLANDS LÄN</t>
        </is>
      </c>
      <c r="E436" t="inlineStr">
        <is>
          <t>SALA</t>
        </is>
      </c>
      <c r="F436" t="inlineStr">
        <is>
          <t>Kommuner</t>
        </is>
      </c>
      <c r="G436" t="n">
        <v>1.5</v>
      </c>
      <c r="H436" t="n">
        <v>0</v>
      </c>
      <c r="I436" t="n">
        <v>0</v>
      </c>
      <c r="J436" t="n">
        <v>0</v>
      </c>
      <c r="K436" t="n">
        <v>0</v>
      </c>
      <c r="L436" t="n">
        <v>0</v>
      </c>
      <c r="M436" t="n">
        <v>0</v>
      </c>
      <c r="N436" t="n">
        <v>0</v>
      </c>
      <c r="O436" t="n">
        <v>0</v>
      </c>
      <c r="P436" t="n">
        <v>0</v>
      </c>
      <c r="Q436" t="n">
        <v>0</v>
      </c>
      <c r="R436" s="2" t="inlineStr"/>
    </row>
    <row r="437" ht="15" customHeight="1">
      <c r="A437" t="inlineStr">
        <is>
          <t>A 19127-2019</t>
        </is>
      </c>
      <c r="B437" s="1" t="n">
        <v>43564</v>
      </c>
      <c r="C437" s="1" t="n">
        <v>45724</v>
      </c>
      <c r="D437" t="inlineStr">
        <is>
          <t>VÄSTMANLANDS LÄN</t>
        </is>
      </c>
      <c r="E437" t="inlineStr">
        <is>
          <t>FAGERSTA</t>
        </is>
      </c>
      <c r="G437" t="n">
        <v>2</v>
      </c>
      <c r="H437" t="n">
        <v>0</v>
      </c>
      <c r="I437" t="n">
        <v>0</v>
      </c>
      <c r="J437" t="n">
        <v>0</v>
      </c>
      <c r="K437" t="n">
        <v>0</v>
      </c>
      <c r="L437" t="n">
        <v>0</v>
      </c>
      <c r="M437" t="n">
        <v>0</v>
      </c>
      <c r="N437" t="n">
        <v>0</v>
      </c>
      <c r="O437" t="n">
        <v>0</v>
      </c>
      <c r="P437" t="n">
        <v>0</v>
      </c>
      <c r="Q437" t="n">
        <v>0</v>
      </c>
      <c r="R437" s="2" t="inlineStr"/>
    </row>
    <row r="438" ht="15" customHeight="1">
      <c r="A438" t="inlineStr">
        <is>
          <t>A 19312-2019</t>
        </is>
      </c>
      <c r="B438" s="1" t="n">
        <v>43565</v>
      </c>
      <c r="C438" s="1" t="n">
        <v>45724</v>
      </c>
      <c r="D438" t="inlineStr">
        <is>
          <t>VÄSTMANLANDS LÄN</t>
        </is>
      </c>
      <c r="E438" t="inlineStr">
        <is>
          <t>VÄSTERÅS</t>
        </is>
      </c>
      <c r="G438" t="n">
        <v>5.3</v>
      </c>
      <c r="H438" t="n">
        <v>0</v>
      </c>
      <c r="I438" t="n">
        <v>0</v>
      </c>
      <c r="J438" t="n">
        <v>0</v>
      </c>
      <c r="K438" t="n">
        <v>0</v>
      </c>
      <c r="L438" t="n">
        <v>0</v>
      </c>
      <c r="M438" t="n">
        <v>0</v>
      </c>
      <c r="N438" t="n">
        <v>0</v>
      </c>
      <c r="O438" t="n">
        <v>0</v>
      </c>
      <c r="P438" t="n">
        <v>0</v>
      </c>
      <c r="Q438" t="n">
        <v>0</v>
      </c>
      <c r="R438" s="2" t="inlineStr"/>
    </row>
    <row r="439" ht="15" customHeight="1">
      <c r="A439" t="inlineStr">
        <is>
          <t>A 19318-2019</t>
        </is>
      </c>
      <c r="B439" s="1" t="n">
        <v>43565</v>
      </c>
      <c r="C439" s="1" t="n">
        <v>45724</v>
      </c>
      <c r="D439" t="inlineStr">
        <is>
          <t>VÄSTMANLANDS LÄN</t>
        </is>
      </c>
      <c r="E439" t="inlineStr">
        <is>
          <t>VÄSTERÅS</t>
        </is>
      </c>
      <c r="G439" t="n">
        <v>1.5</v>
      </c>
      <c r="H439" t="n">
        <v>0</v>
      </c>
      <c r="I439" t="n">
        <v>0</v>
      </c>
      <c r="J439" t="n">
        <v>0</v>
      </c>
      <c r="K439" t="n">
        <v>0</v>
      </c>
      <c r="L439" t="n">
        <v>0</v>
      </c>
      <c r="M439" t="n">
        <v>0</v>
      </c>
      <c r="N439" t="n">
        <v>0</v>
      </c>
      <c r="O439" t="n">
        <v>0</v>
      </c>
      <c r="P439" t="n">
        <v>0</v>
      </c>
      <c r="Q439" t="n">
        <v>0</v>
      </c>
      <c r="R439" s="2" t="inlineStr"/>
    </row>
    <row r="440" ht="15" customHeight="1">
      <c r="A440" t="inlineStr">
        <is>
          <t>A 19659-2019</t>
        </is>
      </c>
      <c r="B440" s="1" t="n">
        <v>43566</v>
      </c>
      <c r="C440" s="1" t="n">
        <v>45724</v>
      </c>
      <c r="D440" t="inlineStr">
        <is>
          <t>VÄSTMANLANDS LÄN</t>
        </is>
      </c>
      <c r="E440" t="inlineStr">
        <is>
          <t>SURAHAMMAR</t>
        </is>
      </c>
      <c r="F440" t="inlineStr">
        <is>
          <t>Sveaskog</t>
        </is>
      </c>
      <c r="G440" t="n">
        <v>1.6</v>
      </c>
      <c r="H440" t="n">
        <v>0</v>
      </c>
      <c r="I440" t="n">
        <v>0</v>
      </c>
      <c r="J440" t="n">
        <v>0</v>
      </c>
      <c r="K440" t="n">
        <v>0</v>
      </c>
      <c r="L440" t="n">
        <v>0</v>
      </c>
      <c r="M440" t="n">
        <v>0</v>
      </c>
      <c r="N440" t="n">
        <v>0</v>
      </c>
      <c r="O440" t="n">
        <v>0</v>
      </c>
      <c r="P440" t="n">
        <v>0</v>
      </c>
      <c r="Q440" t="n">
        <v>0</v>
      </c>
      <c r="R440" s="2" t="inlineStr"/>
    </row>
    <row r="441" ht="15" customHeight="1">
      <c r="A441" t="inlineStr">
        <is>
          <t>A 19482-2019</t>
        </is>
      </c>
      <c r="B441" s="1" t="n">
        <v>43567</v>
      </c>
      <c r="C441" s="1" t="n">
        <v>45724</v>
      </c>
      <c r="D441" t="inlineStr">
        <is>
          <t>VÄSTMANLANDS LÄN</t>
        </is>
      </c>
      <c r="E441" t="inlineStr">
        <is>
          <t>HALLSTAHAMMAR</t>
        </is>
      </c>
      <c r="G441" t="n">
        <v>6</v>
      </c>
      <c r="H441" t="n">
        <v>0</v>
      </c>
      <c r="I441" t="n">
        <v>0</v>
      </c>
      <c r="J441" t="n">
        <v>0</v>
      </c>
      <c r="K441" t="n">
        <v>0</v>
      </c>
      <c r="L441" t="n">
        <v>0</v>
      </c>
      <c r="M441" t="n">
        <v>0</v>
      </c>
      <c r="N441" t="n">
        <v>0</v>
      </c>
      <c r="O441" t="n">
        <v>0</v>
      </c>
      <c r="P441" t="n">
        <v>0</v>
      </c>
      <c r="Q441" t="n">
        <v>0</v>
      </c>
      <c r="R441" s="2" t="inlineStr"/>
    </row>
    <row r="442" ht="15" customHeight="1">
      <c r="A442" t="inlineStr">
        <is>
          <t>A 19869-2019</t>
        </is>
      </c>
      <c r="B442" s="1" t="n">
        <v>43567</v>
      </c>
      <c r="C442" s="1" t="n">
        <v>45724</v>
      </c>
      <c r="D442" t="inlineStr">
        <is>
          <t>VÄSTMANLANDS LÄN</t>
        </is>
      </c>
      <c r="E442" t="inlineStr">
        <is>
          <t>SALA</t>
        </is>
      </c>
      <c r="G442" t="n">
        <v>1.6</v>
      </c>
      <c r="H442" t="n">
        <v>0</v>
      </c>
      <c r="I442" t="n">
        <v>0</v>
      </c>
      <c r="J442" t="n">
        <v>0</v>
      </c>
      <c r="K442" t="n">
        <v>0</v>
      </c>
      <c r="L442" t="n">
        <v>0</v>
      </c>
      <c r="M442" t="n">
        <v>0</v>
      </c>
      <c r="N442" t="n">
        <v>0</v>
      </c>
      <c r="O442" t="n">
        <v>0</v>
      </c>
      <c r="P442" t="n">
        <v>0</v>
      </c>
      <c r="Q442" t="n">
        <v>0</v>
      </c>
      <c r="R442" s="2" t="inlineStr"/>
    </row>
    <row r="443" ht="15" customHeight="1">
      <c r="A443" t="inlineStr">
        <is>
          <t>A 19950-2019</t>
        </is>
      </c>
      <c r="B443" s="1" t="n">
        <v>43569</v>
      </c>
      <c r="C443" s="1" t="n">
        <v>45724</v>
      </c>
      <c r="D443" t="inlineStr">
        <is>
          <t>VÄSTMANLANDS LÄN</t>
        </is>
      </c>
      <c r="E443" t="inlineStr">
        <is>
          <t>KUNGSÖR</t>
        </is>
      </c>
      <c r="G443" t="n">
        <v>0.9</v>
      </c>
      <c r="H443" t="n">
        <v>0</v>
      </c>
      <c r="I443" t="n">
        <v>0</v>
      </c>
      <c r="J443" t="n">
        <v>0</v>
      </c>
      <c r="K443" t="n">
        <v>0</v>
      </c>
      <c r="L443" t="n">
        <v>0</v>
      </c>
      <c r="M443" t="n">
        <v>0</v>
      </c>
      <c r="N443" t="n">
        <v>0</v>
      </c>
      <c r="O443" t="n">
        <v>0</v>
      </c>
      <c r="P443" t="n">
        <v>0</v>
      </c>
      <c r="Q443" t="n">
        <v>0</v>
      </c>
      <c r="R443" s="2" t="inlineStr"/>
    </row>
    <row r="444" ht="15" customHeight="1">
      <c r="A444" t="inlineStr">
        <is>
          <t>A 20057-2019</t>
        </is>
      </c>
      <c r="B444" s="1" t="n">
        <v>43570</v>
      </c>
      <c r="C444" s="1" t="n">
        <v>45724</v>
      </c>
      <c r="D444" t="inlineStr">
        <is>
          <t>VÄSTMANLANDS LÄN</t>
        </is>
      </c>
      <c r="E444" t="inlineStr">
        <is>
          <t>ARBOGA</t>
        </is>
      </c>
      <c r="G444" t="n">
        <v>1.2</v>
      </c>
      <c r="H444" t="n">
        <v>0</v>
      </c>
      <c r="I444" t="n">
        <v>0</v>
      </c>
      <c r="J444" t="n">
        <v>0</v>
      </c>
      <c r="K444" t="n">
        <v>0</v>
      </c>
      <c r="L444" t="n">
        <v>0</v>
      </c>
      <c r="M444" t="n">
        <v>0</v>
      </c>
      <c r="N444" t="n">
        <v>0</v>
      </c>
      <c r="O444" t="n">
        <v>0</v>
      </c>
      <c r="P444" t="n">
        <v>0</v>
      </c>
      <c r="Q444" t="n">
        <v>0</v>
      </c>
      <c r="R444" s="2" t="inlineStr"/>
    </row>
    <row r="445" ht="15" customHeight="1">
      <c r="A445" t="inlineStr">
        <is>
          <t>A 20171-2019</t>
        </is>
      </c>
      <c r="B445" s="1" t="n">
        <v>43570</v>
      </c>
      <c r="C445" s="1" t="n">
        <v>45724</v>
      </c>
      <c r="D445" t="inlineStr">
        <is>
          <t>VÄSTMANLANDS LÄN</t>
        </is>
      </c>
      <c r="E445" t="inlineStr">
        <is>
          <t>ARBOGA</t>
        </is>
      </c>
      <c r="G445" t="n">
        <v>3.1</v>
      </c>
      <c r="H445" t="n">
        <v>0</v>
      </c>
      <c r="I445" t="n">
        <v>0</v>
      </c>
      <c r="J445" t="n">
        <v>0</v>
      </c>
      <c r="K445" t="n">
        <v>0</v>
      </c>
      <c r="L445" t="n">
        <v>0</v>
      </c>
      <c r="M445" t="n">
        <v>0</v>
      </c>
      <c r="N445" t="n">
        <v>0</v>
      </c>
      <c r="O445" t="n">
        <v>0</v>
      </c>
      <c r="P445" t="n">
        <v>0</v>
      </c>
      <c r="Q445" t="n">
        <v>0</v>
      </c>
      <c r="R445" s="2" t="inlineStr"/>
    </row>
    <row r="446" ht="15" customHeight="1">
      <c r="A446" t="inlineStr">
        <is>
          <t>A 20096-2019</t>
        </is>
      </c>
      <c r="B446" s="1" t="n">
        <v>43570</v>
      </c>
      <c r="C446" s="1" t="n">
        <v>45724</v>
      </c>
      <c r="D446" t="inlineStr">
        <is>
          <t>VÄSTMANLANDS LÄN</t>
        </is>
      </c>
      <c r="E446" t="inlineStr">
        <is>
          <t>NORBERG</t>
        </is>
      </c>
      <c r="G446" t="n">
        <v>0.9</v>
      </c>
      <c r="H446" t="n">
        <v>0</v>
      </c>
      <c r="I446" t="n">
        <v>0</v>
      </c>
      <c r="J446" t="n">
        <v>0</v>
      </c>
      <c r="K446" t="n">
        <v>0</v>
      </c>
      <c r="L446" t="n">
        <v>0</v>
      </c>
      <c r="M446" t="n">
        <v>0</v>
      </c>
      <c r="N446" t="n">
        <v>0</v>
      </c>
      <c r="O446" t="n">
        <v>0</v>
      </c>
      <c r="P446" t="n">
        <v>0</v>
      </c>
      <c r="Q446" t="n">
        <v>0</v>
      </c>
      <c r="R446" s="2" t="inlineStr"/>
    </row>
    <row r="447" ht="15" customHeight="1">
      <c r="A447" t="inlineStr">
        <is>
          <t>A 20127-2019</t>
        </is>
      </c>
      <c r="B447" s="1" t="n">
        <v>43570</v>
      </c>
      <c r="C447" s="1" t="n">
        <v>45724</v>
      </c>
      <c r="D447" t="inlineStr">
        <is>
          <t>VÄSTMANLANDS LÄN</t>
        </is>
      </c>
      <c r="E447" t="inlineStr">
        <is>
          <t>SURAHAMMAR</t>
        </is>
      </c>
      <c r="G447" t="n">
        <v>2.6</v>
      </c>
      <c r="H447" t="n">
        <v>0</v>
      </c>
      <c r="I447" t="n">
        <v>0</v>
      </c>
      <c r="J447" t="n">
        <v>0</v>
      </c>
      <c r="K447" t="n">
        <v>0</v>
      </c>
      <c r="L447" t="n">
        <v>0</v>
      </c>
      <c r="M447" t="n">
        <v>0</v>
      </c>
      <c r="N447" t="n">
        <v>0</v>
      </c>
      <c r="O447" t="n">
        <v>0</v>
      </c>
      <c r="P447" t="n">
        <v>0</v>
      </c>
      <c r="Q447" t="n">
        <v>0</v>
      </c>
      <c r="R447" s="2" t="inlineStr"/>
    </row>
    <row r="448" ht="15" customHeight="1">
      <c r="A448" t="inlineStr">
        <is>
          <t>A 20151-2019</t>
        </is>
      </c>
      <c r="B448" s="1" t="n">
        <v>43570</v>
      </c>
      <c r="C448" s="1" t="n">
        <v>45724</v>
      </c>
      <c r="D448" t="inlineStr">
        <is>
          <t>VÄSTMANLANDS LÄN</t>
        </is>
      </c>
      <c r="E448" t="inlineStr">
        <is>
          <t>ARBOGA</t>
        </is>
      </c>
      <c r="G448" t="n">
        <v>3.3</v>
      </c>
      <c r="H448" t="n">
        <v>0</v>
      </c>
      <c r="I448" t="n">
        <v>0</v>
      </c>
      <c r="J448" t="n">
        <v>0</v>
      </c>
      <c r="K448" t="n">
        <v>0</v>
      </c>
      <c r="L448" t="n">
        <v>0</v>
      </c>
      <c r="M448" t="n">
        <v>0</v>
      </c>
      <c r="N448" t="n">
        <v>0</v>
      </c>
      <c r="O448" t="n">
        <v>0</v>
      </c>
      <c r="P448" t="n">
        <v>0</v>
      </c>
      <c r="Q448" t="n">
        <v>0</v>
      </c>
      <c r="R448" s="2" t="inlineStr"/>
    </row>
    <row r="449" ht="15" customHeight="1">
      <c r="A449" t="inlineStr">
        <is>
          <t>A 20412-2019</t>
        </is>
      </c>
      <c r="B449" s="1" t="n">
        <v>43571</v>
      </c>
      <c r="C449" s="1" t="n">
        <v>45724</v>
      </c>
      <c r="D449" t="inlineStr">
        <is>
          <t>VÄSTMANLANDS LÄN</t>
        </is>
      </c>
      <c r="E449" t="inlineStr">
        <is>
          <t>FAGERSTA</t>
        </is>
      </c>
      <c r="G449" t="n">
        <v>6.8</v>
      </c>
      <c r="H449" t="n">
        <v>0</v>
      </c>
      <c r="I449" t="n">
        <v>0</v>
      </c>
      <c r="J449" t="n">
        <v>0</v>
      </c>
      <c r="K449" t="n">
        <v>0</v>
      </c>
      <c r="L449" t="n">
        <v>0</v>
      </c>
      <c r="M449" t="n">
        <v>0</v>
      </c>
      <c r="N449" t="n">
        <v>0</v>
      </c>
      <c r="O449" t="n">
        <v>0</v>
      </c>
      <c r="P449" t="n">
        <v>0</v>
      </c>
      <c r="Q449" t="n">
        <v>0</v>
      </c>
      <c r="R449" s="2" t="inlineStr"/>
    </row>
    <row r="450" ht="15" customHeight="1">
      <c r="A450" t="inlineStr">
        <is>
          <t>A 20254-2019</t>
        </is>
      </c>
      <c r="B450" s="1" t="n">
        <v>43571</v>
      </c>
      <c r="C450" s="1" t="n">
        <v>45724</v>
      </c>
      <c r="D450" t="inlineStr">
        <is>
          <t>VÄSTMANLANDS LÄN</t>
        </is>
      </c>
      <c r="E450" t="inlineStr">
        <is>
          <t>SKINNSKATTEBERG</t>
        </is>
      </c>
      <c r="F450" t="inlineStr">
        <is>
          <t>Sveaskog</t>
        </is>
      </c>
      <c r="G450" t="n">
        <v>1.2</v>
      </c>
      <c r="H450" t="n">
        <v>0</v>
      </c>
      <c r="I450" t="n">
        <v>0</v>
      </c>
      <c r="J450" t="n">
        <v>0</v>
      </c>
      <c r="K450" t="n">
        <v>0</v>
      </c>
      <c r="L450" t="n">
        <v>0</v>
      </c>
      <c r="M450" t="n">
        <v>0</v>
      </c>
      <c r="N450" t="n">
        <v>0</v>
      </c>
      <c r="O450" t="n">
        <v>0</v>
      </c>
      <c r="P450" t="n">
        <v>0</v>
      </c>
      <c r="Q450" t="n">
        <v>0</v>
      </c>
      <c r="R450" s="2" t="inlineStr"/>
    </row>
    <row r="451" ht="15" customHeight="1">
      <c r="A451" t="inlineStr">
        <is>
          <t>A 20474-2019</t>
        </is>
      </c>
      <c r="B451" s="1" t="n">
        <v>43572</v>
      </c>
      <c r="C451" s="1" t="n">
        <v>45724</v>
      </c>
      <c r="D451" t="inlineStr">
        <is>
          <t>VÄSTMANLANDS LÄN</t>
        </is>
      </c>
      <c r="E451" t="inlineStr">
        <is>
          <t>ARBOGA</t>
        </is>
      </c>
      <c r="F451" t="inlineStr">
        <is>
          <t>Sveaskog</t>
        </is>
      </c>
      <c r="G451" t="n">
        <v>7</v>
      </c>
      <c r="H451" t="n">
        <v>0</v>
      </c>
      <c r="I451" t="n">
        <v>0</v>
      </c>
      <c r="J451" t="n">
        <v>0</v>
      </c>
      <c r="K451" t="n">
        <v>0</v>
      </c>
      <c r="L451" t="n">
        <v>0</v>
      </c>
      <c r="M451" t="n">
        <v>0</v>
      </c>
      <c r="N451" t="n">
        <v>0</v>
      </c>
      <c r="O451" t="n">
        <v>0</v>
      </c>
      <c r="P451" t="n">
        <v>0</v>
      </c>
      <c r="Q451" t="n">
        <v>0</v>
      </c>
      <c r="R451" s="2" t="inlineStr"/>
    </row>
    <row r="452" ht="15" customHeight="1">
      <c r="A452" t="inlineStr">
        <is>
          <t>A 20627-2019</t>
        </is>
      </c>
      <c r="B452" s="1" t="n">
        <v>43572</v>
      </c>
      <c r="C452" s="1" t="n">
        <v>45724</v>
      </c>
      <c r="D452" t="inlineStr">
        <is>
          <t>VÄSTMANLANDS LÄN</t>
        </is>
      </c>
      <c r="E452" t="inlineStr">
        <is>
          <t>ARBOGA</t>
        </is>
      </c>
      <c r="G452" t="n">
        <v>9.9</v>
      </c>
      <c r="H452" t="n">
        <v>0</v>
      </c>
      <c r="I452" t="n">
        <v>0</v>
      </c>
      <c r="J452" t="n">
        <v>0</v>
      </c>
      <c r="K452" t="n">
        <v>0</v>
      </c>
      <c r="L452" t="n">
        <v>0</v>
      </c>
      <c r="M452" t="n">
        <v>0</v>
      </c>
      <c r="N452" t="n">
        <v>0</v>
      </c>
      <c r="O452" t="n">
        <v>0</v>
      </c>
      <c r="P452" t="n">
        <v>0</v>
      </c>
      <c r="Q452" t="n">
        <v>0</v>
      </c>
      <c r="R452" s="2" t="inlineStr"/>
    </row>
    <row r="453" ht="15" customHeight="1">
      <c r="A453" t="inlineStr">
        <is>
          <t>A 20721-2019</t>
        </is>
      </c>
      <c r="B453" s="1" t="n">
        <v>43573</v>
      </c>
      <c r="C453" s="1" t="n">
        <v>45724</v>
      </c>
      <c r="D453" t="inlineStr">
        <is>
          <t>VÄSTMANLANDS LÄN</t>
        </is>
      </c>
      <c r="E453" t="inlineStr">
        <is>
          <t>ARBOGA</t>
        </is>
      </c>
      <c r="F453" t="inlineStr">
        <is>
          <t>Sveaskog</t>
        </is>
      </c>
      <c r="G453" t="n">
        <v>0.5</v>
      </c>
      <c r="H453" t="n">
        <v>0</v>
      </c>
      <c r="I453" t="n">
        <v>0</v>
      </c>
      <c r="J453" t="n">
        <v>0</v>
      </c>
      <c r="K453" t="n">
        <v>0</v>
      </c>
      <c r="L453" t="n">
        <v>0</v>
      </c>
      <c r="M453" t="n">
        <v>0</v>
      </c>
      <c r="N453" t="n">
        <v>0</v>
      </c>
      <c r="O453" t="n">
        <v>0</v>
      </c>
      <c r="P453" t="n">
        <v>0</v>
      </c>
      <c r="Q453" t="n">
        <v>0</v>
      </c>
      <c r="R453" s="2" t="inlineStr"/>
    </row>
    <row r="454" ht="15" customHeight="1">
      <c r="A454" t="inlineStr">
        <is>
          <t>A 20834-2019</t>
        </is>
      </c>
      <c r="B454" s="1" t="n">
        <v>43575</v>
      </c>
      <c r="C454" s="1" t="n">
        <v>45724</v>
      </c>
      <c r="D454" t="inlineStr">
        <is>
          <t>VÄSTMANLANDS LÄN</t>
        </is>
      </c>
      <c r="E454" t="inlineStr">
        <is>
          <t>ARBOGA</t>
        </is>
      </c>
      <c r="F454" t="inlineStr">
        <is>
          <t>Allmännings- och besparingsskogar</t>
        </is>
      </c>
      <c r="G454" t="n">
        <v>9.800000000000001</v>
      </c>
      <c r="H454" t="n">
        <v>0</v>
      </c>
      <c r="I454" t="n">
        <v>0</v>
      </c>
      <c r="J454" t="n">
        <v>0</v>
      </c>
      <c r="K454" t="n">
        <v>0</v>
      </c>
      <c r="L454" t="n">
        <v>0</v>
      </c>
      <c r="M454" t="n">
        <v>0</v>
      </c>
      <c r="N454" t="n">
        <v>0</v>
      </c>
      <c r="O454" t="n">
        <v>0</v>
      </c>
      <c r="P454" t="n">
        <v>0</v>
      </c>
      <c r="Q454" t="n">
        <v>0</v>
      </c>
      <c r="R454" s="2" t="inlineStr"/>
    </row>
    <row r="455" ht="15" customHeight="1">
      <c r="A455" t="inlineStr">
        <is>
          <t>A 20849-2019</t>
        </is>
      </c>
      <c r="B455" s="1" t="n">
        <v>43577</v>
      </c>
      <c r="C455" s="1" t="n">
        <v>45724</v>
      </c>
      <c r="D455" t="inlineStr">
        <is>
          <t>VÄSTMANLANDS LÄN</t>
        </is>
      </c>
      <c r="E455" t="inlineStr">
        <is>
          <t>ARBOGA</t>
        </is>
      </c>
      <c r="F455" t="inlineStr">
        <is>
          <t>Allmännings- och besparingsskogar</t>
        </is>
      </c>
      <c r="G455" t="n">
        <v>20.6</v>
      </c>
      <c r="H455" t="n">
        <v>0</v>
      </c>
      <c r="I455" t="n">
        <v>0</v>
      </c>
      <c r="J455" t="n">
        <v>0</v>
      </c>
      <c r="K455" t="n">
        <v>0</v>
      </c>
      <c r="L455" t="n">
        <v>0</v>
      </c>
      <c r="M455" t="n">
        <v>0</v>
      </c>
      <c r="N455" t="n">
        <v>0</v>
      </c>
      <c r="O455" t="n">
        <v>0</v>
      </c>
      <c r="P455" t="n">
        <v>0</v>
      </c>
      <c r="Q455" t="n">
        <v>0</v>
      </c>
      <c r="R455" s="2" t="inlineStr"/>
    </row>
    <row r="456" ht="15" customHeight="1">
      <c r="A456" t="inlineStr">
        <is>
          <t>A 20904-2019</t>
        </is>
      </c>
      <c r="B456" s="1" t="n">
        <v>43578</v>
      </c>
      <c r="C456" s="1" t="n">
        <v>45724</v>
      </c>
      <c r="D456" t="inlineStr">
        <is>
          <t>VÄSTMANLANDS LÄN</t>
        </is>
      </c>
      <c r="E456" t="inlineStr">
        <is>
          <t>SURAHAMMAR</t>
        </is>
      </c>
      <c r="F456" t="inlineStr">
        <is>
          <t>Sveaskog</t>
        </is>
      </c>
      <c r="G456" t="n">
        <v>0.8</v>
      </c>
      <c r="H456" t="n">
        <v>0</v>
      </c>
      <c r="I456" t="n">
        <v>0</v>
      </c>
      <c r="J456" t="n">
        <v>0</v>
      </c>
      <c r="K456" t="n">
        <v>0</v>
      </c>
      <c r="L456" t="n">
        <v>0</v>
      </c>
      <c r="M456" t="n">
        <v>0</v>
      </c>
      <c r="N456" t="n">
        <v>0</v>
      </c>
      <c r="O456" t="n">
        <v>0</v>
      </c>
      <c r="P456" t="n">
        <v>0</v>
      </c>
      <c r="Q456" t="n">
        <v>0</v>
      </c>
      <c r="R456" s="2" t="inlineStr"/>
    </row>
    <row r="457" ht="15" customHeight="1">
      <c r="A457" t="inlineStr">
        <is>
          <t>A 20879-2019</t>
        </is>
      </c>
      <c r="B457" s="1" t="n">
        <v>43578</v>
      </c>
      <c r="C457" s="1" t="n">
        <v>45724</v>
      </c>
      <c r="D457" t="inlineStr">
        <is>
          <t>VÄSTMANLANDS LÄN</t>
        </is>
      </c>
      <c r="E457" t="inlineStr">
        <is>
          <t>ARBOGA</t>
        </is>
      </c>
      <c r="F457" t="inlineStr">
        <is>
          <t>Sveaskog</t>
        </is>
      </c>
      <c r="G457" t="n">
        <v>3</v>
      </c>
      <c r="H457" t="n">
        <v>0</v>
      </c>
      <c r="I457" t="n">
        <v>0</v>
      </c>
      <c r="J457" t="n">
        <v>0</v>
      </c>
      <c r="K457" t="n">
        <v>0</v>
      </c>
      <c r="L457" t="n">
        <v>0</v>
      </c>
      <c r="M457" t="n">
        <v>0</v>
      </c>
      <c r="N457" t="n">
        <v>0</v>
      </c>
      <c r="O457" t="n">
        <v>0</v>
      </c>
      <c r="P457" t="n">
        <v>0</v>
      </c>
      <c r="Q457" t="n">
        <v>0</v>
      </c>
      <c r="R457" s="2" t="inlineStr"/>
    </row>
    <row r="458" ht="15" customHeight="1">
      <c r="A458" t="inlineStr">
        <is>
          <t>A 21205-2019</t>
        </is>
      </c>
      <c r="B458" s="1" t="n">
        <v>43579</v>
      </c>
      <c r="C458" s="1" t="n">
        <v>45724</v>
      </c>
      <c r="D458" t="inlineStr">
        <is>
          <t>VÄSTMANLANDS LÄN</t>
        </is>
      </c>
      <c r="E458" t="inlineStr">
        <is>
          <t>ARBOGA</t>
        </is>
      </c>
      <c r="G458" t="n">
        <v>3.8</v>
      </c>
      <c r="H458" t="n">
        <v>0</v>
      </c>
      <c r="I458" t="n">
        <v>0</v>
      </c>
      <c r="J458" t="n">
        <v>0</v>
      </c>
      <c r="K458" t="n">
        <v>0</v>
      </c>
      <c r="L458" t="n">
        <v>0</v>
      </c>
      <c r="M458" t="n">
        <v>0</v>
      </c>
      <c r="N458" t="n">
        <v>0</v>
      </c>
      <c r="O458" t="n">
        <v>0</v>
      </c>
      <c r="P458" t="n">
        <v>0</v>
      </c>
      <c r="Q458" t="n">
        <v>0</v>
      </c>
      <c r="R458" s="2" t="inlineStr"/>
    </row>
    <row r="459" ht="15" customHeight="1">
      <c r="A459" t="inlineStr">
        <is>
          <t>A 21396-2019</t>
        </is>
      </c>
      <c r="B459" s="1" t="n">
        <v>43580</v>
      </c>
      <c r="C459" s="1" t="n">
        <v>45724</v>
      </c>
      <c r="D459" t="inlineStr">
        <is>
          <t>VÄSTMANLANDS LÄN</t>
        </is>
      </c>
      <c r="E459" t="inlineStr">
        <is>
          <t>NORBERG</t>
        </is>
      </c>
      <c r="F459" t="inlineStr">
        <is>
          <t>Övriga Aktiebolag</t>
        </is>
      </c>
      <c r="G459" t="n">
        <v>2.3</v>
      </c>
      <c r="H459" t="n">
        <v>0</v>
      </c>
      <c r="I459" t="n">
        <v>0</v>
      </c>
      <c r="J459" t="n">
        <v>0</v>
      </c>
      <c r="K459" t="n">
        <v>0</v>
      </c>
      <c r="L459" t="n">
        <v>0</v>
      </c>
      <c r="M459" t="n">
        <v>0</v>
      </c>
      <c r="N459" t="n">
        <v>0</v>
      </c>
      <c r="O459" t="n">
        <v>0</v>
      </c>
      <c r="P459" t="n">
        <v>0</v>
      </c>
      <c r="Q459" t="n">
        <v>0</v>
      </c>
      <c r="R459" s="2" t="inlineStr"/>
    </row>
    <row r="460" ht="15" customHeight="1">
      <c r="A460" t="inlineStr">
        <is>
          <t>A 21397-2019</t>
        </is>
      </c>
      <c r="B460" s="1" t="n">
        <v>43580</v>
      </c>
      <c r="C460" s="1" t="n">
        <v>45724</v>
      </c>
      <c r="D460" t="inlineStr">
        <is>
          <t>VÄSTMANLANDS LÄN</t>
        </is>
      </c>
      <c r="E460" t="inlineStr">
        <is>
          <t>VÄSTERÅS</t>
        </is>
      </c>
      <c r="G460" t="n">
        <v>2.2</v>
      </c>
      <c r="H460" t="n">
        <v>0</v>
      </c>
      <c r="I460" t="n">
        <v>0</v>
      </c>
      <c r="J460" t="n">
        <v>0</v>
      </c>
      <c r="K460" t="n">
        <v>0</v>
      </c>
      <c r="L460" t="n">
        <v>0</v>
      </c>
      <c r="M460" t="n">
        <v>0</v>
      </c>
      <c r="N460" t="n">
        <v>0</v>
      </c>
      <c r="O460" t="n">
        <v>0</v>
      </c>
      <c r="P460" t="n">
        <v>0</v>
      </c>
      <c r="Q460" t="n">
        <v>0</v>
      </c>
      <c r="R460" s="2" t="inlineStr"/>
    </row>
    <row r="461" ht="15" customHeight="1">
      <c r="A461" t="inlineStr">
        <is>
          <t>A 21392-2019</t>
        </is>
      </c>
      <c r="B461" s="1" t="n">
        <v>43580</v>
      </c>
      <c r="C461" s="1" t="n">
        <v>45724</v>
      </c>
      <c r="D461" t="inlineStr">
        <is>
          <t>VÄSTMANLANDS LÄN</t>
        </is>
      </c>
      <c r="E461" t="inlineStr">
        <is>
          <t>NORBERG</t>
        </is>
      </c>
      <c r="F461" t="inlineStr">
        <is>
          <t>Övriga Aktiebolag</t>
        </is>
      </c>
      <c r="G461" t="n">
        <v>0.9</v>
      </c>
      <c r="H461" t="n">
        <v>0</v>
      </c>
      <c r="I461" t="n">
        <v>0</v>
      </c>
      <c r="J461" t="n">
        <v>0</v>
      </c>
      <c r="K461" t="n">
        <v>0</v>
      </c>
      <c r="L461" t="n">
        <v>0</v>
      </c>
      <c r="M461" t="n">
        <v>0</v>
      </c>
      <c r="N461" t="n">
        <v>0</v>
      </c>
      <c r="O461" t="n">
        <v>0</v>
      </c>
      <c r="P461" t="n">
        <v>0</v>
      </c>
      <c r="Q461" t="n">
        <v>0</v>
      </c>
      <c r="R461" s="2" t="inlineStr"/>
    </row>
    <row r="462" ht="15" customHeight="1">
      <c r="A462" t="inlineStr">
        <is>
          <t>A 21768-2019</t>
        </is>
      </c>
      <c r="B462" s="1" t="n">
        <v>43581</v>
      </c>
      <c r="C462" s="1" t="n">
        <v>45724</v>
      </c>
      <c r="D462" t="inlineStr">
        <is>
          <t>VÄSTMANLANDS LÄN</t>
        </is>
      </c>
      <c r="E462" t="inlineStr">
        <is>
          <t>VÄSTERÅS</t>
        </is>
      </c>
      <c r="G462" t="n">
        <v>3.5</v>
      </c>
      <c r="H462" t="n">
        <v>0</v>
      </c>
      <c r="I462" t="n">
        <v>0</v>
      </c>
      <c r="J462" t="n">
        <v>0</v>
      </c>
      <c r="K462" t="n">
        <v>0</v>
      </c>
      <c r="L462" t="n">
        <v>0</v>
      </c>
      <c r="M462" t="n">
        <v>0</v>
      </c>
      <c r="N462" t="n">
        <v>0</v>
      </c>
      <c r="O462" t="n">
        <v>0</v>
      </c>
      <c r="P462" t="n">
        <v>0</v>
      </c>
      <c r="Q462" t="n">
        <v>0</v>
      </c>
      <c r="R462" s="2" t="inlineStr"/>
    </row>
    <row r="463" ht="15" customHeight="1">
      <c r="A463" t="inlineStr">
        <is>
          <t>A 21642-2019</t>
        </is>
      </c>
      <c r="B463" s="1" t="n">
        <v>43581</v>
      </c>
      <c r="C463" s="1" t="n">
        <v>45724</v>
      </c>
      <c r="D463" t="inlineStr">
        <is>
          <t>VÄSTMANLANDS LÄN</t>
        </is>
      </c>
      <c r="E463" t="inlineStr">
        <is>
          <t>KUNGSÖR</t>
        </is>
      </c>
      <c r="G463" t="n">
        <v>2.7</v>
      </c>
      <c r="H463" t="n">
        <v>0</v>
      </c>
      <c r="I463" t="n">
        <v>0</v>
      </c>
      <c r="J463" t="n">
        <v>0</v>
      </c>
      <c r="K463" t="n">
        <v>0</v>
      </c>
      <c r="L463" t="n">
        <v>0</v>
      </c>
      <c r="M463" t="n">
        <v>0</v>
      </c>
      <c r="N463" t="n">
        <v>0</v>
      </c>
      <c r="O463" t="n">
        <v>0</v>
      </c>
      <c r="P463" t="n">
        <v>0</v>
      </c>
      <c r="Q463" t="n">
        <v>0</v>
      </c>
      <c r="R463" s="2" t="inlineStr"/>
    </row>
    <row r="464" ht="15" customHeight="1">
      <c r="A464" t="inlineStr">
        <is>
          <t>A 21859-2019</t>
        </is>
      </c>
      <c r="B464" s="1" t="n">
        <v>43584</v>
      </c>
      <c r="C464" s="1" t="n">
        <v>45724</v>
      </c>
      <c r="D464" t="inlineStr">
        <is>
          <t>VÄSTMANLANDS LÄN</t>
        </is>
      </c>
      <c r="E464" t="inlineStr">
        <is>
          <t>NORBERG</t>
        </is>
      </c>
      <c r="F464" t="inlineStr">
        <is>
          <t>Övriga Aktiebolag</t>
        </is>
      </c>
      <c r="G464" t="n">
        <v>1.2</v>
      </c>
      <c r="H464" t="n">
        <v>0</v>
      </c>
      <c r="I464" t="n">
        <v>0</v>
      </c>
      <c r="J464" t="n">
        <v>0</v>
      </c>
      <c r="K464" t="n">
        <v>0</v>
      </c>
      <c r="L464" t="n">
        <v>0</v>
      </c>
      <c r="M464" t="n">
        <v>0</v>
      </c>
      <c r="N464" t="n">
        <v>0</v>
      </c>
      <c r="O464" t="n">
        <v>0</v>
      </c>
      <c r="P464" t="n">
        <v>0</v>
      </c>
      <c r="Q464" t="n">
        <v>0</v>
      </c>
      <c r="R464" s="2" t="inlineStr"/>
    </row>
    <row r="465" ht="15" customHeight="1">
      <c r="A465" t="inlineStr">
        <is>
          <t>A 21985-2019</t>
        </is>
      </c>
      <c r="B465" s="1" t="n">
        <v>43584</v>
      </c>
      <c r="C465" s="1" t="n">
        <v>45724</v>
      </c>
      <c r="D465" t="inlineStr">
        <is>
          <t>VÄSTMANLANDS LÄN</t>
        </is>
      </c>
      <c r="E465" t="inlineStr">
        <is>
          <t>SALA</t>
        </is>
      </c>
      <c r="G465" t="n">
        <v>1.7</v>
      </c>
      <c r="H465" t="n">
        <v>0</v>
      </c>
      <c r="I465" t="n">
        <v>0</v>
      </c>
      <c r="J465" t="n">
        <v>0</v>
      </c>
      <c r="K465" t="n">
        <v>0</v>
      </c>
      <c r="L465" t="n">
        <v>0</v>
      </c>
      <c r="M465" t="n">
        <v>0</v>
      </c>
      <c r="N465" t="n">
        <v>0</v>
      </c>
      <c r="O465" t="n">
        <v>0</v>
      </c>
      <c r="P465" t="n">
        <v>0</v>
      </c>
      <c r="Q465" t="n">
        <v>0</v>
      </c>
      <c r="R465" s="2" t="inlineStr"/>
    </row>
    <row r="466" ht="15" customHeight="1">
      <c r="A466" t="inlineStr">
        <is>
          <t>A 21997-2019</t>
        </is>
      </c>
      <c r="B466" s="1" t="n">
        <v>43584</v>
      </c>
      <c r="C466" s="1" t="n">
        <v>45724</v>
      </c>
      <c r="D466" t="inlineStr">
        <is>
          <t>VÄSTMANLANDS LÄN</t>
        </is>
      </c>
      <c r="E466" t="inlineStr">
        <is>
          <t>SKINNSKATTEBERG</t>
        </is>
      </c>
      <c r="F466" t="inlineStr">
        <is>
          <t>Sveaskog</t>
        </is>
      </c>
      <c r="G466" t="n">
        <v>0.6</v>
      </c>
      <c r="H466" t="n">
        <v>0</v>
      </c>
      <c r="I466" t="n">
        <v>0</v>
      </c>
      <c r="J466" t="n">
        <v>0</v>
      </c>
      <c r="K466" t="n">
        <v>0</v>
      </c>
      <c r="L466" t="n">
        <v>0</v>
      </c>
      <c r="M466" t="n">
        <v>0</v>
      </c>
      <c r="N466" t="n">
        <v>0</v>
      </c>
      <c r="O466" t="n">
        <v>0</v>
      </c>
      <c r="P466" t="n">
        <v>0</v>
      </c>
      <c r="Q466" t="n">
        <v>0</v>
      </c>
      <c r="R466" s="2" t="inlineStr"/>
    </row>
    <row r="467" ht="15" customHeight="1">
      <c r="A467" t="inlineStr">
        <is>
          <t>A 22249-2019</t>
        </is>
      </c>
      <c r="B467" s="1" t="n">
        <v>43585</v>
      </c>
      <c r="C467" s="1" t="n">
        <v>45724</v>
      </c>
      <c r="D467" t="inlineStr">
        <is>
          <t>VÄSTMANLANDS LÄN</t>
        </is>
      </c>
      <c r="E467" t="inlineStr">
        <is>
          <t>SALA</t>
        </is>
      </c>
      <c r="F467" t="inlineStr">
        <is>
          <t>Kommuner</t>
        </is>
      </c>
      <c r="G467" t="n">
        <v>0.8</v>
      </c>
      <c r="H467" t="n">
        <v>0</v>
      </c>
      <c r="I467" t="n">
        <v>0</v>
      </c>
      <c r="J467" t="n">
        <v>0</v>
      </c>
      <c r="K467" t="n">
        <v>0</v>
      </c>
      <c r="L467" t="n">
        <v>0</v>
      </c>
      <c r="M467" t="n">
        <v>0</v>
      </c>
      <c r="N467" t="n">
        <v>0</v>
      </c>
      <c r="O467" t="n">
        <v>0</v>
      </c>
      <c r="P467" t="n">
        <v>0</v>
      </c>
      <c r="Q467" t="n">
        <v>0</v>
      </c>
      <c r="R467" s="2" t="inlineStr"/>
    </row>
    <row r="468" ht="15" customHeight="1">
      <c r="A468" t="inlineStr">
        <is>
          <t>A 22221-2019</t>
        </is>
      </c>
      <c r="B468" s="1" t="n">
        <v>43585</v>
      </c>
      <c r="C468" s="1" t="n">
        <v>45724</v>
      </c>
      <c r="D468" t="inlineStr">
        <is>
          <t>VÄSTMANLANDS LÄN</t>
        </is>
      </c>
      <c r="E468" t="inlineStr">
        <is>
          <t>VÄSTERÅS</t>
        </is>
      </c>
      <c r="G468" t="n">
        <v>5.9</v>
      </c>
      <c r="H468" t="n">
        <v>0</v>
      </c>
      <c r="I468" t="n">
        <v>0</v>
      </c>
      <c r="J468" t="n">
        <v>0</v>
      </c>
      <c r="K468" t="n">
        <v>0</v>
      </c>
      <c r="L468" t="n">
        <v>0</v>
      </c>
      <c r="M468" t="n">
        <v>0</v>
      </c>
      <c r="N468" t="n">
        <v>0</v>
      </c>
      <c r="O468" t="n">
        <v>0</v>
      </c>
      <c r="P468" t="n">
        <v>0</v>
      </c>
      <c r="Q468" t="n">
        <v>0</v>
      </c>
      <c r="R468" s="2" t="inlineStr"/>
    </row>
    <row r="469" ht="15" customHeight="1">
      <c r="A469" t="inlineStr">
        <is>
          <t>A 23153-2019</t>
        </is>
      </c>
      <c r="B469" s="1" t="n">
        <v>43588</v>
      </c>
      <c r="C469" s="1" t="n">
        <v>45724</v>
      </c>
      <c r="D469" t="inlineStr">
        <is>
          <t>VÄSTMANLANDS LÄN</t>
        </is>
      </c>
      <c r="E469" t="inlineStr">
        <is>
          <t>NORBERG</t>
        </is>
      </c>
      <c r="G469" t="n">
        <v>1.1</v>
      </c>
      <c r="H469" t="n">
        <v>0</v>
      </c>
      <c r="I469" t="n">
        <v>0</v>
      </c>
      <c r="J469" t="n">
        <v>0</v>
      </c>
      <c r="K469" t="n">
        <v>0</v>
      </c>
      <c r="L469" t="n">
        <v>0</v>
      </c>
      <c r="M469" t="n">
        <v>0</v>
      </c>
      <c r="N469" t="n">
        <v>0</v>
      </c>
      <c r="O469" t="n">
        <v>0</v>
      </c>
      <c r="P469" t="n">
        <v>0</v>
      </c>
      <c r="Q469" t="n">
        <v>0</v>
      </c>
      <c r="R469" s="2" t="inlineStr"/>
    </row>
    <row r="470" ht="15" customHeight="1">
      <c r="A470" t="inlineStr">
        <is>
          <t>A 22947-2019</t>
        </is>
      </c>
      <c r="B470" s="1" t="n">
        <v>43591</v>
      </c>
      <c r="C470" s="1" t="n">
        <v>45724</v>
      </c>
      <c r="D470" t="inlineStr">
        <is>
          <t>VÄSTMANLANDS LÄN</t>
        </is>
      </c>
      <c r="E470" t="inlineStr">
        <is>
          <t>NORBERG</t>
        </is>
      </c>
      <c r="G470" t="n">
        <v>5.4</v>
      </c>
      <c r="H470" t="n">
        <v>0</v>
      </c>
      <c r="I470" t="n">
        <v>0</v>
      </c>
      <c r="J470" t="n">
        <v>0</v>
      </c>
      <c r="K470" t="n">
        <v>0</v>
      </c>
      <c r="L470" t="n">
        <v>0</v>
      </c>
      <c r="M470" t="n">
        <v>0</v>
      </c>
      <c r="N470" t="n">
        <v>0</v>
      </c>
      <c r="O470" t="n">
        <v>0</v>
      </c>
      <c r="P470" t="n">
        <v>0</v>
      </c>
      <c r="Q470" t="n">
        <v>0</v>
      </c>
      <c r="R470" s="2" t="inlineStr"/>
    </row>
    <row r="471" ht="15" customHeight="1">
      <c r="A471" t="inlineStr">
        <is>
          <t>A 22834-2019</t>
        </is>
      </c>
      <c r="B471" s="1" t="n">
        <v>43591</v>
      </c>
      <c r="C471" s="1" t="n">
        <v>45724</v>
      </c>
      <c r="D471" t="inlineStr">
        <is>
          <t>VÄSTMANLANDS LÄN</t>
        </is>
      </c>
      <c r="E471" t="inlineStr">
        <is>
          <t>SURAHAMMAR</t>
        </is>
      </c>
      <c r="F471" t="inlineStr">
        <is>
          <t>Sveaskog</t>
        </is>
      </c>
      <c r="G471" t="n">
        <v>0.2</v>
      </c>
      <c r="H471" t="n">
        <v>0</v>
      </c>
      <c r="I471" t="n">
        <v>0</v>
      </c>
      <c r="J471" t="n">
        <v>0</v>
      </c>
      <c r="K471" t="n">
        <v>0</v>
      </c>
      <c r="L471" t="n">
        <v>0</v>
      </c>
      <c r="M471" t="n">
        <v>0</v>
      </c>
      <c r="N471" t="n">
        <v>0</v>
      </c>
      <c r="O471" t="n">
        <v>0</v>
      </c>
      <c r="P471" t="n">
        <v>0</v>
      </c>
      <c r="Q471" t="n">
        <v>0</v>
      </c>
      <c r="R471" s="2" t="inlineStr"/>
    </row>
    <row r="472" ht="15" customHeight="1">
      <c r="A472" t="inlineStr">
        <is>
          <t>A 22953-2019</t>
        </is>
      </c>
      <c r="B472" s="1" t="n">
        <v>43591</v>
      </c>
      <c r="C472" s="1" t="n">
        <v>45724</v>
      </c>
      <c r="D472" t="inlineStr">
        <is>
          <t>VÄSTMANLANDS LÄN</t>
        </is>
      </c>
      <c r="E472" t="inlineStr">
        <is>
          <t>NORBERG</t>
        </is>
      </c>
      <c r="G472" t="n">
        <v>1.9</v>
      </c>
      <c r="H472" t="n">
        <v>0</v>
      </c>
      <c r="I472" t="n">
        <v>0</v>
      </c>
      <c r="J472" t="n">
        <v>0</v>
      </c>
      <c r="K472" t="n">
        <v>0</v>
      </c>
      <c r="L472" t="n">
        <v>0</v>
      </c>
      <c r="M472" t="n">
        <v>0</v>
      </c>
      <c r="N472" t="n">
        <v>0</v>
      </c>
      <c r="O472" t="n">
        <v>0</v>
      </c>
      <c r="P472" t="n">
        <v>0</v>
      </c>
      <c r="Q472" t="n">
        <v>0</v>
      </c>
      <c r="R472" s="2" t="inlineStr"/>
    </row>
    <row r="473" ht="15" customHeight="1">
      <c r="A473" t="inlineStr">
        <is>
          <t>A 22972-2019</t>
        </is>
      </c>
      <c r="B473" s="1" t="n">
        <v>43591</v>
      </c>
      <c r="C473" s="1" t="n">
        <v>45724</v>
      </c>
      <c r="D473" t="inlineStr">
        <is>
          <t>VÄSTMANLANDS LÄN</t>
        </is>
      </c>
      <c r="E473" t="inlineStr">
        <is>
          <t>ARBOGA</t>
        </is>
      </c>
      <c r="F473" t="inlineStr">
        <is>
          <t>Sveaskog</t>
        </is>
      </c>
      <c r="G473" t="n">
        <v>1.5</v>
      </c>
      <c r="H473" t="n">
        <v>0</v>
      </c>
      <c r="I473" t="n">
        <v>0</v>
      </c>
      <c r="J473" t="n">
        <v>0</v>
      </c>
      <c r="K473" t="n">
        <v>0</v>
      </c>
      <c r="L473" t="n">
        <v>0</v>
      </c>
      <c r="M473" t="n">
        <v>0</v>
      </c>
      <c r="N473" t="n">
        <v>0</v>
      </c>
      <c r="O473" t="n">
        <v>0</v>
      </c>
      <c r="P473" t="n">
        <v>0</v>
      </c>
      <c r="Q473" t="n">
        <v>0</v>
      </c>
      <c r="R473" s="2" t="inlineStr"/>
    </row>
    <row r="474" ht="15" customHeight="1">
      <c r="A474" t="inlineStr">
        <is>
          <t>A 22833-2019</t>
        </is>
      </c>
      <c r="B474" s="1" t="n">
        <v>43591</v>
      </c>
      <c r="C474" s="1" t="n">
        <v>45724</v>
      </c>
      <c r="D474" t="inlineStr">
        <is>
          <t>VÄSTMANLANDS LÄN</t>
        </is>
      </c>
      <c r="E474" t="inlineStr">
        <is>
          <t>SALA</t>
        </is>
      </c>
      <c r="F474" t="inlineStr">
        <is>
          <t>Sveaskog</t>
        </is>
      </c>
      <c r="G474" t="n">
        <v>0.2</v>
      </c>
      <c r="H474" t="n">
        <v>0</v>
      </c>
      <c r="I474" t="n">
        <v>0</v>
      </c>
      <c r="J474" t="n">
        <v>0</v>
      </c>
      <c r="K474" t="n">
        <v>0</v>
      </c>
      <c r="L474" t="n">
        <v>0</v>
      </c>
      <c r="M474" t="n">
        <v>0</v>
      </c>
      <c r="N474" t="n">
        <v>0</v>
      </c>
      <c r="O474" t="n">
        <v>0</v>
      </c>
      <c r="P474" t="n">
        <v>0</v>
      </c>
      <c r="Q474" t="n">
        <v>0</v>
      </c>
      <c r="R474" s="2" t="inlineStr"/>
    </row>
    <row r="475" ht="15" customHeight="1">
      <c r="A475" t="inlineStr">
        <is>
          <t>A 23090-2019</t>
        </is>
      </c>
      <c r="B475" s="1" t="n">
        <v>43592</v>
      </c>
      <c r="C475" s="1" t="n">
        <v>45724</v>
      </c>
      <c r="D475" t="inlineStr">
        <is>
          <t>VÄSTMANLANDS LÄN</t>
        </is>
      </c>
      <c r="E475" t="inlineStr">
        <is>
          <t>SKINNSKATTEBERG</t>
        </is>
      </c>
      <c r="F475" t="inlineStr">
        <is>
          <t>Sveaskog</t>
        </is>
      </c>
      <c r="G475" t="n">
        <v>1.2</v>
      </c>
      <c r="H475" t="n">
        <v>0</v>
      </c>
      <c r="I475" t="n">
        <v>0</v>
      </c>
      <c r="J475" t="n">
        <v>0</v>
      </c>
      <c r="K475" t="n">
        <v>0</v>
      </c>
      <c r="L475" t="n">
        <v>0</v>
      </c>
      <c r="M475" t="n">
        <v>0</v>
      </c>
      <c r="N475" t="n">
        <v>0</v>
      </c>
      <c r="O475" t="n">
        <v>0</v>
      </c>
      <c r="P475" t="n">
        <v>0</v>
      </c>
      <c r="Q475" t="n">
        <v>0</v>
      </c>
      <c r="R475" s="2" t="inlineStr"/>
    </row>
    <row r="476" ht="15" customHeight="1">
      <c r="A476" t="inlineStr">
        <is>
          <t>A 23433-2019</t>
        </is>
      </c>
      <c r="B476" s="1" t="n">
        <v>43593</v>
      </c>
      <c r="C476" s="1" t="n">
        <v>45724</v>
      </c>
      <c r="D476" t="inlineStr">
        <is>
          <t>VÄSTMANLANDS LÄN</t>
        </is>
      </c>
      <c r="E476" t="inlineStr">
        <is>
          <t>SKINNSKATTEBERG</t>
        </is>
      </c>
      <c r="G476" t="n">
        <v>1.2</v>
      </c>
      <c r="H476" t="n">
        <v>0</v>
      </c>
      <c r="I476" t="n">
        <v>0</v>
      </c>
      <c r="J476" t="n">
        <v>0</v>
      </c>
      <c r="K476" t="n">
        <v>0</v>
      </c>
      <c r="L476" t="n">
        <v>0</v>
      </c>
      <c r="M476" t="n">
        <v>0</v>
      </c>
      <c r="N476" t="n">
        <v>0</v>
      </c>
      <c r="O476" t="n">
        <v>0</v>
      </c>
      <c r="P476" t="n">
        <v>0</v>
      </c>
      <c r="Q476" t="n">
        <v>0</v>
      </c>
      <c r="R476" s="2" t="inlineStr"/>
    </row>
    <row r="477" ht="15" customHeight="1">
      <c r="A477" t="inlineStr">
        <is>
          <t>A 23592-2019</t>
        </is>
      </c>
      <c r="B477" s="1" t="n">
        <v>43593</v>
      </c>
      <c r="C477" s="1" t="n">
        <v>45724</v>
      </c>
      <c r="D477" t="inlineStr">
        <is>
          <t>VÄSTMANLANDS LÄN</t>
        </is>
      </c>
      <c r="E477" t="inlineStr">
        <is>
          <t>NORBERG</t>
        </is>
      </c>
      <c r="G477" t="n">
        <v>2.7</v>
      </c>
      <c r="H477" t="n">
        <v>0</v>
      </c>
      <c r="I477" t="n">
        <v>0</v>
      </c>
      <c r="J477" t="n">
        <v>0</v>
      </c>
      <c r="K477" t="n">
        <v>0</v>
      </c>
      <c r="L477" t="n">
        <v>0</v>
      </c>
      <c r="M477" t="n">
        <v>0</v>
      </c>
      <c r="N477" t="n">
        <v>0</v>
      </c>
      <c r="O477" t="n">
        <v>0</v>
      </c>
      <c r="P477" t="n">
        <v>0</v>
      </c>
      <c r="Q477" t="n">
        <v>0</v>
      </c>
      <c r="R477" s="2" t="inlineStr"/>
    </row>
    <row r="478" ht="15" customHeight="1">
      <c r="A478" t="inlineStr">
        <is>
          <t>A 24107-2019</t>
        </is>
      </c>
      <c r="B478" s="1" t="n">
        <v>43595</v>
      </c>
      <c r="C478" s="1" t="n">
        <v>45724</v>
      </c>
      <c r="D478" t="inlineStr">
        <is>
          <t>VÄSTMANLANDS LÄN</t>
        </is>
      </c>
      <c r="E478" t="inlineStr">
        <is>
          <t>KÖPING</t>
        </is>
      </c>
      <c r="G478" t="n">
        <v>5.6</v>
      </c>
      <c r="H478" t="n">
        <v>0</v>
      </c>
      <c r="I478" t="n">
        <v>0</v>
      </c>
      <c r="J478" t="n">
        <v>0</v>
      </c>
      <c r="K478" t="n">
        <v>0</v>
      </c>
      <c r="L478" t="n">
        <v>0</v>
      </c>
      <c r="M478" t="n">
        <v>0</v>
      </c>
      <c r="N478" t="n">
        <v>0</v>
      </c>
      <c r="O478" t="n">
        <v>0</v>
      </c>
      <c r="P478" t="n">
        <v>0</v>
      </c>
      <c r="Q478" t="n">
        <v>0</v>
      </c>
      <c r="R478" s="2" t="inlineStr"/>
    </row>
    <row r="479" ht="15" customHeight="1">
      <c r="A479" t="inlineStr">
        <is>
          <t>A 23890-2019</t>
        </is>
      </c>
      <c r="B479" s="1" t="n">
        <v>43595</v>
      </c>
      <c r="C479" s="1" t="n">
        <v>45724</v>
      </c>
      <c r="D479" t="inlineStr">
        <is>
          <t>VÄSTMANLANDS LÄN</t>
        </is>
      </c>
      <c r="E479" t="inlineStr">
        <is>
          <t>FAGERSTA</t>
        </is>
      </c>
      <c r="F479" t="inlineStr">
        <is>
          <t>Sveaskog</t>
        </is>
      </c>
      <c r="G479" t="n">
        <v>5</v>
      </c>
      <c r="H479" t="n">
        <v>0</v>
      </c>
      <c r="I479" t="n">
        <v>0</v>
      </c>
      <c r="J479" t="n">
        <v>0</v>
      </c>
      <c r="K479" t="n">
        <v>0</v>
      </c>
      <c r="L479" t="n">
        <v>0</v>
      </c>
      <c r="M479" t="n">
        <v>0</v>
      </c>
      <c r="N479" t="n">
        <v>0</v>
      </c>
      <c r="O479" t="n">
        <v>0</v>
      </c>
      <c r="P479" t="n">
        <v>0</v>
      </c>
      <c r="Q479" t="n">
        <v>0</v>
      </c>
      <c r="R479" s="2" t="inlineStr"/>
    </row>
    <row r="480" ht="15" customHeight="1">
      <c r="A480" t="inlineStr">
        <is>
          <t>A 24147-2019</t>
        </is>
      </c>
      <c r="B480" s="1" t="n">
        <v>43598</v>
      </c>
      <c r="C480" s="1" t="n">
        <v>45724</v>
      </c>
      <c r="D480" t="inlineStr">
        <is>
          <t>VÄSTMANLANDS LÄN</t>
        </is>
      </c>
      <c r="E480" t="inlineStr">
        <is>
          <t>KUNGSÖR</t>
        </is>
      </c>
      <c r="G480" t="n">
        <v>0.4</v>
      </c>
      <c r="H480" t="n">
        <v>0</v>
      </c>
      <c r="I480" t="n">
        <v>0</v>
      </c>
      <c r="J480" t="n">
        <v>0</v>
      </c>
      <c r="K480" t="n">
        <v>0</v>
      </c>
      <c r="L480" t="n">
        <v>0</v>
      </c>
      <c r="M480" t="n">
        <v>0</v>
      </c>
      <c r="N480" t="n">
        <v>0</v>
      </c>
      <c r="O480" t="n">
        <v>0</v>
      </c>
      <c r="P480" t="n">
        <v>0</v>
      </c>
      <c r="Q480" t="n">
        <v>0</v>
      </c>
      <c r="R480" s="2" t="inlineStr"/>
    </row>
    <row r="481" ht="15" customHeight="1">
      <c r="A481" t="inlineStr">
        <is>
          <t>A 24071-2019</t>
        </is>
      </c>
      <c r="B481" s="1" t="n">
        <v>43598</v>
      </c>
      <c r="C481" s="1" t="n">
        <v>45724</v>
      </c>
      <c r="D481" t="inlineStr">
        <is>
          <t>VÄSTMANLANDS LÄN</t>
        </is>
      </c>
      <c r="E481" t="inlineStr">
        <is>
          <t>ARBOGA</t>
        </is>
      </c>
      <c r="G481" t="n">
        <v>1.4</v>
      </c>
      <c r="H481" t="n">
        <v>0</v>
      </c>
      <c r="I481" t="n">
        <v>0</v>
      </c>
      <c r="J481" t="n">
        <v>0</v>
      </c>
      <c r="K481" t="n">
        <v>0</v>
      </c>
      <c r="L481" t="n">
        <v>0</v>
      </c>
      <c r="M481" t="n">
        <v>0</v>
      </c>
      <c r="N481" t="n">
        <v>0</v>
      </c>
      <c r="O481" t="n">
        <v>0</v>
      </c>
      <c r="P481" t="n">
        <v>0</v>
      </c>
      <c r="Q481" t="n">
        <v>0</v>
      </c>
      <c r="R481" s="2" t="inlineStr"/>
    </row>
    <row r="482" ht="15" customHeight="1">
      <c r="A482" t="inlineStr">
        <is>
          <t>A 24017-2019</t>
        </is>
      </c>
      <c r="B482" s="1" t="n">
        <v>43598</v>
      </c>
      <c r="C482" s="1" t="n">
        <v>45724</v>
      </c>
      <c r="D482" t="inlineStr">
        <is>
          <t>VÄSTMANLANDS LÄN</t>
        </is>
      </c>
      <c r="E482" t="inlineStr">
        <is>
          <t>KÖPING</t>
        </is>
      </c>
      <c r="F482" t="inlineStr">
        <is>
          <t>Sveaskog</t>
        </is>
      </c>
      <c r="G482" t="n">
        <v>1.1</v>
      </c>
      <c r="H482" t="n">
        <v>0</v>
      </c>
      <c r="I482" t="n">
        <v>0</v>
      </c>
      <c r="J482" t="n">
        <v>0</v>
      </c>
      <c r="K482" t="n">
        <v>0</v>
      </c>
      <c r="L482" t="n">
        <v>0</v>
      </c>
      <c r="M482" t="n">
        <v>0</v>
      </c>
      <c r="N482" t="n">
        <v>0</v>
      </c>
      <c r="O482" t="n">
        <v>0</v>
      </c>
      <c r="P482" t="n">
        <v>0</v>
      </c>
      <c r="Q482" t="n">
        <v>0</v>
      </c>
      <c r="R482" s="2" t="inlineStr"/>
    </row>
    <row r="483" ht="15" customHeight="1">
      <c r="A483" t="inlineStr">
        <is>
          <t>A 24383-2019</t>
        </is>
      </c>
      <c r="B483" s="1" t="n">
        <v>43599</v>
      </c>
      <c r="C483" s="1" t="n">
        <v>45724</v>
      </c>
      <c r="D483" t="inlineStr">
        <is>
          <t>VÄSTMANLANDS LÄN</t>
        </is>
      </c>
      <c r="E483" t="inlineStr">
        <is>
          <t>SKINNSKATTEBERG</t>
        </is>
      </c>
      <c r="G483" t="n">
        <v>3.7</v>
      </c>
      <c r="H483" t="n">
        <v>0</v>
      </c>
      <c r="I483" t="n">
        <v>0</v>
      </c>
      <c r="J483" t="n">
        <v>0</v>
      </c>
      <c r="K483" t="n">
        <v>0</v>
      </c>
      <c r="L483" t="n">
        <v>0</v>
      </c>
      <c r="M483" t="n">
        <v>0</v>
      </c>
      <c r="N483" t="n">
        <v>0</v>
      </c>
      <c r="O483" t="n">
        <v>0</v>
      </c>
      <c r="P483" t="n">
        <v>0</v>
      </c>
      <c r="Q483" t="n">
        <v>0</v>
      </c>
      <c r="R483" s="2" t="inlineStr"/>
    </row>
    <row r="484" ht="15" customHeight="1">
      <c r="A484" t="inlineStr">
        <is>
          <t>A 24417-2019</t>
        </is>
      </c>
      <c r="B484" s="1" t="n">
        <v>43600</v>
      </c>
      <c r="C484" s="1" t="n">
        <v>45724</v>
      </c>
      <c r="D484" t="inlineStr">
        <is>
          <t>VÄSTMANLANDS LÄN</t>
        </is>
      </c>
      <c r="E484" t="inlineStr">
        <is>
          <t>KÖPING</t>
        </is>
      </c>
      <c r="G484" t="n">
        <v>2.8</v>
      </c>
      <c r="H484" t="n">
        <v>0</v>
      </c>
      <c r="I484" t="n">
        <v>0</v>
      </c>
      <c r="J484" t="n">
        <v>0</v>
      </c>
      <c r="K484" t="n">
        <v>0</v>
      </c>
      <c r="L484" t="n">
        <v>0</v>
      </c>
      <c r="M484" t="n">
        <v>0</v>
      </c>
      <c r="N484" t="n">
        <v>0</v>
      </c>
      <c r="O484" t="n">
        <v>0</v>
      </c>
      <c r="P484" t="n">
        <v>0</v>
      </c>
      <c r="Q484" t="n">
        <v>0</v>
      </c>
      <c r="R484" s="2" t="inlineStr"/>
    </row>
    <row r="485" ht="15" customHeight="1">
      <c r="A485" t="inlineStr">
        <is>
          <t>A 24539-2019</t>
        </is>
      </c>
      <c r="B485" s="1" t="n">
        <v>43600</v>
      </c>
      <c r="C485" s="1" t="n">
        <v>45724</v>
      </c>
      <c r="D485" t="inlineStr">
        <is>
          <t>VÄSTMANLANDS LÄN</t>
        </is>
      </c>
      <c r="E485" t="inlineStr">
        <is>
          <t>SKINNSKATTEBERG</t>
        </is>
      </c>
      <c r="G485" t="n">
        <v>1.6</v>
      </c>
      <c r="H485" t="n">
        <v>0</v>
      </c>
      <c r="I485" t="n">
        <v>0</v>
      </c>
      <c r="J485" t="n">
        <v>0</v>
      </c>
      <c r="K485" t="n">
        <v>0</v>
      </c>
      <c r="L485" t="n">
        <v>0</v>
      </c>
      <c r="M485" t="n">
        <v>0</v>
      </c>
      <c r="N485" t="n">
        <v>0</v>
      </c>
      <c r="O485" t="n">
        <v>0</v>
      </c>
      <c r="P485" t="n">
        <v>0</v>
      </c>
      <c r="Q485" t="n">
        <v>0</v>
      </c>
      <c r="R485" s="2" t="inlineStr"/>
    </row>
    <row r="486" ht="15" customHeight="1">
      <c r="A486" t="inlineStr">
        <is>
          <t>A 24985-2019</t>
        </is>
      </c>
      <c r="B486" s="1" t="n">
        <v>43602</v>
      </c>
      <c r="C486" s="1" t="n">
        <v>45724</v>
      </c>
      <c r="D486" t="inlineStr">
        <is>
          <t>VÄSTMANLANDS LÄN</t>
        </is>
      </c>
      <c r="E486" t="inlineStr">
        <is>
          <t>SKINNSKATTEBERG</t>
        </is>
      </c>
      <c r="F486" t="inlineStr">
        <is>
          <t>Sveaskog</t>
        </is>
      </c>
      <c r="G486" t="n">
        <v>0.6</v>
      </c>
      <c r="H486" t="n">
        <v>0</v>
      </c>
      <c r="I486" t="n">
        <v>0</v>
      </c>
      <c r="J486" t="n">
        <v>0</v>
      </c>
      <c r="K486" t="n">
        <v>0</v>
      </c>
      <c r="L486" t="n">
        <v>0</v>
      </c>
      <c r="M486" t="n">
        <v>0</v>
      </c>
      <c r="N486" t="n">
        <v>0</v>
      </c>
      <c r="O486" t="n">
        <v>0</v>
      </c>
      <c r="P486" t="n">
        <v>0</v>
      </c>
      <c r="Q486" t="n">
        <v>0</v>
      </c>
      <c r="R486" s="2" t="inlineStr"/>
    </row>
    <row r="487" ht="15" customHeight="1">
      <c r="A487" t="inlineStr">
        <is>
          <t>A 24909-2019</t>
        </is>
      </c>
      <c r="B487" s="1" t="n">
        <v>43602</v>
      </c>
      <c r="C487" s="1" t="n">
        <v>45724</v>
      </c>
      <c r="D487" t="inlineStr">
        <is>
          <t>VÄSTMANLANDS LÄN</t>
        </is>
      </c>
      <c r="E487" t="inlineStr">
        <is>
          <t>KÖPING</t>
        </is>
      </c>
      <c r="G487" t="n">
        <v>6.2</v>
      </c>
      <c r="H487" t="n">
        <v>0</v>
      </c>
      <c r="I487" t="n">
        <v>0</v>
      </c>
      <c r="J487" t="n">
        <v>0</v>
      </c>
      <c r="K487" t="n">
        <v>0</v>
      </c>
      <c r="L487" t="n">
        <v>0</v>
      </c>
      <c r="M487" t="n">
        <v>0</v>
      </c>
      <c r="N487" t="n">
        <v>0</v>
      </c>
      <c r="O487" t="n">
        <v>0</v>
      </c>
      <c r="P487" t="n">
        <v>0</v>
      </c>
      <c r="Q487" t="n">
        <v>0</v>
      </c>
      <c r="R487" s="2" t="inlineStr"/>
    </row>
    <row r="488" ht="15" customHeight="1">
      <c r="A488" t="inlineStr">
        <is>
          <t>A 24978-2019</t>
        </is>
      </c>
      <c r="B488" s="1" t="n">
        <v>43602</v>
      </c>
      <c r="C488" s="1" t="n">
        <v>45724</v>
      </c>
      <c r="D488" t="inlineStr">
        <is>
          <t>VÄSTMANLANDS LÄN</t>
        </is>
      </c>
      <c r="E488" t="inlineStr">
        <is>
          <t>SKINNSKATTEBERG</t>
        </is>
      </c>
      <c r="F488" t="inlineStr">
        <is>
          <t>Sveaskog</t>
        </is>
      </c>
      <c r="G488" t="n">
        <v>2.2</v>
      </c>
      <c r="H488" t="n">
        <v>0</v>
      </c>
      <c r="I488" t="n">
        <v>0</v>
      </c>
      <c r="J488" t="n">
        <v>0</v>
      </c>
      <c r="K488" t="n">
        <v>0</v>
      </c>
      <c r="L488" t="n">
        <v>0</v>
      </c>
      <c r="M488" t="n">
        <v>0</v>
      </c>
      <c r="N488" t="n">
        <v>0</v>
      </c>
      <c r="O488" t="n">
        <v>0</v>
      </c>
      <c r="P488" t="n">
        <v>0</v>
      </c>
      <c r="Q488" t="n">
        <v>0</v>
      </c>
      <c r="R488" s="2" t="inlineStr"/>
    </row>
    <row r="489" ht="15" customHeight="1">
      <c r="A489" t="inlineStr">
        <is>
          <t>A 24882-2019</t>
        </is>
      </c>
      <c r="B489" s="1" t="n">
        <v>43602</v>
      </c>
      <c r="C489" s="1" t="n">
        <v>45724</v>
      </c>
      <c r="D489" t="inlineStr">
        <is>
          <t>VÄSTMANLANDS LÄN</t>
        </is>
      </c>
      <c r="E489" t="inlineStr">
        <is>
          <t>SKINNSKATTEBERG</t>
        </is>
      </c>
      <c r="F489" t="inlineStr">
        <is>
          <t>Sveaskog</t>
        </is>
      </c>
      <c r="G489" t="n">
        <v>1.3</v>
      </c>
      <c r="H489" t="n">
        <v>0</v>
      </c>
      <c r="I489" t="n">
        <v>0</v>
      </c>
      <c r="J489" t="n">
        <v>0</v>
      </c>
      <c r="K489" t="n">
        <v>0</v>
      </c>
      <c r="L489" t="n">
        <v>0</v>
      </c>
      <c r="M489" t="n">
        <v>0</v>
      </c>
      <c r="N489" t="n">
        <v>0</v>
      </c>
      <c r="O489" t="n">
        <v>0</v>
      </c>
      <c r="P489" t="n">
        <v>0</v>
      </c>
      <c r="Q489" t="n">
        <v>0</v>
      </c>
      <c r="R489" s="2" t="inlineStr"/>
    </row>
    <row r="490" ht="15" customHeight="1">
      <c r="A490" t="inlineStr">
        <is>
          <t>A 24892-2019</t>
        </is>
      </c>
      <c r="B490" s="1" t="n">
        <v>43602</v>
      </c>
      <c r="C490" s="1" t="n">
        <v>45724</v>
      </c>
      <c r="D490" t="inlineStr">
        <is>
          <t>VÄSTMANLANDS LÄN</t>
        </is>
      </c>
      <c r="E490" t="inlineStr">
        <is>
          <t>SKINNSKATTEBERG</t>
        </is>
      </c>
      <c r="F490" t="inlineStr">
        <is>
          <t>Sveaskog</t>
        </is>
      </c>
      <c r="G490" t="n">
        <v>3.2</v>
      </c>
      <c r="H490" t="n">
        <v>0</v>
      </c>
      <c r="I490" t="n">
        <v>0</v>
      </c>
      <c r="J490" t="n">
        <v>0</v>
      </c>
      <c r="K490" t="n">
        <v>0</v>
      </c>
      <c r="L490" t="n">
        <v>0</v>
      </c>
      <c r="M490" t="n">
        <v>0</v>
      </c>
      <c r="N490" t="n">
        <v>0</v>
      </c>
      <c r="O490" t="n">
        <v>0</v>
      </c>
      <c r="P490" t="n">
        <v>0</v>
      </c>
      <c r="Q490" t="n">
        <v>0</v>
      </c>
      <c r="R490" s="2" t="inlineStr"/>
    </row>
    <row r="491" ht="15" customHeight="1">
      <c r="A491" t="inlineStr">
        <is>
          <t>A 25005-2019</t>
        </is>
      </c>
      <c r="B491" s="1" t="n">
        <v>43602</v>
      </c>
      <c r="C491" s="1" t="n">
        <v>45724</v>
      </c>
      <c r="D491" t="inlineStr">
        <is>
          <t>VÄSTMANLANDS LÄN</t>
        </is>
      </c>
      <c r="E491" t="inlineStr">
        <is>
          <t>SALA</t>
        </is>
      </c>
      <c r="F491" t="inlineStr">
        <is>
          <t>Kommuner</t>
        </is>
      </c>
      <c r="G491" t="n">
        <v>4.3</v>
      </c>
      <c r="H491" t="n">
        <v>0</v>
      </c>
      <c r="I491" t="n">
        <v>0</v>
      </c>
      <c r="J491" t="n">
        <v>0</v>
      </c>
      <c r="K491" t="n">
        <v>0</v>
      </c>
      <c r="L491" t="n">
        <v>0</v>
      </c>
      <c r="M491" t="n">
        <v>0</v>
      </c>
      <c r="N491" t="n">
        <v>0</v>
      </c>
      <c r="O491" t="n">
        <v>0</v>
      </c>
      <c r="P491" t="n">
        <v>0</v>
      </c>
      <c r="Q491" t="n">
        <v>0</v>
      </c>
      <c r="R491" s="2" t="inlineStr"/>
    </row>
    <row r="492" ht="15" customHeight="1">
      <c r="A492" t="inlineStr">
        <is>
          <t>A 25324-2019</t>
        </is>
      </c>
      <c r="B492" s="1" t="n">
        <v>43606</v>
      </c>
      <c r="C492" s="1" t="n">
        <v>45724</v>
      </c>
      <c r="D492" t="inlineStr">
        <is>
          <t>VÄSTMANLANDS LÄN</t>
        </is>
      </c>
      <c r="E492" t="inlineStr">
        <is>
          <t>SKINNSKATTEBERG</t>
        </is>
      </c>
      <c r="F492" t="inlineStr">
        <is>
          <t>Sveaskog</t>
        </is>
      </c>
      <c r="G492" t="n">
        <v>1.2</v>
      </c>
      <c r="H492" t="n">
        <v>0</v>
      </c>
      <c r="I492" t="n">
        <v>0</v>
      </c>
      <c r="J492" t="n">
        <v>0</v>
      </c>
      <c r="K492" t="n">
        <v>0</v>
      </c>
      <c r="L492" t="n">
        <v>0</v>
      </c>
      <c r="M492" t="n">
        <v>0</v>
      </c>
      <c r="N492" t="n">
        <v>0</v>
      </c>
      <c r="O492" t="n">
        <v>0</v>
      </c>
      <c r="P492" t="n">
        <v>0</v>
      </c>
      <c r="Q492" t="n">
        <v>0</v>
      </c>
      <c r="R492" s="2" t="inlineStr"/>
    </row>
    <row r="493" ht="15" customHeight="1">
      <c r="A493" t="inlineStr">
        <is>
          <t>A 25741-2019</t>
        </is>
      </c>
      <c r="B493" s="1" t="n">
        <v>43608</v>
      </c>
      <c r="C493" s="1" t="n">
        <v>45724</v>
      </c>
      <c r="D493" t="inlineStr">
        <is>
          <t>VÄSTMANLANDS LÄN</t>
        </is>
      </c>
      <c r="E493" t="inlineStr">
        <is>
          <t>KÖPING</t>
        </is>
      </c>
      <c r="F493" t="inlineStr">
        <is>
          <t>Sveaskog</t>
        </is>
      </c>
      <c r="G493" t="n">
        <v>0.8</v>
      </c>
      <c r="H493" t="n">
        <v>0</v>
      </c>
      <c r="I493" t="n">
        <v>0</v>
      </c>
      <c r="J493" t="n">
        <v>0</v>
      </c>
      <c r="K493" t="n">
        <v>0</v>
      </c>
      <c r="L493" t="n">
        <v>0</v>
      </c>
      <c r="M493" t="n">
        <v>0</v>
      </c>
      <c r="N493" t="n">
        <v>0</v>
      </c>
      <c r="O493" t="n">
        <v>0</v>
      </c>
      <c r="P493" t="n">
        <v>0</v>
      </c>
      <c r="Q493" t="n">
        <v>0</v>
      </c>
      <c r="R493" s="2" t="inlineStr"/>
    </row>
    <row r="494" ht="15" customHeight="1">
      <c r="A494" t="inlineStr">
        <is>
          <t>A 25743-2019</t>
        </is>
      </c>
      <c r="B494" s="1" t="n">
        <v>43608</v>
      </c>
      <c r="C494" s="1" t="n">
        <v>45724</v>
      </c>
      <c r="D494" t="inlineStr">
        <is>
          <t>VÄSTMANLANDS LÄN</t>
        </is>
      </c>
      <c r="E494" t="inlineStr">
        <is>
          <t>SKINNSKATTEBERG</t>
        </is>
      </c>
      <c r="F494" t="inlineStr">
        <is>
          <t>Sveaskog</t>
        </is>
      </c>
      <c r="G494" t="n">
        <v>1.4</v>
      </c>
      <c r="H494" t="n">
        <v>0</v>
      </c>
      <c r="I494" t="n">
        <v>0</v>
      </c>
      <c r="J494" t="n">
        <v>0</v>
      </c>
      <c r="K494" t="n">
        <v>0</v>
      </c>
      <c r="L494" t="n">
        <v>0</v>
      </c>
      <c r="M494" t="n">
        <v>0</v>
      </c>
      <c r="N494" t="n">
        <v>0</v>
      </c>
      <c r="O494" t="n">
        <v>0</v>
      </c>
      <c r="P494" t="n">
        <v>0</v>
      </c>
      <c r="Q494" t="n">
        <v>0</v>
      </c>
      <c r="R494" s="2" t="inlineStr"/>
    </row>
    <row r="495" ht="15" customHeight="1">
      <c r="A495" t="inlineStr">
        <is>
          <t>A 25882-2019</t>
        </is>
      </c>
      <c r="B495" s="1" t="n">
        <v>43608</v>
      </c>
      <c r="C495" s="1" t="n">
        <v>45724</v>
      </c>
      <c r="D495" t="inlineStr">
        <is>
          <t>VÄSTMANLANDS LÄN</t>
        </is>
      </c>
      <c r="E495" t="inlineStr">
        <is>
          <t>ARBOGA</t>
        </is>
      </c>
      <c r="G495" t="n">
        <v>0.7</v>
      </c>
      <c r="H495" t="n">
        <v>0</v>
      </c>
      <c r="I495" t="n">
        <v>0</v>
      </c>
      <c r="J495" t="n">
        <v>0</v>
      </c>
      <c r="K495" t="n">
        <v>0</v>
      </c>
      <c r="L495" t="n">
        <v>0</v>
      </c>
      <c r="M495" t="n">
        <v>0</v>
      </c>
      <c r="N495" t="n">
        <v>0</v>
      </c>
      <c r="O495" t="n">
        <v>0</v>
      </c>
      <c r="P495" t="n">
        <v>0</v>
      </c>
      <c r="Q495" t="n">
        <v>0</v>
      </c>
      <c r="R495" s="2" t="inlineStr"/>
    </row>
    <row r="496" ht="15" customHeight="1">
      <c r="A496" t="inlineStr">
        <is>
          <t>A 25814-2019</t>
        </is>
      </c>
      <c r="B496" s="1" t="n">
        <v>43608</v>
      </c>
      <c r="C496" s="1" t="n">
        <v>45724</v>
      </c>
      <c r="D496" t="inlineStr">
        <is>
          <t>VÄSTMANLANDS LÄN</t>
        </is>
      </c>
      <c r="E496" t="inlineStr">
        <is>
          <t>SALA</t>
        </is>
      </c>
      <c r="G496" t="n">
        <v>2.1</v>
      </c>
      <c r="H496" t="n">
        <v>0</v>
      </c>
      <c r="I496" t="n">
        <v>0</v>
      </c>
      <c r="J496" t="n">
        <v>0</v>
      </c>
      <c r="K496" t="n">
        <v>0</v>
      </c>
      <c r="L496" t="n">
        <v>0</v>
      </c>
      <c r="M496" t="n">
        <v>0</v>
      </c>
      <c r="N496" t="n">
        <v>0</v>
      </c>
      <c r="O496" t="n">
        <v>0</v>
      </c>
      <c r="P496" t="n">
        <v>0</v>
      </c>
      <c r="Q496" t="n">
        <v>0</v>
      </c>
      <c r="R496" s="2" t="inlineStr"/>
    </row>
    <row r="497" ht="15" customHeight="1">
      <c r="A497" t="inlineStr">
        <is>
          <t>A 26467-2019</t>
        </is>
      </c>
      <c r="B497" s="1" t="n">
        <v>43612</v>
      </c>
      <c r="C497" s="1" t="n">
        <v>45724</v>
      </c>
      <c r="D497" t="inlineStr">
        <is>
          <t>VÄSTMANLANDS LÄN</t>
        </is>
      </c>
      <c r="E497" t="inlineStr">
        <is>
          <t>SKINNSKATTEBERG</t>
        </is>
      </c>
      <c r="F497" t="inlineStr">
        <is>
          <t>Sveaskog</t>
        </is>
      </c>
      <c r="G497" t="n">
        <v>1.3</v>
      </c>
      <c r="H497" t="n">
        <v>0</v>
      </c>
      <c r="I497" t="n">
        <v>0</v>
      </c>
      <c r="J497" t="n">
        <v>0</v>
      </c>
      <c r="K497" t="n">
        <v>0</v>
      </c>
      <c r="L497" t="n">
        <v>0</v>
      </c>
      <c r="M497" t="n">
        <v>0</v>
      </c>
      <c r="N497" t="n">
        <v>0</v>
      </c>
      <c r="O497" t="n">
        <v>0</v>
      </c>
      <c r="P497" t="n">
        <v>0</v>
      </c>
      <c r="Q497" t="n">
        <v>0</v>
      </c>
      <c r="R497" s="2" t="inlineStr"/>
    </row>
    <row r="498" ht="15" customHeight="1">
      <c r="A498" t="inlineStr">
        <is>
          <t>A 26472-2019</t>
        </is>
      </c>
      <c r="B498" s="1" t="n">
        <v>43612</v>
      </c>
      <c r="C498" s="1" t="n">
        <v>45724</v>
      </c>
      <c r="D498" t="inlineStr">
        <is>
          <t>VÄSTMANLANDS LÄN</t>
        </is>
      </c>
      <c r="E498" t="inlineStr">
        <is>
          <t>SKINNSKATTEBERG</t>
        </is>
      </c>
      <c r="F498" t="inlineStr">
        <is>
          <t>Sveaskog</t>
        </is>
      </c>
      <c r="G498" t="n">
        <v>3.6</v>
      </c>
      <c r="H498" t="n">
        <v>0</v>
      </c>
      <c r="I498" t="n">
        <v>0</v>
      </c>
      <c r="J498" t="n">
        <v>0</v>
      </c>
      <c r="K498" t="n">
        <v>0</v>
      </c>
      <c r="L498" t="n">
        <v>0</v>
      </c>
      <c r="M498" t="n">
        <v>0</v>
      </c>
      <c r="N498" t="n">
        <v>0</v>
      </c>
      <c r="O498" t="n">
        <v>0</v>
      </c>
      <c r="P498" t="n">
        <v>0</v>
      </c>
      <c r="Q498" t="n">
        <v>0</v>
      </c>
      <c r="R498" s="2" t="inlineStr"/>
    </row>
    <row r="499" ht="15" customHeight="1">
      <c r="A499" t="inlineStr">
        <is>
          <t>A 26614-2019</t>
        </is>
      </c>
      <c r="B499" s="1" t="n">
        <v>43612</v>
      </c>
      <c r="C499" s="1" t="n">
        <v>45724</v>
      </c>
      <c r="D499" t="inlineStr">
        <is>
          <t>VÄSTMANLANDS LÄN</t>
        </is>
      </c>
      <c r="E499" t="inlineStr">
        <is>
          <t>VÄSTERÅS</t>
        </is>
      </c>
      <c r="F499" t="inlineStr">
        <is>
          <t>Kyrkan</t>
        </is>
      </c>
      <c r="G499" t="n">
        <v>1.1</v>
      </c>
      <c r="H499" t="n">
        <v>0</v>
      </c>
      <c r="I499" t="n">
        <v>0</v>
      </c>
      <c r="J499" t="n">
        <v>0</v>
      </c>
      <c r="K499" t="n">
        <v>0</v>
      </c>
      <c r="L499" t="n">
        <v>0</v>
      </c>
      <c r="M499" t="n">
        <v>0</v>
      </c>
      <c r="N499" t="n">
        <v>0</v>
      </c>
      <c r="O499" t="n">
        <v>0</v>
      </c>
      <c r="P499" t="n">
        <v>0</v>
      </c>
      <c r="Q499" t="n">
        <v>0</v>
      </c>
      <c r="R499" s="2" t="inlineStr"/>
    </row>
    <row r="500" ht="15" customHeight="1">
      <c r="A500" t="inlineStr">
        <is>
          <t>A 26414-2019</t>
        </is>
      </c>
      <c r="B500" s="1" t="n">
        <v>43612</v>
      </c>
      <c r="C500" s="1" t="n">
        <v>45724</v>
      </c>
      <c r="D500" t="inlineStr">
        <is>
          <t>VÄSTMANLANDS LÄN</t>
        </is>
      </c>
      <c r="E500" t="inlineStr">
        <is>
          <t>KÖPING</t>
        </is>
      </c>
      <c r="G500" t="n">
        <v>1.2</v>
      </c>
      <c r="H500" t="n">
        <v>0</v>
      </c>
      <c r="I500" t="n">
        <v>0</v>
      </c>
      <c r="J500" t="n">
        <v>0</v>
      </c>
      <c r="K500" t="n">
        <v>0</v>
      </c>
      <c r="L500" t="n">
        <v>0</v>
      </c>
      <c r="M500" t="n">
        <v>0</v>
      </c>
      <c r="N500" t="n">
        <v>0</v>
      </c>
      <c r="O500" t="n">
        <v>0</v>
      </c>
      <c r="P500" t="n">
        <v>0</v>
      </c>
      <c r="Q500" t="n">
        <v>0</v>
      </c>
      <c r="R500" s="2" t="inlineStr"/>
    </row>
    <row r="501" ht="15" customHeight="1">
      <c r="A501" t="inlineStr">
        <is>
          <t>A 26593-2019</t>
        </is>
      </c>
      <c r="B501" s="1" t="n">
        <v>43612</v>
      </c>
      <c r="C501" s="1" t="n">
        <v>45724</v>
      </c>
      <c r="D501" t="inlineStr">
        <is>
          <t>VÄSTMANLANDS LÄN</t>
        </is>
      </c>
      <c r="E501" t="inlineStr">
        <is>
          <t>ARBOGA</t>
        </is>
      </c>
      <c r="G501" t="n">
        <v>1.7</v>
      </c>
      <c r="H501" t="n">
        <v>0</v>
      </c>
      <c r="I501" t="n">
        <v>0</v>
      </c>
      <c r="J501" t="n">
        <v>0</v>
      </c>
      <c r="K501" t="n">
        <v>0</v>
      </c>
      <c r="L501" t="n">
        <v>0</v>
      </c>
      <c r="M501" t="n">
        <v>0</v>
      </c>
      <c r="N501" t="n">
        <v>0</v>
      </c>
      <c r="O501" t="n">
        <v>0</v>
      </c>
      <c r="P501" t="n">
        <v>0</v>
      </c>
      <c r="Q501" t="n">
        <v>0</v>
      </c>
      <c r="R501" s="2" t="inlineStr"/>
    </row>
    <row r="502" ht="15" customHeight="1">
      <c r="A502" t="inlineStr">
        <is>
          <t>A 26861-2019</t>
        </is>
      </c>
      <c r="B502" s="1" t="n">
        <v>43613</v>
      </c>
      <c r="C502" s="1" t="n">
        <v>45724</v>
      </c>
      <c r="D502" t="inlineStr">
        <is>
          <t>VÄSTMANLANDS LÄN</t>
        </is>
      </c>
      <c r="E502" t="inlineStr">
        <is>
          <t>SALA</t>
        </is>
      </c>
      <c r="G502" t="n">
        <v>1.2</v>
      </c>
      <c r="H502" t="n">
        <v>0</v>
      </c>
      <c r="I502" t="n">
        <v>0</v>
      </c>
      <c r="J502" t="n">
        <v>0</v>
      </c>
      <c r="K502" t="n">
        <v>0</v>
      </c>
      <c r="L502" t="n">
        <v>0</v>
      </c>
      <c r="M502" t="n">
        <v>0</v>
      </c>
      <c r="N502" t="n">
        <v>0</v>
      </c>
      <c r="O502" t="n">
        <v>0</v>
      </c>
      <c r="P502" t="n">
        <v>0</v>
      </c>
      <c r="Q502" t="n">
        <v>0</v>
      </c>
      <c r="R502" s="2" t="inlineStr"/>
    </row>
    <row r="503" ht="15" customHeight="1">
      <c r="A503" t="inlineStr">
        <is>
          <t>A 26656-2019</t>
        </is>
      </c>
      <c r="B503" s="1" t="n">
        <v>43613</v>
      </c>
      <c r="C503" s="1" t="n">
        <v>45724</v>
      </c>
      <c r="D503" t="inlineStr">
        <is>
          <t>VÄSTMANLANDS LÄN</t>
        </is>
      </c>
      <c r="E503" t="inlineStr">
        <is>
          <t>ARBOGA</t>
        </is>
      </c>
      <c r="F503" t="inlineStr">
        <is>
          <t>Allmännings- och besparingsskogar</t>
        </is>
      </c>
      <c r="G503" t="n">
        <v>2.9</v>
      </c>
      <c r="H503" t="n">
        <v>0</v>
      </c>
      <c r="I503" t="n">
        <v>0</v>
      </c>
      <c r="J503" t="n">
        <v>0</v>
      </c>
      <c r="K503" t="n">
        <v>0</v>
      </c>
      <c r="L503" t="n">
        <v>0</v>
      </c>
      <c r="M503" t="n">
        <v>0</v>
      </c>
      <c r="N503" t="n">
        <v>0</v>
      </c>
      <c r="O503" t="n">
        <v>0</v>
      </c>
      <c r="P503" t="n">
        <v>0</v>
      </c>
      <c r="Q503" t="n">
        <v>0</v>
      </c>
      <c r="R503" s="2" t="inlineStr"/>
    </row>
    <row r="504" ht="15" customHeight="1">
      <c r="A504" t="inlineStr">
        <is>
          <t>A 27164-2019</t>
        </is>
      </c>
      <c r="B504" s="1" t="n">
        <v>43614</v>
      </c>
      <c r="C504" s="1" t="n">
        <v>45724</v>
      </c>
      <c r="D504" t="inlineStr">
        <is>
          <t>VÄSTMANLANDS LÄN</t>
        </is>
      </c>
      <c r="E504" t="inlineStr">
        <is>
          <t>SALA</t>
        </is>
      </c>
      <c r="G504" t="n">
        <v>1.9</v>
      </c>
      <c r="H504" t="n">
        <v>0</v>
      </c>
      <c r="I504" t="n">
        <v>0</v>
      </c>
      <c r="J504" t="n">
        <v>0</v>
      </c>
      <c r="K504" t="n">
        <v>0</v>
      </c>
      <c r="L504" t="n">
        <v>0</v>
      </c>
      <c r="M504" t="n">
        <v>0</v>
      </c>
      <c r="N504" t="n">
        <v>0</v>
      </c>
      <c r="O504" t="n">
        <v>0</v>
      </c>
      <c r="P504" t="n">
        <v>0</v>
      </c>
      <c r="Q504" t="n">
        <v>0</v>
      </c>
      <c r="R504" s="2" t="inlineStr"/>
    </row>
    <row r="505" ht="15" customHeight="1">
      <c r="A505" t="inlineStr">
        <is>
          <t>A 27182-2019</t>
        </is>
      </c>
      <c r="B505" s="1" t="n">
        <v>43614</v>
      </c>
      <c r="C505" s="1" t="n">
        <v>45724</v>
      </c>
      <c r="D505" t="inlineStr">
        <is>
          <t>VÄSTMANLANDS LÄN</t>
        </is>
      </c>
      <c r="E505" t="inlineStr">
        <is>
          <t>KÖPING</t>
        </is>
      </c>
      <c r="G505" t="n">
        <v>6</v>
      </c>
      <c r="H505" t="n">
        <v>0</v>
      </c>
      <c r="I505" t="n">
        <v>0</v>
      </c>
      <c r="J505" t="n">
        <v>0</v>
      </c>
      <c r="K505" t="n">
        <v>0</v>
      </c>
      <c r="L505" t="n">
        <v>0</v>
      </c>
      <c r="M505" t="n">
        <v>0</v>
      </c>
      <c r="N505" t="n">
        <v>0</v>
      </c>
      <c r="O505" t="n">
        <v>0</v>
      </c>
      <c r="P505" t="n">
        <v>0</v>
      </c>
      <c r="Q505" t="n">
        <v>0</v>
      </c>
      <c r="R505" s="2" t="inlineStr"/>
    </row>
    <row r="506" ht="15" customHeight="1">
      <c r="A506" t="inlineStr">
        <is>
          <t>A 27040-2019</t>
        </is>
      </c>
      <c r="B506" s="1" t="n">
        <v>43614</v>
      </c>
      <c r="C506" s="1" t="n">
        <v>45724</v>
      </c>
      <c r="D506" t="inlineStr">
        <is>
          <t>VÄSTMANLANDS LÄN</t>
        </is>
      </c>
      <c r="E506" t="inlineStr">
        <is>
          <t>SALA</t>
        </is>
      </c>
      <c r="G506" t="n">
        <v>1.4</v>
      </c>
      <c r="H506" t="n">
        <v>0</v>
      </c>
      <c r="I506" t="n">
        <v>0</v>
      </c>
      <c r="J506" t="n">
        <v>0</v>
      </c>
      <c r="K506" t="n">
        <v>0</v>
      </c>
      <c r="L506" t="n">
        <v>0</v>
      </c>
      <c r="M506" t="n">
        <v>0</v>
      </c>
      <c r="N506" t="n">
        <v>0</v>
      </c>
      <c r="O506" t="n">
        <v>0</v>
      </c>
      <c r="P506" t="n">
        <v>0</v>
      </c>
      <c r="Q506" t="n">
        <v>0</v>
      </c>
      <c r="R506" s="2" t="inlineStr"/>
    </row>
    <row r="507" ht="15" customHeight="1">
      <c r="A507" t="inlineStr">
        <is>
          <t>A 27181-2019</t>
        </is>
      </c>
      <c r="B507" s="1" t="n">
        <v>43614</v>
      </c>
      <c r="C507" s="1" t="n">
        <v>45724</v>
      </c>
      <c r="D507" t="inlineStr">
        <is>
          <t>VÄSTMANLANDS LÄN</t>
        </is>
      </c>
      <c r="E507" t="inlineStr">
        <is>
          <t>VÄSTERÅS</t>
        </is>
      </c>
      <c r="G507" t="n">
        <v>12.5</v>
      </c>
      <c r="H507" t="n">
        <v>0</v>
      </c>
      <c r="I507" t="n">
        <v>0</v>
      </c>
      <c r="J507" t="n">
        <v>0</v>
      </c>
      <c r="K507" t="n">
        <v>0</v>
      </c>
      <c r="L507" t="n">
        <v>0</v>
      </c>
      <c r="M507" t="n">
        <v>0</v>
      </c>
      <c r="N507" t="n">
        <v>0</v>
      </c>
      <c r="O507" t="n">
        <v>0</v>
      </c>
      <c r="P507" t="n">
        <v>0</v>
      </c>
      <c r="Q507" t="n">
        <v>0</v>
      </c>
      <c r="R507" s="2" t="inlineStr"/>
    </row>
    <row r="508" ht="15" customHeight="1">
      <c r="A508" t="inlineStr">
        <is>
          <t>A 27093-2019</t>
        </is>
      </c>
      <c r="B508" s="1" t="n">
        <v>43614</v>
      </c>
      <c r="C508" s="1" t="n">
        <v>45724</v>
      </c>
      <c r="D508" t="inlineStr">
        <is>
          <t>VÄSTMANLANDS LÄN</t>
        </is>
      </c>
      <c r="E508" t="inlineStr">
        <is>
          <t>SKINNSKATTEBERG</t>
        </is>
      </c>
      <c r="G508" t="n">
        <v>5.6</v>
      </c>
      <c r="H508" t="n">
        <v>0</v>
      </c>
      <c r="I508" t="n">
        <v>0</v>
      </c>
      <c r="J508" t="n">
        <v>0</v>
      </c>
      <c r="K508" t="n">
        <v>0</v>
      </c>
      <c r="L508" t="n">
        <v>0</v>
      </c>
      <c r="M508" t="n">
        <v>0</v>
      </c>
      <c r="N508" t="n">
        <v>0</v>
      </c>
      <c r="O508" t="n">
        <v>0</v>
      </c>
      <c r="P508" t="n">
        <v>0</v>
      </c>
      <c r="Q508" t="n">
        <v>0</v>
      </c>
      <c r="R508" s="2" t="inlineStr"/>
    </row>
    <row r="509" ht="15" customHeight="1">
      <c r="A509" t="inlineStr">
        <is>
          <t>A 27381-2019</t>
        </is>
      </c>
      <c r="B509" s="1" t="n">
        <v>43616</v>
      </c>
      <c r="C509" s="1" t="n">
        <v>45724</v>
      </c>
      <c r="D509" t="inlineStr">
        <is>
          <t>VÄSTMANLANDS LÄN</t>
        </is>
      </c>
      <c r="E509" t="inlineStr">
        <is>
          <t>KÖPING</t>
        </is>
      </c>
      <c r="G509" t="n">
        <v>3.3</v>
      </c>
      <c r="H509" t="n">
        <v>0</v>
      </c>
      <c r="I509" t="n">
        <v>0</v>
      </c>
      <c r="J509" t="n">
        <v>0</v>
      </c>
      <c r="K509" t="n">
        <v>0</v>
      </c>
      <c r="L509" t="n">
        <v>0</v>
      </c>
      <c r="M509" t="n">
        <v>0</v>
      </c>
      <c r="N509" t="n">
        <v>0</v>
      </c>
      <c r="O509" t="n">
        <v>0</v>
      </c>
      <c r="P509" t="n">
        <v>0</v>
      </c>
      <c r="Q509" t="n">
        <v>0</v>
      </c>
      <c r="R509" s="2" t="inlineStr"/>
    </row>
    <row r="510" ht="15" customHeight="1">
      <c r="A510" t="inlineStr">
        <is>
          <t>A 27391-2019</t>
        </is>
      </c>
      <c r="B510" s="1" t="n">
        <v>43616</v>
      </c>
      <c r="C510" s="1" t="n">
        <v>45724</v>
      </c>
      <c r="D510" t="inlineStr">
        <is>
          <t>VÄSTMANLANDS LÄN</t>
        </is>
      </c>
      <c r="E510" t="inlineStr">
        <is>
          <t>KÖPING</t>
        </is>
      </c>
      <c r="G510" t="n">
        <v>2.1</v>
      </c>
      <c r="H510" t="n">
        <v>0</v>
      </c>
      <c r="I510" t="n">
        <v>0</v>
      </c>
      <c r="J510" t="n">
        <v>0</v>
      </c>
      <c r="K510" t="n">
        <v>0</v>
      </c>
      <c r="L510" t="n">
        <v>0</v>
      </c>
      <c r="M510" t="n">
        <v>0</v>
      </c>
      <c r="N510" t="n">
        <v>0</v>
      </c>
      <c r="O510" t="n">
        <v>0</v>
      </c>
      <c r="P510" t="n">
        <v>0</v>
      </c>
      <c r="Q510" t="n">
        <v>0</v>
      </c>
      <c r="R510" s="2" t="inlineStr"/>
    </row>
    <row r="511" ht="15" customHeight="1">
      <c r="A511" t="inlineStr">
        <is>
          <t>A 27472-2019</t>
        </is>
      </c>
      <c r="B511" s="1" t="n">
        <v>43619</v>
      </c>
      <c r="C511" s="1" t="n">
        <v>45724</v>
      </c>
      <c r="D511" t="inlineStr">
        <is>
          <t>VÄSTMANLANDS LÄN</t>
        </is>
      </c>
      <c r="E511" t="inlineStr">
        <is>
          <t>SKINNSKATTEBERG</t>
        </is>
      </c>
      <c r="F511" t="inlineStr">
        <is>
          <t>Sveaskog</t>
        </is>
      </c>
      <c r="G511" t="n">
        <v>1.5</v>
      </c>
      <c r="H511" t="n">
        <v>0</v>
      </c>
      <c r="I511" t="n">
        <v>0</v>
      </c>
      <c r="J511" t="n">
        <v>0</v>
      </c>
      <c r="K511" t="n">
        <v>0</v>
      </c>
      <c r="L511" t="n">
        <v>0</v>
      </c>
      <c r="M511" t="n">
        <v>0</v>
      </c>
      <c r="N511" t="n">
        <v>0</v>
      </c>
      <c r="O511" t="n">
        <v>0</v>
      </c>
      <c r="P511" t="n">
        <v>0</v>
      </c>
      <c r="Q511" t="n">
        <v>0</v>
      </c>
      <c r="R511" s="2" t="inlineStr"/>
    </row>
    <row r="512" ht="15" customHeight="1">
      <c r="A512" t="inlineStr">
        <is>
          <t>A 27914-2019</t>
        </is>
      </c>
      <c r="B512" s="1" t="n">
        <v>43620</v>
      </c>
      <c r="C512" s="1" t="n">
        <v>45724</v>
      </c>
      <c r="D512" t="inlineStr">
        <is>
          <t>VÄSTMANLANDS LÄN</t>
        </is>
      </c>
      <c r="E512" t="inlineStr">
        <is>
          <t>KÖPING</t>
        </is>
      </c>
      <c r="G512" t="n">
        <v>7.6</v>
      </c>
      <c r="H512" t="n">
        <v>0</v>
      </c>
      <c r="I512" t="n">
        <v>0</v>
      </c>
      <c r="J512" t="n">
        <v>0</v>
      </c>
      <c r="K512" t="n">
        <v>0</v>
      </c>
      <c r="L512" t="n">
        <v>0</v>
      </c>
      <c r="M512" t="n">
        <v>0</v>
      </c>
      <c r="N512" t="n">
        <v>0</v>
      </c>
      <c r="O512" t="n">
        <v>0</v>
      </c>
      <c r="P512" t="n">
        <v>0</v>
      </c>
      <c r="Q512" t="n">
        <v>0</v>
      </c>
      <c r="R512" s="2" t="inlineStr"/>
    </row>
    <row r="513" ht="15" customHeight="1">
      <c r="A513" t="inlineStr">
        <is>
          <t>A 27947-2019</t>
        </is>
      </c>
      <c r="B513" s="1" t="n">
        <v>43620</v>
      </c>
      <c r="C513" s="1" t="n">
        <v>45724</v>
      </c>
      <c r="D513" t="inlineStr">
        <is>
          <t>VÄSTMANLANDS LÄN</t>
        </is>
      </c>
      <c r="E513" t="inlineStr">
        <is>
          <t>HALLSTAHAMMAR</t>
        </is>
      </c>
      <c r="G513" t="n">
        <v>5.1</v>
      </c>
      <c r="H513" t="n">
        <v>0</v>
      </c>
      <c r="I513" t="n">
        <v>0</v>
      </c>
      <c r="J513" t="n">
        <v>0</v>
      </c>
      <c r="K513" t="n">
        <v>0</v>
      </c>
      <c r="L513" t="n">
        <v>0</v>
      </c>
      <c r="M513" t="n">
        <v>0</v>
      </c>
      <c r="N513" t="n">
        <v>0</v>
      </c>
      <c r="O513" t="n">
        <v>0</v>
      </c>
      <c r="P513" t="n">
        <v>0</v>
      </c>
      <c r="Q513" t="n">
        <v>0</v>
      </c>
      <c r="R513" s="2" t="inlineStr"/>
    </row>
    <row r="514" ht="15" customHeight="1">
      <c r="A514" t="inlineStr">
        <is>
          <t>A 27832-2019</t>
        </is>
      </c>
      <c r="B514" s="1" t="n">
        <v>43620</v>
      </c>
      <c r="C514" s="1" t="n">
        <v>45724</v>
      </c>
      <c r="D514" t="inlineStr">
        <is>
          <t>VÄSTMANLANDS LÄN</t>
        </is>
      </c>
      <c r="E514" t="inlineStr">
        <is>
          <t>SKINNSKATTEBERG</t>
        </is>
      </c>
      <c r="F514" t="inlineStr">
        <is>
          <t>Sveaskog</t>
        </is>
      </c>
      <c r="G514" t="n">
        <v>1.7</v>
      </c>
      <c r="H514" t="n">
        <v>0</v>
      </c>
      <c r="I514" t="n">
        <v>0</v>
      </c>
      <c r="J514" t="n">
        <v>0</v>
      </c>
      <c r="K514" t="n">
        <v>0</v>
      </c>
      <c r="L514" t="n">
        <v>0</v>
      </c>
      <c r="M514" t="n">
        <v>0</v>
      </c>
      <c r="N514" t="n">
        <v>0</v>
      </c>
      <c r="O514" t="n">
        <v>0</v>
      </c>
      <c r="P514" t="n">
        <v>0</v>
      </c>
      <c r="Q514" t="n">
        <v>0</v>
      </c>
      <c r="R514" s="2" t="inlineStr"/>
    </row>
    <row r="515" ht="15" customHeight="1">
      <c r="A515" t="inlineStr">
        <is>
          <t>A 28148-2019</t>
        </is>
      </c>
      <c r="B515" s="1" t="n">
        <v>43621</v>
      </c>
      <c r="C515" s="1" t="n">
        <v>45724</v>
      </c>
      <c r="D515" t="inlineStr">
        <is>
          <t>VÄSTMANLANDS LÄN</t>
        </is>
      </c>
      <c r="E515" t="inlineStr">
        <is>
          <t>HALLSTAHAMMAR</t>
        </is>
      </c>
      <c r="F515" t="inlineStr">
        <is>
          <t>Allmännings- och besparingsskogar</t>
        </is>
      </c>
      <c r="G515" t="n">
        <v>0.6</v>
      </c>
      <c r="H515" t="n">
        <v>0</v>
      </c>
      <c r="I515" t="n">
        <v>0</v>
      </c>
      <c r="J515" t="n">
        <v>0</v>
      </c>
      <c r="K515" t="n">
        <v>0</v>
      </c>
      <c r="L515" t="n">
        <v>0</v>
      </c>
      <c r="M515" t="n">
        <v>0</v>
      </c>
      <c r="N515" t="n">
        <v>0</v>
      </c>
      <c r="O515" t="n">
        <v>0</v>
      </c>
      <c r="P515" t="n">
        <v>0</v>
      </c>
      <c r="Q515" t="n">
        <v>0</v>
      </c>
      <c r="R515" s="2" t="inlineStr"/>
    </row>
    <row r="516" ht="15" customHeight="1">
      <c r="A516" t="inlineStr">
        <is>
          <t>A 28170-2019</t>
        </is>
      </c>
      <c r="B516" s="1" t="n">
        <v>43621</v>
      </c>
      <c r="C516" s="1" t="n">
        <v>45724</v>
      </c>
      <c r="D516" t="inlineStr">
        <is>
          <t>VÄSTMANLANDS LÄN</t>
        </is>
      </c>
      <c r="E516" t="inlineStr">
        <is>
          <t>NORBERG</t>
        </is>
      </c>
      <c r="F516" t="inlineStr">
        <is>
          <t>Sveaskog</t>
        </is>
      </c>
      <c r="G516" t="n">
        <v>3.6</v>
      </c>
      <c r="H516" t="n">
        <v>0</v>
      </c>
      <c r="I516" t="n">
        <v>0</v>
      </c>
      <c r="J516" t="n">
        <v>0</v>
      </c>
      <c r="K516" t="n">
        <v>0</v>
      </c>
      <c r="L516" t="n">
        <v>0</v>
      </c>
      <c r="M516" t="n">
        <v>0</v>
      </c>
      <c r="N516" t="n">
        <v>0</v>
      </c>
      <c r="O516" t="n">
        <v>0</v>
      </c>
      <c r="P516" t="n">
        <v>0</v>
      </c>
      <c r="Q516" t="n">
        <v>0</v>
      </c>
      <c r="R516" s="2" t="inlineStr"/>
    </row>
    <row r="517" ht="15" customHeight="1">
      <c r="A517" t="inlineStr">
        <is>
          <t>A 28132-2019</t>
        </is>
      </c>
      <c r="B517" s="1" t="n">
        <v>43621</v>
      </c>
      <c r="C517" s="1" t="n">
        <v>45724</v>
      </c>
      <c r="D517" t="inlineStr">
        <is>
          <t>VÄSTMANLANDS LÄN</t>
        </is>
      </c>
      <c r="E517" t="inlineStr">
        <is>
          <t>SALA</t>
        </is>
      </c>
      <c r="G517" t="n">
        <v>2.4</v>
      </c>
      <c r="H517" t="n">
        <v>0</v>
      </c>
      <c r="I517" t="n">
        <v>0</v>
      </c>
      <c r="J517" t="n">
        <v>0</v>
      </c>
      <c r="K517" t="n">
        <v>0</v>
      </c>
      <c r="L517" t="n">
        <v>0</v>
      </c>
      <c r="M517" t="n">
        <v>0</v>
      </c>
      <c r="N517" t="n">
        <v>0</v>
      </c>
      <c r="O517" t="n">
        <v>0</v>
      </c>
      <c r="P517" t="n">
        <v>0</v>
      </c>
      <c r="Q517" t="n">
        <v>0</v>
      </c>
      <c r="R517" s="2" t="inlineStr"/>
    </row>
    <row r="518" ht="15" customHeight="1">
      <c r="A518" t="inlineStr">
        <is>
          <t>A 28143-2019</t>
        </is>
      </c>
      <c r="B518" s="1" t="n">
        <v>43621</v>
      </c>
      <c r="C518" s="1" t="n">
        <v>45724</v>
      </c>
      <c r="D518" t="inlineStr">
        <is>
          <t>VÄSTMANLANDS LÄN</t>
        </is>
      </c>
      <c r="E518" t="inlineStr">
        <is>
          <t>SALA</t>
        </is>
      </c>
      <c r="G518" t="n">
        <v>2.3</v>
      </c>
      <c r="H518" t="n">
        <v>0</v>
      </c>
      <c r="I518" t="n">
        <v>0</v>
      </c>
      <c r="J518" t="n">
        <v>0</v>
      </c>
      <c r="K518" t="n">
        <v>0</v>
      </c>
      <c r="L518" t="n">
        <v>0</v>
      </c>
      <c r="M518" t="n">
        <v>0</v>
      </c>
      <c r="N518" t="n">
        <v>0</v>
      </c>
      <c r="O518" t="n">
        <v>0</v>
      </c>
      <c r="P518" t="n">
        <v>0</v>
      </c>
      <c r="Q518" t="n">
        <v>0</v>
      </c>
      <c r="R518" s="2" t="inlineStr"/>
    </row>
    <row r="519" ht="15" customHeight="1">
      <c r="A519" t="inlineStr">
        <is>
          <t>A 28162-2019</t>
        </is>
      </c>
      <c r="B519" s="1" t="n">
        <v>43621</v>
      </c>
      <c r="C519" s="1" t="n">
        <v>45724</v>
      </c>
      <c r="D519" t="inlineStr">
        <is>
          <t>VÄSTMANLANDS LÄN</t>
        </is>
      </c>
      <c r="E519" t="inlineStr">
        <is>
          <t>SALA</t>
        </is>
      </c>
      <c r="G519" t="n">
        <v>0.4</v>
      </c>
      <c r="H519" t="n">
        <v>0</v>
      </c>
      <c r="I519" t="n">
        <v>0</v>
      </c>
      <c r="J519" t="n">
        <v>0</v>
      </c>
      <c r="K519" t="n">
        <v>0</v>
      </c>
      <c r="L519" t="n">
        <v>0</v>
      </c>
      <c r="M519" t="n">
        <v>0</v>
      </c>
      <c r="N519" t="n">
        <v>0</v>
      </c>
      <c r="O519" t="n">
        <v>0</v>
      </c>
      <c r="P519" t="n">
        <v>0</v>
      </c>
      <c r="Q519" t="n">
        <v>0</v>
      </c>
      <c r="R519" s="2" t="inlineStr"/>
    </row>
    <row r="520" ht="15" customHeight="1">
      <c r="A520" t="inlineStr">
        <is>
          <t>A 28189-2019</t>
        </is>
      </c>
      <c r="B520" s="1" t="n">
        <v>43621</v>
      </c>
      <c r="C520" s="1" t="n">
        <v>45724</v>
      </c>
      <c r="D520" t="inlineStr">
        <is>
          <t>VÄSTMANLANDS LÄN</t>
        </is>
      </c>
      <c r="E520" t="inlineStr">
        <is>
          <t>KÖPING</t>
        </is>
      </c>
      <c r="G520" t="n">
        <v>1.8</v>
      </c>
      <c r="H520" t="n">
        <v>0</v>
      </c>
      <c r="I520" t="n">
        <v>0</v>
      </c>
      <c r="J520" t="n">
        <v>0</v>
      </c>
      <c r="K520" t="n">
        <v>0</v>
      </c>
      <c r="L520" t="n">
        <v>0</v>
      </c>
      <c r="M520" t="n">
        <v>0</v>
      </c>
      <c r="N520" t="n">
        <v>0</v>
      </c>
      <c r="O520" t="n">
        <v>0</v>
      </c>
      <c r="P520" t="n">
        <v>0</v>
      </c>
      <c r="Q520" t="n">
        <v>0</v>
      </c>
      <c r="R520" s="2" t="inlineStr"/>
    </row>
    <row r="521" ht="15" customHeight="1">
      <c r="A521" t="inlineStr">
        <is>
          <t>A 28136-2019</t>
        </is>
      </c>
      <c r="B521" s="1" t="n">
        <v>43621</v>
      </c>
      <c r="C521" s="1" t="n">
        <v>45724</v>
      </c>
      <c r="D521" t="inlineStr">
        <is>
          <t>VÄSTMANLANDS LÄN</t>
        </is>
      </c>
      <c r="E521" t="inlineStr">
        <is>
          <t>NORBERG</t>
        </is>
      </c>
      <c r="F521" t="inlineStr">
        <is>
          <t>Sveaskog</t>
        </is>
      </c>
      <c r="G521" t="n">
        <v>2.2</v>
      </c>
      <c r="H521" t="n">
        <v>0</v>
      </c>
      <c r="I521" t="n">
        <v>0</v>
      </c>
      <c r="J521" t="n">
        <v>0</v>
      </c>
      <c r="K521" t="n">
        <v>0</v>
      </c>
      <c r="L521" t="n">
        <v>0</v>
      </c>
      <c r="M521" t="n">
        <v>0</v>
      </c>
      <c r="N521" t="n">
        <v>0</v>
      </c>
      <c r="O521" t="n">
        <v>0</v>
      </c>
      <c r="P521" t="n">
        <v>0</v>
      </c>
      <c r="Q521" t="n">
        <v>0</v>
      </c>
      <c r="R521" s="2" t="inlineStr"/>
    </row>
    <row r="522" ht="15" customHeight="1">
      <c r="A522" t="inlineStr">
        <is>
          <t>A 28297-2019</t>
        </is>
      </c>
      <c r="B522" s="1" t="n">
        <v>43623</v>
      </c>
      <c r="C522" s="1" t="n">
        <v>45724</v>
      </c>
      <c r="D522" t="inlineStr">
        <is>
          <t>VÄSTMANLANDS LÄN</t>
        </is>
      </c>
      <c r="E522" t="inlineStr">
        <is>
          <t>HALLSTAHAMMAR</t>
        </is>
      </c>
      <c r="F522" t="inlineStr">
        <is>
          <t>Allmännings- och besparingsskogar</t>
        </is>
      </c>
      <c r="G522" t="n">
        <v>7.5</v>
      </c>
      <c r="H522" t="n">
        <v>0</v>
      </c>
      <c r="I522" t="n">
        <v>0</v>
      </c>
      <c r="J522" t="n">
        <v>0</v>
      </c>
      <c r="K522" t="n">
        <v>0</v>
      </c>
      <c r="L522" t="n">
        <v>0</v>
      </c>
      <c r="M522" t="n">
        <v>0</v>
      </c>
      <c r="N522" t="n">
        <v>0</v>
      </c>
      <c r="O522" t="n">
        <v>0</v>
      </c>
      <c r="P522" t="n">
        <v>0</v>
      </c>
      <c r="Q522" t="n">
        <v>0</v>
      </c>
      <c r="R522" s="2" t="inlineStr"/>
    </row>
    <row r="523" ht="15" customHeight="1">
      <c r="A523" t="inlineStr">
        <is>
          <t>A 28274-2019</t>
        </is>
      </c>
      <c r="B523" s="1" t="n">
        <v>43623</v>
      </c>
      <c r="C523" s="1" t="n">
        <v>45724</v>
      </c>
      <c r="D523" t="inlineStr">
        <is>
          <t>VÄSTMANLANDS LÄN</t>
        </is>
      </c>
      <c r="E523" t="inlineStr">
        <is>
          <t>SURAHAMMAR</t>
        </is>
      </c>
      <c r="F523" t="inlineStr">
        <is>
          <t>Allmännings- och besparingsskogar</t>
        </is>
      </c>
      <c r="G523" t="n">
        <v>0.7</v>
      </c>
      <c r="H523" t="n">
        <v>0</v>
      </c>
      <c r="I523" t="n">
        <v>0</v>
      </c>
      <c r="J523" t="n">
        <v>0</v>
      </c>
      <c r="K523" t="n">
        <v>0</v>
      </c>
      <c r="L523" t="n">
        <v>0</v>
      </c>
      <c r="M523" t="n">
        <v>0</v>
      </c>
      <c r="N523" t="n">
        <v>0</v>
      </c>
      <c r="O523" t="n">
        <v>0</v>
      </c>
      <c r="P523" t="n">
        <v>0</v>
      </c>
      <c r="Q523" t="n">
        <v>0</v>
      </c>
      <c r="R523" s="2" t="inlineStr"/>
    </row>
    <row r="524" ht="15" customHeight="1">
      <c r="A524" t="inlineStr">
        <is>
          <t>A 28365-2019</t>
        </is>
      </c>
      <c r="B524" s="1" t="n">
        <v>43625</v>
      </c>
      <c r="C524" s="1" t="n">
        <v>45724</v>
      </c>
      <c r="D524" t="inlineStr">
        <is>
          <t>VÄSTMANLANDS LÄN</t>
        </is>
      </c>
      <c r="E524" t="inlineStr">
        <is>
          <t>ARBOGA</t>
        </is>
      </c>
      <c r="G524" t="n">
        <v>2.7</v>
      </c>
      <c r="H524" t="n">
        <v>0</v>
      </c>
      <c r="I524" t="n">
        <v>0</v>
      </c>
      <c r="J524" t="n">
        <v>0</v>
      </c>
      <c r="K524" t="n">
        <v>0</v>
      </c>
      <c r="L524" t="n">
        <v>0</v>
      </c>
      <c r="M524" t="n">
        <v>0</v>
      </c>
      <c r="N524" t="n">
        <v>0</v>
      </c>
      <c r="O524" t="n">
        <v>0</v>
      </c>
      <c r="P524" t="n">
        <v>0</v>
      </c>
      <c r="Q524" t="n">
        <v>0</v>
      </c>
      <c r="R524" s="2" t="inlineStr"/>
    </row>
    <row r="525" ht="15" customHeight="1">
      <c r="A525" t="inlineStr">
        <is>
          <t>A 28359-2019</t>
        </is>
      </c>
      <c r="B525" s="1" t="n">
        <v>43625</v>
      </c>
      <c r="C525" s="1" t="n">
        <v>45724</v>
      </c>
      <c r="D525" t="inlineStr">
        <is>
          <t>VÄSTMANLANDS LÄN</t>
        </is>
      </c>
      <c r="E525" t="inlineStr">
        <is>
          <t>KÖPING</t>
        </is>
      </c>
      <c r="F525" t="inlineStr">
        <is>
          <t>Sveaskog</t>
        </is>
      </c>
      <c r="G525" t="n">
        <v>1.1</v>
      </c>
      <c r="H525" t="n">
        <v>0</v>
      </c>
      <c r="I525" t="n">
        <v>0</v>
      </c>
      <c r="J525" t="n">
        <v>0</v>
      </c>
      <c r="K525" t="n">
        <v>0</v>
      </c>
      <c r="L525" t="n">
        <v>0</v>
      </c>
      <c r="M525" t="n">
        <v>0</v>
      </c>
      <c r="N525" t="n">
        <v>0</v>
      </c>
      <c r="O525" t="n">
        <v>0</v>
      </c>
      <c r="P525" t="n">
        <v>0</v>
      </c>
      <c r="Q525" t="n">
        <v>0</v>
      </c>
      <c r="R525" s="2" t="inlineStr"/>
    </row>
    <row r="526" ht="15" customHeight="1">
      <c r="A526" t="inlineStr">
        <is>
          <t>A 29023-2019</t>
        </is>
      </c>
      <c r="B526" s="1" t="n">
        <v>43628</v>
      </c>
      <c r="C526" s="1" t="n">
        <v>45724</v>
      </c>
      <c r="D526" t="inlineStr">
        <is>
          <t>VÄSTMANLANDS LÄN</t>
        </is>
      </c>
      <c r="E526" t="inlineStr">
        <is>
          <t>SALA</t>
        </is>
      </c>
      <c r="G526" t="n">
        <v>0.4</v>
      </c>
      <c r="H526" t="n">
        <v>0</v>
      </c>
      <c r="I526" t="n">
        <v>0</v>
      </c>
      <c r="J526" t="n">
        <v>0</v>
      </c>
      <c r="K526" t="n">
        <v>0</v>
      </c>
      <c r="L526" t="n">
        <v>0</v>
      </c>
      <c r="M526" t="n">
        <v>0</v>
      </c>
      <c r="N526" t="n">
        <v>0</v>
      </c>
      <c r="O526" t="n">
        <v>0</v>
      </c>
      <c r="P526" t="n">
        <v>0</v>
      </c>
      <c r="Q526" t="n">
        <v>0</v>
      </c>
      <c r="R526" s="2" t="inlineStr"/>
    </row>
    <row r="527" ht="15" customHeight="1">
      <c r="A527" t="inlineStr">
        <is>
          <t>A 29402-2019</t>
        </is>
      </c>
      <c r="B527" s="1" t="n">
        <v>43629</v>
      </c>
      <c r="C527" s="1" t="n">
        <v>45724</v>
      </c>
      <c r="D527" t="inlineStr">
        <is>
          <t>VÄSTMANLANDS LÄN</t>
        </is>
      </c>
      <c r="E527" t="inlineStr">
        <is>
          <t>HALLSTAHAMMAR</t>
        </is>
      </c>
      <c r="F527" t="inlineStr">
        <is>
          <t>Kommuner</t>
        </is>
      </c>
      <c r="G527" t="n">
        <v>4.6</v>
      </c>
      <c r="H527" t="n">
        <v>0</v>
      </c>
      <c r="I527" t="n">
        <v>0</v>
      </c>
      <c r="J527" t="n">
        <v>0</v>
      </c>
      <c r="K527" t="n">
        <v>0</v>
      </c>
      <c r="L527" t="n">
        <v>0</v>
      </c>
      <c r="M527" t="n">
        <v>0</v>
      </c>
      <c r="N527" t="n">
        <v>0</v>
      </c>
      <c r="O527" t="n">
        <v>0</v>
      </c>
      <c r="P527" t="n">
        <v>0</v>
      </c>
      <c r="Q527" t="n">
        <v>0</v>
      </c>
      <c r="R527" s="2" t="inlineStr"/>
    </row>
    <row r="528" ht="15" customHeight="1">
      <c r="A528" t="inlineStr">
        <is>
          <t>A 29418-2019</t>
        </is>
      </c>
      <c r="B528" s="1" t="n">
        <v>43629</v>
      </c>
      <c r="C528" s="1" t="n">
        <v>45724</v>
      </c>
      <c r="D528" t="inlineStr">
        <is>
          <t>VÄSTMANLANDS LÄN</t>
        </is>
      </c>
      <c r="E528" t="inlineStr">
        <is>
          <t>SKINNSKATTEBERG</t>
        </is>
      </c>
      <c r="F528" t="inlineStr">
        <is>
          <t>Sveaskog</t>
        </is>
      </c>
      <c r="G528" t="n">
        <v>1.9</v>
      </c>
      <c r="H528" t="n">
        <v>0</v>
      </c>
      <c r="I528" t="n">
        <v>0</v>
      </c>
      <c r="J528" t="n">
        <v>0</v>
      </c>
      <c r="K528" t="n">
        <v>0</v>
      </c>
      <c r="L528" t="n">
        <v>0</v>
      </c>
      <c r="M528" t="n">
        <v>0</v>
      </c>
      <c r="N528" t="n">
        <v>0</v>
      </c>
      <c r="O528" t="n">
        <v>0</v>
      </c>
      <c r="P528" t="n">
        <v>0</v>
      </c>
      <c r="Q528" t="n">
        <v>0</v>
      </c>
      <c r="R528" s="2" t="inlineStr"/>
    </row>
    <row r="529" ht="15" customHeight="1">
      <c r="A529" t="inlineStr">
        <is>
          <t>A 29832-2019</t>
        </is>
      </c>
      <c r="B529" s="1" t="n">
        <v>43629</v>
      </c>
      <c r="C529" s="1" t="n">
        <v>45724</v>
      </c>
      <c r="D529" t="inlineStr">
        <is>
          <t>VÄSTMANLANDS LÄN</t>
        </is>
      </c>
      <c r="E529" t="inlineStr">
        <is>
          <t>NORBERG</t>
        </is>
      </c>
      <c r="G529" t="n">
        <v>1.5</v>
      </c>
      <c r="H529" t="n">
        <v>0</v>
      </c>
      <c r="I529" t="n">
        <v>0</v>
      </c>
      <c r="J529" t="n">
        <v>0</v>
      </c>
      <c r="K529" t="n">
        <v>0</v>
      </c>
      <c r="L529" t="n">
        <v>0</v>
      </c>
      <c r="M529" t="n">
        <v>0</v>
      </c>
      <c r="N529" t="n">
        <v>0</v>
      </c>
      <c r="O529" t="n">
        <v>0</v>
      </c>
      <c r="P529" t="n">
        <v>0</v>
      </c>
      <c r="Q529" t="n">
        <v>0</v>
      </c>
      <c r="R529" s="2" t="inlineStr"/>
    </row>
    <row r="530" ht="15" customHeight="1">
      <c r="A530" t="inlineStr">
        <is>
          <t>A 29331-2019</t>
        </is>
      </c>
      <c r="B530" s="1" t="n">
        <v>43629</v>
      </c>
      <c r="C530" s="1" t="n">
        <v>45724</v>
      </c>
      <c r="D530" t="inlineStr">
        <is>
          <t>VÄSTMANLANDS LÄN</t>
        </is>
      </c>
      <c r="E530" t="inlineStr">
        <is>
          <t>SALA</t>
        </is>
      </c>
      <c r="G530" t="n">
        <v>5</v>
      </c>
      <c r="H530" t="n">
        <v>0</v>
      </c>
      <c r="I530" t="n">
        <v>0</v>
      </c>
      <c r="J530" t="n">
        <v>0</v>
      </c>
      <c r="K530" t="n">
        <v>0</v>
      </c>
      <c r="L530" t="n">
        <v>0</v>
      </c>
      <c r="M530" t="n">
        <v>0</v>
      </c>
      <c r="N530" t="n">
        <v>0</v>
      </c>
      <c r="O530" t="n">
        <v>0</v>
      </c>
      <c r="P530" t="n">
        <v>0</v>
      </c>
      <c r="Q530" t="n">
        <v>0</v>
      </c>
      <c r="R530" s="2" t="inlineStr"/>
    </row>
    <row r="531" ht="15" customHeight="1">
      <c r="A531" t="inlineStr">
        <is>
          <t>A 29523-2019</t>
        </is>
      </c>
      <c r="B531" s="1" t="n">
        <v>43630</v>
      </c>
      <c r="C531" s="1" t="n">
        <v>45724</v>
      </c>
      <c r="D531" t="inlineStr">
        <is>
          <t>VÄSTMANLANDS LÄN</t>
        </is>
      </c>
      <c r="E531" t="inlineStr">
        <is>
          <t>SURAHAMMAR</t>
        </is>
      </c>
      <c r="F531" t="inlineStr">
        <is>
          <t>Sveaskog</t>
        </is>
      </c>
      <c r="G531" t="n">
        <v>0.8</v>
      </c>
      <c r="H531" t="n">
        <v>0</v>
      </c>
      <c r="I531" t="n">
        <v>0</v>
      </c>
      <c r="J531" t="n">
        <v>0</v>
      </c>
      <c r="K531" t="n">
        <v>0</v>
      </c>
      <c r="L531" t="n">
        <v>0</v>
      </c>
      <c r="M531" t="n">
        <v>0</v>
      </c>
      <c r="N531" t="n">
        <v>0</v>
      </c>
      <c r="O531" t="n">
        <v>0</v>
      </c>
      <c r="P531" t="n">
        <v>0</v>
      </c>
      <c r="Q531" t="n">
        <v>0</v>
      </c>
      <c r="R531" s="2" t="inlineStr"/>
    </row>
    <row r="532" ht="15" customHeight="1">
      <c r="A532" t="inlineStr">
        <is>
          <t>A 29961-2019</t>
        </is>
      </c>
      <c r="B532" s="1" t="n">
        <v>43633</v>
      </c>
      <c r="C532" s="1" t="n">
        <v>45724</v>
      </c>
      <c r="D532" t="inlineStr">
        <is>
          <t>VÄSTMANLANDS LÄN</t>
        </is>
      </c>
      <c r="E532" t="inlineStr">
        <is>
          <t>NORBERG</t>
        </is>
      </c>
      <c r="F532" t="inlineStr">
        <is>
          <t>Sveaskog</t>
        </is>
      </c>
      <c r="G532" t="n">
        <v>3.9</v>
      </c>
      <c r="H532" t="n">
        <v>0</v>
      </c>
      <c r="I532" t="n">
        <v>0</v>
      </c>
      <c r="J532" t="n">
        <v>0</v>
      </c>
      <c r="K532" t="n">
        <v>0</v>
      </c>
      <c r="L532" t="n">
        <v>0</v>
      </c>
      <c r="M532" t="n">
        <v>0</v>
      </c>
      <c r="N532" t="n">
        <v>0</v>
      </c>
      <c r="O532" t="n">
        <v>0</v>
      </c>
      <c r="P532" t="n">
        <v>0</v>
      </c>
      <c r="Q532" t="n">
        <v>0</v>
      </c>
      <c r="R532" s="2" t="inlineStr"/>
    </row>
    <row r="533" ht="15" customHeight="1">
      <c r="A533" t="inlineStr">
        <is>
          <t>A 30161-2019</t>
        </is>
      </c>
      <c r="B533" s="1" t="n">
        <v>43634</v>
      </c>
      <c r="C533" s="1" t="n">
        <v>45724</v>
      </c>
      <c r="D533" t="inlineStr">
        <is>
          <t>VÄSTMANLANDS LÄN</t>
        </is>
      </c>
      <c r="E533" t="inlineStr">
        <is>
          <t>SKINNSKATTEBERG</t>
        </is>
      </c>
      <c r="F533" t="inlineStr">
        <is>
          <t>Sveaskog</t>
        </is>
      </c>
      <c r="G533" t="n">
        <v>0.7</v>
      </c>
      <c r="H533" t="n">
        <v>0</v>
      </c>
      <c r="I533" t="n">
        <v>0</v>
      </c>
      <c r="J533" t="n">
        <v>0</v>
      </c>
      <c r="K533" t="n">
        <v>0</v>
      </c>
      <c r="L533" t="n">
        <v>0</v>
      </c>
      <c r="M533" t="n">
        <v>0</v>
      </c>
      <c r="N533" t="n">
        <v>0</v>
      </c>
      <c r="O533" t="n">
        <v>0</v>
      </c>
      <c r="P533" t="n">
        <v>0</v>
      </c>
      <c r="Q533" t="n">
        <v>0</v>
      </c>
      <c r="R533" s="2" t="inlineStr"/>
    </row>
    <row r="534" ht="15" customHeight="1">
      <c r="A534" t="inlineStr">
        <is>
          <t>A 31225-2019</t>
        </is>
      </c>
      <c r="B534" s="1" t="n">
        <v>43635</v>
      </c>
      <c r="C534" s="1" t="n">
        <v>45724</v>
      </c>
      <c r="D534" t="inlineStr">
        <is>
          <t>VÄSTMANLANDS LÄN</t>
        </is>
      </c>
      <c r="E534" t="inlineStr">
        <is>
          <t>SALA</t>
        </is>
      </c>
      <c r="G534" t="n">
        <v>1.5</v>
      </c>
      <c r="H534" t="n">
        <v>0</v>
      </c>
      <c r="I534" t="n">
        <v>0</v>
      </c>
      <c r="J534" t="n">
        <v>0</v>
      </c>
      <c r="K534" t="n">
        <v>0</v>
      </c>
      <c r="L534" t="n">
        <v>0</v>
      </c>
      <c r="M534" t="n">
        <v>0</v>
      </c>
      <c r="N534" t="n">
        <v>0</v>
      </c>
      <c r="O534" t="n">
        <v>0</v>
      </c>
      <c r="P534" t="n">
        <v>0</v>
      </c>
      <c r="Q534" t="n">
        <v>0</v>
      </c>
      <c r="R534" s="2" t="inlineStr"/>
    </row>
    <row r="535" ht="15" customHeight="1">
      <c r="A535" t="inlineStr">
        <is>
          <t>A 31029-2019</t>
        </is>
      </c>
      <c r="B535" s="1" t="n">
        <v>43635</v>
      </c>
      <c r="C535" s="1" t="n">
        <v>45724</v>
      </c>
      <c r="D535" t="inlineStr">
        <is>
          <t>VÄSTMANLANDS LÄN</t>
        </is>
      </c>
      <c r="E535" t="inlineStr">
        <is>
          <t>NORBERG</t>
        </is>
      </c>
      <c r="G535" t="n">
        <v>0.5</v>
      </c>
      <c r="H535" t="n">
        <v>0</v>
      </c>
      <c r="I535" t="n">
        <v>0</v>
      </c>
      <c r="J535" t="n">
        <v>0</v>
      </c>
      <c r="K535" t="n">
        <v>0</v>
      </c>
      <c r="L535" t="n">
        <v>0</v>
      </c>
      <c r="M535" t="n">
        <v>0</v>
      </c>
      <c r="N535" t="n">
        <v>0</v>
      </c>
      <c r="O535" t="n">
        <v>0</v>
      </c>
      <c r="P535" t="n">
        <v>0</v>
      </c>
      <c r="Q535" t="n">
        <v>0</v>
      </c>
      <c r="R535" s="2" t="inlineStr"/>
    </row>
    <row r="536" ht="15" customHeight="1">
      <c r="A536" t="inlineStr">
        <is>
          <t>A 30745-2019</t>
        </is>
      </c>
      <c r="B536" s="1" t="n">
        <v>43636</v>
      </c>
      <c r="C536" s="1" t="n">
        <v>45724</v>
      </c>
      <c r="D536" t="inlineStr">
        <is>
          <t>VÄSTMANLANDS LÄN</t>
        </is>
      </c>
      <c r="E536" t="inlineStr">
        <is>
          <t>VÄSTERÅS</t>
        </is>
      </c>
      <c r="G536" t="n">
        <v>13.6</v>
      </c>
      <c r="H536" t="n">
        <v>0</v>
      </c>
      <c r="I536" t="n">
        <v>0</v>
      </c>
      <c r="J536" t="n">
        <v>0</v>
      </c>
      <c r="K536" t="n">
        <v>0</v>
      </c>
      <c r="L536" t="n">
        <v>0</v>
      </c>
      <c r="M536" t="n">
        <v>0</v>
      </c>
      <c r="N536" t="n">
        <v>0</v>
      </c>
      <c r="O536" t="n">
        <v>0</v>
      </c>
      <c r="P536" t="n">
        <v>0</v>
      </c>
      <c r="Q536" t="n">
        <v>0</v>
      </c>
      <c r="R536" s="2" t="inlineStr"/>
    </row>
    <row r="537" ht="15" customHeight="1">
      <c r="A537" t="inlineStr">
        <is>
          <t>A 30826-2019</t>
        </is>
      </c>
      <c r="B537" s="1" t="n">
        <v>43636</v>
      </c>
      <c r="C537" s="1" t="n">
        <v>45724</v>
      </c>
      <c r="D537" t="inlineStr">
        <is>
          <t>VÄSTMANLANDS LÄN</t>
        </is>
      </c>
      <c r="E537" t="inlineStr">
        <is>
          <t>VÄSTERÅS</t>
        </is>
      </c>
      <c r="G537" t="n">
        <v>1.8</v>
      </c>
      <c r="H537" t="n">
        <v>0</v>
      </c>
      <c r="I537" t="n">
        <v>0</v>
      </c>
      <c r="J537" t="n">
        <v>0</v>
      </c>
      <c r="K537" t="n">
        <v>0</v>
      </c>
      <c r="L537" t="n">
        <v>0</v>
      </c>
      <c r="M537" t="n">
        <v>0</v>
      </c>
      <c r="N537" t="n">
        <v>0</v>
      </c>
      <c r="O537" t="n">
        <v>0</v>
      </c>
      <c r="P537" t="n">
        <v>0</v>
      </c>
      <c r="Q537" t="n">
        <v>0</v>
      </c>
      <c r="R537" s="2" t="inlineStr"/>
    </row>
    <row r="538" ht="15" customHeight="1">
      <c r="A538" t="inlineStr">
        <is>
          <t>A 30974-2019</t>
        </is>
      </c>
      <c r="B538" s="1" t="n">
        <v>43639</v>
      </c>
      <c r="C538" s="1" t="n">
        <v>45724</v>
      </c>
      <c r="D538" t="inlineStr">
        <is>
          <t>VÄSTMANLANDS LÄN</t>
        </is>
      </c>
      <c r="E538" t="inlineStr">
        <is>
          <t>SALA</t>
        </is>
      </c>
      <c r="G538" t="n">
        <v>3.1</v>
      </c>
      <c r="H538" t="n">
        <v>0</v>
      </c>
      <c r="I538" t="n">
        <v>0</v>
      </c>
      <c r="J538" t="n">
        <v>0</v>
      </c>
      <c r="K538" t="n">
        <v>0</v>
      </c>
      <c r="L538" t="n">
        <v>0</v>
      </c>
      <c r="M538" t="n">
        <v>0</v>
      </c>
      <c r="N538" t="n">
        <v>0</v>
      </c>
      <c r="O538" t="n">
        <v>0</v>
      </c>
      <c r="P538" t="n">
        <v>0</v>
      </c>
      <c r="Q538" t="n">
        <v>0</v>
      </c>
      <c r="R538" s="2" t="inlineStr"/>
    </row>
    <row r="539" ht="15" customHeight="1">
      <c r="A539" t="inlineStr">
        <is>
          <t>A 31008-2019</t>
        </is>
      </c>
      <c r="B539" s="1" t="n">
        <v>43640</v>
      </c>
      <c r="C539" s="1" t="n">
        <v>45724</v>
      </c>
      <c r="D539" t="inlineStr">
        <is>
          <t>VÄSTMANLANDS LÄN</t>
        </is>
      </c>
      <c r="E539" t="inlineStr">
        <is>
          <t>SURAHAMMAR</t>
        </is>
      </c>
      <c r="F539" t="inlineStr">
        <is>
          <t>Sveaskog</t>
        </is>
      </c>
      <c r="G539" t="n">
        <v>0.4</v>
      </c>
      <c r="H539" t="n">
        <v>0</v>
      </c>
      <c r="I539" t="n">
        <v>0</v>
      </c>
      <c r="J539" t="n">
        <v>0</v>
      </c>
      <c r="K539" t="n">
        <v>0</v>
      </c>
      <c r="L539" t="n">
        <v>0</v>
      </c>
      <c r="M539" t="n">
        <v>0</v>
      </c>
      <c r="N539" t="n">
        <v>0</v>
      </c>
      <c r="O539" t="n">
        <v>0</v>
      </c>
      <c r="P539" t="n">
        <v>0</v>
      </c>
      <c r="Q539" t="n">
        <v>0</v>
      </c>
      <c r="R539" s="2" t="inlineStr"/>
    </row>
    <row r="540" ht="15" customHeight="1">
      <c r="A540" t="inlineStr">
        <is>
          <t>A 31641-2019</t>
        </is>
      </c>
      <c r="B540" s="1" t="n">
        <v>43640</v>
      </c>
      <c r="C540" s="1" t="n">
        <v>45724</v>
      </c>
      <c r="D540" t="inlineStr">
        <is>
          <t>VÄSTMANLANDS LÄN</t>
        </is>
      </c>
      <c r="E540" t="inlineStr">
        <is>
          <t>KÖPING</t>
        </is>
      </c>
      <c r="G540" t="n">
        <v>1.6</v>
      </c>
      <c r="H540" t="n">
        <v>0</v>
      </c>
      <c r="I540" t="n">
        <v>0</v>
      </c>
      <c r="J540" t="n">
        <v>0</v>
      </c>
      <c r="K540" t="n">
        <v>0</v>
      </c>
      <c r="L540" t="n">
        <v>0</v>
      </c>
      <c r="M540" t="n">
        <v>0</v>
      </c>
      <c r="N540" t="n">
        <v>0</v>
      </c>
      <c r="O540" t="n">
        <v>0</v>
      </c>
      <c r="P540" t="n">
        <v>0</v>
      </c>
      <c r="Q540" t="n">
        <v>0</v>
      </c>
      <c r="R540" s="2" t="inlineStr"/>
    </row>
    <row r="541" ht="15" customHeight="1">
      <c r="A541" t="inlineStr">
        <is>
          <t>A 31725-2019</t>
        </is>
      </c>
      <c r="B541" s="1" t="n">
        <v>43642</v>
      </c>
      <c r="C541" s="1" t="n">
        <v>45724</v>
      </c>
      <c r="D541" t="inlineStr">
        <is>
          <t>VÄSTMANLANDS LÄN</t>
        </is>
      </c>
      <c r="E541" t="inlineStr">
        <is>
          <t>SKINNSKATTEBERG</t>
        </is>
      </c>
      <c r="F541" t="inlineStr">
        <is>
          <t>Sveaskog</t>
        </is>
      </c>
      <c r="G541" t="n">
        <v>1.5</v>
      </c>
      <c r="H541" t="n">
        <v>0</v>
      </c>
      <c r="I541" t="n">
        <v>0</v>
      </c>
      <c r="J541" t="n">
        <v>0</v>
      </c>
      <c r="K541" t="n">
        <v>0</v>
      </c>
      <c r="L541" t="n">
        <v>0</v>
      </c>
      <c r="M541" t="n">
        <v>0</v>
      </c>
      <c r="N541" t="n">
        <v>0</v>
      </c>
      <c r="O541" t="n">
        <v>0</v>
      </c>
      <c r="P541" t="n">
        <v>0</v>
      </c>
      <c r="Q541" t="n">
        <v>0</v>
      </c>
      <c r="R541" s="2" t="inlineStr"/>
    </row>
    <row r="542" ht="15" customHeight="1">
      <c r="A542" t="inlineStr">
        <is>
          <t>A 31721-2019</t>
        </is>
      </c>
      <c r="B542" s="1" t="n">
        <v>43642</v>
      </c>
      <c r="C542" s="1" t="n">
        <v>45724</v>
      </c>
      <c r="D542" t="inlineStr">
        <is>
          <t>VÄSTMANLANDS LÄN</t>
        </is>
      </c>
      <c r="E542" t="inlineStr">
        <is>
          <t>SKINNSKATTEBERG</t>
        </is>
      </c>
      <c r="F542" t="inlineStr">
        <is>
          <t>Sveaskog</t>
        </is>
      </c>
      <c r="G542" t="n">
        <v>1.4</v>
      </c>
      <c r="H542" t="n">
        <v>0</v>
      </c>
      <c r="I542" t="n">
        <v>0</v>
      </c>
      <c r="J542" t="n">
        <v>0</v>
      </c>
      <c r="K542" t="n">
        <v>0</v>
      </c>
      <c r="L542" t="n">
        <v>0</v>
      </c>
      <c r="M542" t="n">
        <v>0</v>
      </c>
      <c r="N542" t="n">
        <v>0</v>
      </c>
      <c r="O542" t="n">
        <v>0</v>
      </c>
      <c r="P542" t="n">
        <v>0</v>
      </c>
      <c r="Q542" t="n">
        <v>0</v>
      </c>
      <c r="R542" s="2" t="inlineStr"/>
    </row>
    <row r="543" ht="15" customHeight="1">
      <c r="A543" t="inlineStr">
        <is>
          <t>A 31748-2019</t>
        </is>
      </c>
      <c r="B543" s="1" t="n">
        <v>43642</v>
      </c>
      <c r="C543" s="1" t="n">
        <v>45724</v>
      </c>
      <c r="D543" t="inlineStr">
        <is>
          <t>VÄSTMANLANDS LÄN</t>
        </is>
      </c>
      <c r="E543" t="inlineStr">
        <is>
          <t>NORBERG</t>
        </is>
      </c>
      <c r="F543" t="inlineStr">
        <is>
          <t>Sveaskog</t>
        </is>
      </c>
      <c r="G543" t="n">
        <v>4</v>
      </c>
      <c r="H543" t="n">
        <v>0</v>
      </c>
      <c r="I543" t="n">
        <v>0</v>
      </c>
      <c r="J543" t="n">
        <v>0</v>
      </c>
      <c r="K543" t="n">
        <v>0</v>
      </c>
      <c r="L543" t="n">
        <v>0</v>
      </c>
      <c r="M543" t="n">
        <v>0</v>
      </c>
      <c r="N543" t="n">
        <v>0</v>
      </c>
      <c r="O543" t="n">
        <v>0</v>
      </c>
      <c r="P543" t="n">
        <v>0</v>
      </c>
      <c r="Q543" t="n">
        <v>0</v>
      </c>
      <c r="R543" s="2" t="inlineStr"/>
    </row>
    <row r="544" ht="15" customHeight="1">
      <c r="A544" t="inlineStr">
        <is>
          <t>A 31643-2019</t>
        </is>
      </c>
      <c r="B544" s="1" t="n">
        <v>43642</v>
      </c>
      <c r="C544" s="1" t="n">
        <v>45724</v>
      </c>
      <c r="D544" t="inlineStr">
        <is>
          <t>VÄSTMANLANDS LÄN</t>
        </is>
      </c>
      <c r="E544" t="inlineStr">
        <is>
          <t>SKINNSKATTEBERG</t>
        </is>
      </c>
      <c r="F544" t="inlineStr">
        <is>
          <t>Sveaskog</t>
        </is>
      </c>
      <c r="G544" t="n">
        <v>2.1</v>
      </c>
      <c r="H544" t="n">
        <v>0</v>
      </c>
      <c r="I544" t="n">
        <v>0</v>
      </c>
      <c r="J544" t="n">
        <v>0</v>
      </c>
      <c r="K544" t="n">
        <v>0</v>
      </c>
      <c r="L544" t="n">
        <v>0</v>
      </c>
      <c r="M544" t="n">
        <v>0</v>
      </c>
      <c r="N544" t="n">
        <v>0</v>
      </c>
      <c r="O544" t="n">
        <v>0</v>
      </c>
      <c r="P544" t="n">
        <v>0</v>
      </c>
      <c r="Q544" t="n">
        <v>0</v>
      </c>
      <c r="R544" s="2" t="inlineStr"/>
    </row>
    <row r="545" ht="15" customHeight="1">
      <c r="A545" t="inlineStr">
        <is>
          <t>A 32245-2019</t>
        </is>
      </c>
      <c r="B545" s="1" t="n">
        <v>43643</v>
      </c>
      <c r="C545" s="1" t="n">
        <v>45724</v>
      </c>
      <c r="D545" t="inlineStr">
        <is>
          <t>VÄSTMANLANDS LÄN</t>
        </is>
      </c>
      <c r="E545" t="inlineStr">
        <is>
          <t>NORBERG</t>
        </is>
      </c>
      <c r="G545" t="n">
        <v>2.6</v>
      </c>
      <c r="H545" t="n">
        <v>0</v>
      </c>
      <c r="I545" t="n">
        <v>0</v>
      </c>
      <c r="J545" t="n">
        <v>0</v>
      </c>
      <c r="K545" t="n">
        <v>0</v>
      </c>
      <c r="L545" t="n">
        <v>0</v>
      </c>
      <c r="M545" t="n">
        <v>0</v>
      </c>
      <c r="N545" t="n">
        <v>0</v>
      </c>
      <c r="O545" t="n">
        <v>0</v>
      </c>
      <c r="P545" t="n">
        <v>0</v>
      </c>
      <c r="Q545" t="n">
        <v>0</v>
      </c>
      <c r="R545" s="2" t="inlineStr"/>
    </row>
    <row r="546" ht="15" customHeight="1">
      <c r="A546" t="inlineStr">
        <is>
          <t>A 32448-2019</t>
        </is>
      </c>
      <c r="B546" s="1" t="n">
        <v>43644</v>
      </c>
      <c r="C546" s="1" t="n">
        <v>45724</v>
      </c>
      <c r="D546" t="inlineStr">
        <is>
          <t>VÄSTMANLANDS LÄN</t>
        </is>
      </c>
      <c r="E546" t="inlineStr">
        <is>
          <t>KÖPING</t>
        </is>
      </c>
      <c r="G546" t="n">
        <v>5.6</v>
      </c>
      <c r="H546" t="n">
        <v>0</v>
      </c>
      <c r="I546" t="n">
        <v>0</v>
      </c>
      <c r="J546" t="n">
        <v>0</v>
      </c>
      <c r="K546" t="n">
        <v>0</v>
      </c>
      <c r="L546" t="n">
        <v>0</v>
      </c>
      <c r="M546" t="n">
        <v>0</v>
      </c>
      <c r="N546" t="n">
        <v>0</v>
      </c>
      <c r="O546" t="n">
        <v>0</v>
      </c>
      <c r="P546" t="n">
        <v>0</v>
      </c>
      <c r="Q546" t="n">
        <v>0</v>
      </c>
      <c r="R546" s="2" t="inlineStr"/>
    </row>
    <row r="547" ht="15" customHeight="1">
      <c r="A547" t="inlineStr">
        <is>
          <t>A 32430-2019</t>
        </is>
      </c>
      <c r="B547" s="1" t="n">
        <v>43644</v>
      </c>
      <c r="C547" s="1" t="n">
        <v>45724</v>
      </c>
      <c r="D547" t="inlineStr">
        <is>
          <t>VÄSTMANLANDS LÄN</t>
        </is>
      </c>
      <c r="E547" t="inlineStr">
        <is>
          <t>SKINNSKATTEBERG</t>
        </is>
      </c>
      <c r="F547" t="inlineStr">
        <is>
          <t>Sveaskog</t>
        </is>
      </c>
      <c r="G547" t="n">
        <v>3.2</v>
      </c>
      <c r="H547" t="n">
        <v>0</v>
      </c>
      <c r="I547" t="n">
        <v>0</v>
      </c>
      <c r="J547" t="n">
        <v>0</v>
      </c>
      <c r="K547" t="n">
        <v>0</v>
      </c>
      <c r="L547" t="n">
        <v>0</v>
      </c>
      <c r="M547" t="n">
        <v>0</v>
      </c>
      <c r="N547" t="n">
        <v>0</v>
      </c>
      <c r="O547" t="n">
        <v>0</v>
      </c>
      <c r="P547" t="n">
        <v>0</v>
      </c>
      <c r="Q547" t="n">
        <v>0</v>
      </c>
      <c r="R547" s="2" t="inlineStr"/>
    </row>
    <row r="548" ht="15" customHeight="1">
      <c r="A548" t="inlineStr">
        <is>
          <t>A 34565-2019</t>
        </is>
      </c>
      <c r="B548" s="1" t="n">
        <v>43647</v>
      </c>
      <c r="C548" s="1" t="n">
        <v>45724</v>
      </c>
      <c r="D548" t="inlineStr">
        <is>
          <t>VÄSTMANLANDS LÄN</t>
        </is>
      </c>
      <c r="E548" t="inlineStr">
        <is>
          <t>SKINNSKATTEBERG</t>
        </is>
      </c>
      <c r="G548" t="n">
        <v>5.3</v>
      </c>
      <c r="H548" t="n">
        <v>0</v>
      </c>
      <c r="I548" t="n">
        <v>0</v>
      </c>
      <c r="J548" t="n">
        <v>0</v>
      </c>
      <c r="K548" t="n">
        <v>0</v>
      </c>
      <c r="L548" t="n">
        <v>0</v>
      </c>
      <c r="M548" t="n">
        <v>0</v>
      </c>
      <c r="N548" t="n">
        <v>0</v>
      </c>
      <c r="O548" t="n">
        <v>0</v>
      </c>
      <c r="P548" t="n">
        <v>0</v>
      </c>
      <c r="Q548" t="n">
        <v>0</v>
      </c>
      <c r="R548" s="2" t="inlineStr"/>
    </row>
    <row r="549" ht="15" customHeight="1">
      <c r="A549" t="inlineStr">
        <is>
          <t>A 32850-2019</t>
        </is>
      </c>
      <c r="B549" s="1" t="n">
        <v>43648</v>
      </c>
      <c r="C549" s="1" t="n">
        <v>45724</v>
      </c>
      <c r="D549" t="inlineStr">
        <is>
          <t>VÄSTMANLANDS LÄN</t>
        </is>
      </c>
      <c r="E549" t="inlineStr">
        <is>
          <t>SKINNSKATTEBERG</t>
        </is>
      </c>
      <c r="F549" t="inlineStr">
        <is>
          <t>Sveaskog</t>
        </is>
      </c>
      <c r="G549" t="n">
        <v>0.6</v>
      </c>
      <c r="H549" t="n">
        <v>0</v>
      </c>
      <c r="I549" t="n">
        <v>0</v>
      </c>
      <c r="J549" t="n">
        <v>0</v>
      </c>
      <c r="K549" t="n">
        <v>0</v>
      </c>
      <c r="L549" t="n">
        <v>0</v>
      </c>
      <c r="M549" t="n">
        <v>0</v>
      </c>
      <c r="N549" t="n">
        <v>0</v>
      </c>
      <c r="O549" t="n">
        <v>0</v>
      </c>
      <c r="P549" t="n">
        <v>0</v>
      </c>
      <c r="Q549" t="n">
        <v>0</v>
      </c>
      <c r="R549" s="2" t="inlineStr"/>
    </row>
    <row r="550" ht="15" customHeight="1">
      <c r="A550" t="inlineStr">
        <is>
          <t>A 32856-2019</t>
        </is>
      </c>
      <c r="B550" s="1" t="n">
        <v>43648</v>
      </c>
      <c r="C550" s="1" t="n">
        <v>45724</v>
      </c>
      <c r="D550" t="inlineStr">
        <is>
          <t>VÄSTMANLANDS LÄN</t>
        </is>
      </c>
      <c r="E550" t="inlineStr">
        <is>
          <t>SKINNSKATTEBERG</t>
        </is>
      </c>
      <c r="F550" t="inlineStr">
        <is>
          <t>Sveaskog</t>
        </is>
      </c>
      <c r="G550" t="n">
        <v>2.3</v>
      </c>
      <c r="H550" t="n">
        <v>0</v>
      </c>
      <c r="I550" t="n">
        <v>0</v>
      </c>
      <c r="J550" t="n">
        <v>0</v>
      </c>
      <c r="K550" t="n">
        <v>0</v>
      </c>
      <c r="L550" t="n">
        <v>0</v>
      </c>
      <c r="M550" t="n">
        <v>0</v>
      </c>
      <c r="N550" t="n">
        <v>0</v>
      </c>
      <c r="O550" t="n">
        <v>0</v>
      </c>
      <c r="P550" t="n">
        <v>0</v>
      </c>
      <c r="Q550" t="n">
        <v>0</v>
      </c>
      <c r="R550" s="2" t="inlineStr"/>
    </row>
    <row r="551" ht="15" customHeight="1">
      <c r="A551" t="inlineStr">
        <is>
          <t>A 34709-2019</t>
        </is>
      </c>
      <c r="B551" s="1" t="n">
        <v>43648</v>
      </c>
      <c r="C551" s="1" t="n">
        <v>45724</v>
      </c>
      <c r="D551" t="inlineStr">
        <is>
          <t>VÄSTMANLANDS LÄN</t>
        </is>
      </c>
      <c r="E551" t="inlineStr">
        <is>
          <t>SALA</t>
        </is>
      </c>
      <c r="G551" t="n">
        <v>1.7</v>
      </c>
      <c r="H551" t="n">
        <v>0</v>
      </c>
      <c r="I551" t="n">
        <v>0</v>
      </c>
      <c r="J551" t="n">
        <v>0</v>
      </c>
      <c r="K551" t="n">
        <v>0</v>
      </c>
      <c r="L551" t="n">
        <v>0</v>
      </c>
      <c r="M551" t="n">
        <v>0</v>
      </c>
      <c r="N551" t="n">
        <v>0</v>
      </c>
      <c r="O551" t="n">
        <v>0</v>
      </c>
      <c r="P551" t="n">
        <v>0</v>
      </c>
      <c r="Q551" t="n">
        <v>0</v>
      </c>
      <c r="R551" s="2" t="inlineStr"/>
    </row>
    <row r="552" ht="15" customHeight="1">
      <c r="A552" t="inlineStr">
        <is>
          <t>A 33440-2019</t>
        </is>
      </c>
      <c r="B552" s="1" t="n">
        <v>43650</v>
      </c>
      <c r="C552" s="1" t="n">
        <v>45724</v>
      </c>
      <c r="D552" t="inlineStr">
        <is>
          <t>VÄSTMANLANDS LÄN</t>
        </is>
      </c>
      <c r="E552" t="inlineStr">
        <is>
          <t>FAGERSTA</t>
        </is>
      </c>
      <c r="G552" t="n">
        <v>4.4</v>
      </c>
      <c r="H552" t="n">
        <v>0</v>
      </c>
      <c r="I552" t="n">
        <v>0</v>
      </c>
      <c r="J552" t="n">
        <v>0</v>
      </c>
      <c r="K552" t="n">
        <v>0</v>
      </c>
      <c r="L552" t="n">
        <v>0</v>
      </c>
      <c r="M552" t="n">
        <v>0</v>
      </c>
      <c r="N552" t="n">
        <v>0</v>
      </c>
      <c r="O552" t="n">
        <v>0</v>
      </c>
      <c r="P552" t="n">
        <v>0</v>
      </c>
      <c r="Q552" t="n">
        <v>0</v>
      </c>
      <c r="R552" s="2" t="inlineStr"/>
    </row>
    <row r="553" ht="15" customHeight="1">
      <c r="A553" t="inlineStr">
        <is>
          <t>A 33647-2019</t>
        </is>
      </c>
      <c r="B553" s="1" t="n">
        <v>43651</v>
      </c>
      <c r="C553" s="1" t="n">
        <v>45724</v>
      </c>
      <c r="D553" t="inlineStr">
        <is>
          <t>VÄSTMANLANDS LÄN</t>
        </is>
      </c>
      <c r="E553" t="inlineStr">
        <is>
          <t>SKINNSKATTEBERG</t>
        </is>
      </c>
      <c r="F553" t="inlineStr">
        <is>
          <t>Sveaskog</t>
        </is>
      </c>
      <c r="G553" t="n">
        <v>0.7</v>
      </c>
      <c r="H553" t="n">
        <v>0</v>
      </c>
      <c r="I553" t="n">
        <v>0</v>
      </c>
      <c r="J553" t="n">
        <v>0</v>
      </c>
      <c r="K553" t="n">
        <v>0</v>
      </c>
      <c r="L553" t="n">
        <v>0</v>
      </c>
      <c r="M553" t="n">
        <v>0</v>
      </c>
      <c r="N553" t="n">
        <v>0</v>
      </c>
      <c r="O553" t="n">
        <v>0</v>
      </c>
      <c r="P553" t="n">
        <v>0</v>
      </c>
      <c r="Q553" t="n">
        <v>0</v>
      </c>
      <c r="R553" s="2" t="inlineStr"/>
    </row>
    <row r="554" ht="15" customHeight="1">
      <c r="A554" t="inlineStr">
        <is>
          <t>A 33758-2019</t>
        </is>
      </c>
      <c r="B554" s="1" t="n">
        <v>43651</v>
      </c>
      <c r="C554" s="1" t="n">
        <v>45724</v>
      </c>
      <c r="D554" t="inlineStr">
        <is>
          <t>VÄSTMANLANDS LÄN</t>
        </is>
      </c>
      <c r="E554" t="inlineStr">
        <is>
          <t>KÖPING</t>
        </is>
      </c>
      <c r="G554" t="n">
        <v>1.4</v>
      </c>
      <c r="H554" t="n">
        <v>0</v>
      </c>
      <c r="I554" t="n">
        <v>0</v>
      </c>
      <c r="J554" t="n">
        <v>0</v>
      </c>
      <c r="K554" t="n">
        <v>0</v>
      </c>
      <c r="L554" t="n">
        <v>0</v>
      </c>
      <c r="M554" t="n">
        <v>0</v>
      </c>
      <c r="N554" t="n">
        <v>0</v>
      </c>
      <c r="O554" t="n">
        <v>0</v>
      </c>
      <c r="P554" t="n">
        <v>0</v>
      </c>
      <c r="Q554" t="n">
        <v>0</v>
      </c>
      <c r="R554" s="2" t="inlineStr"/>
    </row>
    <row r="555" ht="15" customHeight="1">
      <c r="A555" t="inlineStr">
        <is>
          <t>A 33782-2019</t>
        </is>
      </c>
      <c r="B555" s="1" t="n">
        <v>43651</v>
      </c>
      <c r="C555" s="1" t="n">
        <v>45724</v>
      </c>
      <c r="D555" t="inlineStr">
        <is>
          <t>VÄSTMANLANDS LÄN</t>
        </is>
      </c>
      <c r="E555" t="inlineStr">
        <is>
          <t>KÖPING</t>
        </is>
      </c>
      <c r="G555" t="n">
        <v>0.6</v>
      </c>
      <c r="H555" t="n">
        <v>0</v>
      </c>
      <c r="I555" t="n">
        <v>0</v>
      </c>
      <c r="J555" t="n">
        <v>0</v>
      </c>
      <c r="K555" t="n">
        <v>0</v>
      </c>
      <c r="L555" t="n">
        <v>0</v>
      </c>
      <c r="M555" t="n">
        <v>0</v>
      </c>
      <c r="N555" t="n">
        <v>0</v>
      </c>
      <c r="O555" t="n">
        <v>0</v>
      </c>
      <c r="P555" t="n">
        <v>0</v>
      </c>
      <c r="Q555" t="n">
        <v>0</v>
      </c>
      <c r="R555" s="2" t="inlineStr"/>
    </row>
    <row r="556" ht="15" customHeight="1">
      <c r="A556" t="inlineStr">
        <is>
          <t>A 33581-2019</t>
        </is>
      </c>
      <c r="B556" s="1" t="n">
        <v>43651</v>
      </c>
      <c r="C556" s="1" t="n">
        <v>45724</v>
      </c>
      <c r="D556" t="inlineStr">
        <is>
          <t>VÄSTMANLANDS LÄN</t>
        </is>
      </c>
      <c r="E556" t="inlineStr">
        <is>
          <t>SKINNSKATTEBERG</t>
        </is>
      </c>
      <c r="G556" t="n">
        <v>5.4</v>
      </c>
      <c r="H556" t="n">
        <v>0</v>
      </c>
      <c r="I556" t="n">
        <v>0</v>
      </c>
      <c r="J556" t="n">
        <v>0</v>
      </c>
      <c r="K556" t="n">
        <v>0</v>
      </c>
      <c r="L556" t="n">
        <v>0</v>
      </c>
      <c r="M556" t="n">
        <v>0</v>
      </c>
      <c r="N556" t="n">
        <v>0</v>
      </c>
      <c r="O556" t="n">
        <v>0</v>
      </c>
      <c r="P556" t="n">
        <v>0</v>
      </c>
      <c r="Q556" t="n">
        <v>0</v>
      </c>
      <c r="R556" s="2" t="inlineStr"/>
    </row>
    <row r="557" ht="15" customHeight="1">
      <c r="A557" t="inlineStr">
        <is>
          <t>A 34010-2019</t>
        </is>
      </c>
      <c r="B557" s="1" t="n">
        <v>43654</v>
      </c>
      <c r="C557" s="1" t="n">
        <v>45724</v>
      </c>
      <c r="D557" t="inlineStr">
        <is>
          <t>VÄSTMANLANDS LÄN</t>
        </is>
      </c>
      <c r="E557" t="inlineStr">
        <is>
          <t>KÖPING</t>
        </is>
      </c>
      <c r="G557" t="n">
        <v>0.4</v>
      </c>
      <c r="H557" t="n">
        <v>0</v>
      </c>
      <c r="I557" t="n">
        <v>0</v>
      </c>
      <c r="J557" t="n">
        <v>0</v>
      </c>
      <c r="K557" t="n">
        <v>0</v>
      </c>
      <c r="L557" t="n">
        <v>0</v>
      </c>
      <c r="M557" t="n">
        <v>0</v>
      </c>
      <c r="N557" t="n">
        <v>0</v>
      </c>
      <c r="O557" t="n">
        <v>0</v>
      </c>
      <c r="P557" t="n">
        <v>0</v>
      </c>
      <c r="Q557" t="n">
        <v>0</v>
      </c>
      <c r="R557" s="2" t="inlineStr"/>
    </row>
    <row r="558" ht="15" customHeight="1">
      <c r="A558" t="inlineStr">
        <is>
          <t>A 35787-2019</t>
        </is>
      </c>
      <c r="B558" s="1" t="n">
        <v>43656</v>
      </c>
      <c r="C558" s="1" t="n">
        <v>45724</v>
      </c>
      <c r="D558" t="inlineStr">
        <is>
          <t>VÄSTMANLANDS LÄN</t>
        </is>
      </c>
      <c r="E558" t="inlineStr">
        <is>
          <t>KÖPING</t>
        </is>
      </c>
      <c r="G558" t="n">
        <v>0.9</v>
      </c>
      <c r="H558" t="n">
        <v>0</v>
      </c>
      <c r="I558" t="n">
        <v>0</v>
      </c>
      <c r="J558" t="n">
        <v>0</v>
      </c>
      <c r="K558" t="n">
        <v>0</v>
      </c>
      <c r="L558" t="n">
        <v>0</v>
      </c>
      <c r="M558" t="n">
        <v>0</v>
      </c>
      <c r="N558" t="n">
        <v>0</v>
      </c>
      <c r="O558" t="n">
        <v>0</v>
      </c>
      <c r="P558" t="n">
        <v>0</v>
      </c>
      <c r="Q558" t="n">
        <v>0</v>
      </c>
      <c r="R558" s="2" t="inlineStr"/>
    </row>
    <row r="559" ht="15" customHeight="1">
      <c r="A559" t="inlineStr">
        <is>
          <t>A 35779-2019</t>
        </is>
      </c>
      <c r="B559" s="1" t="n">
        <v>43656</v>
      </c>
      <c r="C559" s="1" t="n">
        <v>45724</v>
      </c>
      <c r="D559" t="inlineStr">
        <is>
          <t>VÄSTMANLANDS LÄN</t>
        </is>
      </c>
      <c r="E559" t="inlineStr">
        <is>
          <t>KÖPING</t>
        </is>
      </c>
      <c r="G559" t="n">
        <v>0.6</v>
      </c>
      <c r="H559" t="n">
        <v>0</v>
      </c>
      <c r="I559" t="n">
        <v>0</v>
      </c>
      <c r="J559" t="n">
        <v>0</v>
      </c>
      <c r="K559" t="n">
        <v>0</v>
      </c>
      <c r="L559" t="n">
        <v>0</v>
      </c>
      <c r="M559" t="n">
        <v>0</v>
      </c>
      <c r="N559" t="n">
        <v>0</v>
      </c>
      <c r="O559" t="n">
        <v>0</v>
      </c>
      <c r="P559" t="n">
        <v>0</v>
      </c>
      <c r="Q559" t="n">
        <v>0</v>
      </c>
      <c r="R559" s="2" t="inlineStr"/>
    </row>
    <row r="560" ht="15" customHeight="1">
      <c r="A560" t="inlineStr">
        <is>
          <t>A 35074-2019</t>
        </is>
      </c>
      <c r="B560" s="1" t="n">
        <v>43661</v>
      </c>
      <c r="C560" s="1" t="n">
        <v>45724</v>
      </c>
      <c r="D560" t="inlineStr">
        <is>
          <t>VÄSTMANLANDS LÄN</t>
        </is>
      </c>
      <c r="E560" t="inlineStr">
        <is>
          <t>NORBERG</t>
        </is>
      </c>
      <c r="F560" t="inlineStr">
        <is>
          <t>Sveaskog</t>
        </is>
      </c>
      <c r="G560" t="n">
        <v>2.5</v>
      </c>
      <c r="H560" t="n">
        <v>0</v>
      </c>
      <c r="I560" t="n">
        <v>0</v>
      </c>
      <c r="J560" t="n">
        <v>0</v>
      </c>
      <c r="K560" t="n">
        <v>0</v>
      </c>
      <c r="L560" t="n">
        <v>0</v>
      </c>
      <c r="M560" t="n">
        <v>0</v>
      </c>
      <c r="N560" t="n">
        <v>0</v>
      </c>
      <c r="O560" t="n">
        <v>0</v>
      </c>
      <c r="P560" t="n">
        <v>0</v>
      </c>
      <c r="Q560" t="n">
        <v>0</v>
      </c>
      <c r="R560" s="2" t="inlineStr"/>
    </row>
    <row r="561" ht="15" customHeight="1">
      <c r="A561" t="inlineStr">
        <is>
          <t>A 35690-2019</t>
        </is>
      </c>
      <c r="B561" s="1" t="n">
        <v>43664</v>
      </c>
      <c r="C561" s="1" t="n">
        <v>45724</v>
      </c>
      <c r="D561" t="inlineStr">
        <is>
          <t>VÄSTMANLANDS LÄN</t>
        </is>
      </c>
      <c r="E561" t="inlineStr">
        <is>
          <t>SALA</t>
        </is>
      </c>
      <c r="G561" t="n">
        <v>3.1</v>
      </c>
      <c r="H561" t="n">
        <v>0</v>
      </c>
      <c r="I561" t="n">
        <v>0</v>
      </c>
      <c r="J561" t="n">
        <v>0</v>
      </c>
      <c r="K561" t="n">
        <v>0</v>
      </c>
      <c r="L561" t="n">
        <v>0</v>
      </c>
      <c r="M561" t="n">
        <v>0</v>
      </c>
      <c r="N561" t="n">
        <v>0</v>
      </c>
      <c r="O561" t="n">
        <v>0</v>
      </c>
      <c r="P561" t="n">
        <v>0</v>
      </c>
      <c r="Q561" t="n">
        <v>0</v>
      </c>
      <c r="R561" s="2" t="inlineStr"/>
    </row>
    <row r="562" ht="15" customHeight="1">
      <c r="A562" t="inlineStr">
        <is>
          <t>A 35939-2019</t>
        </is>
      </c>
      <c r="B562" s="1" t="n">
        <v>43665</v>
      </c>
      <c r="C562" s="1" t="n">
        <v>45724</v>
      </c>
      <c r="D562" t="inlineStr">
        <is>
          <t>VÄSTMANLANDS LÄN</t>
        </is>
      </c>
      <c r="E562" t="inlineStr">
        <is>
          <t>KÖPING</t>
        </is>
      </c>
      <c r="F562" t="inlineStr">
        <is>
          <t>Sveaskog</t>
        </is>
      </c>
      <c r="G562" t="n">
        <v>4.1</v>
      </c>
      <c r="H562" t="n">
        <v>0</v>
      </c>
      <c r="I562" t="n">
        <v>0</v>
      </c>
      <c r="J562" t="n">
        <v>0</v>
      </c>
      <c r="K562" t="n">
        <v>0</v>
      </c>
      <c r="L562" t="n">
        <v>0</v>
      </c>
      <c r="M562" t="n">
        <v>0</v>
      </c>
      <c r="N562" t="n">
        <v>0</v>
      </c>
      <c r="O562" t="n">
        <v>0</v>
      </c>
      <c r="P562" t="n">
        <v>0</v>
      </c>
      <c r="Q562" t="n">
        <v>0</v>
      </c>
      <c r="R562" s="2" t="inlineStr"/>
    </row>
    <row r="563" ht="15" customHeight="1">
      <c r="A563" t="inlineStr">
        <is>
          <t>A 35801-2019</t>
        </is>
      </c>
      <c r="B563" s="1" t="n">
        <v>43665</v>
      </c>
      <c r="C563" s="1" t="n">
        <v>45724</v>
      </c>
      <c r="D563" t="inlineStr">
        <is>
          <t>VÄSTMANLANDS LÄN</t>
        </is>
      </c>
      <c r="E563" t="inlineStr">
        <is>
          <t>VÄSTERÅS</t>
        </is>
      </c>
      <c r="G563" t="n">
        <v>1.1</v>
      </c>
      <c r="H563" t="n">
        <v>0</v>
      </c>
      <c r="I563" t="n">
        <v>0</v>
      </c>
      <c r="J563" t="n">
        <v>0</v>
      </c>
      <c r="K563" t="n">
        <v>0</v>
      </c>
      <c r="L563" t="n">
        <v>0</v>
      </c>
      <c r="M563" t="n">
        <v>0</v>
      </c>
      <c r="N563" t="n">
        <v>0</v>
      </c>
      <c r="O563" t="n">
        <v>0</v>
      </c>
      <c r="P563" t="n">
        <v>0</v>
      </c>
      <c r="Q563" t="n">
        <v>0</v>
      </c>
      <c r="R563" s="2" t="inlineStr"/>
    </row>
    <row r="564" ht="15" customHeight="1">
      <c r="A564" t="inlineStr">
        <is>
          <t>A 36142-2019</t>
        </is>
      </c>
      <c r="B564" s="1" t="n">
        <v>43668</v>
      </c>
      <c r="C564" s="1" t="n">
        <v>45724</v>
      </c>
      <c r="D564" t="inlineStr">
        <is>
          <t>VÄSTMANLANDS LÄN</t>
        </is>
      </c>
      <c r="E564" t="inlineStr">
        <is>
          <t>SALA</t>
        </is>
      </c>
      <c r="G564" t="n">
        <v>0.6</v>
      </c>
      <c r="H564" t="n">
        <v>0</v>
      </c>
      <c r="I564" t="n">
        <v>0</v>
      </c>
      <c r="J564" t="n">
        <v>0</v>
      </c>
      <c r="K564" t="n">
        <v>0</v>
      </c>
      <c r="L564" t="n">
        <v>0</v>
      </c>
      <c r="M564" t="n">
        <v>0</v>
      </c>
      <c r="N564" t="n">
        <v>0</v>
      </c>
      <c r="O564" t="n">
        <v>0</v>
      </c>
      <c r="P564" t="n">
        <v>0</v>
      </c>
      <c r="Q564" t="n">
        <v>0</v>
      </c>
      <c r="R564" s="2" t="inlineStr"/>
    </row>
    <row r="565" ht="15" customHeight="1">
      <c r="A565" t="inlineStr">
        <is>
          <t>A 36069-2019</t>
        </is>
      </c>
      <c r="B565" s="1" t="n">
        <v>43668</v>
      </c>
      <c r="C565" s="1" t="n">
        <v>45724</v>
      </c>
      <c r="D565" t="inlineStr">
        <is>
          <t>VÄSTMANLANDS LÄN</t>
        </is>
      </c>
      <c r="E565" t="inlineStr">
        <is>
          <t>FAGERSTA</t>
        </is>
      </c>
      <c r="G565" t="n">
        <v>3.6</v>
      </c>
      <c r="H565" t="n">
        <v>0</v>
      </c>
      <c r="I565" t="n">
        <v>0</v>
      </c>
      <c r="J565" t="n">
        <v>0</v>
      </c>
      <c r="K565" t="n">
        <v>0</v>
      </c>
      <c r="L565" t="n">
        <v>0</v>
      </c>
      <c r="M565" t="n">
        <v>0</v>
      </c>
      <c r="N565" t="n">
        <v>0</v>
      </c>
      <c r="O565" t="n">
        <v>0</v>
      </c>
      <c r="P565" t="n">
        <v>0</v>
      </c>
      <c r="Q565" t="n">
        <v>0</v>
      </c>
      <c r="R565" s="2" t="inlineStr"/>
    </row>
    <row r="566" ht="15" customHeight="1">
      <c r="A566" t="inlineStr">
        <is>
          <t>A 36429-2019</t>
        </is>
      </c>
      <c r="B566" s="1" t="n">
        <v>43670</v>
      </c>
      <c r="C566" s="1" t="n">
        <v>45724</v>
      </c>
      <c r="D566" t="inlineStr">
        <is>
          <t>VÄSTMANLANDS LÄN</t>
        </is>
      </c>
      <c r="E566" t="inlineStr">
        <is>
          <t>SALA</t>
        </is>
      </c>
      <c r="G566" t="n">
        <v>2</v>
      </c>
      <c r="H566" t="n">
        <v>0</v>
      </c>
      <c r="I566" t="n">
        <v>0</v>
      </c>
      <c r="J566" t="n">
        <v>0</v>
      </c>
      <c r="K566" t="n">
        <v>0</v>
      </c>
      <c r="L566" t="n">
        <v>0</v>
      </c>
      <c r="M566" t="n">
        <v>0</v>
      </c>
      <c r="N566" t="n">
        <v>0</v>
      </c>
      <c r="O566" t="n">
        <v>0</v>
      </c>
      <c r="P566" t="n">
        <v>0</v>
      </c>
      <c r="Q566" t="n">
        <v>0</v>
      </c>
      <c r="R566" s="2" t="inlineStr"/>
    </row>
    <row r="567" ht="15" customHeight="1">
      <c r="A567" t="inlineStr">
        <is>
          <t>A 36437-2019</t>
        </is>
      </c>
      <c r="B567" s="1" t="n">
        <v>43670</v>
      </c>
      <c r="C567" s="1" t="n">
        <v>45724</v>
      </c>
      <c r="D567" t="inlineStr">
        <is>
          <t>VÄSTMANLANDS LÄN</t>
        </is>
      </c>
      <c r="E567" t="inlineStr">
        <is>
          <t>VÄSTERÅS</t>
        </is>
      </c>
      <c r="G567" t="n">
        <v>2.7</v>
      </c>
      <c r="H567" t="n">
        <v>0</v>
      </c>
      <c r="I567" t="n">
        <v>0</v>
      </c>
      <c r="J567" t="n">
        <v>0</v>
      </c>
      <c r="K567" t="n">
        <v>0</v>
      </c>
      <c r="L567" t="n">
        <v>0</v>
      </c>
      <c r="M567" t="n">
        <v>0</v>
      </c>
      <c r="N567" t="n">
        <v>0</v>
      </c>
      <c r="O567" t="n">
        <v>0</v>
      </c>
      <c r="P567" t="n">
        <v>0</v>
      </c>
      <c r="Q567" t="n">
        <v>0</v>
      </c>
      <c r="R567" s="2" t="inlineStr"/>
    </row>
    <row r="568" ht="15" customHeight="1">
      <c r="A568" t="inlineStr">
        <is>
          <t>A 36600-2019</t>
        </is>
      </c>
      <c r="B568" s="1" t="n">
        <v>43671</v>
      </c>
      <c r="C568" s="1" t="n">
        <v>45724</v>
      </c>
      <c r="D568" t="inlineStr">
        <is>
          <t>VÄSTMANLANDS LÄN</t>
        </is>
      </c>
      <c r="E568" t="inlineStr">
        <is>
          <t>SALA</t>
        </is>
      </c>
      <c r="F568" t="inlineStr">
        <is>
          <t>Kyrkan</t>
        </is>
      </c>
      <c r="G568" t="n">
        <v>4.3</v>
      </c>
      <c r="H568" t="n">
        <v>0</v>
      </c>
      <c r="I568" t="n">
        <v>0</v>
      </c>
      <c r="J568" t="n">
        <v>0</v>
      </c>
      <c r="K568" t="n">
        <v>0</v>
      </c>
      <c r="L568" t="n">
        <v>0</v>
      </c>
      <c r="M568" t="n">
        <v>0</v>
      </c>
      <c r="N568" t="n">
        <v>0</v>
      </c>
      <c r="O568" t="n">
        <v>0</v>
      </c>
      <c r="P568" t="n">
        <v>0</v>
      </c>
      <c r="Q568" t="n">
        <v>0</v>
      </c>
      <c r="R568" s="2" t="inlineStr"/>
    </row>
    <row r="569" ht="15" customHeight="1">
      <c r="A569" t="inlineStr">
        <is>
          <t>A 36695-2019</t>
        </is>
      </c>
      <c r="B569" s="1" t="n">
        <v>43671</v>
      </c>
      <c r="C569" s="1" t="n">
        <v>45724</v>
      </c>
      <c r="D569" t="inlineStr">
        <is>
          <t>VÄSTMANLANDS LÄN</t>
        </is>
      </c>
      <c r="E569" t="inlineStr">
        <is>
          <t>VÄSTERÅS</t>
        </is>
      </c>
      <c r="G569" t="n">
        <v>1.1</v>
      </c>
      <c r="H569" t="n">
        <v>0</v>
      </c>
      <c r="I569" t="n">
        <v>0</v>
      </c>
      <c r="J569" t="n">
        <v>0</v>
      </c>
      <c r="K569" t="n">
        <v>0</v>
      </c>
      <c r="L569" t="n">
        <v>0</v>
      </c>
      <c r="M569" t="n">
        <v>0</v>
      </c>
      <c r="N569" t="n">
        <v>0</v>
      </c>
      <c r="O569" t="n">
        <v>0</v>
      </c>
      <c r="P569" t="n">
        <v>0</v>
      </c>
      <c r="Q569" t="n">
        <v>0</v>
      </c>
      <c r="R569" s="2" t="inlineStr"/>
    </row>
    <row r="570" ht="15" customHeight="1">
      <c r="A570" t="inlineStr">
        <is>
          <t>A 36802-2019</t>
        </is>
      </c>
      <c r="B570" s="1" t="n">
        <v>43672</v>
      </c>
      <c r="C570" s="1" t="n">
        <v>45724</v>
      </c>
      <c r="D570" t="inlineStr">
        <is>
          <t>VÄSTMANLANDS LÄN</t>
        </is>
      </c>
      <c r="E570" t="inlineStr">
        <is>
          <t>VÄSTERÅS</t>
        </is>
      </c>
      <c r="G570" t="n">
        <v>3.5</v>
      </c>
      <c r="H570" t="n">
        <v>0</v>
      </c>
      <c r="I570" t="n">
        <v>0</v>
      </c>
      <c r="J570" t="n">
        <v>0</v>
      </c>
      <c r="K570" t="n">
        <v>0</v>
      </c>
      <c r="L570" t="n">
        <v>0</v>
      </c>
      <c r="M570" t="n">
        <v>0</v>
      </c>
      <c r="N570" t="n">
        <v>0</v>
      </c>
      <c r="O570" t="n">
        <v>0</v>
      </c>
      <c r="P570" t="n">
        <v>0</v>
      </c>
      <c r="Q570" t="n">
        <v>0</v>
      </c>
      <c r="R570" s="2" t="inlineStr"/>
    </row>
    <row r="571" ht="15" customHeight="1">
      <c r="A571" t="inlineStr">
        <is>
          <t>A 37186-2019</t>
        </is>
      </c>
      <c r="B571" s="1" t="n">
        <v>43677</v>
      </c>
      <c r="C571" s="1" t="n">
        <v>45724</v>
      </c>
      <c r="D571" t="inlineStr">
        <is>
          <t>VÄSTMANLANDS LÄN</t>
        </is>
      </c>
      <c r="E571" t="inlineStr">
        <is>
          <t>SALA</t>
        </is>
      </c>
      <c r="G571" t="n">
        <v>1.8</v>
      </c>
      <c r="H571" t="n">
        <v>0</v>
      </c>
      <c r="I571" t="n">
        <v>0</v>
      </c>
      <c r="J571" t="n">
        <v>0</v>
      </c>
      <c r="K571" t="n">
        <v>0</v>
      </c>
      <c r="L571" t="n">
        <v>0</v>
      </c>
      <c r="M571" t="n">
        <v>0</v>
      </c>
      <c r="N571" t="n">
        <v>0</v>
      </c>
      <c r="O571" t="n">
        <v>0</v>
      </c>
      <c r="P571" t="n">
        <v>0</v>
      </c>
      <c r="Q571" t="n">
        <v>0</v>
      </c>
      <c r="R571" s="2" t="inlineStr"/>
    </row>
    <row r="572" ht="15" customHeight="1">
      <c r="A572" t="inlineStr">
        <is>
          <t>A 37533-2019</t>
        </is>
      </c>
      <c r="B572" s="1" t="n">
        <v>43679</v>
      </c>
      <c r="C572" s="1" t="n">
        <v>45724</v>
      </c>
      <c r="D572" t="inlineStr">
        <is>
          <t>VÄSTMANLANDS LÄN</t>
        </is>
      </c>
      <c r="E572" t="inlineStr">
        <is>
          <t>SALA</t>
        </is>
      </c>
      <c r="G572" t="n">
        <v>7.9</v>
      </c>
      <c r="H572" t="n">
        <v>0</v>
      </c>
      <c r="I572" t="n">
        <v>0</v>
      </c>
      <c r="J572" t="n">
        <v>0</v>
      </c>
      <c r="K572" t="n">
        <v>0</v>
      </c>
      <c r="L572" t="n">
        <v>0</v>
      </c>
      <c r="M572" t="n">
        <v>0</v>
      </c>
      <c r="N572" t="n">
        <v>0</v>
      </c>
      <c r="O572" t="n">
        <v>0</v>
      </c>
      <c r="P572" t="n">
        <v>0</v>
      </c>
      <c r="Q572" t="n">
        <v>0</v>
      </c>
      <c r="R572" s="2" t="inlineStr"/>
    </row>
    <row r="573" ht="15" customHeight="1">
      <c r="A573" t="inlineStr">
        <is>
          <t>A 37524-2019</t>
        </is>
      </c>
      <c r="B573" s="1" t="n">
        <v>43679</v>
      </c>
      <c r="C573" s="1" t="n">
        <v>45724</v>
      </c>
      <c r="D573" t="inlineStr">
        <is>
          <t>VÄSTMANLANDS LÄN</t>
        </is>
      </c>
      <c r="E573" t="inlineStr">
        <is>
          <t>NORBERG</t>
        </is>
      </c>
      <c r="G573" t="n">
        <v>2.4</v>
      </c>
      <c r="H573" t="n">
        <v>0</v>
      </c>
      <c r="I573" t="n">
        <v>0</v>
      </c>
      <c r="J573" t="n">
        <v>0</v>
      </c>
      <c r="K573" t="n">
        <v>0</v>
      </c>
      <c r="L573" t="n">
        <v>0</v>
      </c>
      <c r="M573" t="n">
        <v>0</v>
      </c>
      <c r="N573" t="n">
        <v>0</v>
      </c>
      <c r="O573" t="n">
        <v>0</v>
      </c>
      <c r="P573" t="n">
        <v>0</v>
      </c>
      <c r="Q573" t="n">
        <v>0</v>
      </c>
      <c r="R573" s="2" t="inlineStr"/>
    </row>
    <row r="574" ht="15" customHeight="1">
      <c r="A574" t="inlineStr">
        <is>
          <t>A 38084-2019</t>
        </is>
      </c>
      <c r="B574" s="1" t="n">
        <v>43683</v>
      </c>
      <c r="C574" s="1" t="n">
        <v>45724</v>
      </c>
      <c r="D574" t="inlineStr">
        <is>
          <t>VÄSTMANLANDS LÄN</t>
        </is>
      </c>
      <c r="E574" t="inlineStr">
        <is>
          <t>VÄSTERÅS</t>
        </is>
      </c>
      <c r="F574" t="inlineStr">
        <is>
          <t>Kyrkan</t>
        </is>
      </c>
      <c r="G574" t="n">
        <v>1.3</v>
      </c>
      <c r="H574" t="n">
        <v>0</v>
      </c>
      <c r="I574" t="n">
        <v>0</v>
      </c>
      <c r="J574" t="n">
        <v>0</v>
      </c>
      <c r="K574" t="n">
        <v>0</v>
      </c>
      <c r="L574" t="n">
        <v>0</v>
      </c>
      <c r="M574" t="n">
        <v>0</v>
      </c>
      <c r="N574" t="n">
        <v>0</v>
      </c>
      <c r="O574" t="n">
        <v>0</v>
      </c>
      <c r="P574" t="n">
        <v>0</v>
      </c>
      <c r="Q574" t="n">
        <v>0</v>
      </c>
      <c r="R574" s="2" t="inlineStr"/>
    </row>
    <row r="575" ht="15" customHeight="1">
      <c r="A575" t="inlineStr">
        <is>
          <t>A 38158-2019</t>
        </is>
      </c>
      <c r="B575" s="1" t="n">
        <v>43683</v>
      </c>
      <c r="C575" s="1" t="n">
        <v>45724</v>
      </c>
      <c r="D575" t="inlineStr">
        <is>
          <t>VÄSTMANLANDS LÄN</t>
        </is>
      </c>
      <c r="E575" t="inlineStr">
        <is>
          <t>SKINNSKATTEBERG</t>
        </is>
      </c>
      <c r="G575" t="n">
        <v>5.4</v>
      </c>
      <c r="H575" t="n">
        <v>0</v>
      </c>
      <c r="I575" t="n">
        <v>0</v>
      </c>
      <c r="J575" t="n">
        <v>0</v>
      </c>
      <c r="K575" t="n">
        <v>0</v>
      </c>
      <c r="L575" t="n">
        <v>0</v>
      </c>
      <c r="M575" t="n">
        <v>0</v>
      </c>
      <c r="N575" t="n">
        <v>0</v>
      </c>
      <c r="O575" t="n">
        <v>0</v>
      </c>
      <c r="P575" t="n">
        <v>0</v>
      </c>
      <c r="Q575" t="n">
        <v>0</v>
      </c>
      <c r="R575" s="2" t="inlineStr"/>
    </row>
    <row r="576" ht="15" customHeight="1">
      <c r="A576" t="inlineStr">
        <is>
          <t>A 38087-2019</t>
        </is>
      </c>
      <c r="B576" s="1" t="n">
        <v>43683</v>
      </c>
      <c r="C576" s="1" t="n">
        <v>45724</v>
      </c>
      <c r="D576" t="inlineStr">
        <is>
          <t>VÄSTMANLANDS LÄN</t>
        </is>
      </c>
      <c r="E576" t="inlineStr">
        <is>
          <t>SKINNSKATTEBERG</t>
        </is>
      </c>
      <c r="F576" t="inlineStr">
        <is>
          <t>Kyrkan</t>
        </is>
      </c>
      <c r="G576" t="n">
        <v>1</v>
      </c>
      <c r="H576" t="n">
        <v>0</v>
      </c>
      <c r="I576" t="n">
        <v>0</v>
      </c>
      <c r="J576" t="n">
        <v>0</v>
      </c>
      <c r="K576" t="n">
        <v>0</v>
      </c>
      <c r="L576" t="n">
        <v>0</v>
      </c>
      <c r="M576" t="n">
        <v>0</v>
      </c>
      <c r="N576" t="n">
        <v>0</v>
      </c>
      <c r="O576" t="n">
        <v>0</v>
      </c>
      <c r="P576" t="n">
        <v>0</v>
      </c>
      <c r="Q576" t="n">
        <v>0</v>
      </c>
      <c r="R576" s="2" t="inlineStr"/>
    </row>
    <row r="577" ht="15" customHeight="1">
      <c r="A577" t="inlineStr">
        <is>
          <t>A 38489-2019</t>
        </is>
      </c>
      <c r="B577" s="1" t="n">
        <v>43685</v>
      </c>
      <c r="C577" s="1" t="n">
        <v>45724</v>
      </c>
      <c r="D577" t="inlineStr">
        <is>
          <t>VÄSTMANLANDS LÄN</t>
        </is>
      </c>
      <c r="E577" t="inlineStr">
        <is>
          <t>KÖPING</t>
        </is>
      </c>
      <c r="G577" t="n">
        <v>2.5</v>
      </c>
      <c r="H577" t="n">
        <v>0</v>
      </c>
      <c r="I577" t="n">
        <v>0</v>
      </c>
      <c r="J577" t="n">
        <v>0</v>
      </c>
      <c r="K577" t="n">
        <v>0</v>
      </c>
      <c r="L577" t="n">
        <v>0</v>
      </c>
      <c r="M577" t="n">
        <v>0</v>
      </c>
      <c r="N577" t="n">
        <v>0</v>
      </c>
      <c r="O577" t="n">
        <v>0</v>
      </c>
      <c r="P577" t="n">
        <v>0</v>
      </c>
      <c r="Q577" t="n">
        <v>0</v>
      </c>
      <c r="R577" s="2" t="inlineStr"/>
    </row>
    <row r="578" ht="15" customHeight="1">
      <c r="A578" t="inlineStr">
        <is>
          <t>A 38487-2019</t>
        </is>
      </c>
      <c r="B578" s="1" t="n">
        <v>43685</v>
      </c>
      <c r="C578" s="1" t="n">
        <v>45724</v>
      </c>
      <c r="D578" t="inlineStr">
        <is>
          <t>VÄSTMANLANDS LÄN</t>
        </is>
      </c>
      <c r="E578" t="inlineStr">
        <is>
          <t>KÖPING</t>
        </is>
      </c>
      <c r="G578" t="n">
        <v>4.6</v>
      </c>
      <c r="H578" t="n">
        <v>0</v>
      </c>
      <c r="I578" t="n">
        <v>0</v>
      </c>
      <c r="J578" t="n">
        <v>0</v>
      </c>
      <c r="K578" t="n">
        <v>0</v>
      </c>
      <c r="L578" t="n">
        <v>0</v>
      </c>
      <c r="M578" t="n">
        <v>0</v>
      </c>
      <c r="N578" t="n">
        <v>0</v>
      </c>
      <c r="O578" t="n">
        <v>0</v>
      </c>
      <c r="P578" t="n">
        <v>0</v>
      </c>
      <c r="Q578" t="n">
        <v>0</v>
      </c>
      <c r="R578" s="2" t="inlineStr"/>
    </row>
    <row r="579" ht="15" customHeight="1">
      <c r="A579" t="inlineStr">
        <is>
          <t>A 38387-2019</t>
        </is>
      </c>
      <c r="B579" s="1" t="n">
        <v>43685</v>
      </c>
      <c r="C579" s="1" t="n">
        <v>45724</v>
      </c>
      <c r="D579" t="inlineStr">
        <is>
          <t>VÄSTMANLANDS LÄN</t>
        </is>
      </c>
      <c r="E579" t="inlineStr">
        <is>
          <t>FAGERSTA</t>
        </is>
      </c>
      <c r="F579" t="inlineStr">
        <is>
          <t>Övriga Aktiebolag</t>
        </is>
      </c>
      <c r="G579" t="n">
        <v>3.6</v>
      </c>
      <c r="H579" t="n">
        <v>0</v>
      </c>
      <c r="I579" t="n">
        <v>0</v>
      </c>
      <c r="J579" t="n">
        <v>0</v>
      </c>
      <c r="K579" t="n">
        <v>0</v>
      </c>
      <c r="L579" t="n">
        <v>0</v>
      </c>
      <c r="M579" t="n">
        <v>0</v>
      </c>
      <c r="N579" t="n">
        <v>0</v>
      </c>
      <c r="O579" t="n">
        <v>0</v>
      </c>
      <c r="P579" t="n">
        <v>0</v>
      </c>
      <c r="Q579" t="n">
        <v>0</v>
      </c>
      <c r="R579" s="2" t="inlineStr"/>
    </row>
    <row r="580" ht="15" customHeight="1">
      <c r="A580" t="inlineStr">
        <is>
          <t>A 38479-2019</t>
        </is>
      </c>
      <c r="B580" s="1" t="n">
        <v>43685</v>
      </c>
      <c r="C580" s="1" t="n">
        <v>45724</v>
      </c>
      <c r="D580" t="inlineStr">
        <is>
          <t>VÄSTMANLANDS LÄN</t>
        </is>
      </c>
      <c r="E580" t="inlineStr">
        <is>
          <t>ARBOGA</t>
        </is>
      </c>
      <c r="G580" t="n">
        <v>5.6</v>
      </c>
      <c r="H580" t="n">
        <v>0</v>
      </c>
      <c r="I580" t="n">
        <v>0</v>
      </c>
      <c r="J580" t="n">
        <v>0</v>
      </c>
      <c r="K580" t="n">
        <v>0</v>
      </c>
      <c r="L580" t="n">
        <v>0</v>
      </c>
      <c r="M580" t="n">
        <v>0</v>
      </c>
      <c r="N580" t="n">
        <v>0</v>
      </c>
      <c r="O580" t="n">
        <v>0</v>
      </c>
      <c r="P580" t="n">
        <v>0</v>
      </c>
      <c r="Q580" t="n">
        <v>0</v>
      </c>
      <c r="R580" s="2" t="inlineStr"/>
    </row>
    <row r="581" ht="15" customHeight="1">
      <c r="A581" t="inlineStr">
        <is>
          <t>A 39177-2019</t>
        </is>
      </c>
      <c r="B581" s="1" t="n">
        <v>43685</v>
      </c>
      <c r="C581" s="1" t="n">
        <v>45724</v>
      </c>
      <c r="D581" t="inlineStr">
        <is>
          <t>VÄSTMANLANDS LÄN</t>
        </is>
      </c>
      <c r="E581" t="inlineStr">
        <is>
          <t>VÄSTERÅS</t>
        </is>
      </c>
      <c r="G581" t="n">
        <v>0.9</v>
      </c>
      <c r="H581" t="n">
        <v>0</v>
      </c>
      <c r="I581" t="n">
        <v>0</v>
      </c>
      <c r="J581" t="n">
        <v>0</v>
      </c>
      <c r="K581" t="n">
        <v>0</v>
      </c>
      <c r="L581" t="n">
        <v>0</v>
      </c>
      <c r="M581" t="n">
        <v>0</v>
      </c>
      <c r="N581" t="n">
        <v>0</v>
      </c>
      <c r="O581" t="n">
        <v>0</v>
      </c>
      <c r="P581" t="n">
        <v>0</v>
      </c>
      <c r="Q581" t="n">
        <v>0</v>
      </c>
      <c r="R581" s="2" t="inlineStr"/>
    </row>
    <row r="582" ht="15" customHeight="1">
      <c r="A582" t="inlineStr">
        <is>
          <t>A 39198-2019</t>
        </is>
      </c>
      <c r="B582" s="1" t="n">
        <v>43685</v>
      </c>
      <c r="C582" s="1" t="n">
        <v>45724</v>
      </c>
      <c r="D582" t="inlineStr">
        <is>
          <t>VÄSTMANLANDS LÄN</t>
        </is>
      </c>
      <c r="E582" t="inlineStr">
        <is>
          <t>NORBERG</t>
        </is>
      </c>
      <c r="G582" t="n">
        <v>1.4</v>
      </c>
      <c r="H582" t="n">
        <v>0</v>
      </c>
      <c r="I582" t="n">
        <v>0</v>
      </c>
      <c r="J582" t="n">
        <v>0</v>
      </c>
      <c r="K582" t="n">
        <v>0</v>
      </c>
      <c r="L582" t="n">
        <v>0</v>
      </c>
      <c r="M582" t="n">
        <v>0</v>
      </c>
      <c r="N582" t="n">
        <v>0</v>
      </c>
      <c r="O582" t="n">
        <v>0</v>
      </c>
      <c r="P582" t="n">
        <v>0</v>
      </c>
      <c r="Q582" t="n">
        <v>0</v>
      </c>
      <c r="R582" s="2" t="inlineStr"/>
    </row>
    <row r="583" ht="15" customHeight="1">
      <c r="A583" t="inlineStr">
        <is>
          <t>A 39178-2019</t>
        </is>
      </c>
      <c r="B583" s="1" t="n">
        <v>43685</v>
      </c>
      <c r="C583" s="1" t="n">
        <v>45724</v>
      </c>
      <c r="D583" t="inlineStr">
        <is>
          <t>VÄSTMANLANDS LÄN</t>
        </is>
      </c>
      <c r="E583" t="inlineStr">
        <is>
          <t>VÄSTERÅS</t>
        </is>
      </c>
      <c r="G583" t="n">
        <v>4.5</v>
      </c>
      <c r="H583" t="n">
        <v>0</v>
      </c>
      <c r="I583" t="n">
        <v>0</v>
      </c>
      <c r="J583" t="n">
        <v>0</v>
      </c>
      <c r="K583" t="n">
        <v>0</v>
      </c>
      <c r="L583" t="n">
        <v>0</v>
      </c>
      <c r="M583" t="n">
        <v>0</v>
      </c>
      <c r="N583" t="n">
        <v>0</v>
      </c>
      <c r="O583" t="n">
        <v>0</v>
      </c>
      <c r="P583" t="n">
        <v>0</v>
      </c>
      <c r="Q583" t="n">
        <v>0</v>
      </c>
      <c r="R583" s="2" t="inlineStr"/>
    </row>
    <row r="584" ht="15" customHeight="1">
      <c r="A584" t="inlineStr">
        <is>
          <t>A 38645-2019</t>
        </is>
      </c>
      <c r="B584" s="1" t="n">
        <v>43686</v>
      </c>
      <c r="C584" s="1" t="n">
        <v>45724</v>
      </c>
      <c r="D584" t="inlineStr">
        <is>
          <t>VÄSTMANLANDS LÄN</t>
        </is>
      </c>
      <c r="E584" t="inlineStr">
        <is>
          <t>SALA</t>
        </is>
      </c>
      <c r="G584" t="n">
        <v>1.5</v>
      </c>
      <c r="H584" t="n">
        <v>0</v>
      </c>
      <c r="I584" t="n">
        <v>0</v>
      </c>
      <c r="J584" t="n">
        <v>0</v>
      </c>
      <c r="K584" t="n">
        <v>0</v>
      </c>
      <c r="L584" t="n">
        <v>0</v>
      </c>
      <c r="M584" t="n">
        <v>0</v>
      </c>
      <c r="N584" t="n">
        <v>0</v>
      </c>
      <c r="O584" t="n">
        <v>0</v>
      </c>
      <c r="P584" t="n">
        <v>0</v>
      </c>
      <c r="Q584" t="n">
        <v>0</v>
      </c>
      <c r="R584" s="2" t="inlineStr"/>
    </row>
    <row r="585" ht="15" customHeight="1">
      <c r="A585" t="inlineStr">
        <is>
          <t>A 38922-2019</t>
        </is>
      </c>
      <c r="B585" s="1" t="n">
        <v>43689</v>
      </c>
      <c r="C585" s="1" t="n">
        <v>45724</v>
      </c>
      <c r="D585" t="inlineStr">
        <is>
          <t>VÄSTMANLANDS LÄN</t>
        </is>
      </c>
      <c r="E585" t="inlineStr">
        <is>
          <t>VÄSTERÅS</t>
        </is>
      </c>
      <c r="G585" t="n">
        <v>6.4</v>
      </c>
      <c r="H585" t="n">
        <v>0</v>
      </c>
      <c r="I585" t="n">
        <v>0</v>
      </c>
      <c r="J585" t="n">
        <v>0</v>
      </c>
      <c r="K585" t="n">
        <v>0</v>
      </c>
      <c r="L585" t="n">
        <v>0</v>
      </c>
      <c r="M585" t="n">
        <v>0</v>
      </c>
      <c r="N585" t="n">
        <v>0</v>
      </c>
      <c r="O585" t="n">
        <v>0</v>
      </c>
      <c r="P585" t="n">
        <v>0</v>
      </c>
      <c r="Q585" t="n">
        <v>0</v>
      </c>
      <c r="R585" s="2" t="inlineStr"/>
    </row>
    <row r="586" ht="15" customHeight="1">
      <c r="A586" t="inlineStr">
        <is>
          <t>A 38986-2019</t>
        </is>
      </c>
      <c r="B586" s="1" t="n">
        <v>43689</v>
      </c>
      <c r="C586" s="1" t="n">
        <v>45724</v>
      </c>
      <c r="D586" t="inlineStr">
        <is>
          <t>VÄSTMANLANDS LÄN</t>
        </is>
      </c>
      <c r="E586" t="inlineStr">
        <is>
          <t>VÄSTERÅS</t>
        </is>
      </c>
      <c r="G586" t="n">
        <v>1.7</v>
      </c>
      <c r="H586" t="n">
        <v>0</v>
      </c>
      <c r="I586" t="n">
        <v>0</v>
      </c>
      <c r="J586" t="n">
        <v>0</v>
      </c>
      <c r="K586" t="n">
        <v>0</v>
      </c>
      <c r="L586" t="n">
        <v>0</v>
      </c>
      <c r="M586" t="n">
        <v>0</v>
      </c>
      <c r="N586" t="n">
        <v>0</v>
      </c>
      <c r="O586" t="n">
        <v>0</v>
      </c>
      <c r="P586" t="n">
        <v>0</v>
      </c>
      <c r="Q586" t="n">
        <v>0</v>
      </c>
      <c r="R586" s="2" t="inlineStr"/>
    </row>
    <row r="587" ht="15" customHeight="1">
      <c r="A587" t="inlineStr">
        <is>
          <t>A 38981-2019</t>
        </is>
      </c>
      <c r="B587" s="1" t="n">
        <v>43689</v>
      </c>
      <c r="C587" s="1" t="n">
        <v>45724</v>
      </c>
      <c r="D587" t="inlineStr">
        <is>
          <t>VÄSTMANLANDS LÄN</t>
        </is>
      </c>
      <c r="E587" t="inlineStr">
        <is>
          <t>VÄSTERÅS</t>
        </is>
      </c>
      <c r="G587" t="n">
        <v>2</v>
      </c>
      <c r="H587" t="n">
        <v>0</v>
      </c>
      <c r="I587" t="n">
        <v>0</v>
      </c>
      <c r="J587" t="n">
        <v>0</v>
      </c>
      <c r="K587" t="n">
        <v>0</v>
      </c>
      <c r="L587" t="n">
        <v>0</v>
      </c>
      <c r="M587" t="n">
        <v>0</v>
      </c>
      <c r="N587" t="n">
        <v>0</v>
      </c>
      <c r="O587" t="n">
        <v>0</v>
      </c>
      <c r="P587" t="n">
        <v>0</v>
      </c>
      <c r="Q587" t="n">
        <v>0</v>
      </c>
      <c r="R587" s="2" t="inlineStr"/>
    </row>
    <row r="588" ht="15" customHeight="1">
      <c r="A588" t="inlineStr">
        <is>
          <t>A 39088-2019</t>
        </is>
      </c>
      <c r="B588" s="1" t="n">
        <v>43689</v>
      </c>
      <c r="C588" s="1" t="n">
        <v>45724</v>
      </c>
      <c r="D588" t="inlineStr">
        <is>
          <t>VÄSTMANLANDS LÄN</t>
        </is>
      </c>
      <c r="E588" t="inlineStr">
        <is>
          <t>ARBOGA</t>
        </is>
      </c>
      <c r="G588" t="n">
        <v>2</v>
      </c>
      <c r="H588" t="n">
        <v>0</v>
      </c>
      <c r="I588" t="n">
        <v>0</v>
      </c>
      <c r="J588" t="n">
        <v>0</v>
      </c>
      <c r="K588" t="n">
        <v>0</v>
      </c>
      <c r="L588" t="n">
        <v>0</v>
      </c>
      <c r="M588" t="n">
        <v>0</v>
      </c>
      <c r="N588" t="n">
        <v>0</v>
      </c>
      <c r="O588" t="n">
        <v>0</v>
      </c>
      <c r="P588" t="n">
        <v>0</v>
      </c>
      <c r="Q588" t="n">
        <v>0</v>
      </c>
      <c r="R588" s="2" t="inlineStr"/>
    </row>
    <row r="589" ht="15" customHeight="1">
      <c r="A589" t="inlineStr">
        <is>
          <t>A 38848-2019</t>
        </is>
      </c>
      <c r="B589" s="1" t="n">
        <v>43689</v>
      </c>
      <c r="C589" s="1" t="n">
        <v>45724</v>
      </c>
      <c r="D589" t="inlineStr">
        <is>
          <t>VÄSTMANLANDS LÄN</t>
        </is>
      </c>
      <c r="E589" t="inlineStr">
        <is>
          <t>VÄSTERÅS</t>
        </is>
      </c>
      <c r="G589" t="n">
        <v>2</v>
      </c>
      <c r="H589" t="n">
        <v>0</v>
      </c>
      <c r="I589" t="n">
        <v>0</v>
      </c>
      <c r="J589" t="n">
        <v>0</v>
      </c>
      <c r="K589" t="n">
        <v>0</v>
      </c>
      <c r="L589" t="n">
        <v>0</v>
      </c>
      <c r="M589" t="n">
        <v>0</v>
      </c>
      <c r="N589" t="n">
        <v>0</v>
      </c>
      <c r="O589" t="n">
        <v>0</v>
      </c>
      <c r="P589" t="n">
        <v>0</v>
      </c>
      <c r="Q589" t="n">
        <v>0</v>
      </c>
      <c r="R589" s="2" t="inlineStr"/>
    </row>
    <row r="590" ht="15" customHeight="1">
      <c r="A590" t="inlineStr">
        <is>
          <t>A 39231-2019</t>
        </is>
      </c>
      <c r="B590" s="1" t="n">
        <v>43690</v>
      </c>
      <c r="C590" s="1" t="n">
        <v>45724</v>
      </c>
      <c r="D590" t="inlineStr">
        <is>
          <t>VÄSTMANLANDS LÄN</t>
        </is>
      </c>
      <c r="E590" t="inlineStr">
        <is>
          <t>ARBOGA</t>
        </is>
      </c>
      <c r="G590" t="n">
        <v>22.7</v>
      </c>
      <c r="H590" t="n">
        <v>0</v>
      </c>
      <c r="I590" t="n">
        <v>0</v>
      </c>
      <c r="J590" t="n">
        <v>0</v>
      </c>
      <c r="K590" t="n">
        <v>0</v>
      </c>
      <c r="L590" t="n">
        <v>0</v>
      </c>
      <c r="M590" t="n">
        <v>0</v>
      </c>
      <c r="N590" t="n">
        <v>0</v>
      </c>
      <c r="O590" t="n">
        <v>0</v>
      </c>
      <c r="P590" t="n">
        <v>0</v>
      </c>
      <c r="Q590" t="n">
        <v>0</v>
      </c>
      <c r="R590" s="2" t="inlineStr"/>
    </row>
    <row r="591" ht="15" customHeight="1">
      <c r="A591" t="inlineStr">
        <is>
          <t>A 39497-2019</t>
        </is>
      </c>
      <c r="B591" s="1" t="n">
        <v>43691</v>
      </c>
      <c r="C591" s="1" t="n">
        <v>45724</v>
      </c>
      <c r="D591" t="inlineStr">
        <is>
          <t>VÄSTMANLANDS LÄN</t>
        </is>
      </c>
      <c r="E591" t="inlineStr">
        <is>
          <t>VÄSTERÅS</t>
        </is>
      </c>
      <c r="F591" t="inlineStr">
        <is>
          <t>Kommuner</t>
        </is>
      </c>
      <c r="G591" t="n">
        <v>3.2</v>
      </c>
      <c r="H591" t="n">
        <v>0</v>
      </c>
      <c r="I591" t="n">
        <v>0</v>
      </c>
      <c r="J591" t="n">
        <v>0</v>
      </c>
      <c r="K591" t="n">
        <v>0</v>
      </c>
      <c r="L591" t="n">
        <v>0</v>
      </c>
      <c r="M591" t="n">
        <v>0</v>
      </c>
      <c r="N591" t="n">
        <v>0</v>
      </c>
      <c r="O591" t="n">
        <v>0</v>
      </c>
      <c r="P591" t="n">
        <v>0</v>
      </c>
      <c r="Q591" t="n">
        <v>0</v>
      </c>
      <c r="R591" s="2" t="inlineStr"/>
    </row>
    <row r="592" ht="15" customHeight="1">
      <c r="A592" t="inlineStr">
        <is>
          <t>A 39552-2019</t>
        </is>
      </c>
      <c r="B592" s="1" t="n">
        <v>43691</v>
      </c>
      <c r="C592" s="1" t="n">
        <v>45724</v>
      </c>
      <c r="D592" t="inlineStr">
        <is>
          <t>VÄSTMANLANDS LÄN</t>
        </is>
      </c>
      <c r="E592" t="inlineStr">
        <is>
          <t>SURAHAMMAR</t>
        </is>
      </c>
      <c r="F592" t="inlineStr">
        <is>
          <t>Övriga Aktiebolag</t>
        </is>
      </c>
      <c r="G592" t="n">
        <v>4.4</v>
      </c>
      <c r="H592" t="n">
        <v>0</v>
      </c>
      <c r="I592" t="n">
        <v>0</v>
      </c>
      <c r="J592" t="n">
        <v>0</v>
      </c>
      <c r="K592" t="n">
        <v>0</v>
      </c>
      <c r="L592" t="n">
        <v>0</v>
      </c>
      <c r="M592" t="n">
        <v>0</v>
      </c>
      <c r="N592" t="n">
        <v>0</v>
      </c>
      <c r="O592" t="n">
        <v>0</v>
      </c>
      <c r="P592" t="n">
        <v>0</v>
      </c>
      <c r="Q592" t="n">
        <v>0</v>
      </c>
      <c r="R592" s="2" t="inlineStr"/>
    </row>
    <row r="593" ht="15" customHeight="1">
      <c r="A593" t="inlineStr">
        <is>
          <t>A 39756-2019</t>
        </is>
      </c>
      <c r="B593" s="1" t="n">
        <v>43692</v>
      </c>
      <c r="C593" s="1" t="n">
        <v>45724</v>
      </c>
      <c r="D593" t="inlineStr">
        <is>
          <t>VÄSTMANLANDS LÄN</t>
        </is>
      </c>
      <c r="E593" t="inlineStr">
        <is>
          <t>VÄSTERÅS</t>
        </is>
      </c>
      <c r="F593" t="inlineStr">
        <is>
          <t>Kommuner</t>
        </is>
      </c>
      <c r="G593" t="n">
        <v>8</v>
      </c>
      <c r="H593" t="n">
        <v>0</v>
      </c>
      <c r="I593" t="n">
        <v>0</v>
      </c>
      <c r="J593" t="n">
        <v>0</v>
      </c>
      <c r="K593" t="n">
        <v>0</v>
      </c>
      <c r="L593" t="n">
        <v>0</v>
      </c>
      <c r="M593" t="n">
        <v>0</v>
      </c>
      <c r="N593" t="n">
        <v>0</v>
      </c>
      <c r="O593" t="n">
        <v>0</v>
      </c>
      <c r="P593" t="n">
        <v>0</v>
      </c>
      <c r="Q593" t="n">
        <v>0</v>
      </c>
      <c r="R593" s="2" t="inlineStr"/>
    </row>
    <row r="594" ht="15" customHeight="1">
      <c r="A594" t="inlineStr">
        <is>
          <t>A 39754-2019</t>
        </is>
      </c>
      <c r="B594" s="1" t="n">
        <v>43692</v>
      </c>
      <c r="C594" s="1" t="n">
        <v>45724</v>
      </c>
      <c r="D594" t="inlineStr">
        <is>
          <t>VÄSTMANLANDS LÄN</t>
        </is>
      </c>
      <c r="E594" t="inlineStr">
        <is>
          <t>SURAHAMMAR</t>
        </is>
      </c>
      <c r="F594" t="inlineStr">
        <is>
          <t>Övriga Aktiebolag</t>
        </is>
      </c>
      <c r="G594" t="n">
        <v>5.7</v>
      </c>
      <c r="H594" t="n">
        <v>0</v>
      </c>
      <c r="I594" t="n">
        <v>0</v>
      </c>
      <c r="J594" t="n">
        <v>0</v>
      </c>
      <c r="K594" t="n">
        <v>0</v>
      </c>
      <c r="L594" t="n">
        <v>0</v>
      </c>
      <c r="M594" t="n">
        <v>0</v>
      </c>
      <c r="N594" t="n">
        <v>0</v>
      </c>
      <c r="O594" t="n">
        <v>0</v>
      </c>
      <c r="P594" t="n">
        <v>0</v>
      </c>
      <c r="Q594" t="n">
        <v>0</v>
      </c>
      <c r="R594" s="2" t="inlineStr"/>
    </row>
    <row r="595" ht="15" customHeight="1">
      <c r="A595" t="inlineStr">
        <is>
          <t>A 39803-2019</t>
        </is>
      </c>
      <c r="B595" s="1" t="n">
        <v>43692</v>
      </c>
      <c r="C595" s="1" t="n">
        <v>45724</v>
      </c>
      <c r="D595" t="inlineStr">
        <is>
          <t>VÄSTMANLANDS LÄN</t>
        </is>
      </c>
      <c r="E595" t="inlineStr">
        <is>
          <t>KÖPING</t>
        </is>
      </c>
      <c r="G595" t="n">
        <v>1.1</v>
      </c>
      <c r="H595" t="n">
        <v>0</v>
      </c>
      <c r="I595" t="n">
        <v>0</v>
      </c>
      <c r="J595" t="n">
        <v>0</v>
      </c>
      <c r="K595" t="n">
        <v>0</v>
      </c>
      <c r="L595" t="n">
        <v>0</v>
      </c>
      <c r="M595" t="n">
        <v>0</v>
      </c>
      <c r="N595" t="n">
        <v>0</v>
      </c>
      <c r="O595" t="n">
        <v>0</v>
      </c>
      <c r="P595" t="n">
        <v>0</v>
      </c>
      <c r="Q595" t="n">
        <v>0</v>
      </c>
      <c r="R595" s="2" t="inlineStr"/>
    </row>
    <row r="596" ht="15" customHeight="1">
      <c r="A596" t="inlineStr">
        <is>
          <t>A 40191-2019</t>
        </is>
      </c>
      <c r="B596" s="1" t="n">
        <v>43693</v>
      </c>
      <c r="C596" s="1" t="n">
        <v>45724</v>
      </c>
      <c r="D596" t="inlineStr">
        <is>
          <t>VÄSTMANLANDS LÄN</t>
        </is>
      </c>
      <c r="E596" t="inlineStr">
        <is>
          <t>SURAHAMMAR</t>
        </is>
      </c>
      <c r="F596" t="inlineStr">
        <is>
          <t>Bergvik skog väst AB</t>
        </is>
      </c>
      <c r="G596" t="n">
        <v>3.5</v>
      </c>
      <c r="H596" t="n">
        <v>0</v>
      </c>
      <c r="I596" t="n">
        <v>0</v>
      </c>
      <c r="J596" t="n">
        <v>0</v>
      </c>
      <c r="K596" t="n">
        <v>0</v>
      </c>
      <c r="L596" t="n">
        <v>0</v>
      </c>
      <c r="M596" t="n">
        <v>0</v>
      </c>
      <c r="N596" t="n">
        <v>0</v>
      </c>
      <c r="O596" t="n">
        <v>0</v>
      </c>
      <c r="P596" t="n">
        <v>0</v>
      </c>
      <c r="Q596" t="n">
        <v>0</v>
      </c>
      <c r="R596" s="2" t="inlineStr"/>
    </row>
    <row r="597" ht="15" customHeight="1">
      <c r="A597" t="inlineStr">
        <is>
          <t>A 40439-2019</t>
        </is>
      </c>
      <c r="B597" s="1" t="n">
        <v>43696</v>
      </c>
      <c r="C597" s="1" t="n">
        <v>45724</v>
      </c>
      <c r="D597" t="inlineStr">
        <is>
          <t>VÄSTMANLANDS LÄN</t>
        </is>
      </c>
      <c r="E597" t="inlineStr">
        <is>
          <t>SKINNSKATTEBERG</t>
        </is>
      </c>
      <c r="F597" t="inlineStr">
        <is>
          <t>Sveaskog</t>
        </is>
      </c>
      <c r="G597" t="n">
        <v>1.1</v>
      </c>
      <c r="H597" t="n">
        <v>0</v>
      </c>
      <c r="I597" t="n">
        <v>0</v>
      </c>
      <c r="J597" t="n">
        <v>0</v>
      </c>
      <c r="K597" t="n">
        <v>0</v>
      </c>
      <c r="L597" t="n">
        <v>0</v>
      </c>
      <c r="M597" t="n">
        <v>0</v>
      </c>
      <c r="N597" t="n">
        <v>0</v>
      </c>
      <c r="O597" t="n">
        <v>0</v>
      </c>
      <c r="P597" t="n">
        <v>0</v>
      </c>
      <c r="Q597" t="n">
        <v>0</v>
      </c>
      <c r="R597" s="2" t="inlineStr"/>
    </row>
    <row r="598" ht="15" customHeight="1">
      <c r="A598" t="inlineStr">
        <is>
          <t>A 40598-2019</t>
        </is>
      </c>
      <c r="B598" s="1" t="n">
        <v>43696</v>
      </c>
      <c r="C598" s="1" t="n">
        <v>45724</v>
      </c>
      <c r="D598" t="inlineStr">
        <is>
          <t>VÄSTMANLANDS LÄN</t>
        </is>
      </c>
      <c r="E598" t="inlineStr">
        <is>
          <t>SKINNSKATTEBERG</t>
        </is>
      </c>
      <c r="F598" t="inlineStr">
        <is>
          <t>Sveaskog</t>
        </is>
      </c>
      <c r="G598" t="n">
        <v>0.6</v>
      </c>
      <c r="H598" t="n">
        <v>0</v>
      </c>
      <c r="I598" t="n">
        <v>0</v>
      </c>
      <c r="J598" t="n">
        <v>0</v>
      </c>
      <c r="K598" t="n">
        <v>0</v>
      </c>
      <c r="L598" t="n">
        <v>0</v>
      </c>
      <c r="M598" t="n">
        <v>0</v>
      </c>
      <c r="N598" t="n">
        <v>0</v>
      </c>
      <c r="O598" t="n">
        <v>0</v>
      </c>
      <c r="P598" t="n">
        <v>0</v>
      </c>
      <c r="Q598" t="n">
        <v>0</v>
      </c>
      <c r="R598" s="2" t="inlineStr"/>
    </row>
    <row r="599" ht="15" customHeight="1">
      <c r="A599" t="inlineStr">
        <is>
          <t>A 40923-2019</t>
        </is>
      </c>
      <c r="B599" s="1" t="n">
        <v>43697</v>
      </c>
      <c r="C599" s="1" t="n">
        <v>45724</v>
      </c>
      <c r="D599" t="inlineStr">
        <is>
          <t>VÄSTMANLANDS LÄN</t>
        </is>
      </c>
      <c r="E599" t="inlineStr">
        <is>
          <t>KÖPING</t>
        </is>
      </c>
      <c r="F599" t="inlineStr">
        <is>
          <t>Sveaskog</t>
        </is>
      </c>
      <c r="G599" t="n">
        <v>0.9</v>
      </c>
      <c r="H599" t="n">
        <v>0</v>
      </c>
      <c r="I599" t="n">
        <v>0</v>
      </c>
      <c r="J599" t="n">
        <v>0</v>
      </c>
      <c r="K599" t="n">
        <v>0</v>
      </c>
      <c r="L599" t="n">
        <v>0</v>
      </c>
      <c r="M599" t="n">
        <v>0</v>
      </c>
      <c r="N599" t="n">
        <v>0</v>
      </c>
      <c r="O599" t="n">
        <v>0</v>
      </c>
      <c r="P599" t="n">
        <v>0</v>
      </c>
      <c r="Q599" t="n">
        <v>0</v>
      </c>
      <c r="R599" s="2" t="inlineStr"/>
    </row>
    <row r="600" ht="15" customHeight="1">
      <c r="A600" t="inlineStr">
        <is>
          <t>A 40925-2019</t>
        </is>
      </c>
      <c r="B600" s="1" t="n">
        <v>43697</v>
      </c>
      <c r="C600" s="1" t="n">
        <v>45724</v>
      </c>
      <c r="D600" t="inlineStr">
        <is>
          <t>VÄSTMANLANDS LÄN</t>
        </is>
      </c>
      <c r="E600" t="inlineStr">
        <is>
          <t>KÖPING</t>
        </is>
      </c>
      <c r="F600" t="inlineStr">
        <is>
          <t>Sveaskog</t>
        </is>
      </c>
      <c r="G600" t="n">
        <v>0.9</v>
      </c>
      <c r="H600" t="n">
        <v>0</v>
      </c>
      <c r="I600" t="n">
        <v>0</v>
      </c>
      <c r="J600" t="n">
        <v>0</v>
      </c>
      <c r="K600" t="n">
        <v>0</v>
      </c>
      <c r="L600" t="n">
        <v>0</v>
      </c>
      <c r="M600" t="n">
        <v>0</v>
      </c>
      <c r="N600" t="n">
        <v>0</v>
      </c>
      <c r="O600" t="n">
        <v>0</v>
      </c>
      <c r="P600" t="n">
        <v>0</v>
      </c>
      <c r="Q600" t="n">
        <v>0</v>
      </c>
      <c r="R600" s="2" t="inlineStr"/>
    </row>
    <row r="601" ht="15" customHeight="1">
      <c r="A601" t="inlineStr">
        <is>
          <t>A 41300-2019</t>
        </is>
      </c>
      <c r="B601" s="1" t="n">
        <v>43698</v>
      </c>
      <c r="C601" s="1" t="n">
        <v>45724</v>
      </c>
      <c r="D601" t="inlineStr">
        <is>
          <t>VÄSTMANLANDS LÄN</t>
        </is>
      </c>
      <c r="E601" t="inlineStr">
        <is>
          <t>SKINNSKATTEBERG</t>
        </is>
      </c>
      <c r="G601" t="n">
        <v>2.2</v>
      </c>
      <c r="H601" t="n">
        <v>0</v>
      </c>
      <c r="I601" t="n">
        <v>0</v>
      </c>
      <c r="J601" t="n">
        <v>0</v>
      </c>
      <c r="K601" t="n">
        <v>0</v>
      </c>
      <c r="L601" t="n">
        <v>0</v>
      </c>
      <c r="M601" t="n">
        <v>0</v>
      </c>
      <c r="N601" t="n">
        <v>0</v>
      </c>
      <c r="O601" t="n">
        <v>0</v>
      </c>
      <c r="P601" t="n">
        <v>0</v>
      </c>
      <c r="Q601" t="n">
        <v>0</v>
      </c>
      <c r="R601" s="2" t="inlineStr"/>
    </row>
    <row r="602" ht="15" customHeight="1">
      <c r="A602" t="inlineStr">
        <is>
          <t>A 41259-2019</t>
        </is>
      </c>
      <c r="B602" s="1" t="n">
        <v>43698</v>
      </c>
      <c r="C602" s="1" t="n">
        <v>45724</v>
      </c>
      <c r="D602" t="inlineStr">
        <is>
          <t>VÄSTMANLANDS LÄN</t>
        </is>
      </c>
      <c r="E602" t="inlineStr">
        <is>
          <t>SALA</t>
        </is>
      </c>
      <c r="G602" t="n">
        <v>8.300000000000001</v>
      </c>
      <c r="H602" t="n">
        <v>0</v>
      </c>
      <c r="I602" t="n">
        <v>0</v>
      </c>
      <c r="J602" t="n">
        <v>0</v>
      </c>
      <c r="K602" t="n">
        <v>0</v>
      </c>
      <c r="L602" t="n">
        <v>0</v>
      </c>
      <c r="M602" t="n">
        <v>0</v>
      </c>
      <c r="N602" t="n">
        <v>0</v>
      </c>
      <c r="O602" t="n">
        <v>0</v>
      </c>
      <c r="P602" t="n">
        <v>0</v>
      </c>
      <c r="Q602" t="n">
        <v>0</v>
      </c>
      <c r="R602" s="2" t="inlineStr"/>
    </row>
    <row r="603" ht="15" customHeight="1">
      <c r="A603" t="inlineStr">
        <is>
          <t>A 41568-2019</t>
        </is>
      </c>
      <c r="B603" s="1" t="n">
        <v>43699</v>
      </c>
      <c r="C603" s="1" t="n">
        <v>45724</v>
      </c>
      <c r="D603" t="inlineStr">
        <is>
          <t>VÄSTMANLANDS LÄN</t>
        </is>
      </c>
      <c r="E603" t="inlineStr">
        <is>
          <t>KÖPING</t>
        </is>
      </c>
      <c r="G603" t="n">
        <v>7.3</v>
      </c>
      <c r="H603" t="n">
        <v>0</v>
      </c>
      <c r="I603" t="n">
        <v>0</v>
      </c>
      <c r="J603" t="n">
        <v>0</v>
      </c>
      <c r="K603" t="n">
        <v>0</v>
      </c>
      <c r="L603" t="n">
        <v>0</v>
      </c>
      <c r="M603" t="n">
        <v>0</v>
      </c>
      <c r="N603" t="n">
        <v>0</v>
      </c>
      <c r="O603" t="n">
        <v>0</v>
      </c>
      <c r="P603" t="n">
        <v>0</v>
      </c>
      <c r="Q603" t="n">
        <v>0</v>
      </c>
      <c r="R603" s="2" t="inlineStr"/>
    </row>
    <row r="604" ht="15" customHeight="1">
      <c r="A604" t="inlineStr">
        <is>
          <t>A 41630-2019</t>
        </is>
      </c>
      <c r="B604" s="1" t="n">
        <v>43699</v>
      </c>
      <c r="C604" s="1" t="n">
        <v>45724</v>
      </c>
      <c r="D604" t="inlineStr">
        <is>
          <t>VÄSTMANLANDS LÄN</t>
        </is>
      </c>
      <c r="E604" t="inlineStr">
        <is>
          <t>SKINNSKATTEBERG</t>
        </is>
      </c>
      <c r="G604" t="n">
        <v>6.5</v>
      </c>
      <c r="H604" t="n">
        <v>0</v>
      </c>
      <c r="I604" t="n">
        <v>0</v>
      </c>
      <c r="J604" t="n">
        <v>0</v>
      </c>
      <c r="K604" t="n">
        <v>0</v>
      </c>
      <c r="L604" t="n">
        <v>0</v>
      </c>
      <c r="M604" t="n">
        <v>0</v>
      </c>
      <c r="N604" t="n">
        <v>0</v>
      </c>
      <c r="O604" t="n">
        <v>0</v>
      </c>
      <c r="P604" t="n">
        <v>0</v>
      </c>
      <c r="Q604" t="n">
        <v>0</v>
      </c>
      <c r="R604" s="2" t="inlineStr"/>
    </row>
    <row r="605" ht="15" customHeight="1">
      <c r="A605" t="inlineStr">
        <is>
          <t>A 41762-2019</t>
        </is>
      </c>
      <c r="B605" s="1" t="n">
        <v>43699</v>
      </c>
      <c r="C605" s="1" t="n">
        <v>45724</v>
      </c>
      <c r="D605" t="inlineStr">
        <is>
          <t>VÄSTMANLANDS LÄN</t>
        </is>
      </c>
      <c r="E605" t="inlineStr">
        <is>
          <t>VÄSTERÅS</t>
        </is>
      </c>
      <c r="F605" t="inlineStr">
        <is>
          <t>Kommuner</t>
        </is>
      </c>
      <c r="G605" t="n">
        <v>1.8</v>
      </c>
      <c r="H605" t="n">
        <v>0</v>
      </c>
      <c r="I605" t="n">
        <v>0</v>
      </c>
      <c r="J605" t="n">
        <v>0</v>
      </c>
      <c r="K605" t="n">
        <v>0</v>
      </c>
      <c r="L605" t="n">
        <v>0</v>
      </c>
      <c r="M605" t="n">
        <v>0</v>
      </c>
      <c r="N605" t="n">
        <v>0</v>
      </c>
      <c r="O605" t="n">
        <v>0</v>
      </c>
      <c r="P605" t="n">
        <v>0</v>
      </c>
      <c r="Q605" t="n">
        <v>0</v>
      </c>
      <c r="R605" s="2" t="inlineStr"/>
    </row>
    <row r="606" ht="15" customHeight="1">
      <c r="A606" t="inlineStr">
        <is>
          <t>A 42003-2019</t>
        </is>
      </c>
      <c r="B606" s="1" t="n">
        <v>43700</v>
      </c>
      <c r="C606" s="1" t="n">
        <v>45724</v>
      </c>
      <c r="D606" t="inlineStr">
        <is>
          <t>VÄSTMANLANDS LÄN</t>
        </is>
      </c>
      <c r="E606" t="inlineStr">
        <is>
          <t>ARBOGA</t>
        </is>
      </c>
      <c r="F606" t="inlineStr">
        <is>
          <t>Sveaskog</t>
        </is>
      </c>
      <c r="G606" t="n">
        <v>5.1</v>
      </c>
      <c r="H606" t="n">
        <v>0</v>
      </c>
      <c r="I606" t="n">
        <v>0</v>
      </c>
      <c r="J606" t="n">
        <v>0</v>
      </c>
      <c r="K606" t="n">
        <v>0</v>
      </c>
      <c r="L606" t="n">
        <v>0</v>
      </c>
      <c r="M606" t="n">
        <v>0</v>
      </c>
      <c r="N606" t="n">
        <v>0</v>
      </c>
      <c r="O606" t="n">
        <v>0</v>
      </c>
      <c r="P606" t="n">
        <v>0</v>
      </c>
      <c r="Q606" t="n">
        <v>0</v>
      </c>
      <c r="R606" s="2" t="inlineStr"/>
    </row>
    <row r="607" ht="15" customHeight="1">
      <c r="A607" t="inlineStr">
        <is>
          <t>A 42061-2019</t>
        </is>
      </c>
      <c r="B607" s="1" t="n">
        <v>43700</v>
      </c>
      <c r="C607" s="1" t="n">
        <v>45724</v>
      </c>
      <c r="D607" t="inlineStr">
        <is>
          <t>VÄSTMANLANDS LÄN</t>
        </is>
      </c>
      <c r="E607" t="inlineStr">
        <is>
          <t>VÄSTERÅS</t>
        </is>
      </c>
      <c r="G607" t="n">
        <v>4.2</v>
      </c>
      <c r="H607" t="n">
        <v>0</v>
      </c>
      <c r="I607" t="n">
        <v>0</v>
      </c>
      <c r="J607" t="n">
        <v>0</v>
      </c>
      <c r="K607" t="n">
        <v>0</v>
      </c>
      <c r="L607" t="n">
        <v>0</v>
      </c>
      <c r="M607" t="n">
        <v>0</v>
      </c>
      <c r="N607" t="n">
        <v>0</v>
      </c>
      <c r="O607" t="n">
        <v>0</v>
      </c>
      <c r="P607" t="n">
        <v>0</v>
      </c>
      <c r="Q607" t="n">
        <v>0</v>
      </c>
      <c r="R607" s="2" t="inlineStr"/>
    </row>
    <row r="608" ht="15" customHeight="1">
      <c r="A608" t="inlineStr">
        <is>
          <t>A 42058-2019</t>
        </is>
      </c>
      <c r="B608" s="1" t="n">
        <v>43700</v>
      </c>
      <c r="C608" s="1" t="n">
        <v>45724</v>
      </c>
      <c r="D608" t="inlineStr">
        <is>
          <t>VÄSTMANLANDS LÄN</t>
        </is>
      </c>
      <c r="E608" t="inlineStr">
        <is>
          <t>VÄSTERÅS</t>
        </is>
      </c>
      <c r="G608" t="n">
        <v>4.2</v>
      </c>
      <c r="H608" t="n">
        <v>0</v>
      </c>
      <c r="I608" t="n">
        <v>0</v>
      </c>
      <c r="J608" t="n">
        <v>0</v>
      </c>
      <c r="K608" t="n">
        <v>0</v>
      </c>
      <c r="L608" t="n">
        <v>0</v>
      </c>
      <c r="M608" t="n">
        <v>0</v>
      </c>
      <c r="N608" t="n">
        <v>0</v>
      </c>
      <c r="O608" t="n">
        <v>0</v>
      </c>
      <c r="P608" t="n">
        <v>0</v>
      </c>
      <c r="Q608" t="n">
        <v>0</v>
      </c>
      <c r="R608" s="2" t="inlineStr"/>
    </row>
    <row r="609" ht="15" customHeight="1">
      <c r="A609" t="inlineStr">
        <is>
          <t>A 42158-2019</t>
        </is>
      </c>
      <c r="B609" s="1" t="n">
        <v>43703</v>
      </c>
      <c r="C609" s="1" t="n">
        <v>45724</v>
      </c>
      <c r="D609" t="inlineStr">
        <is>
          <t>VÄSTMANLANDS LÄN</t>
        </is>
      </c>
      <c r="E609" t="inlineStr">
        <is>
          <t>VÄSTERÅS</t>
        </is>
      </c>
      <c r="G609" t="n">
        <v>1.1</v>
      </c>
      <c r="H609" t="n">
        <v>0</v>
      </c>
      <c r="I609" t="n">
        <v>0</v>
      </c>
      <c r="J609" t="n">
        <v>0</v>
      </c>
      <c r="K609" t="n">
        <v>0</v>
      </c>
      <c r="L609" t="n">
        <v>0</v>
      </c>
      <c r="M609" t="n">
        <v>0</v>
      </c>
      <c r="N609" t="n">
        <v>0</v>
      </c>
      <c r="O609" t="n">
        <v>0</v>
      </c>
      <c r="P609" t="n">
        <v>0</v>
      </c>
      <c r="Q609" t="n">
        <v>0</v>
      </c>
      <c r="R609" s="2" t="inlineStr"/>
    </row>
    <row r="610" ht="15" customHeight="1">
      <c r="A610" t="inlineStr">
        <is>
          <t>A 42385-2019</t>
        </is>
      </c>
      <c r="B610" s="1" t="n">
        <v>43703</v>
      </c>
      <c r="C610" s="1" t="n">
        <v>45724</v>
      </c>
      <c r="D610" t="inlineStr">
        <is>
          <t>VÄSTMANLANDS LÄN</t>
        </is>
      </c>
      <c r="E610" t="inlineStr">
        <is>
          <t>VÄSTERÅS</t>
        </is>
      </c>
      <c r="G610" t="n">
        <v>2.5</v>
      </c>
      <c r="H610" t="n">
        <v>0</v>
      </c>
      <c r="I610" t="n">
        <v>0</v>
      </c>
      <c r="J610" t="n">
        <v>0</v>
      </c>
      <c r="K610" t="n">
        <v>0</v>
      </c>
      <c r="L610" t="n">
        <v>0</v>
      </c>
      <c r="M610" t="n">
        <v>0</v>
      </c>
      <c r="N610" t="n">
        <v>0</v>
      </c>
      <c r="O610" t="n">
        <v>0</v>
      </c>
      <c r="P610" t="n">
        <v>0</v>
      </c>
      <c r="Q610" t="n">
        <v>0</v>
      </c>
      <c r="R610" s="2" t="inlineStr"/>
    </row>
    <row r="611" ht="15" customHeight="1">
      <c r="A611" t="inlineStr">
        <is>
          <t>A 42438-2019</t>
        </is>
      </c>
      <c r="B611" s="1" t="n">
        <v>43704</v>
      </c>
      <c r="C611" s="1" t="n">
        <v>45724</v>
      </c>
      <c r="D611" t="inlineStr">
        <is>
          <t>VÄSTMANLANDS LÄN</t>
        </is>
      </c>
      <c r="E611" t="inlineStr">
        <is>
          <t>KÖPING</t>
        </is>
      </c>
      <c r="F611" t="inlineStr">
        <is>
          <t>Sveaskog</t>
        </is>
      </c>
      <c r="G611" t="n">
        <v>1.4</v>
      </c>
      <c r="H611" t="n">
        <v>0</v>
      </c>
      <c r="I611" t="n">
        <v>0</v>
      </c>
      <c r="J611" t="n">
        <v>0</v>
      </c>
      <c r="K611" t="n">
        <v>0</v>
      </c>
      <c r="L611" t="n">
        <v>0</v>
      </c>
      <c r="M611" t="n">
        <v>0</v>
      </c>
      <c r="N611" t="n">
        <v>0</v>
      </c>
      <c r="O611" t="n">
        <v>0</v>
      </c>
      <c r="P611" t="n">
        <v>0</v>
      </c>
      <c r="Q611" t="n">
        <v>0</v>
      </c>
      <c r="R611" s="2" t="inlineStr"/>
    </row>
    <row r="612" ht="15" customHeight="1">
      <c r="A612" t="inlineStr">
        <is>
          <t>A 42437-2019</t>
        </is>
      </c>
      <c r="B612" s="1" t="n">
        <v>43704</v>
      </c>
      <c r="C612" s="1" t="n">
        <v>45724</v>
      </c>
      <c r="D612" t="inlineStr">
        <is>
          <t>VÄSTMANLANDS LÄN</t>
        </is>
      </c>
      <c r="E612" t="inlineStr">
        <is>
          <t>KÖPING</t>
        </is>
      </c>
      <c r="F612" t="inlineStr">
        <is>
          <t>Sveaskog</t>
        </is>
      </c>
      <c r="G612" t="n">
        <v>3.1</v>
      </c>
      <c r="H612" t="n">
        <v>0</v>
      </c>
      <c r="I612" t="n">
        <v>0</v>
      </c>
      <c r="J612" t="n">
        <v>0</v>
      </c>
      <c r="K612" t="n">
        <v>0</v>
      </c>
      <c r="L612" t="n">
        <v>0</v>
      </c>
      <c r="M612" t="n">
        <v>0</v>
      </c>
      <c r="N612" t="n">
        <v>0</v>
      </c>
      <c r="O612" t="n">
        <v>0</v>
      </c>
      <c r="P612" t="n">
        <v>0</v>
      </c>
      <c r="Q612" t="n">
        <v>0</v>
      </c>
      <c r="R612" s="2" t="inlineStr"/>
    </row>
    <row r="613" ht="15" customHeight="1">
      <c r="A613" t="inlineStr">
        <is>
          <t>A 42450-2019</t>
        </is>
      </c>
      <c r="B613" s="1" t="n">
        <v>43704</v>
      </c>
      <c r="C613" s="1" t="n">
        <v>45724</v>
      </c>
      <c r="D613" t="inlineStr">
        <is>
          <t>VÄSTMANLANDS LÄN</t>
        </is>
      </c>
      <c r="E613" t="inlineStr">
        <is>
          <t>KÖPING</t>
        </is>
      </c>
      <c r="F613" t="inlineStr">
        <is>
          <t>Sveaskog</t>
        </is>
      </c>
      <c r="G613" t="n">
        <v>0.7</v>
      </c>
      <c r="H613" t="n">
        <v>0</v>
      </c>
      <c r="I613" t="n">
        <v>0</v>
      </c>
      <c r="J613" t="n">
        <v>0</v>
      </c>
      <c r="K613" t="n">
        <v>0</v>
      </c>
      <c r="L613" t="n">
        <v>0</v>
      </c>
      <c r="M613" t="n">
        <v>0</v>
      </c>
      <c r="N613" t="n">
        <v>0</v>
      </c>
      <c r="O613" t="n">
        <v>0</v>
      </c>
      <c r="P613" t="n">
        <v>0</v>
      </c>
      <c r="Q613" t="n">
        <v>0</v>
      </c>
      <c r="R613" s="2" t="inlineStr"/>
    </row>
    <row r="614" ht="15" customHeight="1">
      <c r="A614" t="inlineStr">
        <is>
          <t>A 42480-2019</t>
        </is>
      </c>
      <c r="B614" s="1" t="n">
        <v>43704</v>
      </c>
      <c r="C614" s="1" t="n">
        <v>45724</v>
      </c>
      <c r="D614" t="inlineStr">
        <is>
          <t>VÄSTMANLANDS LÄN</t>
        </is>
      </c>
      <c r="E614" t="inlineStr">
        <is>
          <t>KÖPING</t>
        </is>
      </c>
      <c r="F614" t="inlineStr">
        <is>
          <t>Sveaskog</t>
        </is>
      </c>
      <c r="G614" t="n">
        <v>1.6</v>
      </c>
      <c r="H614" t="n">
        <v>0</v>
      </c>
      <c r="I614" t="n">
        <v>0</v>
      </c>
      <c r="J614" t="n">
        <v>0</v>
      </c>
      <c r="K614" t="n">
        <v>0</v>
      </c>
      <c r="L614" t="n">
        <v>0</v>
      </c>
      <c r="M614" t="n">
        <v>0</v>
      </c>
      <c r="N614" t="n">
        <v>0</v>
      </c>
      <c r="O614" t="n">
        <v>0</v>
      </c>
      <c r="P614" t="n">
        <v>0</v>
      </c>
      <c r="Q614" t="n">
        <v>0</v>
      </c>
      <c r="R614" s="2" t="inlineStr"/>
    </row>
    <row r="615" ht="15" customHeight="1">
      <c r="A615" t="inlineStr">
        <is>
          <t>A 43235-2019</t>
        </is>
      </c>
      <c r="B615" s="1" t="n">
        <v>43706</v>
      </c>
      <c r="C615" s="1" t="n">
        <v>45724</v>
      </c>
      <c r="D615" t="inlineStr">
        <is>
          <t>VÄSTMANLANDS LÄN</t>
        </is>
      </c>
      <c r="E615" t="inlineStr">
        <is>
          <t>VÄSTERÅS</t>
        </is>
      </c>
      <c r="G615" t="n">
        <v>8.300000000000001</v>
      </c>
      <c r="H615" t="n">
        <v>0</v>
      </c>
      <c r="I615" t="n">
        <v>0</v>
      </c>
      <c r="J615" t="n">
        <v>0</v>
      </c>
      <c r="K615" t="n">
        <v>0</v>
      </c>
      <c r="L615" t="n">
        <v>0</v>
      </c>
      <c r="M615" t="n">
        <v>0</v>
      </c>
      <c r="N615" t="n">
        <v>0</v>
      </c>
      <c r="O615" t="n">
        <v>0</v>
      </c>
      <c r="P615" t="n">
        <v>0</v>
      </c>
      <c r="Q615" t="n">
        <v>0</v>
      </c>
      <c r="R615" s="2" t="inlineStr"/>
    </row>
    <row r="616" ht="15" customHeight="1">
      <c r="A616" t="inlineStr">
        <is>
          <t>A 43508-2019</t>
        </is>
      </c>
      <c r="B616" s="1" t="n">
        <v>43706</v>
      </c>
      <c r="C616" s="1" t="n">
        <v>45724</v>
      </c>
      <c r="D616" t="inlineStr">
        <is>
          <t>VÄSTMANLANDS LÄN</t>
        </is>
      </c>
      <c r="E616" t="inlineStr">
        <is>
          <t>VÄSTERÅS</t>
        </is>
      </c>
      <c r="G616" t="n">
        <v>2.5</v>
      </c>
      <c r="H616" t="n">
        <v>0</v>
      </c>
      <c r="I616" t="n">
        <v>0</v>
      </c>
      <c r="J616" t="n">
        <v>0</v>
      </c>
      <c r="K616" t="n">
        <v>0</v>
      </c>
      <c r="L616" t="n">
        <v>0</v>
      </c>
      <c r="M616" t="n">
        <v>0</v>
      </c>
      <c r="N616" t="n">
        <v>0</v>
      </c>
      <c r="O616" t="n">
        <v>0</v>
      </c>
      <c r="P616" t="n">
        <v>0</v>
      </c>
      <c r="Q616" t="n">
        <v>0</v>
      </c>
      <c r="R616" s="2" t="inlineStr"/>
    </row>
    <row r="617" ht="15" customHeight="1">
      <c r="A617" t="inlineStr">
        <is>
          <t>A 43724-2019</t>
        </is>
      </c>
      <c r="B617" s="1" t="n">
        <v>43707</v>
      </c>
      <c r="C617" s="1" t="n">
        <v>45724</v>
      </c>
      <c r="D617" t="inlineStr">
        <is>
          <t>VÄSTMANLANDS LÄN</t>
        </is>
      </c>
      <c r="E617" t="inlineStr">
        <is>
          <t>ARBOGA</t>
        </is>
      </c>
      <c r="G617" t="n">
        <v>4.1</v>
      </c>
      <c r="H617" t="n">
        <v>0</v>
      </c>
      <c r="I617" t="n">
        <v>0</v>
      </c>
      <c r="J617" t="n">
        <v>0</v>
      </c>
      <c r="K617" t="n">
        <v>0</v>
      </c>
      <c r="L617" t="n">
        <v>0</v>
      </c>
      <c r="M617" t="n">
        <v>0</v>
      </c>
      <c r="N617" t="n">
        <v>0</v>
      </c>
      <c r="O617" t="n">
        <v>0</v>
      </c>
      <c r="P617" t="n">
        <v>0</v>
      </c>
      <c r="Q617" t="n">
        <v>0</v>
      </c>
      <c r="R617" s="2" t="inlineStr"/>
    </row>
    <row r="618" ht="15" customHeight="1">
      <c r="A618" t="inlineStr">
        <is>
          <t>A 43866-2019</t>
        </is>
      </c>
      <c r="B618" s="1" t="n">
        <v>43707</v>
      </c>
      <c r="C618" s="1" t="n">
        <v>45724</v>
      </c>
      <c r="D618" t="inlineStr">
        <is>
          <t>VÄSTMANLANDS LÄN</t>
        </is>
      </c>
      <c r="E618" t="inlineStr">
        <is>
          <t>SKINNSKATTEBERG</t>
        </is>
      </c>
      <c r="F618" t="inlineStr">
        <is>
          <t>Sveaskog</t>
        </is>
      </c>
      <c r="G618" t="n">
        <v>2.1</v>
      </c>
      <c r="H618" t="n">
        <v>0</v>
      </c>
      <c r="I618" t="n">
        <v>0</v>
      </c>
      <c r="J618" t="n">
        <v>0</v>
      </c>
      <c r="K618" t="n">
        <v>0</v>
      </c>
      <c r="L618" t="n">
        <v>0</v>
      </c>
      <c r="M618" t="n">
        <v>0</v>
      </c>
      <c r="N618" t="n">
        <v>0</v>
      </c>
      <c r="O618" t="n">
        <v>0</v>
      </c>
      <c r="P618" t="n">
        <v>0</v>
      </c>
      <c r="Q618" t="n">
        <v>0</v>
      </c>
      <c r="R618" s="2" t="inlineStr"/>
    </row>
    <row r="619" ht="15" customHeight="1">
      <c r="A619" t="inlineStr">
        <is>
          <t>A 43920-2019</t>
        </is>
      </c>
      <c r="B619" s="1" t="n">
        <v>43707</v>
      </c>
      <c r="C619" s="1" t="n">
        <v>45724</v>
      </c>
      <c r="D619" t="inlineStr">
        <is>
          <t>VÄSTMANLANDS LÄN</t>
        </is>
      </c>
      <c r="E619" t="inlineStr">
        <is>
          <t>KUNGSÖR</t>
        </is>
      </c>
      <c r="G619" t="n">
        <v>4.3</v>
      </c>
      <c r="H619" t="n">
        <v>0</v>
      </c>
      <c r="I619" t="n">
        <v>0</v>
      </c>
      <c r="J619" t="n">
        <v>0</v>
      </c>
      <c r="K619" t="n">
        <v>0</v>
      </c>
      <c r="L619" t="n">
        <v>0</v>
      </c>
      <c r="M619" t="n">
        <v>0</v>
      </c>
      <c r="N619" t="n">
        <v>0</v>
      </c>
      <c r="O619" t="n">
        <v>0</v>
      </c>
      <c r="P619" t="n">
        <v>0</v>
      </c>
      <c r="Q619" t="n">
        <v>0</v>
      </c>
      <c r="R619" s="2" t="inlineStr"/>
    </row>
    <row r="620" ht="15" customHeight="1">
      <c r="A620" t="inlineStr">
        <is>
          <t>A 45302-2019</t>
        </is>
      </c>
      <c r="B620" s="1" t="n">
        <v>43707</v>
      </c>
      <c r="C620" s="1" t="n">
        <v>45724</v>
      </c>
      <c r="D620" t="inlineStr">
        <is>
          <t>VÄSTMANLANDS LÄN</t>
        </is>
      </c>
      <c r="E620" t="inlineStr">
        <is>
          <t>SALA</t>
        </is>
      </c>
      <c r="G620" t="n">
        <v>2.1</v>
      </c>
      <c r="H620" t="n">
        <v>0</v>
      </c>
      <c r="I620" t="n">
        <v>0</v>
      </c>
      <c r="J620" t="n">
        <v>0</v>
      </c>
      <c r="K620" t="n">
        <v>0</v>
      </c>
      <c r="L620" t="n">
        <v>0</v>
      </c>
      <c r="M620" t="n">
        <v>0</v>
      </c>
      <c r="N620" t="n">
        <v>0</v>
      </c>
      <c r="O620" t="n">
        <v>0</v>
      </c>
      <c r="P620" t="n">
        <v>0</v>
      </c>
      <c r="Q620" t="n">
        <v>0</v>
      </c>
      <c r="R620" s="2" t="inlineStr"/>
    </row>
    <row r="621" ht="15" customHeight="1">
      <c r="A621" t="inlineStr">
        <is>
          <t>A 43865-2019</t>
        </is>
      </c>
      <c r="B621" s="1" t="n">
        <v>43707</v>
      </c>
      <c r="C621" s="1" t="n">
        <v>45724</v>
      </c>
      <c r="D621" t="inlineStr">
        <is>
          <t>VÄSTMANLANDS LÄN</t>
        </is>
      </c>
      <c r="E621" t="inlineStr">
        <is>
          <t>SKINNSKATTEBERG</t>
        </is>
      </c>
      <c r="F621" t="inlineStr">
        <is>
          <t>Sveaskog</t>
        </is>
      </c>
      <c r="G621" t="n">
        <v>4.2</v>
      </c>
      <c r="H621" t="n">
        <v>0</v>
      </c>
      <c r="I621" t="n">
        <v>0</v>
      </c>
      <c r="J621" t="n">
        <v>0</v>
      </c>
      <c r="K621" t="n">
        <v>0</v>
      </c>
      <c r="L621" t="n">
        <v>0</v>
      </c>
      <c r="M621" t="n">
        <v>0</v>
      </c>
      <c r="N621" t="n">
        <v>0</v>
      </c>
      <c r="O621" t="n">
        <v>0</v>
      </c>
      <c r="P621" t="n">
        <v>0</v>
      </c>
      <c r="Q621" t="n">
        <v>0</v>
      </c>
      <c r="R621" s="2" t="inlineStr"/>
    </row>
    <row r="622" ht="15" customHeight="1">
      <c r="A622" t="inlineStr">
        <is>
          <t>A 44140-2019</t>
        </is>
      </c>
      <c r="B622" s="1" t="n">
        <v>43709</v>
      </c>
      <c r="C622" s="1" t="n">
        <v>45724</v>
      </c>
      <c r="D622" t="inlineStr">
        <is>
          <t>VÄSTMANLANDS LÄN</t>
        </is>
      </c>
      <c r="E622" t="inlineStr">
        <is>
          <t>VÄSTERÅS</t>
        </is>
      </c>
      <c r="G622" t="n">
        <v>4.1</v>
      </c>
      <c r="H622" t="n">
        <v>0</v>
      </c>
      <c r="I622" t="n">
        <v>0</v>
      </c>
      <c r="J622" t="n">
        <v>0</v>
      </c>
      <c r="K622" t="n">
        <v>0</v>
      </c>
      <c r="L622" t="n">
        <v>0</v>
      </c>
      <c r="M622" t="n">
        <v>0</v>
      </c>
      <c r="N622" t="n">
        <v>0</v>
      </c>
      <c r="O622" t="n">
        <v>0</v>
      </c>
      <c r="P622" t="n">
        <v>0</v>
      </c>
      <c r="Q622" t="n">
        <v>0</v>
      </c>
      <c r="R622" s="2" t="inlineStr"/>
    </row>
    <row r="623" ht="15" customHeight="1">
      <c r="A623" t="inlineStr">
        <is>
          <t>A 44131-2019</t>
        </is>
      </c>
      <c r="B623" s="1" t="n">
        <v>43709</v>
      </c>
      <c r="C623" s="1" t="n">
        <v>45724</v>
      </c>
      <c r="D623" t="inlineStr">
        <is>
          <t>VÄSTMANLANDS LÄN</t>
        </is>
      </c>
      <c r="E623" t="inlineStr">
        <is>
          <t>VÄSTERÅS</t>
        </is>
      </c>
      <c r="G623" t="n">
        <v>2.1</v>
      </c>
      <c r="H623" t="n">
        <v>0</v>
      </c>
      <c r="I623" t="n">
        <v>0</v>
      </c>
      <c r="J623" t="n">
        <v>0</v>
      </c>
      <c r="K623" t="n">
        <v>0</v>
      </c>
      <c r="L623" t="n">
        <v>0</v>
      </c>
      <c r="M623" t="n">
        <v>0</v>
      </c>
      <c r="N623" t="n">
        <v>0</v>
      </c>
      <c r="O623" t="n">
        <v>0</v>
      </c>
      <c r="P623" t="n">
        <v>0</v>
      </c>
      <c r="Q623" t="n">
        <v>0</v>
      </c>
      <c r="R623" s="2" t="inlineStr"/>
    </row>
    <row r="624" ht="15" customHeight="1">
      <c r="A624" t="inlineStr">
        <is>
          <t>A 45467-2019</t>
        </is>
      </c>
      <c r="B624" s="1" t="n">
        <v>43710</v>
      </c>
      <c r="C624" s="1" t="n">
        <v>45724</v>
      </c>
      <c r="D624" t="inlineStr">
        <is>
          <t>VÄSTMANLANDS LÄN</t>
        </is>
      </c>
      <c r="E624" t="inlineStr">
        <is>
          <t>NORBERG</t>
        </is>
      </c>
      <c r="G624" t="n">
        <v>3.7</v>
      </c>
      <c r="H624" t="n">
        <v>0</v>
      </c>
      <c r="I624" t="n">
        <v>0</v>
      </c>
      <c r="J624" t="n">
        <v>0</v>
      </c>
      <c r="K624" t="n">
        <v>0</v>
      </c>
      <c r="L624" t="n">
        <v>0</v>
      </c>
      <c r="M624" t="n">
        <v>0</v>
      </c>
      <c r="N624" t="n">
        <v>0</v>
      </c>
      <c r="O624" t="n">
        <v>0</v>
      </c>
      <c r="P624" t="n">
        <v>0</v>
      </c>
      <c r="Q624" t="n">
        <v>0</v>
      </c>
      <c r="R624" s="2" t="inlineStr"/>
    </row>
    <row r="625" ht="15" customHeight="1">
      <c r="A625" t="inlineStr">
        <is>
          <t>A 44694-2019</t>
        </is>
      </c>
      <c r="B625" s="1" t="n">
        <v>43712</v>
      </c>
      <c r="C625" s="1" t="n">
        <v>45724</v>
      </c>
      <c r="D625" t="inlineStr">
        <is>
          <t>VÄSTMANLANDS LÄN</t>
        </is>
      </c>
      <c r="E625" t="inlineStr">
        <is>
          <t>VÄSTERÅS</t>
        </is>
      </c>
      <c r="G625" t="n">
        <v>0.4</v>
      </c>
      <c r="H625" t="n">
        <v>0</v>
      </c>
      <c r="I625" t="n">
        <v>0</v>
      </c>
      <c r="J625" t="n">
        <v>0</v>
      </c>
      <c r="K625" t="n">
        <v>0</v>
      </c>
      <c r="L625" t="n">
        <v>0</v>
      </c>
      <c r="M625" t="n">
        <v>0</v>
      </c>
      <c r="N625" t="n">
        <v>0</v>
      </c>
      <c r="O625" t="n">
        <v>0</v>
      </c>
      <c r="P625" t="n">
        <v>0</v>
      </c>
      <c r="Q625" t="n">
        <v>0</v>
      </c>
      <c r="R625" s="2" t="inlineStr"/>
    </row>
    <row r="626" ht="15" customHeight="1">
      <c r="A626" t="inlineStr">
        <is>
          <t>A 44699-2019</t>
        </is>
      </c>
      <c r="B626" s="1" t="n">
        <v>43712</v>
      </c>
      <c r="C626" s="1" t="n">
        <v>45724</v>
      </c>
      <c r="D626" t="inlineStr">
        <is>
          <t>VÄSTMANLANDS LÄN</t>
        </is>
      </c>
      <c r="E626" t="inlineStr">
        <is>
          <t>KUNGSÖR</t>
        </is>
      </c>
      <c r="G626" t="n">
        <v>2.9</v>
      </c>
      <c r="H626" t="n">
        <v>0</v>
      </c>
      <c r="I626" t="n">
        <v>0</v>
      </c>
      <c r="J626" t="n">
        <v>0</v>
      </c>
      <c r="K626" t="n">
        <v>0</v>
      </c>
      <c r="L626" t="n">
        <v>0</v>
      </c>
      <c r="M626" t="n">
        <v>0</v>
      </c>
      <c r="N626" t="n">
        <v>0</v>
      </c>
      <c r="O626" t="n">
        <v>0</v>
      </c>
      <c r="P626" t="n">
        <v>0</v>
      </c>
      <c r="Q626" t="n">
        <v>0</v>
      </c>
      <c r="R626" s="2" t="inlineStr"/>
    </row>
    <row r="627" ht="15" customHeight="1">
      <c r="A627" t="inlineStr">
        <is>
          <t>A 44715-2019</t>
        </is>
      </c>
      <c r="B627" s="1" t="n">
        <v>43712</v>
      </c>
      <c r="C627" s="1" t="n">
        <v>45724</v>
      </c>
      <c r="D627" t="inlineStr">
        <is>
          <t>VÄSTMANLANDS LÄN</t>
        </is>
      </c>
      <c r="E627" t="inlineStr">
        <is>
          <t>VÄSTERÅS</t>
        </is>
      </c>
      <c r="G627" t="n">
        <v>2.7</v>
      </c>
      <c r="H627" t="n">
        <v>0</v>
      </c>
      <c r="I627" t="n">
        <v>0</v>
      </c>
      <c r="J627" t="n">
        <v>0</v>
      </c>
      <c r="K627" t="n">
        <v>0</v>
      </c>
      <c r="L627" t="n">
        <v>0</v>
      </c>
      <c r="M627" t="n">
        <v>0</v>
      </c>
      <c r="N627" t="n">
        <v>0</v>
      </c>
      <c r="O627" t="n">
        <v>0</v>
      </c>
      <c r="P627" t="n">
        <v>0</v>
      </c>
      <c r="Q627" t="n">
        <v>0</v>
      </c>
      <c r="R627" s="2" t="inlineStr"/>
    </row>
    <row r="628" ht="15" customHeight="1">
      <c r="A628" t="inlineStr">
        <is>
          <t>A 44730-2019</t>
        </is>
      </c>
      <c r="B628" s="1" t="n">
        <v>43712</v>
      </c>
      <c r="C628" s="1" t="n">
        <v>45724</v>
      </c>
      <c r="D628" t="inlineStr">
        <is>
          <t>VÄSTMANLANDS LÄN</t>
        </is>
      </c>
      <c r="E628" t="inlineStr">
        <is>
          <t>VÄSTERÅS</t>
        </is>
      </c>
      <c r="G628" t="n">
        <v>28</v>
      </c>
      <c r="H628" t="n">
        <v>0</v>
      </c>
      <c r="I628" t="n">
        <v>0</v>
      </c>
      <c r="J628" t="n">
        <v>0</v>
      </c>
      <c r="K628" t="n">
        <v>0</v>
      </c>
      <c r="L628" t="n">
        <v>0</v>
      </c>
      <c r="M628" t="n">
        <v>0</v>
      </c>
      <c r="N628" t="n">
        <v>0</v>
      </c>
      <c r="O628" t="n">
        <v>0</v>
      </c>
      <c r="P628" t="n">
        <v>0</v>
      </c>
      <c r="Q628" t="n">
        <v>0</v>
      </c>
      <c r="R628" s="2" t="inlineStr"/>
    </row>
    <row r="629" ht="15" customHeight="1">
      <c r="A629" t="inlineStr">
        <is>
          <t>A 44813-2019</t>
        </is>
      </c>
      <c r="B629" s="1" t="n">
        <v>43712</v>
      </c>
      <c r="C629" s="1" t="n">
        <v>45724</v>
      </c>
      <c r="D629" t="inlineStr">
        <is>
          <t>VÄSTMANLANDS LÄN</t>
        </is>
      </c>
      <c r="E629" t="inlineStr">
        <is>
          <t>VÄSTERÅS</t>
        </is>
      </c>
      <c r="G629" t="n">
        <v>0.4</v>
      </c>
      <c r="H629" t="n">
        <v>0</v>
      </c>
      <c r="I629" t="n">
        <v>0</v>
      </c>
      <c r="J629" t="n">
        <v>0</v>
      </c>
      <c r="K629" t="n">
        <v>0</v>
      </c>
      <c r="L629" t="n">
        <v>0</v>
      </c>
      <c r="M629" t="n">
        <v>0</v>
      </c>
      <c r="N629" t="n">
        <v>0</v>
      </c>
      <c r="O629" t="n">
        <v>0</v>
      </c>
      <c r="P629" t="n">
        <v>0</v>
      </c>
      <c r="Q629" t="n">
        <v>0</v>
      </c>
      <c r="R629" s="2" t="inlineStr"/>
    </row>
    <row r="630" ht="15" customHeight="1">
      <c r="A630" t="inlineStr">
        <is>
          <t>A 44840-2019</t>
        </is>
      </c>
      <c r="B630" s="1" t="n">
        <v>43712</v>
      </c>
      <c r="C630" s="1" t="n">
        <v>45724</v>
      </c>
      <c r="D630" t="inlineStr">
        <is>
          <t>VÄSTMANLANDS LÄN</t>
        </is>
      </c>
      <c r="E630" t="inlineStr">
        <is>
          <t>KUNGSÖR</t>
        </is>
      </c>
      <c r="G630" t="n">
        <v>0.5</v>
      </c>
      <c r="H630" t="n">
        <v>0</v>
      </c>
      <c r="I630" t="n">
        <v>0</v>
      </c>
      <c r="J630" t="n">
        <v>0</v>
      </c>
      <c r="K630" t="n">
        <v>0</v>
      </c>
      <c r="L630" t="n">
        <v>0</v>
      </c>
      <c r="M630" t="n">
        <v>0</v>
      </c>
      <c r="N630" t="n">
        <v>0</v>
      </c>
      <c r="O630" t="n">
        <v>0</v>
      </c>
      <c r="P630" t="n">
        <v>0</v>
      </c>
      <c r="Q630" t="n">
        <v>0</v>
      </c>
      <c r="R630" s="2" t="inlineStr"/>
    </row>
    <row r="631" ht="15" customHeight="1">
      <c r="A631" t="inlineStr">
        <is>
          <t>A 44959-2019</t>
        </is>
      </c>
      <c r="B631" s="1" t="n">
        <v>43713</v>
      </c>
      <c r="C631" s="1" t="n">
        <v>45724</v>
      </c>
      <c r="D631" t="inlineStr">
        <is>
          <t>VÄSTMANLANDS LÄN</t>
        </is>
      </c>
      <c r="E631" t="inlineStr">
        <is>
          <t>VÄSTERÅS</t>
        </is>
      </c>
      <c r="G631" t="n">
        <v>1.3</v>
      </c>
      <c r="H631" t="n">
        <v>0</v>
      </c>
      <c r="I631" t="n">
        <v>0</v>
      </c>
      <c r="J631" t="n">
        <v>0</v>
      </c>
      <c r="K631" t="n">
        <v>0</v>
      </c>
      <c r="L631" t="n">
        <v>0</v>
      </c>
      <c r="M631" t="n">
        <v>0</v>
      </c>
      <c r="N631" t="n">
        <v>0</v>
      </c>
      <c r="O631" t="n">
        <v>0</v>
      </c>
      <c r="P631" t="n">
        <v>0</v>
      </c>
      <c r="Q631" t="n">
        <v>0</v>
      </c>
      <c r="R631" s="2" t="inlineStr"/>
    </row>
    <row r="632" ht="15" customHeight="1">
      <c r="A632" t="inlineStr">
        <is>
          <t>A 45251-2019</t>
        </is>
      </c>
      <c r="B632" s="1" t="n">
        <v>43713</v>
      </c>
      <c r="C632" s="1" t="n">
        <v>45724</v>
      </c>
      <c r="D632" t="inlineStr">
        <is>
          <t>VÄSTMANLANDS LÄN</t>
        </is>
      </c>
      <c r="E632" t="inlineStr">
        <is>
          <t>VÄSTERÅS</t>
        </is>
      </c>
      <c r="G632" t="n">
        <v>34.2</v>
      </c>
      <c r="H632" t="n">
        <v>0</v>
      </c>
      <c r="I632" t="n">
        <v>0</v>
      </c>
      <c r="J632" t="n">
        <v>0</v>
      </c>
      <c r="K632" t="n">
        <v>0</v>
      </c>
      <c r="L632" t="n">
        <v>0</v>
      </c>
      <c r="M632" t="n">
        <v>0</v>
      </c>
      <c r="N632" t="n">
        <v>0</v>
      </c>
      <c r="O632" t="n">
        <v>0</v>
      </c>
      <c r="P632" t="n">
        <v>0</v>
      </c>
      <c r="Q632" t="n">
        <v>0</v>
      </c>
      <c r="R632" s="2" t="inlineStr"/>
    </row>
    <row r="633" ht="15" customHeight="1">
      <c r="A633" t="inlineStr">
        <is>
          <t>A 45494-2019</t>
        </is>
      </c>
      <c r="B633" s="1" t="n">
        <v>43714</v>
      </c>
      <c r="C633" s="1" t="n">
        <v>45724</v>
      </c>
      <c r="D633" t="inlineStr">
        <is>
          <t>VÄSTMANLANDS LÄN</t>
        </is>
      </c>
      <c r="E633" t="inlineStr">
        <is>
          <t>ARBOGA</t>
        </is>
      </c>
      <c r="F633" t="inlineStr">
        <is>
          <t>Allmännings- och besparingsskogar</t>
        </is>
      </c>
      <c r="G633" t="n">
        <v>1.8</v>
      </c>
      <c r="H633" t="n">
        <v>0</v>
      </c>
      <c r="I633" t="n">
        <v>0</v>
      </c>
      <c r="J633" t="n">
        <v>0</v>
      </c>
      <c r="K633" t="n">
        <v>0</v>
      </c>
      <c r="L633" t="n">
        <v>0</v>
      </c>
      <c r="M633" t="n">
        <v>0</v>
      </c>
      <c r="N633" t="n">
        <v>0</v>
      </c>
      <c r="O633" t="n">
        <v>0</v>
      </c>
      <c r="P633" t="n">
        <v>0</v>
      </c>
      <c r="Q633" t="n">
        <v>0</v>
      </c>
      <c r="R633" s="2" t="inlineStr"/>
    </row>
    <row r="634" ht="15" customHeight="1">
      <c r="A634" t="inlineStr">
        <is>
          <t>A 45880-2019</t>
        </is>
      </c>
      <c r="B634" s="1" t="n">
        <v>43717</v>
      </c>
      <c r="C634" s="1" t="n">
        <v>45724</v>
      </c>
      <c r="D634" t="inlineStr">
        <is>
          <t>VÄSTMANLANDS LÄN</t>
        </is>
      </c>
      <c r="E634" t="inlineStr">
        <is>
          <t>ARBOGA</t>
        </is>
      </c>
      <c r="G634" t="n">
        <v>0.6</v>
      </c>
      <c r="H634" t="n">
        <v>0</v>
      </c>
      <c r="I634" t="n">
        <v>0</v>
      </c>
      <c r="J634" t="n">
        <v>0</v>
      </c>
      <c r="K634" t="n">
        <v>0</v>
      </c>
      <c r="L634" t="n">
        <v>0</v>
      </c>
      <c r="M634" t="n">
        <v>0</v>
      </c>
      <c r="N634" t="n">
        <v>0</v>
      </c>
      <c r="O634" t="n">
        <v>0</v>
      </c>
      <c r="P634" t="n">
        <v>0</v>
      </c>
      <c r="Q634" t="n">
        <v>0</v>
      </c>
      <c r="R634" s="2" t="inlineStr"/>
    </row>
    <row r="635" ht="15" customHeight="1">
      <c r="A635" t="inlineStr">
        <is>
          <t>A 46303-2019</t>
        </is>
      </c>
      <c r="B635" s="1" t="n">
        <v>43718</v>
      </c>
      <c r="C635" s="1" t="n">
        <v>45724</v>
      </c>
      <c r="D635" t="inlineStr">
        <is>
          <t>VÄSTMANLANDS LÄN</t>
        </is>
      </c>
      <c r="E635" t="inlineStr">
        <is>
          <t>KÖPING</t>
        </is>
      </c>
      <c r="F635" t="inlineStr">
        <is>
          <t>Sveaskog</t>
        </is>
      </c>
      <c r="G635" t="n">
        <v>1.1</v>
      </c>
      <c r="H635" t="n">
        <v>0</v>
      </c>
      <c r="I635" t="n">
        <v>0</v>
      </c>
      <c r="J635" t="n">
        <v>0</v>
      </c>
      <c r="K635" t="n">
        <v>0</v>
      </c>
      <c r="L635" t="n">
        <v>0</v>
      </c>
      <c r="M635" t="n">
        <v>0</v>
      </c>
      <c r="N635" t="n">
        <v>0</v>
      </c>
      <c r="O635" t="n">
        <v>0</v>
      </c>
      <c r="P635" t="n">
        <v>0</v>
      </c>
      <c r="Q635" t="n">
        <v>0</v>
      </c>
      <c r="R635" s="2" t="inlineStr"/>
    </row>
    <row r="636" ht="15" customHeight="1">
      <c r="A636" t="inlineStr">
        <is>
          <t>A 46306-2019</t>
        </is>
      </c>
      <c r="B636" s="1" t="n">
        <v>43718</v>
      </c>
      <c r="C636" s="1" t="n">
        <v>45724</v>
      </c>
      <c r="D636" t="inlineStr">
        <is>
          <t>VÄSTMANLANDS LÄN</t>
        </is>
      </c>
      <c r="E636" t="inlineStr">
        <is>
          <t>KÖPING</t>
        </is>
      </c>
      <c r="F636" t="inlineStr">
        <is>
          <t>Sveaskog</t>
        </is>
      </c>
      <c r="G636" t="n">
        <v>1.1</v>
      </c>
      <c r="H636" t="n">
        <v>0</v>
      </c>
      <c r="I636" t="n">
        <v>0</v>
      </c>
      <c r="J636" t="n">
        <v>0</v>
      </c>
      <c r="K636" t="n">
        <v>0</v>
      </c>
      <c r="L636" t="n">
        <v>0</v>
      </c>
      <c r="M636" t="n">
        <v>0</v>
      </c>
      <c r="N636" t="n">
        <v>0</v>
      </c>
      <c r="O636" t="n">
        <v>0</v>
      </c>
      <c r="P636" t="n">
        <v>0</v>
      </c>
      <c r="Q636" t="n">
        <v>0</v>
      </c>
      <c r="R636" s="2" t="inlineStr"/>
    </row>
    <row r="637" ht="15" customHeight="1">
      <c r="A637" t="inlineStr">
        <is>
          <t>A 46523-2019</t>
        </is>
      </c>
      <c r="B637" s="1" t="n">
        <v>43719</v>
      </c>
      <c r="C637" s="1" t="n">
        <v>45724</v>
      </c>
      <c r="D637" t="inlineStr">
        <is>
          <t>VÄSTMANLANDS LÄN</t>
        </is>
      </c>
      <c r="E637" t="inlineStr">
        <is>
          <t>SKINNSKATTEBERG</t>
        </is>
      </c>
      <c r="F637" t="inlineStr">
        <is>
          <t>Sveaskog</t>
        </is>
      </c>
      <c r="G637" t="n">
        <v>4.7</v>
      </c>
      <c r="H637" t="n">
        <v>0</v>
      </c>
      <c r="I637" t="n">
        <v>0</v>
      </c>
      <c r="J637" t="n">
        <v>0</v>
      </c>
      <c r="K637" t="n">
        <v>0</v>
      </c>
      <c r="L637" t="n">
        <v>0</v>
      </c>
      <c r="M637" t="n">
        <v>0</v>
      </c>
      <c r="N637" t="n">
        <v>0</v>
      </c>
      <c r="O637" t="n">
        <v>0</v>
      </c>
      <c r="P637" t="n">
        <v>0</v>
      </c>
      <c r="Q637" t="n">
        <v>0</v>
      </c>
      <c r="R637" s="2" t="inlineStr"/>
    </row>
    <row r="638" ht="15" customHeight="1">
      <c r="A638" t="inlineStr">
        <is>
          <t>A 46586-2019</t>
        </is>
      </c>
      <c r="B638" s="1" t="n">
        <v>43719</v>
      </c>
      <c r="C638" s="1" t="n">
        <v>45724</v>
      </c>
      <c r="D638" t="inlineStr">
        <is>
          <t>VÄSTMANLANDS LÄN</t>
        </is>
      </c>
      <c r="E638" t="inlineStr">
        <is>
          <t>SKINNSKATTEBERG</t>
        </is>
      </c>
      <c r="F638" t="inlineStr">
        <is>
          <t>Sveaskog</t>
        </is>
      </c>
      <c r="G638" t="n">
        <v>2.3</v>
      </c>
      <c r="H638" t="n">
        <v>0</v>
      </c>
      <c r="I638" t="n">
        <v>0</v>
      </c>
      <c r="J638" t="n">
        <v>0</v>
      </c>
      <c r="K638" t="n">
        <v>0</v>
      </c>
      <c r="L638" t="n">
        <v>0</v>
      </c>
      <c r="M638" t="n">
        <v>0</v>
      </c>
      <c r="N638" t="n">
        <v>0</v>
      </c>
      <c r="O638" t="n">
        <v>0</v>
      </c>
      <c r="P638" t="n">
        <v>0</v>
      </c>
      <c r="Q638" t="n">
        <v>0</v>
      </c>
      <c r="R638" s="2" t="inlineStr"/>
    </row>
    <row r="639" ht="15" customHeight="1">
      <c r="A639" t="inlineStr">
        <is>
          <t>A 46607-2019</t>
        </is>
      </c>
      <c r="B639" s="1" t="n">
        <v>43719</v>
      </c>
      <c r="C639" s="1" t="n">
        <v>45724</v>
      </c>
      <c r="D639" t="inlineStr">
        <is>
          <t>VÄSTMANLANDS LÄN</t>
        </is>
      </c>
      <c r="E639" t="inlineStr">
        <is>
          <t>ARBOGA</t>
        </is>
      </c>
      <c r="G639" t="n">
        <v>1.5</v>
      </c>
      <c r="H639" t="n">
        <v>0</v>
      </c>
      <c r="I639" t="n">
        <v>0</v>
      </c>
      <c r="J639" t="n">
        <v>0</v>
      </c>
      <c r="K639" t="n">
        <v>0</v>
      </c>
      <c r="L639" t="n">
        <v>0</v>
      </c>
      <c r="M639" t="n">
        <v>0</v>
      </c>
      <c r="N639" t="n">
        <v>0</v>
      </c>
      <c r="O639" t="n">
        <v>0</v>
      </c>
      <c r="P639" t="n">
        <v>0</v>
      </c>
      <c r="Q639" t="n">
        <v>0</v>
      </c>
      <c r="R639" s="2" t="inlineStr"/>
    </row>
    <row r="640" ht="15" customHeight="1">
      <c r="A640" t="inlineStr">
        <is>
          <t>A 46588-2019</t>
        </is>
      </c>
      <c r="B640" s="1" t="n">
        <v>43719</v>
      </c>
      <c r="C640" s="1" t="n">
        <v>45724</v>
      </c>
      <c r="D640" t="inlineStr">
        <is>
          <t>VÄSTMANLANDS LÄN</t>
        </is>
      </c>
      <c r="E640" t="inlineStr">
        <is>
          <t>SKINNSKATTEBERG</t>
        </is>
      </c>
      <c r="F640" t="inlineStr">
        <is>
          <t>Sveaskog</t>
        </is>
      </c>
      <c r="G640" t="n">
        <v>2.5</v>
      </c>
      <c r="H640" t="n">
        <v>0</v>
      </c>
      <c r="I640" t="n">
        <v>0</v>
      </c>
      <c r="J640" t="n">
        <v>0</v>
      </c>
      <c r="K640" t="n">
        <v>0</v>
      </c>
      <c r="L640" t="n">
        <v>0</v>
      </c>
      <c r="M640" t="n">
        <v>0</v>
      </c>
      <c r="N640" t="n">
        <v>0</v>
      </c>
      <c r="O640" t="n">
        <v>0</v>
      </c>
      <c r="P640" t="n">
        <v>0</v>
      </c>
      <c r="Q640" t="n">
        <v>0</v>
      </c>
      <c r="R640" s="2" t="inlineStr"/>
    </row>
    <row r="641" ht="15" customHeight="1">
      <c r="A641" t="inlineStr">
        <is>
          <t>A 46936-2019</t>
        </is>
      </c>
      <c r="B641" s="1" t="n">
        <v>43719</v>
      </c>
      <c r="C641" s="1" t="n">
        <v>45724</v>
      </c>
      <c r="D641" t="inlineStr">
        <is>
          <t>VÄSTMANLANDS LÄN</t>
        </is>
      </c>
      <c r="E641" t="inlineStr">
        <is>
          <t>SALA</t>
        </is>
      </c>
      <c r="G641" t="n">
        <v>4.6</v>
      </c>
      <c r="H641" t="n">
        <v>0</v>
      </c>
      <c r="I641" t="n">
        <v>0</v>
      </c>
      <c r="J641" t="n">
        <v>0</v>
      </c>
      <c r="K641" t="n">
        <v>0</v>
      </c>
      <c r="L641" t="n">
        <v>0</v>
      </c>
      <c r="M641" t="n">
        <v>0</v>
      </c>
      <c r="N641" t="n">
        <v>0</v>
      </c>
      <c r="O641" t="n">
        <v>0</v>
      </c>
      <c r="P641" t="n">
        <v>0</v>
      </c>
      <c r="Q641" t="n">
        <v>0</v>
      </c>
      <c r="R641" s="2" t="inlineStr"/>
    </row>
    <row r="642" ht="15" customHeight="1">
      <c r="A642" t="inlineStr">
        <is>
          <t>A 46591-2019</t>
        </is>
      </c>
      <c r="B642" s="1" t="n">
        <v>43719</v>
      </c>
      <c r="C642" s="1" t="n">
        <v>45724</v>
      </c>
      <c r="D642" t="inlineStr">
        <is>
          <t>VÄSTMANLANDS LÄN</t>
        </is>
      </c>
      <c r="E642" t="inlineStr">
        <is>
          <t>SKINNSKATTEBERG</t>
        </is>
      </c>
      <c r="F642" t="inlineStr">
        <is>
          <t>Sveaskog</t>
        </is>
      </c>
      <c r="G642" t="n">
        <v>1.1</v>
      </c>
      <c r="H642" t="n">
        <v>0</v>
      </c>
      <c r="I642" t="n">
        <v>0</v>
      </c>
      <c r="J642" t="n">
        <v>0</v>
      </c>
      <c r="K642" t="n">
        <v>0</v>
      </c>
      <c r="L642" t="n">
        <v>0</v>
      </c>
      <c r="M642" t="n">
        <v>0</v>
      </c>
      <c r="N642" t="n">
        <v>0</v>
      </c>
      <c r="O642" t="n">
        <v>0</v>
      </c>
      <c r="P642" t="n">
        <v>0</v>
      </c>
      <c r="Q642" t="n">
        <v>0</v>
      </c>
      <c r="R642" s="2" t="inlineStr"/>
    </row>
    <row r="643" ht="15" customHeight="1">
      <c r="A643" t="inlineStr">
        <is>
          <t>A 46906-2019</t>
        </is>
      </c>
      <c r="B643" s="1" t="n">
        <v>43720</v>
      </c>
      <c r="C643" s="1" t="n">
        <v>45724</v>
      </c>
      <c r="D643" t="inlineStr">
        <is>
          <t>VÄSTMANLANDS LÄN</t>
        </is>
      </c>
      <c r="E643" t="inlineStr">
        <is>
          <t>ARBOGA</t>
        </is>
      </c>
      <c r="G643" t="n">
        <v>0.9</v>
      </c>
      <c r="H643" t="n">
        <v>0</v>
      </c>
      <c r="I643" t="n">
        <v>0</v>
      </c>
      <c r="J643" t="n">
        <v>0</v>
      </c>
      <c r="K643" t="n">
        <v>0</v>
      </c>
      <c r="L643" t="n">
        <v>0</v>
      </c>
      <c r="M643" t="n">
        <v>0</v>
      </c>
      <c r="N643" t="n">
        <v>0</v>
      </c>
      <c r="O643" t="n">
        <v>0</v>
      </c>
      <c r="P643" t="n">
        <v>0</v>
      </c>
      <c r="Q643" t="n">
        <v>0</v>
      </c>
      <c r="R643" s="2" t="inlineStr"/>
    </row>
    <row r="644" ht="15" customHeight="1">
      <c r="A644" t="inlineStr">
        <is>
          <t>A 47016-2019</t>
        </is>
      </c>
      <c r="B644" s="1" t="n">
        <v>43720</v>
      </c>
      <c r="C644" s="1" t="n">
        <v>45724</v>
      </c>
      <c r="D644" t="inlineStr">
        <is>
          <t>VÄSTMANLANDS LÄN</t>
        </is>
      </c>
      <c r="E644" t="inlineStr">
        <is>
          <t>VÄSTERÅS</t>
        </is>
      </c>
      <c r="G644" t="n">
        <v>2.4</v>
      </c>
      <c r="H644" t="n">
        <v>0</v>
      </c>
      <c r="I644" t="n">
        <v>0</v>
      </c>
      <c r="J644" t="n">
        <v>0</v>
      </c>
      <c r="K644" t="n">
        <v>0</v>
      </c>
      <c r="L644" t="n">
        <v>0</v>
      </c>
      <c r="M644" t="n">
        <v>0</v>
      </c>
      <c r="N644" t="n">
        <v>0</v>
      </c>
      <c r="O644" t="n">
        <v>0</v>
      </c>
      <c r="P644" t="n">
        <v>0</v>
      </c>
      <c r="Q644" t="n">
        <v>0</v>
      </c>
      <c r="R644" s="2" t="inlineStr"/>
    </row>
    <row r="645" ht="15" customHeight="1">
      <c r="A645" t="inlineStr">
        <is>
          <t>A 47217-2019</t>
        </is>
      </c>
      <c r="B645" s="1" t="n">
        <v>43720</v>
      </c>
      <c r="C645" s="1" t="n">
        <v>45724</v>
      </c>
      <c r="D645" t="inlineStr">
        <is>
          <t>VÄSTMANLANDS LÄN</t>
        </is>
      </c>
      <c r="E645" t="inlineStr">
        <is>
          <t>NORBERG</t>
        </is>
      </c>
      <c r="G645" t="n">
        <v>2.5</v>
      </c>
      <c r="H645" t="n">
        <v>0</v>
      </c>
      <c r="I645" t="n">
        <v>0</v>
      </c>
      <c r="J645" t="n">
        <v>0</v>
      </c>
      <c r="K645" t="n">
        <v>0</v>
      </c>
      <c r="L645" t="n">
        <v>0</v>
      </c>
      <c r="M645" t="n">
        <v>0</v>
      </c>
      <c r="N645" t="n">
        <v>0</v>
      </c>
      <c r="O645" t="n">
        <v>0</v>
      </c>
      <c r="P645" t="n">
        <v>0</v>
      </c>
      <c r="Q645" t="n">
        <v>0</v>
      </c>
      <c r="R645" s="2" t="inlineStr"/>
    </row>
    <row r="646" ht="15" customHeight="1">
      <c r="A646" t="inlineStr">
        <is>
          <t>A 47049-2019</t>
        </is>
      </c>
      <c r="B646" s="1" t="n">
        <v>43720</v>
      </c>
      <c r="C646" s="1" t="n">
        <v>45724</v>
      </c>
      <c r="D646" t="inlineStr">
        <is>
          <t>VÄSTMANLANDS LÄN</t>
        </is>
      </c>
      <c r="E646" t="inlineStr">
        <is>
          <t>VÄSTERÅS</t>
        </is>
      </c>
      <c r="G646" t="n">
        <v>2.6</v>
      </c>
      <c r="H646" t="n">
        <v>0</v>
      </c>
      <c r="I646" t="n">
        <v>0</v>
      </c>
      <c r="J646" t="n">
        <v>0</v>
      </c>
      <c r="K646" t="n">
        <v>0</v>
      </c>
      <c r="L646" t="n">
        <v>0</v>
      </c>
      <c r="M646" t="n">
        <v>0</v>
      </c>
      <c r="N646" t="n">
        <v>0</v>
      </c>
      <c r="O646" t="n">
        <v>0</v>
      </c>
      <c r="P646" t="n">
        <v>0</v>
      </c>
      <c r="Q646" t="n">
        <v>0</v>
      </c>
      <c r="R646" s="2" t="inlineStr"/>
    </row>
    <row r="647" ht="15" customHeight="1">
      <c r="A647" t="inlineStr">
        <is>
          <t>A 47197-2019</t>
        </is>
      </c>
      <c r="B647" s="1" t="n">
        <v>43720</v>
      </c>
      <c r="C647" s="1" t="n">
        <v>45724</v>
      </c>
      <c r="D647" t="inlineStr">
        <is>
          <t>VÄSTMANLANDS LÄN</t>
        </is>
      </c>
      <c r="E647" t="inlineStr">
        <is>
          <t>NORBERG</t>
        </is>
      </c>
      <c r="G647" t="n">
        <v>2.7</v>
      </c>
      <c r="H647" t="n">
        <v>0</v>
      </c>
      <c r="I647" t="n">
        <v>0</v>
      </c>
      <c r="J647" t="n">
        <v>0</v>
      </c>
      <c r="K647" t="n">
        <v>0</v>
      </c>
      <c r="L647" t="n">
        <v>0</v>
      </c>
      <c r="M647" t="n">
        <v>0</v>
      </c>
      <c r="N647" t="n">
        <v>0</v>
      </c>
      <c r="O647" t="n">
        <v>0</v>
      </c>
      <c r="P647" t="n">
        <v>0</v>
      </c>
      <c r="Q647" t="n">
        <v>0</v>
      </c>
      <c r="R647" s="2" t="inlineStr"/>
    </row>
    <row r="648" ht="15" customHeight="1">
      <c r="A648" t="inlineStr">
        <is>
          <t>A 47351-2019</t>
        </is>
      </c>
      <c r="B648" s="1" t="n">
        <v>43721</v>
      </c>
      <c r="C648" s="1" t="n">
        <v>45724</v>
      </c>
      <c r="D648" t="inlineStr">
        <is>
          <t>VÄSTMANLANDS LÄN</t>
        </is>
      </c>
      <c r="E648" t="inlineStr">
        <is>
          <t>SKINNSKATTEBERG</t>
        </is>
      </c>
      <c r="F648" t="inlineStr">
        <is>
          <t>Sveaskog</t>
        </is>
      </c>
      <c r="G648" t="n">
        <v>1.6</v>
      </c>
      <c r="H648" t="n">
        <v>0</v>
      </c>
      <c r="I648" t="n">
        <v>0</v>
      </c>
      <c r="J648" t="n">
        <v>0</v>
      </c>
      <c r="K648" t="n">
        <v>0</v>
      </c>
      <c r="L648" t="n">
        <v>0</v>
      </c>
      <c r="M648" t="n">
        <v>0</v>
      </c>
      <c r="N648" t="n">
        <v>0</v>
      </c>
      <c r="O648" t="n">
        <v>0</v>
      </c>
      <c r="P648" t="n">
        <v>0</v>
      </c>
      <c r="Q648" t="n">
        <v>0</v>
      </c>
      <c r="R648" s="2" t="inlineStr"/>
    </row>
    <row r="649" ht="15" customHeight="1">
      <c r="A649" t="inlineStr">
        <is>
          <t>A 47354-2019</t>
        </is>
      </c>
      <c r="B649" s="1" t="n">
        <v>43721</v>
      </c>
      <c r="C649" s="1" t="n">
        <v>45724</v>
      </c>
      <c r="D649" t="inlineStr">
        <is>
          <t>VÄSTMANLANDS LÄN</t>
        </is>
      </c>
      <c r="E649" t="inlineStr">
        <is>
          <t>SKINNSKATTEBERG</t>
        </is>
      </c>
      <c r="F649" t="inlineStr">
        <is>
          <t>Sveaskog</t>
        </is>
      </c>
      <c r="G649" t="n">
        <v>1.8</v>
      </c>
      <c r="H649" t="n">
        <v>0</v>
      </c>
      <c r="I649" t="n">
        <v>0</v>
      </c>
      <c r="J649" t="n">
        <v>0</v>
      </c>
      <c r="K649" t="n">
        <v>0</v>
      </c>
      <c r="L649" t="n">
        <v>0</v>
      </c>
      <c r="M649" t="n">
        <v>0</v>
      </c>
      <c r="N649" t="n">
        <v>0</v>
      </c>
      <c r="O649" t="n">
        <v>0</v>
      </c>
      <c r="P649" t="n">
        <v>0</v>
      </c>
      <c r="Q649" t="n">
        <v>0</v>
      </c>
      <c r="R649" s="2" t="inlineStr"/>
    </row>
    <row r="650" ht="15" customHeight="1">
      <c r="A650" t="inlineStr">
        <is>
          <t>A 47465-2019</t>
        </is>
      </c>
      <c r="B650" s="1" t="n">
        <v>43724</v>
      </c>
      <c r="C650" s="1" t="n">
        <v>45724</v>
      </c>
      <c r="D650" t="inlineStr">
        <is>
          <t>VÄSTMANLANDS LÄN</t>
        </is>
      </c>
      <c r="E650" t="inlineStr">
        <is>
          <t>SKINNSKATTEBERG</t>
        </is>
      </c>
      <c r="F650" t="inlineStr">
        <is>
          <t>Sveaskog</t>
        </is>
      </c>
      <c r="G650" t="n">
        <v>1.5</v>
      </c>
      <c r="H650" t="n">
        <v>0</v>
      </c>
      <c r="I650" t="n">
        <v>0</v>
      </c>
      <c r="J650" t="n">
        <v>0</v>
      </c>
      <c r="K650" t="n">
        <v>0</v>
      </c>
      <c r="L650" t="n">
        <v>0</v>
      </c>
      <c r="M650" t="n">
        <v>0</v>
      </c>
      <c r="N650" t="n">
        <v>0</v>
      </c>
      <c r="O650" t="n">
        <v>0</v>
      </c>
      <c r="P650" t="n">
        <v>0</v>
      </c>
      <c r="Q650" t="n">
        <v>0</v>
      </c>
      <c r="R650" s="2" t="inlineStr"/>
    </row>
    <row r="651" ht="15" customHeight="1">
      <c r="A651" t="inlineStr">
        <is>
          <t>A 47725-2019</t>
        </is>
      </c>
      <c r="B651" s="1" t="n">
        <v>43724</v>
      </c>
      <c r="C651" s="1" t="n">
        <v>45724</v>
      </c>
      <c r="D651" t="inlineStr">
        <is>
          <t>VÄSTMANLANDS LÄN</t>
        </is>
      </c>
      <c r="E651" t="inlineStr">
        <is>
          <t>VÄSTERÅS</t>
        </is>
      </c>
      <c r="G651" t="n">
        <v>3.2</v>
      </c>
      <c r="H651" t="n">
        <v>0</v>
      </c>
      <c r="I651" t="n">
        <v>0</v>
      </c>
      <c r="J651" t="n">
        <v>0</v>
      </c>
      <c r="K651" t="n">
        <v>0</v>
      </c>
      <c r="L651" t="n">
        <v>0</v>
      </c>
      <c r="M651" t="n">
        <v>0</v>
      </c>
      <c r="N651" t="n">
        <v>0</v>
      </c>
      <c r="O651" t="n">
        <v>0</v>
      </c>
      <c r="P651" t="n">
        <v>0</v>
      </c>
      <c r="Q651" t="n">
        <v>0</v>
      </c>
      <c r="R651" s="2" t="inlineStr"/>
    </row>
    <row r="652" ht="15" customHeight="1">
      <c r="A652" t="inlineStr">
        <is>
          <t>A 47500-2019</t>
        </is>
      </c>
      <c r="B652" s="1" t="n">
        <v>43724</v>
      </c>
      <c r="C652" s="1" t="n">
        <v>45724</v>
      </c>
      <c r="D652" t="inlineStr">
        <is>
          <t>VÄSTMANLANDS LÄN</t>
        </is>
      </c>
      <c r="E652" t="inlineStr">
        <is>
          <t>SKINNSKATTEBERG</t>
        </is>
      </c>
      <c r="F652" t="inlineStr">
        <is>
          <t>Sveaskog</t>
        </is>
      </c>
      <c r="G652" t="n">
        <v>4.3</v>
      </c>
      <c r="H652" t="n">
        <v>0</v>
      </c>
      <c r="I652" t="n">
        <v>0</v>
      </c>
      <c r="J652" t="n">
        <v>0</v>
      </c>
      <c r="K652" t="n">
        <v>0</v>
      </c>
      <c r="L652" t="n">
        <v>0</v>
      </c>
      <c r="M652" t="n">
        <v>0</v>
      </c>
      <c r="N652" t="n">
        <v>0</v>
      </c>
      <c r="O652" t="n">
        <v>0</v>
      </c>
      <c r="P652" t="n">
        <v>0</v>
      </c>
      <c r="Q652" t="n">
        <v>0</v>
      </c>
      <c r="R652" s="2" t="inlineStr"/>
    </row>
    <row r="653" ht="15" customHeight="1">
      <c r="A653" t="inlineStr">
        <is>
          <t>A 48195-2019</t>
        </is>
      </c>
      <c r="B653" s="1" t="n">
        <v>43726</v>
      </c>
      <c r="C653" s="1" t="n">
        <v>45724</v>
      </c>
      <c r="D653" t="inlineStr">
        <is>
          <t>VÄSTMANLANDS LÄN</t>
        </is>
      </c>
      <c r="E653" t="inlineStr">
        <is>
          <t>VÄSTERÅS</t>
        </is>
      </c>
      <c r="G653" t="n">
        <v>1</v>
      </c>
      <c r="H653" t="n">
        <v>0</v>
      </c>
      <c r="I653" t="n">
        <v>0</v>
      </c>
      <c r="J653" t="n">
        <v>0</v>
      </c>
      <c r="K653" t="n">
        <v>0</v>
      </c>
      <c r="L653" t="n">
        <v>0</v>
      </c>
      <c r="M653" t="n">
        <v>0</v>
      </c>
      <c r="N653" t="n">
        <v>0</v>
      </c>
      <c r="O653" t="n">
        <v>0</v>
      </c>
      <c r="P653" t="n">
        <v>0</v>
      </c>
      <c r="Q653" t="n">
        <v>0</v>
      </c>
      <c r="R653" s="2" t="inlineStr"/>
    </row>
    <row r="654" ht="15" customHeight="1">
      <c r="A654" t="inlineStr">
        <is>
          <t>A 48211-2019</t>
        </is>
      </c>
      <c r="B654" s="1" t="n">
        <v>43726</v>
      </c>
      <c r="C654" s="1" t="n">
        <v>45724</v>
      </c>
      <c r="D654" t="inlineStr">
        <is>
          <t>VÄSTMANLANDS LÄN</t>
        </is>
      </c>
      <c r="E654" t="inlineStr">
        <is>
          <t>FAGERSTA</t>
        </is>
      </c>
      <c r="G654" t="n">
        <v>1.1</v>
      </c>
      <c r="H654" t="n">
        <v>0</v>
      </c>
      <c r="I654" t="n">
        <v>0</v>
      </c>
      <c r="J654" t="n">
        <v>0</v>
      </c>
      <c r="K654" t="n">
        <v>0</v>
      </c>
      <c r="L654" t="n">
        <v>0</v>
      </c>
      <c r="M654" t="n">
        <v>0</v>
      </c>
      <c r="N654" t="n">
        <v>0</v>
      </c>
      <c r="O654" t="n">
        <v>0</v>
      </c>
      <c r="P654" t="n">
        <v>0</v>
      </c>
      <c r="Q654" t="n">
        <v>0</v>
      </c>
      <c r="R654" s="2" t="inlineStr"/>
    </row>
    <row r="655" ht="15" customHeight="1">
      <c r="A655" t="inlineStr">
        <is>
          <t>A 48228-2019</t>
        </is>
      </c>
      <c r="B655" s="1" t="n">
        <v>43726</v>
      </c>
      <c r="C655" s="1" t="n">
        <v>45724</v>
      </c>
      <c r="D655" t="inlineStr">
        <is>
          <t>VÄSTMANLANDS LÄN</t>
        </is>
      </c>
      <c r="E655" t="inlineStr">
        <is>
          <t>VÄSTERÅS</t>
        </is>
      </c>
      <c r="G655" t="n">
        <v>4.2</v>
      </c>
      <c r="H655" t="n">
        <v>0</v>
      </c>
      <c r="I655" t="n">
        <v>0</v>
      </c>
      <c r="J655" t="n">
        <v>0</v>
      </c>
      <c r="K655" t="n">
        <v>0</v>
      </c>
      <c r="L655" t="n">
        <v>0</v>
      </c>
      <c r="M655" t="n">
        <v>0</v>
      </c>
      <c r="N655" t="n">
        <v>0</v>
      </c>
      <c r="O655" t="n">
        <v>0</v>
      </c>
      <c r="P655" t="n">
        <v>0</v>
      </c>
      <c r="Q655" t="n">
        <v>0</v>
      </c>
      <c r="R655" s="2" t="inlineStr"/>
    </row>
    <row r="656" ht="15" customHeight="1">
      <c r="A656" t="inlineStr">
        <is>
          <t>A 48310-2019</t>
        </is>
      </c>
      <c r="B656" s="1" t="n">
        <v>43726</v>
      </c>
      <c r="C656" s="1" t="n">
        <v>45724</v>
      </c>
      <c r="D656" t="inlineStr">
        <is>
          <t>VÄSTMANLANDS LÄN</t>
        </is>
      </c>
      <c r="E656" t="inlineStr">
        <is>
          <t>VÄSTERÅS</t>
        </is>
      </c>
      <c r="G656" t="n">
        <v>4.9</v>
      </c>
      <c r="H656" t="n">
        <v>0</v>
      </c>
      <c r="I656" t="n">
        <v>0</v>
      </c>
      <c r="J656" t="n">
        <v>0</v>
      </c>
      <c r="K656" t="n">
        <v>0</v>
      </c>
      <c r="L656" t="n">
        <v>0</v>
      </c>
      <c r="M656" t="n">
        <v>0</v>
      </c>
      <c r="N656" t="n">
        <v>0</v>
      </c>
      <c r="O656" t="n">
        <v>0</v>
      </c>
      <c r="P656" t="n">
        <v>0</v>
      </c>
      <c r="Q656" t="n">
        <v>0</v>
      </c>
      <c r="R656" s="2" t="inlineStr"/>
    </row>
    <row r="657" ht="15" customHeight="1">
      <c r="A657" t="inlineStr">
        <is>
          <t>A 48451-2019</t>
        </is>
      </c>
      <c r="B657" s="1" t="n">
        <v>43727</v>
      </c>
      <c r="C657" s="1" t="n">
        <v>45724</v>
      </c>
      <c r="D657" t="inlineStr">
        <is>
          <t>VÄSTMANLANDS LÄN</t>
        </is>
      </c>
      <c r="E657" t="inlineStr">
        <is>
          <t>SKINNSKATTEBERG</t>
        </is>
      </c>
      <c r="F657" t="inlineStr">
        <is>
          <t>Sveaskog</t>
        </is>
      </c>
      <c r="G657" t="n">
        <v>1.2</v>
      </c>
      <c r="H657" t="n">
        <v>0</v>
      </c>
      <c r="I657" t="n">
        <v>0</v>
      </c>
      <c r="J657" t="n">
        <v>0</v>
      </c>
      <c r="K657" t="n">
        <v>0</v>
      </c>
      <c r="L657" t="n">
        <v>0</v>
      </c>
      <c r="M657" t="n">
        <v>0</v>
      </c>
      <c r="N657" t="n">
        <v>0</v>
      </c>
      <c r="O657" t="n">
        <v>0</v>
      </c>
      <c r="P657" t="n">
        <v>0</v>
      </c>
      <c r="Q657" t="n">
        <v>0</v>
      </c>
      <c r="R657" s="2" t="inlineStr"/>
    </row>
    <row r="658" ht="15" customHeight="1">
      <c r="A658" t="inlineStr">
        <is>
          <t>A 48461-2019</t>
        </is>
      </c>
      <c r="B658" s="1" t="n">
        <v>43727</v>
      </c>
      <c r="C658" s="1" t="n">
        <v>45724</v>
      </c>
      <c r="D658" t="inlineStr">
        <is>
          <t>VÄSTMANLANDS LÄN</t>
        </is>
      </c>
      <c r="E658" t="inlineStr">
        <is>
          <t>ARBOGA</t>
        </is>
      </c>
      <c r="G658" t="n">
        <v>2.6</v>
      </c>
      <c r="H658" t="n">
        <v>0</v>
      </c>
      <c r="I658" t="n">
        <v>0</v>
      </c>
      <c r="J658" t="n">
        <v>0</v>
      </c>
      <c r="K658" t="n">
        <v>0</v>
      </c>
      <c r="L658" t="n">
        <v>0</v>
      </c>
      <c r="M658" t="n">
        <v>0</v>
      </c>
      <c r="N658" t="n">
        <v>0</v>
      </c>
      <c r="O658" t="n">
        <v>0</v>
      </c>
      <c r="P658" t="n">
        <v>0</v>
      </c>
      <c r="Q658" t="n">
        <v>0</v>
      </c>
      <c r="R658" s="2" t="inlineStr"/>
    </row>
    <row r="659" ht="15" customHeight="1">
      <c r="A659" t="inlineStr">
        <is>
          <t>A 48560-2019</t>
        </is>
      </c>
      <c r="B659" s="1" t="n">
        <v>43727</v>
      </c>
      <c r="C659" s="1" t="n">
        <v>45724</v>
      </c>
      <c r="D659" t="inlineStr">
        <is>
          <t>VÄSTMANLANDS LÄN</t>
        </is>
      </c>
      <c r="E659" t="inlineStr">
        <is>
          <t>VÄSTERÅS</t>
        </is>
      </c>
      <c r="G659" t="n">
        <v>5.4</v>
      </c>
      <c r="H659" t="n">
        <v>0</v>
      </c>
      <c r="I659" t="n">
        <v>0</v>
      </c>
      <c r="J659" t="n">
        <v>0</v>
      </c>
      <c r="K659" t="n">
        <v>0</v>
      </c>
      <c r="L659" t="n">
        <v>0</v>
      </c>
      <c r="M659" t="n">
        <v>0</v>
      </c>
      <c r="N659" t="n">
        <v>0</v>
      </c>
      <c r="O659" t="n">
        <v>0</v>
      </c>
      <c r="P659" t="n">
        <v>0</v>
      </c>
      <c r="Q659" t="n">
        <v>0</v>
      </c>
      <c r="R659" s="2" t="inlineStr"/>
    </row>
    <row r="660" ht="15" customHeight="1">
      <c r="A660" t="inlineStr">
        <is>
          <t>A 48468-2019</t>
        </is>
      </c>
      <c r="B660" s="1" t="n">
        <v>43727</v>
      </c>
      <c r="C660" s="1" t="n">
        <v>45724</v>
      </c>
      <c r="D660" t="inlineStr">
        <is>
          <t>VÄSTMANLANDS LÄN</t>
        </is>
      </c>
      <c r="E660" t="inlineStr">
        <is>
          <t>ARBOGA</t>
        </is>
      </c>
      <c r="G660" t="n">
        <v>8.300000000000001</v>
      </c>
      <c r="H660" t="n">
        <v>0</v>
      </c>
      <c r="I660" t="n">
        <v>0</v>
      </c>
      <c r="J660" t="n">
        <v>0</v>
      </c>
      <c r="K660" t="n">
        <v>0</v>
      </c>
      <c r="L660" t="n">
        <v>0</v>
      </c>
      <c r="M660" t="n">
        <v>0</v>
      </c>
      <c r="N660" t="n">
        <v>0</v>
      </c>
      <c r="O660" t="n">
        <v>0</v>
      </c>
      <c r="P660" t="n">
        <v>0</v>
      </c>
      <c r="Q660" t="n">
        <v>0</v>
      </c>
      <c r="R660" s="2" t="inlineStr"/>
    </row>
    <row r="661" ht="15" customHeight="1">
      <c r="A661" t="inlineStr">
        <is>
          <t>A 48617-2019</t>
        </is>
      </c>
      <c r="B661" s="1" t="n">
        <v>43727</v>
      </c>
      <c r="C661" s="1" t="n">
        <v>45724</v>
      </c>
      <c r="D661" t="inlineStr">
        <is>
          <t>VÄSTMANLANDS LÄN</t>
        </is>
      </c>
      <c r="E661" t="inlineStr">
        <is>
          <t>SALA</t>
        </is>
      </c>
      <c r="G661" t="n">
        <v>0.9</v>
      </c>
      <c r="H661" t="n">
        <v>0</v>
      </c>
      <c r="I661" t="n">
        <v>0</v>
      </c>
      <c r="J661" t="n">
        <v>0</v>
      </c>
      <c r="K661" t="n">
        <v>0</v>
      </c>
      <c r="L661" t="n">
        <v>0</v>
      </c>
      <c r="M661" t="n">
        <v>0</v>
      </c>
      <c r="N661" t="n">
        <v>0</v>
      </c>
      <c r="O661" t="n">
        <v>0</v>
      </c>
      <c r="P661" t="n">
        <v>0</v>
      </c>
      <c r="Q661" t="n">
        <v>0</v>
      </c>
      <c r="R661" s="2" t="inlineStr"/>
    </row>
    <row r="662" ht="15" customHeight="1">
      <c r="A662" t="inlineStr">
        <is>
          <t>A 48681-2019</t>
        </is>
      </c>
      <c r="B662" s="1" t="n">
        <v>43728</v>
      </c>
      <c r="C662" s="1" t="n">
        <v>45724</v>
      </c>
      <c r="D662" t="inlineStr">
        <is>
          <t>VÄSTMANLANDS LÄN</t>
        </is>
      </c>
      <c r="E662" t="inlineStr">
        <is>
          <t>SALA</t>
        </is>
      </c>
      <c r="G662" t="n">
        <v>1.9</v>
      </c>
      <c r="H662" t="n">
        <v>0</v>
      </c>
      <c r="I662" t="n">
        <v>0</v>
      </c>
      <c r="J662" t="n">
        <v>0</v>
      </c>
      <c r="K662" t="n">
        <v>0</v>
      </c>
      <c r="L662" t="n">
        <v>0</v>
      </c>
      <c r="M662" t="n">
        <v>0</v>
      </c>
      <c r="N662" t="n">
        <v>0</v>
      </c>
      <c r="O662" t="n">
        <v>0</v>
      </c>
      <c r="P662" t="n">
        <v>0</v>
      </c>
      <c r="Q662" t="n">
        <v>0</v>
      </c>
      <c r="R662" s="2" t="inlineStr"/>
    </row>
    <row r="663" ht="15" customHeight="1">
      <c r="A663" t="inlineStr">
        <is>
          <t>A 49111-2019</t>
        </is>
      </c>
      <c r="B663" s="1" t="n">
        <v>43731</v>
      </c>
      <c r="C663" s="1" t="n">
        <v>45724</v>
      </c>
      <c r="D663" t="inlineStr">
        <is>
          <t>VÄSTMANLANDS LÄN</t>
        </is>
      </c>
      <c r="E663" t="inlineStr">
        <is>
          <t>ARBOGA</t>
        </is>
      </c>
      <c r="G663" t="n">
        <v>2.1</v>
      </c>
      <c r="H663" t="n">
        <v>0</v>
      </c>
      <c r="I663" t="n">
        <v>0</v>
      </c>
      <c r="J663" t="n">
        <v>0</v>
      </c>
      <c r="K663" t="n">
        <v>0</v>
      </c>
      <c r="L663" t="n">
        <v>0</v>
      </c>
      <c r="M663" t="n">
        <v>0</v>
      </c>
      <c r="N663" t="n">
        <v>0</v>
      </c>
      <c r="O663" t="n">
        <v>0</v>
      </c>
      <c r="P663" t="n">
        <v>0</v>
      </c>
      <c r="Q663" t="n">
        <v>0</v>
      </c>
      <c r="R663" s="2" t="inlineStr"/>
    </row>
    <row r="664" ht="15" customHeight="1">
      <c r="A664" t="inlineStr">
        <is>
          <t>A 49095-2019</t>
        </is>
      </c>
      <c r="B664" s="1" t="n">
        <v>43731</v>
      </c>
      <c r="C664" s="1" t="n">
        <v>45724</v>
      </c>
      <c r="D664" t="inlineStr">
        <is>
          <t>VÄSTMANLANDS LÄN</t>
        </is>
      </c>
      <c r="E664" t="inlineStr">
        <is>
          <t>ARBOGA</t>
        </is>
      </c>
      <c r="G664" t="n">
        <v>0.8</v>
      </c>
      <c r="H664" t="n">
        <v>0</v>
      </c>
      <c r="I664" t="n">
        <v>0</v>
      </c>
      <c r="J664" t="n">
        <v>0</v>
      </c>
      <c r="K664" t="n">
        <v>0</v>
      </c>
      <c r="L664" t="n">
        <v>0</v>
      </c>
      <c r="M664" t="n">
        <v>0</v>
      </c>
      <c r="N664" t="n">
        <v>0</v>
      </c>
      <c r="O664" t="n">
        <v>0</v>
      </c>
      <c r="P664" t="n">
        <v>0</v>
      </c>
      <c r="Q664" t="n">
        <v>0</v>
      </c>
      <c r="R664" s="2" t="inlineStr"/>
    </row>
    <row r="665" ht="15" customHeight="1">
      <c r="A665" t="inlineStr">
        <is>
          <t>A 49217-2019</t>
        </is>
      </c>
      <c r="B665" s="1" t="n">
        <v>43731</v>
      </c>
      <c r="C665" s="1" t="n">
        <v>45724</v>
      </c>
      <c r="D665" t="inlineStr">
        <is>
          <t>VÄSTMANLANDS LÄN</t>
        </is>
      </c>
      <c r="E665" t="inlineStr">
        <is>
          <t>VÄSTERÅS</t>
        </is>
      </c>
      <c r="G665" t="n">
        <v>1.8</v>
      </c>
      <c r="H665" t="n">
        <v>0</v>
      </c>
      <c r="I665" t="n">
        <v>0</v>
      </c>
      <c r="J665" t="n">
        <v>0</v>
      </c>
      <c r="K665" t="n">
        <v>0</v>
      </c>
      <c r="L665" t="n">
        <v>0</v>
      </c>
      <c r="M665" t="n">
        <v>0</v>
      </c>
      <c r="N665" t="n">
        <v>0</v>
      </c>
      <c r="O665" t="n">
        <v>0</v>
      </c>
      <c r="P665" t="n">
        <v>0</v>
      </c>
      <c r="Q665" t="n">
        <v>0</v>
      </c>
      <c r="R665" s="2" t="inlineStr"/>
    </row>
    <row r="666" ht="15" customHeight="1">
      <c r="A666" t="inlineStr">
        <is>
          <t>A 49138-2019</t>
        </is>
      </c>
      <c r="B666" s="1" t="n">
        <v>43731</v>
      </c>
      <c r="C666" s="1" t="n">
        <v>45724</v>
      </c>
      <c r="D666" t="inlineStr">
        <is>
          <t>VÄSTMANLANDS LÄN</t>
        </is>
      </c>
      <c r="E666" t="inlineStr">
        <is>
          <t>SKINNSKATTEBERG</t>
        </is>
      </c>
      <c r="F666" t="inlineStr">
        <is>
          <t>Sveaskog</t>
        </is>
      </c>
      <c r="G666" t="n">
        <v>1.6</v>
      </c>
      <c r="H666" t="n">
        <v>0</v>
      </c>
      <c r="I666" t="n">
        <v>0</v>
      </c>
      <c r="J666" t="n">
        <v>0</v>
      </c>
      <c r="K666" t="n">
        <v>0</v>
      </c>
      <c r="L666" t="n">
        <v>0</v>
      </c>
      <c r="M666" t="n">
        <v>0</v>
      </c>
      <c r="N666" t="n">
        <v>0</v>
      </c>
      <c r="O666" t="n">
        <v>0</v>
      </c>
      <c r="P666" t="n">
        <v>0</v>
      </c>
      <c r="Q666" t="n">
        <v>0</v>
      </c>
      <c r="R666" s="2" t="inlineStr"/>
    </row>
    <row r="667" ht="15" customHeight="1">
      <c r="A667" t="inlineStr">
        <is>
          <t>A 49409-2019</t>
        </is>
      </c>
      <c r="B667" s="1" t="n">
        <v>43732</v>
      </c>
      <c r="C667" s="1" t="n">
        <v>45724</v>
      </c>
      <c r="D667" t="inlineStr">
        <is>
          <t>VÄSTMANLANDS LÄN</t>
        </is>
      </c>
      <c r="E667" t="inlineStr">
        <is>
          <t>SKINNSKATTEBERG</t>
        </is>
      </c>
      <c r="F667" t="inlineStr">
        <is>
          <t>Sveaskog</t>
        </is>
      </c>
      <c r="G667" t="n">
        <v>0.8</v>
      </c>
      <c r="H667" t="n">
        <v>0</v>
      </c>
      <c r="I667" t="n">
        <v>0</v>
      </c>
      <c r="J667" t="n">
        <v>0</v>
      </c>
      <c r="K667" t="n">
        <v>0</v>
      </c>
      <c r="L667" t="n">
        <v>0</v>
      </c>
      <c r="M667" t="n">
        <v>0</v>
      </c>
      <c r="N667" t="n">
        <v>0</v>
      </c>
      <c r="O667" t="n">
        <v>0</v>
      </c>
      <c r="P667" t="n">
        <v>0</v>
      </c>
      <c r="Q667" t="n">
        <v>0</v>
      </c>
      <c r="R667" s="2" t="inlineStr"/>
    </row>
    <row r="668" ht="15" customHeight="1">
      <c r="A668" t="inlineStr">
        <is>
          <t>A 49460-2019</t>
        </is>
      </c>
      <c r="B668" s="1" t="n">
        <v>43732</v>
      </c>
      <c r="C668" s="1" t="n">
        <v>45724</v>
      </c>
      <c r="D668" t="inlineStr">
        <is>
          <t>VÄSTMANLANDS LÄN</t>
        </is>
      </c>
      <c r="E668" t="inlineStr">
        <is>
          <t>VÄSTERÅS</t>
        </is>
      </c>
      <c r="G668" t="n">
        <v>2.4</v>
      </c>
      <c r="H668" t="n">
        <v>0</v>
      </c>
      <c r="I668" t="n">
        <v>0</v>
      </c>
      <c r="J668" t="n">
        <v>0</v>
      </c>
      <c r="K668" t="n">
        <v>0</v>
      </c>
      <c r="L668" t="n">
        <v>0</v>
      </c>
      <c r="M668" t="n">
        <v>0</v>
      </c>
      <c r="N668" t="n">
        <v>0</v>
      </c>
      <c r="O668" t="n">
        <v>0</v>
      </c>
      <c r="P668" t="n">
        <v>0</v>
      </c>
      <c r="Q668" t="n">
        <v>0</v>
      </c>
      <c r="R668" s="2" t="inlineStr"/>
    </row>
    <row r="669" ht="15" customHeight="1">
      <c r="A669" t="inlineStr">
        <is>
          <t>A 49411-2019</t>
        </is>
      </c>
      <c r="B669" s="1" t="n">
        <v>43732</v>
      </c>
      <c r="C669" s="1" t="n">
        <v>45724</v>
      </c>
      <c r="D669" t="inlineStr">
        <is>
          <t>VÄSTMANLANDS LÄN</t>
        </is>
      </c>
      <c r="E669" t="inlineStr">
        <is>
          <t>KUNGSÖR</t>
        </is>
      </c>
      <c r="F669" t="inlineStr">
        <is>
          <t>Allmännings- och besparingsskogar</t>
        </is>
      </c>
      <c r="G669" t="n">
        <v>6.3</v>
      </c>
      <c r="H669" t="n">
        <v>0</v>
      </c>
      <c r="I669" t="n">
        <v>0</v>
      </c>
      <c r="J669" t="n">
        <v>0</v>
      </c>
      <c r="K669" t="n">
        <v>0</v>
      </c>
      <c r="L669" t="n">
        <v>0</v>
      </c>
      <c r="M669" t="n">
        <v>0</v>
      </c>
      <c r="N669" t="n">
        <v>0</v>
      </c>
      <c r="O669" t="n">
        <v>0</v>
      </c>
      <c r="P669" t="n">
        <v>0</v>
      </c>
      <c r="Q669" t="n">
        <v>0</v>
      </c>
      <c r="R669" s="2" t="inlineStr"/>
    </row>
    <row r="670" ht="15" customHeight="1">
      <c r="A670" t="inlineStr">
        <is>
          <t>A 49542-2019</t>
        </is>
      </c>
      <c r="B670" s="1" t="n">
        <v>43732</v>
      </c>
      <c r="C670" s="1" t="n">
        <v>45724</v>
      </c>
      <c r="D670" t="inlineStr">
        <is>
          <t>VÄSTMANLANDS LÄN</t>
        </is>
      </c>
      <c r="E670" t="inlineStr">
        <is>
          <t>VÄSTERÅS</t>
        </is>
      </c>
      <c r="G670" t="n">
        <v>1.6</v>
      </c>
      <c r="H670" t="n">
        <v>0</v>
      </c>
      <c r="I670" t="n">
        <v>0</v>
      </c>
      <c r="J670" t="n">
        <v>0</v>
      </c>
      <c r="K670" t="n">
        <v>0</v>
      </c>
      <c r="L670" t="n">
        <v>0</v>
      </c>
      <c r="M670" t="n">
        <v>0</v>
      </c>
      <c r="N670" t="n">
        <v>0</v>
      </c>
      <c r="O670" t="n">
        <v>0</v>
      </c>
      <c r="P670" t="n">
        <v>0</v>
      </c>
      <c r="Q670" t="n">
        <v>0</v>
      </c>
      <c r="R670" s="2" t="inlineStr"/>
    </row>
    <row r="671" ht="15" customHeight="1">
      <c r="A671" t="inlineStr">
        <is>
          <t>A 49849-2019</t>
        </is>
      </c>
      <c r="B671" s="1" t="n">
        <v>43733</v>
      </c>
      <c r="C671" s="1" t="n">
        <v>45724</v>
      </c>
      <c r="D671" t="inlineStr">
        <is>
          <t>VÄSTMANLANDS LÄN</t>
        </is>
      </c>
      <c r="E671" t="inlineStr">
        <is>
          <t>VÄSTERÅS</t>
        </is>
      </c>
      <c r="G671" t="n">
        <v>3.9</v>
      </c>
      <c r="H671" t="n">
        <v>0</v>
      </c>
      <c r="I671" t="n">
        <v>0</v>
      </c>
      <c r="J671" t="n">
        <v>0</v>
      </c>
      <c r="K671" t="n">
        <v>0</v>
      </c>
      <c r="L671" t="n">
        <v>0</v>
      </c>
      <c r="M671" t="n">
        <v>0</v>
      </c>
      <c r="N671" t="n">
        <v>0</v>
      </c>
      <c r="O671" t="n">
        <v>0</v>
      </c>
      <c r="P671" t="n">
        <v>0</v>
      </c>
      <c r="Q671" t="n">
        <v>0</v>
      </c>
      <c r="R671" s="2" t="inlineStr"/>
    </row>
    <row r="672" ht="15" customHeight="1">
      <c r="A672" t="inlineStr">
        <is>
          <t>A 49968-2019</t>
        </is>
      </c>
      <c r="B672" s="1" t="n">
        <v>43733</v>
      </c>
      <c r="C672" s="1" t="n">
        <v>45724</v>
      </c>
      <c r="D672" t="inlineStr">
        <is>
          <t>VÄSTMANLANDS LÄN</t>
        </is>
      </c>
      <c r="E672" t="inlineStr">
        <is>
          <t>KÖPING</t>
        </is>
      </c>
      <c r="G672" t="n">
        <v>2.2</v>
      </c>
      <c r="H672" t="n">
        <v>0</v>
      </c>
      <c r="I672" t="n">
        <v>0</v>
      </c>
      <c r="J672" t="n">
        <v>0</v>
      </c>
      <c r="K672" t="n">
        <v>0</v>
      </c>
      <c r="L672" t="n">
        <v>0</v>
      </c>
      <c r="M672" t="n">
        <v>0</v>
      </c>
      <c r="N672" t="n">
        <v>0</v>
      </c>
      <c r="O672" t="n">
        <v>0</v>
      </c>
      <c r="P672" t="n">
        <v>0</v>
      </c>
      <c r="Q672" t="n">
        <v>0</v>
      </c>
      <c r="R672" s="2" t="inlineStr"/>
    </row>
    <row r="673" ht="15" customHeight="1">
      <c r="A673" t="inlineStr">
        <is>
          <t>A 49821-2019</t>
        </is>
      </c>
      <c r="B673" s="1" t="n">
        <v>43733</v>
      </c>
      <c r="C673" s="1" t="n">
        <v>45724</v>
      </c>
      <c r="D673" t="inlineStr">
        <is>
          <t>VÄSTMANLANDS LÄN</t>
        </is>
      </c>
      <c r="E673" t="inlineStr">
        <is>
          <t>KÖPING</t>
        </is>
      </c>
      <c r="G673" t="n">
        <v>0.7</v>
      </c>
      <c r="H673" t="n">
        <v>0</v>
      </c>
      <c r="I673" t="n">
        <v>0</v>
      </c>
      <c r="J673" t="n">
        <v>0</v>
      </c>
      <c r="K673" t="n">
        <v>0</v>
      </c>
      <c r="L673" t="n">
        <v>0</v>
      </c>
      <c r="M673" t="n">
        <v>0</v>
      </c>
      <c r="N673" t="n">
        <v>0</v>
      </c>
      <c r="O673" t="n">
        <v>0</v>
      </c>
      <c r="P673" t="n">
        <v>0</v>
      </c>
      <c r="Q673" t="n">
        <v>0</v>
      </c>
      <c r="R673" s="2" t="inlineStr"/>
    </row>
    <row r="674" ht="15" customHeight="1">
      <c r="A674" t="inlineStr">
        <is>
          <t>A 50121-2019</t>
        </is>
      </c>
      <c r="B674" s="1" t="n">
        <v>43734</v>
      </c>
      <c r="C674" s="1" t="n">
        <v>45724</v>
      </c>
      <c r="D674" t="inlineStr">
        <is>
          <t>VÄSTMANLANDS LÄN</t>
        </is>
      </c>
      <c r="E674" t="inlineStr">
        <is>
          <t>VÄSTERÅS</t>
        </is>
      </c>
      <c r="G674" t="n">
        <v>1.1</v>
      </c>
      <c r="H674" t="n">
        <v>0</v>
      </c>
      <c r="I674" t="n">
        <v>0</v>
      </c>
      <c r="J674" t="n">
        <v>0</v>
      </c>
      <c r="K674" t="n">
        <v>0</v>
      </c>
      <c r="L674" t="n">
        <v>0</v>
      </c>
      <c r="M674" t="n">
        <v>0</v>
      </c>
      <c r="N674" t="n">
        <v>0</v>
      </c>
      <c r="O674" t="n">
        <v>0</v>
      </c>
      <c r="P674" t="n">
        <v>0</v>
      </c>
      <c r="Q674" t="n">
        <v>0</v>
      </c>
      <c r="R674" s="2" t="inlineStr"/>
    </row>
    <row r="675" ht="15" customHeight="1">
      <c r="A675" t="inlineStr">
        <is>
          <t>A 50359-2019</t>
        </is>
      </c>
      <c r="B675" s="1" t="n">
        <v>43735</v>
      </c>
      <c r="C675" s="1" t="n">
        <v>45724</v>
      </c>
      <c r="D675" t="inlineStr">
        <is>
          <t>VÄSTMANLANDS LÄN</t>
        </is>
      </c>
      <c r="E675" t="inlineStr">
        <is>
          <t>NORBERG</t>
        </is>
      </c>
      <c r="F675" t="inlineStr">
        <is>
          <t>Sveaskog</t>
        </is>
      </c>
      <c r="G675" t="n">
        <v>0.7</v>
      </c>
      <c r="H675" t="n">
        <v>0</v>
      </c>
      <c r="I675" t="n">
        <v>0</v>
      </c>
      <c r="J675" t="n">
        <v>0</v>
      </c>
      <c r="K675" t="n">
        <v>0</v>
      </c>
      <c r="L675" t="n">
        <v>0</v>
      </c>
      <c r="M675" t="n">
        <v>0</v>
      </c>
      <c r="N675" t="n">
        <v>0</v>
      </c>
      <c r="O675" t="n">
        <v>0</v>
      </c>
      <c r="P675" t="n">
        <v>0</v>
      </c>
      <c r="Q675" t="n">
        <v>0</v>
      </c>
      <c r="R675" s="2" t="inlineStr"/>
    </row>
    <row r="676" ht="15" customHeight="1">
      <c r="A676" t="inlineStr">
        <is>
          <t>A 50888-2019</t>
        </is>
      </c>
      <c r="B676" s="1" t="n">
        <v>43735</v>
      </c>
      <c r="C676" s="1" t="n">
        <v>45724</v>
      </c>
      <c r="D676" t="inlineStr">
        <is>
          <t>VÄSTMANLANDS LÄN</t>
        </is>
      </c>
      <c r="E676" t="inlineStr">
        <is>
          <t>VÄSTERÅS</t>
        </is>
      </c>
      <c r="G676" t="n">
        <v>0.5</v>
      </c>
      <c r="H676" t="n">
        <v>0</v>
      </c>
      <c r="I676" t="n">
        <v>0</v>
      </c>
      <c r="J676" t="n">
        <v>0</v>
      </c>
      <c r="K676" t="n">
        <v>0</v>
      </c>
      <c r="L676" t="n">
        <v>0</v>
      </c>
      <c r="M676" t="n">
        <v>0</v>
      </c>
      <c r="N676" t="n">
        <v>0</v>
      </c>
      <c r="O676" t="n">
        <v>0</v>
      </c>
      <c r="P676" t="n">
        <v>0</v>
      </c>
      <c r="Q676" t="n">
        <v>0</v>
      </c>
      <c r="R676" s="2" t="inlineStr"/>
    </row>
    <row r="677" ht="15" customHeight="1">
      <c r="A677" t="inlineStr">
        <is>
          <t>A 50664-2019</t>
        </is>
      </c>
      <c r="B677" s="1" t="n">
        <v>43737</v>
      </c>
      <c r="C677" s="1" t="n">
        <v>45724</v>
      </c>
      <c r="D677" t="inlineStr">
        <is>
          <t>VÄSTMANLANDS LÄN</t>
        </is>
      </c>
      <c r="E677" t="inlineStr">
        <is>
          <t>VÄSTERÅS</t>
        </is>
      </c>
      <c r="F677" t="inlineStr">
        <is>
          <t>Övriga Aktiebolag</t>
        </is>
      </c>
      <c r="G677" t="n">
        <v>2.5</v>
      </c>
      <c r="H677" t="n">
        <v>0</v>
      </c>
      <c r="I677" t="n">
        <v>0</v>
      </c>
      <c r="J677" t="n">
        <v>0</v>
      </c>
      <c r="K677" t="n">
        <v>0</v>
      </c>
      <c r="L677" t="n">
        <v>0</v>
      </c>
      <c r="M677" t="n">
        <v>0</v>
      </c>
      <c r="N677" t="n">
        <v>0</v>
      </c>
      <c r="O677" t="n">
        <v>0</v>
      </c>
      <c r="P677" t="n">
        <v>0</v>
      </c>
      <c r="Q677" t="n">
        <v>0</v>
      </c>
      <c r="R677" s="2" t="inlineStr"/>
    </row>
    <row r="678" ht="15" customHeight="1">
      <c r="A678" t="inlineStr">
        <is>
          <t>A 50839-2019</t>
        </is>
      </c>
      <c r="B678" s="1" t="n">
        <v>43738</v>
      </c>
      <c r="C678" s="1" t="n">
        <v>45724</v>
      </c>
      <c r="D678" t="inlineStr">
        <is>
          <t>VÄSTMANLANDS LÄN</t>
        </is>
      </c>
      <c r="E678" t="inlineStr">
        <is>
          <t>SKINNSKATTEBERG</t>
        </is>
      </c>
      <c r="F678" t="inlineStr">
        <is>
          <t>Sveaskog</t>
        </is>
      </c>
      <c r="G678" t="n">
        <v>0.5</v>
      </c>
      <c r="H678" t="n">
        <v>0</v>
      </c>
      <c r="I678" t="n">
        <v>0</v>
      </c>
      <c r="J678" t="n">
        <v>0</v>
      </c>
      <c r="K678" t="n">
        <v>0</v>
      </c>
      <c r="L678" t="n">
        <v>0</v>
      </c>
      <c r="M678" t="n">
        <v>0</v>
      </c>
      <c r="N678" t="n">
        <v>0</v>
      </c>
      <c r="O678" t="n">
        <v>0</v>
      </c>
      <c r="P678" t="n">
        <v>0</v>
      </c>
      <c r="Q678" t="n">
        <v>0</v>
      </c>
      <c r="R678" s="2" t="inlineStr"/>
    </row>
    <row r="679" ht="15" customHeight="1">
      <c r="A679" t="inlineStr">
        <is>
          <t>A 50946-2019</t>
        </is>
      </c>
      <c r="B679" s="1" t="n">
        <v>43738</v>
      </c>
      <c r="C679" s="1" t="n">
        <v>45724</v>
      </c>
      <c r="D679" t="inlineStr">
        <is>
          <t>VÄSTMANLANDS LÄN</t>
        </is>
      </c>
      <c r="E679" t="inlineStr">
        <is>
          <t>VÄSTERÅS</t>
        </is>
      </c>
      <c r="G679" t="n">
        <v>2.1</v>
      </c>
      <c r="H679" t="n">
        <v>0</v>
      </c>
      <c r="I679" t="n">
        <v>0</v>
      </c>
      <c r="J679" t="n">
        <v>0</v>
      </c>
      <c r="K679" t="n">
        <v>0</v>
      </c>
      <c r="L679" t="n">
        <v>0</v>
      </c>
      <c r="M679" t="n">
        <v>0</v>
      </c>
      <c r="N679" t="n">
        <v>0</v>
      </c>
      <c r="O679" t="n">
        <v>0</v>
      </c>
      <c r="P679" t="n">
        <v>0</v>
      </c>
      <c r="Q679" t="n">
        <v>0</v>
      </c>
      <c r="R679" s="2" t="inlineStr"/>
    </row>
    <row r="680" ht="15" customHeight="1">
      <c r="A680" t="inlineStr">
        <is>
          <t>A 50877-2019</t>
        </is>
      </c>
      <c r="B680" s="1" t="n">
        <v>43738</v>
      </c>
      <c r="C680" s="1" t="n">
        <v>45724</v>
      </c>
      <c r="D680" t="inlineStr">
        <is>
          <t>VÄSTMANLANDS LÄN</t>
        </is>
      </c>
      <c r="E680" t="inlineStr">
        <is>
          <t>SKINNSKATTEBERG</t>
        </is>
      </c>
      <c r="F680" t="inlineStr">
        <is>
          <t>Sveaskog</t>
        </is>
      </c>
      <c r="G680" t="n">
        <v>3.5</v>
      </c>
      <c r="H680" t="n">
        <v>0</v>
      </c>
      <c r="I680" t="n">
        <v>0</v>
      </c>
      <c r="J680" t="n">
        <v>0</v>
      </c>
      <c r="K680" t="n">
        <v>0</v>
      </c>
      <c r="L680" t="n">
        <v>0</v>
      </c>
      <c r="M680" t="n">
        <v>0</v>
      </c>
      <c r="N680" t="n">
        <v>0</v>
      </c>
      <c r="O680" t="n">
        <v>0</v>
      </c>
      <c r="P680" t="n">
        <v>0</v>
      </c>
      <c r="Q680" t="n">
        <v>0</v>
      </c>
      <c r="R680" s="2" t="inlineStr"/>
    </row>
    <row r="681" ht="15" customHeight="1">
      <c r="A681" t="inlineStr">
        <is>
          <t>A 51129-2019</t>
        </is>
      </c>
      <c r="B681" s="1" t="n">
        <v>43739</v>
      </c>
      <c r="C681" s="1" t="n">
        <v>45724</v>
      </c>
      <c r="D681" t="inlineStr">
        <is>
          <t>VÄSTMANLANDS LÄN</t>
        </is>
      </c>
      <c r="E681" t="inlineStr">
        <is>
          <t>SKINNSKATTEBERG</t>
        </is>
      </c>
      <c r="F681" t="inlineStr">
        <is>
          <t>Sveaskog</t>
        </is>
      </c>
      <c r="G681" t="n">
        <v>0.9</v>
      </c>
      <c r="H681" t="n">
        <v>0</v>
      </c>
      <c r="I681" t="n">
        <v>0</v>
      </c>
      <c r="J681" t="n">
        <v>0</v>
      </c>
      <c r="K681" t="n">
        <v>0</v>
      </c>
      <c r="L681" t="n">
        <v>0</v>
      </c>
      <c r="M681" t="n">
        <v>0</v>
      </c>
      <c r="N681" t="n">
        <v>0</v>
      </c>
      <c r="O681" t="n">
        <v>0</v>
      </c>
      <c r="P681" t="n">
        <v>0</v>
      </c>
      <c r="Q681" t="n">
        <v>0</v>
      </c>
      <c r="R681" s="2" t="inlineStr"/>
    </row>
    <row r="682" ht="15" customHeight="1">
      <c r="A682" t="inlineStr">
        <is>
          <t>A 51224-2019</t>
        </is>
      </c>
      <c r="B682" s="1" t="n">
        <v>43739</v>
      </c>
      <c r="C682" s="1" t="n">
        <v>45724</v>
      </c>
      <c r="D682" t="inlineStr">
        <is>
          <t>VÄSTMANLANDS LÄN</t>
        </is>
      </c>
      <c r="E682" t="inlineStr">
        <is>
          <t>SKINNSKATTEBERG</t>
        </is>
      </c>
      <c r="F682" t="inlineStr">
        <is>
          <t>Sveaskog</t>
        </is>
      </c>
      <c r="G682" t="n">
        <v>1.1</v>
      </c>
      <c r="H682" t="n">
        <v>0</v>
      </c>
      <c r="I682" t="n">
        <v>0</v>
      </c>
      <c r="J682" t="n">
        <v>0</v>
      </c>
      <c r="K682" t="n">
        <v>0</v>
      </c>
      <c r="L682" t="n">
        <v>0</v>
      </c>
      <c r="M682" t="n">
        <v>0</v>
      </c>
      <c r="N682" t="n">
        <v>0</v>
      </c>
      <c r="O682" t="n">
        <v>0</v>
      </c>
      <c r="P682" t="n">
        <v>0</v>
      </c>
      <c r="Q682" t="n">
        <v>0</v>
      </c>
      <c r="R682" s="2" t="inlineStr"/>
    </row>
    <row r="683" ht="15" customHeight="1">
      <c r="A683" t="inlineStr">
        <is>
          <t>A 52756-2019</t>
        </is>
      </c>
      <c r="B683" s="1" t="n">
        <v>43739</v>
      </c>
      <c r="C683" s="1" t="n">
        <v>45724</v>
      </c>
      <c r="D683" t="inlineStr">
        <is>
          <t>VÄSTMANLANDS LÄN</t>
        </is>
      </c>
      <c r="E683" t="inlineStr">
        <is>
          <t>SALA</t>
        </is>
      </c>
      <c r="G683" t="n">
        <v>4.2</v>
      </c>
      <c r="H683" t="n">
        <v>0</v>
      </c>
      <c r="I683" t="n">
        <v>0</v>
      </c>
      <c r="J683" t="n">
        <v>0</v>
      </c>
      <c r="K683" t="n">
        <v>0</v>
      </c>
      <c r="L683" t="n">
        <v>0</v>
      </c>
      <c r="M683" t="n">
        <v>0</v>
      </c>
      <c r="N683" t="n">
        <v>0</v>
      </c>
      <c r="O683" t="n">
        <v>0</v>
      </c>
      <c r="P683" t="n">
        <v>0</v>
      </c>
      <c r="Q683" t="n">
        <v>0</v>
      </c>
      <c r="R683" s="2" t="inlineStr"/>
    </row>
    <row r="684" ht="15" customHeight="1">
      <c r="A684" t="inlineStr">
        <is>
          <t>A 52765-2019</t>
        </is>
      </c>
      <c r="B684" s="1" t="n">
        <v>43739</v>
      </c>
      <c r="C684" s="1" t="n">
        <v>45724</v>
      </c>
      <c r="D684" t="inlineStr">
        <is>
          <t>VÄSTMANLANDS LÄN</t>
        </is>
      </c>
      <c r="E684" t="inlineStr">
        <is>
          <t>SKINNSKATTEBERG</t>
        </is>
      </c>
      <c r="G684" t="n">
        <v>0.7</v>
      </c>
      <c r="H684" t="n">
        <v>0</v>
      </c>
      <c r="I684" t="n">
        <v>0</v>
      </c>
      <c r="J684" t="n">
        <v>0</v>
      </c>
      <c r="K684" t="n">
        <v>0</v>
      </c>
      <c r="L684" t="n">
        <v>0</v>
      </c>
      <c r="M684" t="n">
        <v>0</v>
      </c>
      <c r="N684" t="n">
        <v>0</v>
      </c>
      <c r="O684" t="n">
        <v>0</v>
      </c>
      <c r="P684" t="n">
        <v>0</v>
      </c>
      <c r="Q684" t="n">
        <v>0</v>
      </c>
      <c r="R684" s="2" t="inlineStr"/>
    </row>
    <row r="685" ht="15" customHeight="1">
      <c r="A685" t="inlineStr">
        <is>
          <t>A 52788-2019</t>
        </is>
      </c>
      <c r="B685" s="1" t="n">
        <v>43739</v>
      </c>
      <c r="C685" s="1" t="n">
        <v>45724</v>
      </c>
      <c r="D685" t="inlineStr">
        <is>
          <t>VÄSTMANLANDS LÄN</t>
        </is>
      </c>
      <c r="E685" t="inlineStr">
        <is>
          <t>KÖPING</t>
        </is>
      </c>
      <c r="G685" t="n">
        <v>0.6</v>
      </c>
      <c r="H685" t="n">
        <v>0</v>
      </c>
      <c r="I685" t="n">
        <v>0</v>
      </c>
      <c r="J685" t="n">
        <v>0</v>
      </c>
      <c r="K685" t="n">
        <v>0</v>
      </c>
      <c r="L685" t="n">
        <v>0</v>
      </c>
      <c r="M685" t="n">
        <v>0</v>
      </c>
      <c r="N685" t="n">
        <v>0</v>
      </c>
      <c r="O685" t="n">
        <v>0</v>
      </c>
      <c r="P685" t="n">
        <v>0</v>
      </c>
      <c r="Q685" t="n">
        <v>0</v>
      </c>
      <c r="R685" s="2" t="inlineStr"/>
    </row>
    <row r="686" ht="15" customHeight="1">
      <c r="A686" t="inlineStr">
        <is>
          <t>A 51403-2019</t>
        </is>
      </c>
      <c r="B686" s="1" t="n">
        <v>43740</v>
      </c>
      <c r="C686" s="1" t="n">
        <v>45724</v>
      </c>
      <c r="D686" t="inlineStr">
        <is>
          <t>VÄSTMANLANDS LÄN</t>
        </is>
      </c>
      <c r="E686" t="inlineStr">
        <is>
          <t>ARBOGA</t>
        </is>
      </c>
      <c r="G686" t="n">
        <v>1.5</v>
      </c>
      <c r="H686" t="n">
        <v>0</v>
      </c>
      <c r="I686" t="n">
        <v>0</v>
      </c>
      <c r="J686" t="n">
        <v>0</v>
      </c>
      <c r="K686" t="n">
        <v>0</v>
      </c>
      <c r="L686" t="n">
        <v>0</v>
      </c>
      <c r="M686" t="n">
        <v>0</v>
      </c>
      <c r="N686" t="n">
        <v>0</v>
      </c>
      <c r="O686" t="n">
        <v>0</v>
      </c>
      <c r="P686" t="n">
        <v>0</v>
      </c>
      <c r="Q686" t="n">
        <v>0</v>
      </c>
      <c r="R686" s="2" t="inlineStr"/>
    </row>
    <row r="687" ht="15" customHeight="1">
      <c r="A687" t="inlineStr">
        <is>
          <t>A 51345-2019</t>
        </is>
      </c>
      <c r="B687" s="1" t="n">
        <v>43740</v>
      </c>
      <c r="C687" s="1" t="n">
        <v>45724</v>
      </c>
      <c r="D687" t="inlineStr">
        <is>
          <t>VÄSTMANLANDS LÄN</t>
        </is>
      </c>
      <c r="E687" t="inlineStr">
        <is>
          <t>SKINNSKATTEBERG</t>
        </is>
      </c>
      <c r="F687" t="inlineStr">
        <is>
          <t>Sveaskog</t>
        </is>
      </c>
      <c r="G687" t="n">
        <v>0.7</v>
      </c>
      <c r="H687" t="n">
        <v>0</v>
      </c>
      <c r="I687" t="n">
        <v>0</v>
      </c>
      <c r="J687" t="n">
        <v>0</v>
      </c>
      <c r="K687" t="n">
        <v>0</v>
      </c>
      <c r="L687" t="n">
        <v>0</v>
      </c>
      <c r="M687" t="n">
        <v>0</v>
      </c>
      <c r="N687" t="n">
        <v>0</v>
      </c>
      <c r="O687" t="n">
        <v>0</v>
      </c>
      <c r="P687" t="n">
        <v>0</v>
      </c>
      <c r="Q687" t="n">
        <v>0</v>
      </c>
      <c r="R687" s="2" t="inlineStr"/>
    </row>
    <row r="688" ht="15" customHeight="1">
      <c r="A688" t="inlineStr">
        <is>
          <t>A 51647-2019</t>
        </is>
      </c>
      <c r="B688" s="1" t="n">
        <v>43740</v>
      </c>
      <c r="C688" s="1" t="n">
        <v>45724</v>
      </c>
      <c r="D688" t="inlineStr">
        <is>
          <t>VÄSTMANLANDS LÄN</t>
        </is>
      </c>
      <c r="E688" t="inlineStr">
        <is>
          <t>KÖPING</t>
        </is>
      </c>
      <c r="G688" t="n">
        <v>1.2</v>
      </c>
      <c r="H688" t="n">
        <v>0</v>
      </c>
      <c r="I688" t="n">
        <v>0</v>
      </c>
      <c r="J688" t="n">
        <v>0</v>
      </c>
      <c r="K688" t="n">
        <v>0</v>
      </c>
      <c r="L688" t="n">
        <v>0</v>
      </c>
      <c r="M688" t="n">
        <v>0</v>
      </c>
      <c r="N688" t="n">
        <v>0</v>
      </c>
      <c r="O688" t="n">
        <v>0</v>
      </c>
      <c r="P688" t="n">
        <v>0</v>
      </c>
      <c r="Q688" t="n">
        <v>0</v>
      </c>
      <c r="R688" s="2" t="inlineStr"/>
    </row>
    <row r="689" ht="15" customHeight="1">
      <c r="A689" t="inlineStr">
        <is>
          <t>A 51505-2019</t>
        </is>
      </c>
      <c r="B689" s="1" t="n">
        <v>43740</v>
      </c>
      <c r="C689" s="1" t="n">
        <v>45724</v>
      </c>
      <c r="D689" t="inlineStr">
        <is>
          <t>VÄSTMANLANDS LÄN</t>
        </is>
      </c>
      <c r="E689" t="inlineStr">
        <is>
          <t>VÄSTERÅS</t>
        </is>
      </c>
      <c r="F689" t="inlineStr">
        <is>
          <t>Kommuner</t>
        </is>
      </c>
      <c r="G689" t="n">
        <v>5.7</v>
      </c>
      <c r="H689" t="n">
        <v>0</v>
      </c>
      <c r="I689" t="n">
        <v>0</v>
      </c>
      <c r="J689" t="n">
        <v>0</v>
      </c>
      <c r="K689" t="n">
        <v>0</v>
      </c>
      <c r="L689" t="n">
        <v>0</v>
      </c>
      <c r="M689" t="n">
        <v>0</v>
      </c>
      <c r="N689" t="n">
        <v>0</v>
      </c>
      <c r="O689" t="n">
        <v>0</v>
      </c>
      <c r="P689" t="n">
        <v>0</v>
      </c>
      <c r="Q689" t="n">
        <v>0</v>
      </c>
      <c r="R689" s="2" t="inlineStr"/>
    </row>
    <row r="690" ht="15" customHeight="1">
      <c r="A690" t="inlineStr">
        <is>
          <t>A 51750-2019</t>
        </is>
      </c>
      <c r="B690" s="1" t="n">
        <v>43741</v>
      </c>
      <c r="C690" s="1" t="n">
        <v>45724</v>
      </c>
      <c r="D690" t="inlineStr">
        <is>
          <t>VÄSTMANLANDS LÄN</t>
        </is>
      </c>
      <c r="E690" t="inlineStr">
        <is>
          <t>KUNGSÖR</t>
        </is>
      </c>
      <c r="G690" t="n">
        <v>2</v>
      </c>
      <c r="H690" t="n">
        <v>0</v>
      </c>
      <c r="I690" t="n">
        <v>0</v>
      </c>
      <c r="J690" t="n">
        <v>0</v>
      </c>
      <c r="K690" t="n">
        <v>0</v>
      </c>
      <c r="L690" t="n">
        <v>0</v>
      </c>
      <c r="M690" t="n">
        <v>0</v>
      </c>
      <c r="N690" t="n">
        <v>0</v>
      </c>
      <c r="O690" t="n">
        <v>0</v>
      </c>
      <c r="P690" t="n">
        <v>0</v>
      </c>
      <c r="Q690" t="n">
        <v>0</v>
      </c>
      <c r="R690" s="2" t="inlineStr"/>
    </row>
    <row r="691" ht="15" customHeight="1">
      <c r="A691" t="inlineStr">
        <is>
          <t>A 51769-2019</t>
        </is>
      </c>
      <c r="B691" s="1" t="n">
        <v>43741</v>
      </c>
      <c r="C691" s="1" t="n">
        <v>45724</v>
      </c>
      <c r="D691" t="inlineStr">
        <is>
          <t>VÄSTMANLANDS LÄN</t>
        </is>
      </c>
      <c r="E691" t="inlineStr">
        <is>
          <t>KÖPING</t>
        </is>
      </c>
      <c r="G691" t="n">
        <v>0.5</v>
      </c>
      <c r="H691" t="n">
        <v>0</v>
      </c>
      <c r="I691" t="n">
        <v>0</v>
      </c>
      <c r="J691" t="n">
        <v>0</v>
      </c>
      <c r="K691" t="n">
        <v>0</v>
      </c>
      <c r="L691" t="n">
        <v>0</v>
      </c>
      <c r="M691" t="n">
        <v>0</v>
      </c>
      <c r="N691" t="n">
        <v>0</v>
      </c>
      <c r="O691" t="n">
        <v>0</v>
      </c>
      <c r="P691" t="n">
        <v>0</v>
      </c>
      <c r="Q691" t="n">
        <v>0</v>
      </c>
      <c r="R691" s="2" t="inlineStr"/>
    </row>
    <row r="692" ht="15" customHeight="1">
      <c r="A692" t="inlineStr">
        <is>
          <t>A 51854-2019</t>
        </is>
      </c>
      <c r="B692" s="1" t="n">
        <v>43741</v>
      </c>
      <c r="C692" s="1" t="n">
        <v>45724</v>
      </c>
      <c r="D692" t="inlineStr">
        <is>
          <t>VÄSTMANLANDS LÄN</t>
        </is>
      </c>
      <c r="E692" t="inlineStr">
        <is>
          <t>SALA</t>
        </is>
      </c>
      <c r="G692" t="n">
        <v>2</v>
      </c>
      <c r="H692" t="n">
        <v>0</v>
      </c>
      <c r="I692" t="n">
        <v>0</v>
      </c>
      <c r="J692" t="n">
        <v>0</v>
      </c>
      <c r="K692" t="n">
        <v>0</v>
      </c>
      <c r="L692" t="n">
        <v>0</v>
      </c>
      <c r="M692" t="n">
        <v>0</v>
      </c>
      <c r="N692" t="n">
        <v>0</v>
      </c>
      <c r="O692" t="n">
        <v>0</v>
      </c>
      <c r="P692" t="n">
        <v>0</v>
      </c>
      <c r="Q692" t="n">
        <v>0</v>
      </c>
      <c r="R692" s="2" t="inlineStr"/>
    </row>
    <row r="693" ht="15" customHeight="1">
      <c r="A693" t="inlineStr">
        <is>
          <t>A 51844-2019</t>
        </is>
      </c>
      <c r="B693" s="1" t="n">
        <v>43741</v>
      </c>
      <c r="C693" s="1" t="n">
        <v>45724</v>
      </c>
      <c r="D693" t="inlineStr">
        <is>
          <t>VÄSTMANLANDS LÄN</t>
        </is>
      </c>
      <c r="E693" t="inlineStr">
        <is>
          <t>KÖPING</t>
        </is>
      </c>
      <c r="G693" t="n">
        <v>1.4</v>
      </c>
      <c r="H693" t="n">
        <v>0</v>
      </c>
      <c r="I693" t="n">
        <v>0</v>
      </c>
      <c r="J693" t="n">
        <v>0</v>
      </c>
      <c r="K693" t="n">
        <v>0</v>
      </c>
      <c r="L693" t="n">
        <v>0</v>
      </c>
      <c r="M693" t="n">
        <v>0</v>
      </c>
      <c r="N693" t="n">
        <v>0</v>
      </c>
      <c r="O693" t="n">
        <v>0</v>
      </c>
      <c r="P693" t="n">
        <v>0</v>
      </c>
      <c r="Q693" t="n">
        <v>0</v>
      </c>
      <c r="R693" s="2" t="inlineStr"/>
    </row>
    <row r="694" ht="15" customHeight="1">
      <c r="A694" t="inlineStr">
        <is>
          <t>A 51884-2019</t>
        </is>
      </c>
      <c r="B694" s="1" t="n">
        <v>43741</v>
      </c>
      <c r="C694" s="1" t="n">
        <v>45724</v>
      </c>
      <c r="D694" t="inlineStr">
        <is>
          <t>VÄSTMANLANDS LÄN</t>
        </is>
      </c>
      <c r="E694" t="inlineStr">
        <is>
          <t>VÄSTERÅS</t>
        </is>
      </c>
      <c r="G694" t="n">
        <v>5</v>
      </c>
      <c r="H694" t="n">
        <v>0</v>
      </c>
      <c r="I694" t="n">
        <v>0</v>
      </c>
      <c r="J694" t="n">
        <v>0</v>
      </c>
      <c r="K694" t="n">
        <v>0</v>
      </c>
      <c r="L694" t="n">
        <v>0</v>
      </c>
      <c r="M694" t="n">
        <v>0</v>
      </c>
      <c r="N694" t="n">
        <v>0</v>
      </c>
      <c r="O694" t="n">
        <v>0</v>
      </c>
      <c r="P694" t="n">
        <v>0</v>
      </c>
      <c r="Q694" t="n">
        <v>0</v>
      </c>
      <c r="R694" s="2" t="inlineStr"/>
    </row>
    <row r="695" ht="15" customHeight="1">
      <c r="A695" t="inlineStr">
        <is>
          <t>A 51749-2019</t>
        </is>
      </c>
      <c r="B695" s="1" t="n">
        <v>43741</v>
      </c>
      <c r="C695" s="1" t="n">
        <v>45724</v>
      </c>
      <c r="D695" t="inlineStr">
        <is>
          <t>VÄSTMANLANDS LÄN</t>
        </is>
      </c>
      <c r="E695" t="inlineStr">
        <is>
          <t>KUNGSÖR</t>
        </is>
      </c>
      <c r="G695" t="n">
        <v>2.5</v>
      </c>
      <c r="H695" t="n">
        <v>0</v>
      </c>
      <c r="I695" t="n">
        <v>0</v>
      </c>
      <c r="J695" t="n">
        <v>0</v>
      </c>
      <c r="K695" t="n">
        <v>0</v>
      </c>
      <c r="L695" t="n">
        <v>0</v>
      </c>
      <c r="M695" t="n">
        <v>0</v>
      </c>
      <c r="N695" t="n">
        <v>0</v>
      </c>
      <c r="O695" t="n">
        <v>0</v>
      </c>
      <c r="P695" t="n">
        <v>0</v>
      </c>
      <c r="Q695" t="n">
        <v>0</v>
      </c>
      <c r="R695" s="2" t="inlineStr"/>
    </row>
    <row r="696" ht="15" customHeight="1">
      <c r="A696" t="inlineStr">
        <is>
          <t>A 52243-2019</t>
        </is>
      </c>
      <c r="B696" s="1" t="n">
        <v>43742</v>
      </c>
      <c r="C696" s="1" t="n">
        <v>45724</v>
      </c>
      <c r="D696" t="inlineStr">
        <is>
          <t>VÄSTMANLANDS LÄN</t>
        </is>
      </c>
      <c r="E696" t="inlineStr">
        <is>
          <t>VÄSTERÅS</t>
        </is>
      </c>
      <c r="G696" t="n">
        <v>3.5</v>
      </c>
      <c r="H696" t="n">
        <v>0</v>
      </c>
      <c r="I696" t="n">
        <v>0</v>
      </c>
      <c r="J696" t="n">
        <v>0</v>
      </c>
      <c r="K696" t="n">
        <v>0</v>
      </c>
      <c r="L696" t="n">
        <v>0</v>
      </c>
      <c r="M696" t="n">
        <v>0</v>
      </c>
      <c r="N696" t="n">
        <v>0</v>
      </c>
      <c r="O696" t="n">
        <v>0</v>
      </c>
      <c r="P696" t="n">
        <v>0</v>
      </c>
      <c r="Q696" t="n">
        <v>0</v>
      </c>
      <c r="R696" s="2" t="inlineStr"/>
    </row>
    <row r="697" ht="15" customHeight="1">
      <c r="A697" t="inlineStr">
        <is>
          <t>A 52122-2019</t>
        </is>
      </c>
      <c r="B697" s="1" t="n">
        <v>43742</v>
      </c>
      <c r="C697" s="1" t="n">
        <v>45724</v>
      </c>
      <c r="D697" t="inlineStr">
        <is>
          <t>VÄSTMANLANDS LÄN</t>
        </is>
      </c>
      <c r="E697" t="inlineStr">
        <is>
          <t>VÄSTERÅS</t>
        </is>
      </c>
      <c r="G697" t="n">
        <v>5.8</v>
      </c>
      <c r="H697" t="n">
        <v>0</v>
      </c>
      <c r="I697" t="n">
        <v>0</v>
      </c>
      <c r="J697" t="n">
        <v>0</v>
      </c>
      <c r="K697" t="n">
        <v>0</v>
      </c>
      <c r="L697" t="n">
        <v>0</v>
      </c>
      <c r="M697" t="n">
        <v>0</v>
      </c>
      <c r="N697" t="n">
        <v>0</v>
      </c>
      <c r="O697" t="n">
        <v>0</v>
      </c>
      <c r="P697" t="n">
        <v>0</v>
      </c>
      <c r="Q697" t="n">
        <v>0</v>
      </c>
      <c r="R697" s="2" t="inlineStr"/>
    </row>
    <row r="698" ht="15" customHeight="1">
      <c r="A698" t="inlineStr">
        <is>
          <t>A 52242-2019</t>
        </is>
      </c>
      <c r="B698" s="1" t="n">
        <v>43742</v>
      </c>
      <c r="C698" s="1" t="n">
        <v>45724</v>
      </c>
      <c r="D698" t="inlineStr">
        <is>
          <t>VÄSTMANLANDS LÄN</t>
        </is>
      </c>
      <c r="E698" t="inlineStr">
        <is>
          <t>VÄSTERÅS</t>
        </is>
      </c>
      <c r="G698" t="n">
        <v>7.5</v>
      </c>
      <c r="H698" t="n">
        <v>0</v>
      </c>
      <c r="I698" t="n">
        <v>0</v>
      </c>
      <c r="J698" t="n">
        <v>0</v>
      </c>
      <c r="K698" t="n">
        <v>0</v>
      </c>
      <c r="L698" t="n">
        <v>0</v>
      </c>
      <c r="M698" t="n">
        <v>0</v>
      </c>
      <c r="N698" t="n">
        <v>0</v>
      </c>
      <c r="O698" t="n">
        <v>0</v>
      </c>
      <c r="P698" t="n">
        <v>0</v>
      </c>
      <c r="Q698" t="n">
        <v>0</v>
      </c>
      <c r="R698" s="2" t="inlineStr"/>
    </row>
    <row r="699" ht="15" customHeight="1">
      <c r="A699" t="inlineStr">
        <is>
          <t>A 52410-2019</t>
        </is>
      </c>
      <c r="B699" s="1" t="n">
        <v>43745</v>
      </c>
      <c r="C699" s="1" t="n">
        <v>45724</v>
      </c>
      <c r="D699" t="inlineStr">
        <is>
          <t>VÄSTMANLANDS LÄN</t>
        </is>
      </c>
      <c r="E699" t="inlineStr">
        <is>
          <t>VÄSTERÅS</t>
        </is>
      </c>
      <c r="G699" t="n">
        <v>0.8</v>
      </c>
      <c r="H699" t="n">
        <v>0</v>
      </c>
      <c r="I699" t="n">
        <v>0</v>
      </c>
      <c r="J699" t="n">
        <v>0</v>
      </c>
      <c r="K699" t="n">
        <v>0</v>
      </c>
      <c r="L699" t="n">
        <v>0</v>
      </c>
      <c r="M699" t="n">
        <v>0</v>
      </c>
      <c r="N699" t="n">
        <v>0</v>
      </c>
      <c r="O699" t="n">
        <v>0</v>
      </c>
      <c r="P699" t="n">
        <v>0</v>
      </c>
      <c r="Q699" t="n">
        <v>0</v>
      </c>
      <c r="R699" s="2" t="inlineStr"/>
    </row>
    <row r="700" ht="15" customHeight="1">
      <c r="A700" t="inlineStr">
        <is>
          <t>A 52323-2019</t>
        </is>
      </c>
      <c r="B700" s="1" t="n">
        <v>43745</v>
      </c>
      <c r="C700" s="1" t="n">
        <v>45724</v>
      </c>
      <c r="D700" t="inlineStr">
        <is>
          <t>VÄSTMANLANDS LÄN</t>
        </is>
      </c>
      <c r="E700" t="inlineStr">
        <is>
          <t>FAGERSTA</t>
        </is>
      </c>
      <c r="F700" t="inlineStr">
        <is>
          <t>Sveaskog</t>
        </is>
      </c>
      <c r="G700" t="n">
        <v>0.8</v>
      </c>
      <c r="H700" t="n">
        <v>0</v>
      </c>
      <c r="I700" t="n">
        <v>0</v>
      </c>
      <c r="J700" t="n">
        <v>0</v>
      </c>
      <c r="K700" t="n">
        <v>0</v>
      </c>
      <c r="L700" t="n">
        <v>0</v>
      </c>
      <c r="M700" t="n">
        <v>0</v>
      </c>
      <c r="N700" t="n">
        <v>0</v>
      </c>
      <c r="O700" t="n">
        <v>0</v>
      </c>
      <c r="P700" t="n">
        <v>0</v>
      </c>
      <c r="Q700" t="n">
        <v>0</v>
      </c>
      <c r="R700" s="2" t="inlineStr"/>
    </row>
    <row r="701" ht="15" customHeight="1">
      <c r="A701" t="inlineStr">
        <is>
          <t>A 52408-2019</t>
        </is>
      </c>
      <c r="B701" s="1" t="n">
        <v>43745</v>
      </c>
      <c r="C701" s="1" t="n">
        <v>45724</v>
      </c>
      <c r="D701" t="inlineStr">
        <is>
          <t>VÄSTMANLANDS LÄN</t>
        </is>
      </c>
      <c r="E701" t="inlineStr">
        <is>
          <t>VÄSTERÅS</t>
        </is>
      </c>
      <c r="G701" t="n">
        <v>1.9</v>
      </c>
      <c r="H701" t="n">
        <v>0</v>
      </c>
      <c r="I701" t="n">
        <v>0</v>
      </c>
      <c r="J701" t="n">
        <v>0</v>
      </c>
      <c r="K701" t="n">
        <v>0</v>
      </c>
      <c r="L701" t="n">
        <v>0</v>
      </c>
      <c r="M701" t="n">
        <v>0</v>
      </c>
      <c r="N701" t="n">
        <v>0</v>
      </c>
      <c r="O701" t="n">
        <v>0</v>
      </c>
      <c r="P701" t="n">
        <v>0</v>
      </c>
      <c r="Q701" t="n">
        <v>0</v>
      </c>
      <c r="R701" s="2" t="inlineStr"/>
    </row>
    <row r="702" ht="15" customHeight="1">
      <c r="A702" t="inlineStr">
        <is>
          <t>A 52669-2019</t>
        </is>
      </c>
      <c r="B702" s="1" t="n">
        <v>43746</v>
      </c>
      <c r="C702" s="1" t="n">
        <v>45724</v>
      </c>
      <c r="D702" t="inlineStr">
        <is>
          <t>VÄSTMANLANDS LÄN</t>
        </is>
      </c>
      <c r="E702" t="inlineStr">
        <is>
          <t>SKINNSKATTEBERG</t>
        </is>
      </c>
      <c r="F702" t="inlineStr">
        <is>
          <t>Sveaskog</t>
        </is>
      </c>
      <c r="G702" t="n">
        <v>5</v>
      </c>
      <c r="H702" t="n">
        <v>0</v>
      </c>
      <c r="I702" t="n">
        <v>0</v>
      </c>
      <c r="J702" t="n">
        <v>0</v>
      </c>
      <c r="K702" t="n">
        <v>0</v>
      </c>
      <c r="L702" t="n">
        <v>0</v>
      </c>
      <c r="M702" t="n">
        <v>0</v>
      </c>
      <c r="N702" t="n">
        <v>0</v>
      </c>
      <c r="O702" t="n">
        <v>0</v>
      </c>
      <c r="P702" t="n">
        <v>0</v>
      </c>
      <c r="Q702" t="n">
        <v>0</v>
      </c>
      <c r="R702" s="2" t="inlineStr"/>
    </row>
    <row r="703" ht="15" customHeight="1">
      <c r="A703" t="inlineStr">
        <is>
          <t>A 54393-2019</t>
        </is>
      </c>
      <c r="B703" s="1" t="n">
        <v>43746</v>
      </c>
      <c r="C703" s="1" t="n">
        <v>45724</v>
      </c>
      <c r="D703" t="inlineStr">
        <is>
          <t>VÄSTMANLANDS LÄN</t>
        </is>
      </c>
      <c r="E703" t="inlineStr">
        <is>
          <t>SALA</t>
        </is>
      </c>
      <c r="G703" t="n">
        <v>3.2</v>
      </c>
      <c r="H703" t="n">
        <v>0</v>
      </c>
      <c r="I703" t="n">
        <v>0</v>
      </c>
      <c r="J703" t="n">
        <v>0</v>
      </c>
      <c r="K703" t="n">
        <v>0</v>
      </c>
      <c r="L703" t="n">
        <v>0</v>
      </c>
      <c r="M703" t="n">
        <v>0</v>
      </c>
      <c r="N703" t="n">
        <v>0</v>
      </c>
      <c r="O703" t="n">
        <v>0</v>
      </c>
      <c r="P703" t="n">
        <v>0</v>
      </c>
      <c r="Q703" t="n">
        <v>0</v>
      </c>
      <c r="R703" s="2" t="inlineStr"/>
    </row>
    <row r="704" ht="15" customHeight="1">
      <c r="A704" t="inlineStr">
        <is>
          <t>A 52931-2019</t>
        </is>
      </c>
      <c r="B704" s="1" t="n">
        <v>43746</v>
      </c>
      <c r="C704" s="1" t="n">
        <v>45724</v>
      </c>
      <c r="D704" t="inlineStr">
        <is>
          <t>VÄSTMANLANDS LÄN</t>
        </is>
      </c>
      <c r="E704" t="inlineStr">
        <is>
          <t>ARBOGA</t>
        </is>
      </c>
      <c r="G704" t="n">
        <v>2.3</v>
      </c>
      <c r="H704" t="n">
        <v>0</v>
      </c>
      <c r="I704" t="n">
        <v>0</v>
      </c>
      <c r="J704" t="n">
        <v>0</v>
      </c>
      <c r="K704" t="n">
        <v>0</v>
      </c>
      <c r="L704" t="n">
        <v>0</v>
      </c>
      <c r="M704" t="n">
        <v>0</v>
      </c>
      <c r="N704" t="n">
        <v>0</v>
      </c>
      <c r="O704" t="n">
        <v>0</v>
      </c>
      <c r="P704" t="n">
        <v>0</v>
      </c>
      <c r="Q704" t="n">
        <v>0</v>
      </c>
      <c r="R704" s="2" t="inlineStr"/>
    </row>
    <row r="705" ht="15" customHeight="1">
      <c r="A705" t="inlineStr">
        <is>
          <t>A 52930-2019</t>
        </is>
      </c>
      <c r="B705" s="1" t="n">
        <v>43746</v>
      </c>
      <c r="C705" s="1" t="n">
        <v>45724</v>
      </c>
      <c r="D705" t="inlineStr">
        <is>
          <t>VÄSTMANLANDS LÄN</t>
        </is>
      </c>
      <c r="E705" t="inlineStr">
        <is>
          <t>ARBOGA</t>
        </is>
      </c>
      <c r="G705" t="n">
        <v>0.7</v>
      </c>
      <c r="H705" t="n">
        <v>0</v>
      </c>
      <c r="I705" t="n">
        <v>0</v>
      </c>
      <c r="J705" t="n">
        <v>0</v>
      </c>
      <c r="K705" t="n">
        <v>0</v>
      </c>
      <c r="L705" t="n">
        <v>0</v>
      </c>
      <c r="M705" t="n">
        <v>0</v>
      </c>
      <c r="N705" t="n">
        <v>0</v>
      </c>
      <c r="O705" t="n">
        <v>0</v>
      </c>
      <c r="P705" t="n">
        <v>0</v>
      </c>
      <c r="Q705" t="n">
        <v>0</v>
      </c>
      <c r="R705" s="2" t="inlineStr"/>
    </row>
    <row r="706" ht="15" customHeight="1">
      <c r="A706" t="inlineStr">
        <is>
          <t>A 53358-2019</t>
        </is>
      </c>
      <c r="B706" s="1" t="n">
        <v>43748</v>
      </c>
      <c r="C706" s="1" t="n">
        <v>45724</v>
      </c>
      <c r="D706" t="inlineStr">
        <is>
          <t>VÄSTMANLANDS LÄN</t>
        </is>
      </c>
      <c r="E706" t="inlineStr">
        <is>
          <t>VÄSTERÅS</t>
        </is>
      </c>
      <c r="G706" t="n">
        <v>0.2</v>
      </c>
      <c r="H706" t="n">
        <v>0</v>
      </c>
      <c r="I706" t="n">
        <v>0</v>
      </c>
      <c r="J706" t="n">
        <v>0</v>
      </c>
      <c r="K706" t="n">
        <v>0</v>
      </c>
      <c r="L706" t="n">
        <v>0</v>
      </c>
      <c r="M706" t="n">
        <v>0</v>
      </c>
      <c r="N706" t="n">
        <v>0</v>
      </c>
      <c r="O706" t="n">
        <v>0</v>
      </c>
      <c r="P706" t="n">
        <v>0</v>
      </c>
      <c r="Q706" t="n">
        <v>0</v>
      </c>
      <c r="R706" s="2" t="inlineStr"/>
    </row>
    <row r="707" ht="15" customHeight="1">
      <c r="A707" t="inlineStr">
        <is>
          <t>A 53250-2019</t>
        </is>
      </c>
      <c r="B707" s="1" t="n">
        <v>43748</v>
      </c>
      <c r="C707" s="1" t="n">
        <v>45724</v>
      </c>
      <c r="D707" t="inlineStr">
        <is>
          <t>VÄSTMANLANDS LÄN</t>
        </is>
      </c>
      <c r="E707" t="inlineStr">
        <is>
          <t>VÄSTERÅS</t>
        </is>
      </c>
      <c r="G707" t="n">
        <v>2</v>
      </c>
      <c r="H707" t="n">
        <v>0</v>
      </c>
      <c r="I707" t="n">
        <v>0</v>
      </c>
      <c r="J707" t="n">
        <v>0</v>
      </c>
      <c r="K707" t="n">
        <v>0</v>
      </c>
      <c r="L707" t="n">
        <v>0</v>
      </c>
      <c r="M707" t="n">
        <v>0</v>
      </c>
      <c r="N707" t="n">
        <v>0</v>
      </c>
      <c r="O707" t="n">
        <v>0</v>
      </c>
      <c r="P707" t="n">
        <v>0</v>
      </c>
      <c r="Q707" t="n">
        <v>0</v>
      </c>
      <c r="R707" s="2" t="inlineStr"/>
    </row>
    <row r="708" ht="15" customHeight="1">
      <c r="A708" t="inlineStr">
        <is>
          <t>A 53246-2019</t>
        </is>
      </c>
      <c r="B708" s="1" t="n">
        <v>43748</v>
      </c>
      <c r="C708" s="1" t="n">
        <v>45724</v>
      </c>
      <c r="D708" t="inlineStr">
        <is>
          <t>VÄSTMANLANDS LÄN</t>
        </is>
      </c>
      <c r="E708" t="inlineStr">
        <is>
          <t>VÄSTERÅS</t>
        </is>
      </c>
      <c r="G708" t="n">
        <v>1.1</v>
      </c>
      <c r="H708" t="n">
        <v>0</v>
      </c>
      <c r="I708" t="n">
        <v>0</v>
      </c>
      <c r="J708" t="n">
        <v>0</v>
      </c>
      <c r="K708" t="n">
        <v>0</v>
      </c>
      <c r="L708" t="n">
        <v>0</v>
      </c>
      <c r="M708" t="n">
        <v>0</v>
      </c>
      <c r="N708" t="n">
        <v>0</v>
      </c>
      <c r="O708" t="n">
        <v>0</v>
      </c>
      <c r="P708" t="n">
        <v>0</v>
      </c>
      <c r="Q708" t="n">
        <v>0</v>
      </c>
      <c r="R708" s="2" t="inlineStr"/>
    </row>
    <row r="709" ht="15" customHeight="1">
      <c r="A709" t="inlineStr">
        <is>
          <t>A 53640-2019</t>
        </is>
      </c>
      <c r="B709" s="1" t="n">
        <v>43749</v>
      </c>
      <c r="C709" s="1" t="n">
        <v>45724</v>
      </c>
      <c r="D709" t="inlineStr">
        <is>
          <t>VÄSTMANLANDS LÄN</t>
        </is>
      </c>
      <c r="E709" t="inlineStr">
        <is>
          <t>SKINNSKATTEBERG</t>
        </is>
      </c>
      <c r="F709" t="inlineStr">
        <is>
          <t>Sveaskog</t>
        </is>
      </c>
      <c r="G709" t="n">
        <v>8.300000000000001</v>
      </c>
      <c r="H709" t="n">
        <v>0</v>
      </c>
      <c r="I709" t="n">
        <v>0</v>
      </c>
      <c r="J709" t="n">
        <v>0</v>
      </c>
      <c r="K709" t="n">
        <v>0</v>
      </c>
      <c r="L709" t="n">
        <v>0</v>
      </c>
      <c r="M709" t="n">
        <v>0</v>
      </c>
      <c r="N709" t="n">
        <v>0</v>
      </c>
      <c r="O709" t="n">
        <v>0</v>
      </c>
      <c r="P709" t="n">
        <v>0</v>
      </c>
      <c r="Q709" t="n">
        <v>0</v>
      </c>
      <c r="R709" s="2" t="inlineStr"/>
    </row>
    <row r="710" ht="15" customHeight="1">
      <c r="A710" t="inlineStr">
        <is>
          <t>A 53641-2019</t>
        </is>
      </c>
      <c r="B710" s="1" t="n">
        <v>43749</v>
      </c>
      <c r="C710" s="1" t="n">
        <v>45724</v>
      </c>
      <c r="D710" t="inlineStr">
        <is>
          <t>VÄSTMANLANDS LÄN</t>
        </is>
      </c>
      <c r="E710" t="inlineStr">
        <is>
          <t>SKINNSKATTEBERG</t>
        </is>
      </c>
      <c r="F710" t="inlineStr">
        <is>
          <t>Sveaskog</t>
        </is>
      </c>
      <c r="G710" t="n">
        <v>0.7</v>
      </c>
      <c r="H710" t="n">
        <v>0</v>
      </c>
      <c r="I710" t="n">
        <v>0</v>
      </c>
      <c r="J710" t="n">
        <v>0</v>
      </c>
      <c r="K710" t="n">
        <v>0</v>
      </c>
      <c r="L710" t="n">
        <v>0</v>
      </c>
      <c r="M710" t="n">
        <v>0</v>
      </c>
      <c r="N710" t="n">
        <v>0</v>
      </c>
      <c r="O710" t="n">
        <v>0</v>
      </c>
      <c r="P710" t="n">
        <v>0</v>
      </c>
      <c r="Q710" t="n">
        <v>0</v>
      </c>
      <c r="R710" s="2" t="inlineStr"/>
    </row>
    <row r="711" ht="15" customHeight="1">
      <c r="A711" t="inlineStr">
        <is>
          <t>A 53637-2019</t>
        </is>
      </c>
      <c r="B711" s="1" t="n">
        <v>43749</v>
      </c>
      <c r="C711" s="1" t="n">
        <v>45724</v>
      </c>
      <c r="D711" t="inlineStr">
        <is>
          <t>VÄSTMANLANDS LÄN</t>
        </is>
      </c>
      <c r="E711" t="inlineStr">
        <is>
          <t>SKINNSKATTEBERG</t>
        </is>
      </c>
      <c r="F711" t="inlineStr">
        <is>
          <t>Sveaskog</t>
        </is>
      </c>
      <c r="G711" t="n">
        <v>1</v>
      </c>
      <c r="H711" t="n">
        <v>0</v>
      </c>
      <c r="I711" t="n">
        <v>0</v>
      </c>
      <c r="J711" t="n">
        <v>0</v>
      </c>
      <c r="K711" t="n">
        <v>0</v>
      </c>
      <c r="L711" t="n">
        <v>0</v>
      </c>
      <c r="M711" t="n">
        <v>0</v>
      </c>
      <c r="N711" t="n">
        <v>0</v>
      </c>
      <c r="O711" t="n">
        <v>0</v>
      </c>
      <c r="P711" t="n">
        <v>0</v>
      </c>
      <c r="Q711" t="n">
        <v>0</v>
      </c>
      <c r="R711" s="2" t="inlineStr"/>
    </row>
    <row r="712" ht="15" customHeight="1">
      <c r="A712" t="inlineStr">
        <is>
          <t>A 53685-2019</t>
        </is>
      </c>
      <c r="B712" s="1" t="n">
        <v>43749</v>
      </c>
      <c r="C712" s="1" t="n">
        <v>45724</v>
      </c>
      <c r="D712" t="inlineStr">
        <is>
          <t>VÄSTMANLANDS LÄN</t>
        </is>
      </c>
      <c r="E712" t="inlineStr">
        <is>
          <t>VÄSTERÅS</t>
        </is>
      </c>
      <c r="G712" t="n">
        <v>14</v>
      </c>
      <c r="H712" t="n">
        <v>0</v>
      </c>
      <c r="I712" t="n">
        <v>0</v>
      </c>
      <c r="J712" t="n">
        <v>0</v>
      </c>
      <c r="K712" t="n">
        <v>0</v>
      </c>
      <c r="L712" t="n">
        <v>0</v>
      </c>
      <c r="M712" t="n">
        <v>0</v>
      </c>
      <c r="N712" t="n">
        <v>0</v>
      </c>
      <c r="O712" t="n">
        <v>0</v>
      </c>
      <c r="P712" t="n">
        <v>0</v>
      </c>
      <c r="Q712" t="n">
        <v>0</v>
      </c>
      <c r="R712" s="2" t="inlineStr"/>
    </row>
    <row r="713" ht="15" customHeight="1">
      <c r="A713" t="inlineStr">
        <is>
          <t>A 53899-2019</t>
        </is>
      </c>
      <c r="B713" s="1" t="n">
        <v>43752</v>
      </c>
      <c r="C713" s="1" t="n">
        <v>45724</v>
      </c>
      <c r="D713" t="inlineStr">
        <is>
          <t>VÄSTMANLANDS LÄN</t>
        </is>
      </c>
      <c r="E713" t="inlineStr">
        <is>
          <t>ARBOGA</t>
        </is>
      </c>
      <c r="G713" t="n">
        <v>6.8</v>
      </c>
      <c r="H713" t="n">
        <v>0</v>
      </c>
      <c r="I713" t="n">
        <v>0</v>
      </c>
      <c r="J713" t="n">
        <v>0</v>
      </c>
      <c r="K713" t="n">
        <v>0</v>
      </c>
      <c r="L713" t="n">
        <v>0</v>
      </c>
      <c r="M713" t="n">
        <v>0</v>
      </c>
      <c r="N713" t="n">
        <v>0</v>
      </c>
      <c r="O713" t="n">
        <v>0</v>
      </c>
      <c r="P713" t="n">
        <v>0</v>
      </c>
      <c r="Q713" t="n">
        <v>0</v>
      </c>
      <c r="R713" s="2" t="inlineStr"/>
    </row>
    <row r="714" ht="15" customHeight="1">
      <c r="A714" t="inlineStr">
        <is>
          <t>A 53912-2019</t>
        </is>
      </c>
      <c r="B714" s="1" t="n">
        <v>43752</v>
      </c>
      <c r="C714" s="1" t="n">
        <v>45724</v>
      </c>
      <c r="D714" t="inlineStr">
        <is>
          <t>VÄSTMANLANDS LÄN</t>
        </is>
      </c>
      <c r="E714" t="inlineStr">
        <is>
          <t>ARBOGA</t>
        </is>
      </c>
      <c r="G714" t="n">
        <v>7.1</v>
      </c>
      <c r="H714" t="n">
        <v>0</v>
      </c>
      <c r="I714" t="n">
        <v>0</v>
      </c>
      <c r="J714" t="n">
        <v>0</v>
      </c>
      <c r="K714" t="n">
        <v>0</v>
      </c>
      <c r="L714" t="n">
        <v>0</v>
      </c>
      <c r="M714" t="n">
        <v>0</v>
      </c>
      <c r="N714" t="n">
        <v>0</v>
      </c>
      <c r="O714" t="n">
        <v>0</v>
      </c>
      <c r="P714" t="n">
        <v>0</v>
      </c>
      <c r="Q714" t="n">
        <v>0</v>
      </c>
      <c r="R714" s="2" t="inlineStr"/>
    </row>
    <row r="715" ht="15" customHeight="1">
      <c r="A715" t="inlineStr">
        <is>
          <t>A 53891-2019</t>
        </is>
      </c>
      <c r="B715" s="1" t="n">
        <v>43752</v>
      </c>
      <c r="C715" s="1" t="n">
        <v>45724</v>
      </c>
      <c r="D715" t="inlineStr">
        <is>
          <t>VÄSTMANLANDS LÄN</t>
        </is>
      </c>
      <c r="E715" t="inlineStr">
        <is>
          <t>ARBOGA</t>
        </is>
      </c>
      <c r="G715" t="n">
        <v>4.8</v>
      </c>
      <c r="H715" t="n">
        <v>0</v>
      </c>
      <c r="I715" t="n">
        <v>0</v>
      </c>
      <c r="J715" t="n">
        <v>0</v>
      </c>
      <c r="K715" t="n">
        <v>0</v>
      </c>
      <c r="L715" t="n">
        <v>0</v>
      </c>
      <c r="M715" t="n">
        <v>0</v>
      </c>
      <c r="N715" t="n">
        <v>0</v>
      </c>
      <c r="O715" t="n">
        <v>0</v>
      </c>
      <c r="P715" t="n">
        <v>0</v>
      </c>
      <c r="Q715" t="n">
        <v>0</v>
      </c>
      <c r="R715" s="2" t="inlineStr"/>
    </row>
    <row r="716" ht="15" customHeight="1">
      <c r="A716" t="inlineStr">
        <is>
          <t>A 54076-2019</t>
        </is>
      </c>
      <c r="B716" s="1" t="n">
        <v>43752</v>
      </c>
      <c r="C716" s="1" t="n">
        <v>45724</v>
      </c>
      <c r="D716" t="inlineStr">
        <is>
          <t>VÄSTMANLANDS LÄN</t>
        </is>
      </c>
      <c r="E716" t="inlineStr">
        <is>
          <t>SKINNSKATTEBERG</t>
        </is>
      </c>
      <c r="G716" t="n">
        <v>1.4</v>
      </c>
      <c r="H716" t="n">
        <v>0</v>
      </c>
      <c r="I716" t="n">
        <v>0</v>
      </c>
      <c r="J716" t="n">
        <v>0</v>
      </c>
      <c r="K716" t="n">
        <v>0</v>
      </c>
      <c r="L716" t="n">
        <v>0</v>
      </c>
      <c r="M716" t="n">
        <v>0</v>
      </c>
      <c r="N716" t="n">
        <v>0</v>
      </c>
      <c r="O716" t="n">
        <v>0</v>
      </c>
      <c r="P716" t="n">
        <v>0</v>
      </c>
      <c r="Q716" t="n">
        <v>0</v>
      </c>
      <c r="R716" s="2" t="inlineStr"/>
    </row>
    <row r="717" ht="15" customHeight="1">
      <c r="A717" t="inlineStr">
        <is>
          <t>A 54069-2019</t>
        </is>
      </c>
      <c r="B717" s="1" t="n">
        <v>43752</v>
      </c>
      <c r="C717" s="1" t="n">
        <v>45724</v>
      </c>
      <c r="D717" t="inlineStr">
        <is>
          <t>VÄSTMANLANDS LÄN</t>
        </is>
      </c>
      <c r="E717" t="inlineStr">
        <is>
          <t>SALA</t>
        </is>
      </c>
      <c r="G717" t="n">
        <v>3.5</v>
      </c>
      <c r="H717" t="n">
        <v>0</v>
      </c>
      <c r="I717" t="n">
        <v>0</v>
      </c>
      <c r="J717" t="n">
        <v>0</v>
      </c>
      <c r="K717" t="n">
        <v>0</v>
      </c>
      <c r="L717" t="n">
        <v>0</v>
      </c>
      <c r="M717" t="n">
        <v>0</v>
      </c>
      <c r="N717" t="n">
        <v>0</v>
      </c>
      <c r="O717" t="n">
        <v>0</v>
      </c>
      <c r="P717" t="n">
        <v>0</v>
      </c>
      <c r="Q717" t="n">
        <v>0</v>
      </c>
      <c r="R717" s="2" t="inlineStr"/>
    </row>
    <row r="718" ht="15" customHeight="1">
      <c r="A718" t="inlineStr">
        <is>
          <t>A 55079-2019</t>
        </is>
      </c>
      <c r="B718" s="1" t="n">
        <v>43752</v>
      </c>
      <c r="C718" s="1" t="n">
        <v>45724</v>
      </c>
      <c r="D718" t="inlineStr">
        <is>
          <t>VÄSTMANLANDS LÄN</t>
        </is>
      </c>
      <c r="E718" t="inlineStr">
        <is>
          <t>NORBERG</t>
        </is>
      </c>
      <c r="G718" t="n">
        <v>5.4</v>
      </c>
      <c r="H718" t="n">
        <v>0</v>
      </c>
      <c r="I718" t="n">
        <v>0</v>
      </c>
      <c r="J718" t="n">
        <v>0</v>
      </c>
      <c r="K718" t="n">
        <v>0</v>
      </c>
      <c r="L718" t="n">
        <v>0</v>
      </c>
      <c r="M718" t="n">
        <v>0</v>
      </c>
      <c r="N718" t="n">
        <v>0</v>
      </c>
      <c r="O718" t="n">
        <v>0</v>
      </c>
      <c r="P718" t="n">
        <v>0</v>
      </c>
      <c r="Q718" t="n">
        <v>0</v>
      </c>
      <c r="R718" s="2" t="inlineStr"/>
    </row>
    <row r="719" ht="15" customHeight="1">
      <c r="A719" t="inlineStr">
        <is>
          <t>A 54195-2019</t>
        </is>
      </c>
      <c r="B719" s="1" t="n">
        <v>43753</v>
      </c>
      <c r="C719" s="1" t="n">
        <v>45724</v>
      </c>
      <c r="D719" t="inlineStr">
        <is>
          <t>VÄSTMANLANDS LÄN</t>
        </is>
      </c>
      <c r="E719" t="inlineStr">
        <is>
          <t>VÄSTERÅS</t>
        </is>
      </c>
      <c r="F719" t="inlineStr">
        <is>
          <t>Övriga Aktiebolag</t>
        </is>
      </c>
      <c r="G719" t="n">
        <v>2.6</v>
      </c>
      <c r="H719" t="n">
        <v>0</v>
      </c>
      <c r="I719" t="n">
        <v>0</v>
      </c>
      <c r="J719" t="n">
        <v>0</v>
      </c>
      <c r="K719" t="n">
        <v>0</v>
      </c>
      <c r="L719" t="n">
        <v>0</v>
      </c>
      <c r="M719" t="n">
        <v>0</v>
      </c>
      <c r="N719" t="n">
        <v>0</v>
      </c>
      <c r="O719" t="n">
        <v>0</v>
      </c>
      <c r="P719" t="n">
        <v>0</v>
      </c>
      <c r="Q719" t="n">
        <v>0</v>
      </c>
      <c r="R719" s="2" t="inlineStr"/>
    </row>
    <row r="720" ht="15" customHeight="1">
      <c r="A720" t="inlineStr">
        <is>
          <t>A 54628-2019</t>
        </is>
      </c>
      <c r="B720" s="1" t="n">
        <v>43754</v>
      </c>
      <c r="C720" s="1" t="n">
        <v>45724</v>
      </c>
      <c r="D720" t="inlineStr">
        <is>
          <t>VÄSTMANLANDS LÄN</t>
        </is>
      </c>
      <c r="E720" t="inlineStr">
        <is>
          <t>VÄSTERÅS</t>
        </is>
      </c>
      <c r="G720" t="n">
        <v>1.5</v>
      </c>
      <c r="H720" t="n">
        <v>0</v>
      </c>
      <c r="I720" t="n">
        <v>0</v>
      </c>
      <c r="J720" t="n">
        <v>0</v>
      </c>
      <c r="K720" t="n">
        <v>0</v>
      </c>
      <c r="L720" t="n">
        <v>0</v>
      </c>
      <c r="M720" t="n">
        <v>0</v>
      </c>
      <c r="N720" t="n">
        <v>0</v>
      </c>
      <c r="O720" t="n">
        <v>0</v>
      </c>
      <c r="P720" t="n">
        <v>0</v>
      </c>
      <c r="Q720" t="n">
        <v>0</v>
      </c>
      <c r="R720" s="2" t="inlineStr"/>
    </row>
    <row r="721" ht="15" customHeight="1">
      <c r="A721" t="inlineStr">
        <is>
          <t>A 54846-2019</t>
        </is>
      </c>
      <c r="B721" s="1" t="n">
        <v>43755</v>
      </c>
      <c r="C721" s="1" t="n">
        <v>45724</v>
      </c>
      <c r="D721" t="inlineStr">
        <is>
          <t>VÄSTMANLANDS LÄN</t>
        </is>
      </c>
      <c r="E721" t="inlineStr">
        <is>
          <t>KUNGSÖR</t>
        </is>
      </c>
      <c r="G721" t="n">
        <v>2.7</v>
      </c>
      <c r="H721" t="n">
        <v>0</v>
      </c>
      <c r="I721" t="n">
        <v>0</v>
      </c>
      <c r="J721" t="n">
        <v>0</v>
      </c>
      <c r="K721" t="n">
        <v>0</v>
      </c>
      <c r="L721" t="n">
        <v>0</v>
      </c>
      <c r="M721" t="n">
        <v>0</v>
      </c>
      <c r="N721" t="n">
        <v>0</v>
      </c>
      <c r="O721" t="n">
        <v>0</v>
      </c>
      <c r="P721" t="n">
        <v>0</v>
      </c>
      <c r="Q721" t="n">
        <v>0</v>
      </c>
      <c r="R721" s="2" t="inlineStr"/>
    </row>
    <row r="722" ht="15" customHeight="1">
      <c r="A722" t="inlineStr">
        <is>
          <t>A 55253-2019</t>
        </is>
      </c>
      <c r="B722" s="1" t="n">
        <v>43756</v>
      </c>
      <c r="C722" s="1" t="n">
        <v>45724</v>
      </c>
      <c r="D722" t="inlineStr">
        <is>
          <t>VÄSTMANLANDS LÄN</t>
        </is>
      </c>
      <c r="E722" t="inlineStr">
        <is>
          <t>SKINNSKATTEBERG</t>
        </is>
      </c>
      <c r="F722" t="inlineStr">
        <is>
          <t>Sveaskog</t>
        </is>
      </c>
      <c r="G722" t="n">
        <v>7</v>
      </c>
      <c r="H722" t="n">
        <v>0</v>
      </c>
      <c r="I722" t="n">
        <v>0</v>
      </c>
      <c r="J722" t="n">
        <v>0</v>
      </c>
      <c r="K722" t="n">
        <v>0</v>
      </c>
      <c r="L722" t="n">
        <v>0</v>
      </c>
      <c r="M722" t="n">
        <v>0</v>
      </c>
      <c r="N722" t="n">
        <v>0</v>
      </c>
      <c r="O722" t="n">
        <v>0</v>
      </c>
      <c r="P722" t="n">
        <v>0</v>
      </c>
      <c r="Q722" t="n">
        <v>0</v>
      </c>
      <c r="R722" s="2" t="inlineStr"/>
    </row>
    <row r="723" ht="15" customHeight="1">
      <c r="A723" t="inlineStr">
        <is>
          <t>A 55254-2019</t>
        </is>
      </c>
      <c r="B723" s="1" t="n">
        <v>43756</v>
      </c>
      <c r="C723" s="1" t="n">
        <v>45724</v>
      </c>
      <c r="D723" t="inlineStr">
        <is>
          <t>VÄSTMANLANDS LÄN</t>
        </is>
      </c>
      <c r="E723" t="inlineStr">
        <is>
          <t>SKINNSKATTEBERG</t>
        </is>
      </c>
      <c r="F723" t="inlineStr">
        <is>
          <t>Sveaskog</t>
        </is>
      </c>
      <c r="G723" t="n">
        <v>2.3</v>
      </c>
      <c r="H723" t="n">
        <v>0</v>
      </c>
      <c r="I723" t="n">
        <v>0</v>
      </c>
      <c r="J723" t="n">
        <v>0</v>
      </c>
      <c r="K723" t="n">
        <v>0</v>
      </c>
      <c r="L723" t="n">
        <v>0</v>
      </c>
      <c r="M723" t="n">
        <v>0</v>
      </c>
      <c r="N723" t="n">
        <v>0</v>
      </c>
      <c r="O723" t="n">
        <v>0</v>
      </c>
      <c r="P723" t="n">
        <v>0</v>
      </c>
      <c r="Q723" t="n">
        <v>0</v>
      </c>
      <c r="R723" s="2" t="inlineStr"/>
    </row>
    <row r="724" ht="15" customHeight="1">
      <c r="A724" t="inlineStr">
        <is>
          <t>A 55400-2019</t>
        </is>
      </c>
      <c r="B724" s="1" t="n">
        <v>43758</v>
      </c>
      <c r="C724" s="1" t="n">
        <v>45724</v>
      </c>
      <c r="D724" t="inlineStr">
        <is>
          <t>VÄSTMANLANDS LÄN</t>
        </is>
      </c>
      <c r="E724" t="inlineStr">
        <is>
          <t>KÖPING</t>
        </is>
      </c>
      <c r="G724" t="n">
        <v>1.7</v>
      </c>
      <c r="H724" t="n">
        <v>0</v>
      </c>
      <c r="I724" t="n">
        <v>0</v>
      </c>
      <c r="J724" t="n">
        <v>0</v>
      </c>
      <c r="K724" t="n">
        <v>0</v>
      </c>
      <c r="L724" t="n">
        <v>0</v>
      </c>
      <c r="M724" t="n">
        <v>0</v>
      </c>
      <c r="N724" t="n">
        <v>0</v>
      </c>
      <c r="O724" t="n">
        <v>0</v>
      </c>
      <c r="P724" t="n">
        <v>0</v>
      </c>
      <c r="Q724" t="n">
        <v>0</v>
      </c>
      <c r="R724" s="2" t="inlineStr"/>
    </row>
    <row r="725" ht="15" customHeight="1">
      <c r="A725" t="inlineStr">
        <is>
          <t>A 55518-2019</t>
        </is>
      </c>
      <c r="B725" s="1" t="n">
        <v>43759</v>
      </c>
      <c r="C725" s="1" t="n">
        <v>45724</v>
      </c>
      <c r="D725" t="inlineStr">
        <is>
          <t>VÄSTMANLANDS LÄN</t>
        </is>
      </c>
      <c r="E725" t="inlineStr">
        <is>
          <t>HALLSTAHAMMAR</t>
        </is>
      </c>
      <c r="G725" t="n">
        <v>0.6</v>
      </c>
      <c r="H725" t="n">
        <v>0</v>
      </c>
      <c r="I725" t="n">
        <v>0</v>
      </c>
      <c r="J725" t="n">
        <v>0</v>
      </c>
      <c r="K725" t="n">
        <v>0</v>
      </c>
      <c r="L725" t="n">
        <v>0</v>
      </c>
      <c r="M725" t="n">
        <v>0</v>
      </c>
      <c r="N725" t="n">
        <v>0</v>
      </c>
      <c r="O725" t="n">
        <v>0</v>
      </c>
      <c r="P725" t="n">
        <v>0</v>
      </c>
      <c r="Q725" t="n">
        <v>0</v>
      </c>
      <c r="R725" s="2" t="inlineStr"/>
    </row>
    <row r="726" ht="15" customHeight="1">
      <c r="A726" t="inlineStr">
        <is>
          <t>A 55856-2019</t>
        </is>
      </c>
      <c r="B726" s="1" t="n">
        <v>43759</v>
      </c>
      <c r="C726" s="1" t="n">
        <v>45724</v>
      </c>
      <c r="D726" t="inlineStr">
        <is>
          <t>VÄSTMANLANDS LÄN</t>
        </is>
      </c>
      <c r="E726" t="inlineStr">
        <is>
          <t>ARBOGA</t>
        </is>
      </c>
      <c r="G726" t="n">
        <v>1</v>
      </c>
      <c r="H726" t="n">
        <v>0</v>
      </c>
      <c r="I726" t="n">
        <v>0</v>
      </c>
      <c r="J726" t="n">
        <v>0</v>
      </c>
      <c r="K726" t="n">
        <v>0</v>
      </c>
      <c r="L726" t="n">
        <v>0</v>
      </c>
      <c r="M726" t="n">
        <v>0</v>
      </c>
      <c r="N726" t="n">
        <v>0</v>
      </c>
      <c r="O726" t="n">
        <v>0</v>
      </c>
      <c r="P726" t="n">
        <v>0</v>
      </c>
      <c r="Q726" t="n">
        <v>0</v>
      </c>
      <c r="R726" s="2" t="inlineStr"/>
    </row>
    <row r="727" ht="15" customHeight="1">
      <c r="A727" t="inlineStr">
        <is>
          <t>A 56040-2019</t>
        </is>
      </c>
      <c r="B727" s="1" t="n">
        <v>43759</v>
      </c>
      <c r="C727" s="1" t="n">
        <v>45724</v>
      </c>
      <c r="D727" t="inlineStr">
        <is>
          <t>VÄSTMANLANDS LÄN</t>
        </is>
      </c>
      <c r="E727" t="inlineStr">
        <is>
          <t>ARBOGA</t>
        </is>
      </c>
      <c r="G727" t="n">
        <v>1</v>
      </c>
      <c r="H727" t="n">
        <v>0</v>
      </c>
      <c r="I727" t="n">
        <v>0</v>
      </c>
      <c r="J727" t="n">
        <v>0</v>
      </c>
      <c r="K727" t="n">
        <v>0</v>
      </c>
      <c r="L727" t="n">
        <v>0</v>
      </c>
      <c r="M727" t="n">
        <v>0</v>
      </c>
      <c r="N727" t="n">
        <v>0</v>
      </c>
      <c r="O727" t="n">
        <v>0</v>
      </c>
      <c r="P727" t="n">
        <v>0</v>
      </c>
      <c r="Q727" t="n">
        <v>0</v>
      </c>
      <c r="R727" s="2" t="inlineStr"/>
    </row>
    <row r="728" ht="15" customHeight="1">
      <c r="A728" t="inlineStr">
        <is>
          <t>A 55759-2019</t>
        </is>
      </c>
      <c r="B728" s="1" t="n">
        <v>43759</v>
      </c>
      <c r="C728" s="1" t="n">
        <v>45724</v>
      </c>
      <c r="D728" t="inlineStr">
        <is>
          <t>VÄSTMANLANDS LÄN</t>
        </is>
      </c>
      <c r="E728" t="inlineStr">
        <is>
          <t>ARBOGA</t>
        </is>
      </c>
      <c r="G728" t="n">
        <v>1.7</v>
      </c>
      <c r="H728" t="n">
        <v>0</v>
      </c>
      <c r="I728" t="n">
        <v>0</v>
      </c>
      <c r="J728" t="n">
        <v>0</v>
      </c>
      <c r="K728" t="n">
        <v>0</v>
      </c>
      <c r="L728" t="n">
        <v>0</v>
      </c>
      <c r="M728" t="n">
        <v>0</v>
      </c>
      <c r="N728" t="n">
        <v>0</v>
      </c>
      <c r="O728" t="n">
        <v>0</v>
      </c>
      <c r="P728" t="n">
        <v>0</v>
      </c>
      <c r="Q728" t="n">
        <v>0</v>
      </c>
      <c r="R728" s="2" t="inlineStr"/>
    </row>
    <row r="729" ht="15" customHeight="1">
      <c r="A729" t="inlineStr">
        <is>
          <t>A 56038-2019</t>
        </is>
      </c>
      <c r="B729" s="1" t="n">
        <v>43759</v>
      </c>
      <c r="C729" s="1" t="n">
        <v>45724</v>
      </c>
      <c r="D729" t="inlineStr">
        <is>
          <t>VÄSTMANLANDS LÄN</t>
        </is>
      </c>
      <c r="E729" t="inlineStr">
        <is>
          <t>ARBOGA</t>
        </is>
      </c>
      <c r="G729" t="n">
        <v>2.8</v>
      </c>
      <c r="H729" t="n">
        <v>0</v>
      </c>
      <c r="I729" t="n">
        <v>0</v>
      </c>
      <c r="J729" t="n">
        <v>0</v>
      </c>
      <c r="K729" t="n">
        <v>0</v>
      </c>
      <c r="L729" t="n">
        <v>0</v>
      </c>
      <c r="M729" t="n">
        <v>0</v>
      </c>
      <c r="N729" t="n">
        <v>0</v>
      </c>
      <c r="O729" t="n">
        <v>0</v>
      </c>
      <c r="P729" t="n">
        <v>0</v>
      </c>
      <c r="Q729" t="n">
        <v>0</v>
      </c>
      <c r="R729" s="2" t="inlineStr"/>
    </row>
    <row r="730" ht="15" customHeight="1">
      <c r="A730" t="inlineStr">
        <is>
          <t>A 55673-2019</t>
        </is>
      </c>
      <c r="B730" s="1" t="n">
        <v>43760</v>
      </c>
      <c r="C730" s="1" t="n">
        <v>45724</v>
      </c>
      <c r="D730" t="inlineStr">
        <is>
          <t>VÄSTMANLANDS LÄN</t>
        </is>
      </c>
      <c r="E730" t="inlineStr">
        <is>
          <t>ARBOGA</t>
        </is>
      </c>
      <c r="G730" t="n">
        <v>2.2</v>
      </c>
      <c r="H730" t="n">
        <v>0</v>
      </c>
      <c r="I730" t="n">
        <v>0</v>
      </c>
      <c r="J730" t="n">
        <v>0</v>
      </c>
      <c r="K730" t="n">
        <v>0</v>
      </c>
      <c r="L730" t="n">
        <v>0</v>
      </c>
      <c r="M730" t="n">
        <v>0</v>
      </c>
      <c r="N730" t="n">
        <v>0</v>
      </c>
      <c r="O730" t="n">
        <v>0</v>
      </c>
      <c r="P730" t="n">
        <v>0</v>
      </c>
      <c r="Q730" t="n">
        <v>0</v>
      </c>
      <c r="R730" s="2" t="inlineStr"/>
    </row>
    <row r="731" ht="15" customHeight="1">
      <c r="A731" t="inlineStr">
        <is>
          <t>A 55672-2019</t>
        </is>
      </c>
      <c r="B731" s="1" t="n">
        <v>43760</v>
      </c>
      <c r="C731" s="1" t="n">
        <v>45724</v>
      </c>
      <c r="D731" t="inlineStr">
        <is>
          <t>VÄSTMANLANDS LÄN</t>
        </is>
      </c>
      <c r="E731" t="inlineStr">
        <is>
          <t>ARBOGA</t>
        </is>
      </c>
      <c r="G731" t="n">
        <v>4.2</v>
      </c>
      <c r="H731" t="n">
        <v>0</v>
      </c>
      <c r="I731" t="n">
        <v>0</v>
      </c>
      <c r="J731" t="n">
        <v>0</v>
      </c>
      <c r="K731" t="n">
        <v>0</v>
      </c>
      <c r="L731" t="n">
        <v>0</v>
      </c>
      <c r="M731" t="n">
        <v>0</v>
      </c>
      <c r="N731" t="n">
        <v>0</v>
      </c>
      <c r="O731" t="n">
        <v>0</v>
      </c>
      <c r="P731" t="n">
        <v>0</v>
      </c>
      <c r="Q731" t="n">
        <v>0</v>
      </c>
      <c r="R731" s="2" t="inlineStr"/>
    </row>
    <row r="732" ht="15" customHeight="1">
      <c r="A732" t="inlineStr">
        <is>
          <t>A 55659-2019</t>
        </is>
      </c>
      <c r="B732" s="1" t="n">
        <v>43760</v>
      </c>
      <c r="C732" s="1" t="n">
        <v>45724</v>
      </c>
      <c r="D732" t="inlineStr">
        <is>
          <t>VÄSTMANLANDS LÄN</t>
        </is>
      </c>
      <c r="E732" t="inlineStr">
        <is>
          <t>KÖPING</t>
        </is>
      </c>
      <c r="G732" t="n">
        <v>10.7</v>
      </c>
      <c r="H732" t="n">
        <v>0</v>
      </c>
      <c r="I732" t="n">
        <v>0</v>
      </c>
      <c r="J732" t="n">
        <v>0</v>
      </c>
      <c r="K732" t="n">
        <v>0</v>
      </c>
      <c r="L732" t="n">
        <v>0</v>
      </c>
      <c r="M732" t="n">
        <v>0</v>
      </c>
      <c r="N732" t="n">
        <v>0</v>
      </c>
      <c r="O732" t="n">
        <v>0</v>
      </c>
      <c r="P732" t="n">
        <v>0</v>
      </c>
      <c r="Q732" t="n">
        <v>0</v>
      </c>
      <c r="R732" s="2" t="inlineStr"/>
    </row>
    <row r="733" ht="15" customHeight="1">
      <c r="A733" t="inlineStr">
        <is>
          <t>A 56012-2019</t>
        </is>
      </c>
      <c r="B733" s="1" t="n">
        <v>43760</v>
      </c>
      <c r="C733" s="1" t="n">
        <v>45724</v>
      </c>
      <c r="D733" t="inlineStr">
        <is>
          <t>VÄSTMANLANDS LÄN</t>
        </is>
      </c>
      <c r="E733" t="inlineStr">
        <is>
          <t>KÖPING</t>
        </is>
      </c>
      <c r="G733" t="n">
        <v>2.2</v>
      </c>
      <c r="H733" t="n">
        <v>0</v>
      </c>
      <c r="I733" t="n">
        <v>0</v>
      </c>
      <c r="J733" t="n">
        <v>0</v>
      </c>
      <c r="K733" t="n">
        <v>0</v>
      </c>
      <c r="L733" t="n">
        <v>0</v>
      </c>
      <c r="M733" t="n">
        <v>0</v>
      </c>
      <c r="N733" t="n">
        <v>0</v>
      </c>
      <c r="O733" t="n">
        <v>0</v>
      </c>
      <c r="P733" t="n">
        <v>0</v>
      </c>
      <c r="Q733" t="n">
        <v>0</v>
      </c>
      <c r="R733" s="2" t="inlineStr"/>
    </row>
    <row r="734" ht="15" customHeight="1">
      <c r="A734" t="inlineStr">
        <is>
          <t>A 56152-2019</t>
        </is>
      </c>
      <c r="B734" s="1" t="n">
        <v>43761</v>
      </c>
      <c r="C734" s="1" t="n">
        <v>45724</v>
      </c>
      <c r="D734" t="inlineStr">
        <is>
          <t>VÄSTMANLANDS LÄN</t>
        </is>
      </c>
      <c r="E734" t="inlineStr">
        <is>
          <t>KÖPING</t>
        </is>
      </c>
      <c r="G734" t="n">
        <v>1.6</v>
      </c>
      <c r="H734" t="n">
        <v>0</v>
      </c>
      <c r="I734" t="n">
        <v>0</v>
      </c>
      <c r="J734" t="n">
        <v>0</v>
      </c>
      <c r="K734" t="n">
        <v>0</v>
      </c>
      <c r="L734" t="n">
        <v>0</v>
      </c>
      <c r="M734" t="n">
        <v>0</v>
      </c>
      <c r="N734" t="n">
        <v>0</v>
      </c>
      <c r="O734" t="n">
        <v>0</v>
      </c>
      <c r="P734" t="n">
        <v>0</v>
      </c>
      <c r="Q734" t="n">
        <v>0</v>
      </c>
      <c r="R734" s="2" t="inlineStr"/>
    </row>
    <row r="735" ht="15" customHeight="1">
      <c r="A735" t="inlineStr">
        <is>
          <t>A 55837-2019</t>
        </is>
      </c>
      <c r="B735" s="1" t="n">
        <v>43761</v>
      </c>
      <c r="C735" s="1" t="n">
        <v>45724</v>
      </c>
      <c r="D735" t="inlineStr">
        <is>
          <t>VÄSTMANLANDS LÄN</t>
        </is>
      </c>
      <c r="E735" t="inlineStr">
        <is>
          <t>KÖPING</t>
        </is>
      </c>
      <c r="G735" t="n">
        <v>23.2</v>
      </c>
      <c r="H735" t="n">
        <v>0</v>
      </c>
      <c r="I735" t="n">
        <v>0</v>
      </c>
      <c r="J735" t="n">
        <v>0</v>
      </c>
      <c r="K735" t="n">
        <v>0</v>
      </c>
      <c r="L735" t="n">
        <v>0</v>
      </c>
      <c r="M735" t="n">
        <v>0</v>
      </c>
      <c r="N735" t="n">
        <v>0</v>
      </c>
      <c r="O735" t="n">
        <v>0</v>
      </c>
      <c r="P735" t="n">
        <v>0</v>
      </c>
      <c r="Q735" t="n">
        <v>0</v>
      </c>
      <c r="R735" s="2" t="inlineStr"/>
    </row>
    <row r="736" ht="15" customHeight="1">
      <c r="A736" t="inlineStr">
        <is>
          <t>A 56156-2019</t>
        </is>
      </c>
      <c r="B736" s="1" t="n">
        <v>43761</v>
      </c>
      <c r="C736" s="1" t="n">
        <v>45724</v>
      </c>
      <c r="D736" t="inlineStr">
        <is>
          <t>VÄSTMANLANDS LÄN</t>
        </is>
      </c>
      <c r="E736" t="inlineStr">
        <is>
          <t>KÖPING</t>
        </is>
      </c>
      <c r="G736" t="n">
        <v>0.4</v>
      </c>
      <c r="H736" t="n">
        <v>0</v>
      </c>
      <c r="I736" t="n">
        <v>0</v>
      </c>
      <c r="J736" t="n">
        <v>0</v>
      </c>
      <c r="K736" t="n">
        <v>0</v>
      </c>
      <c r="L736" t="n">
        <v>0</v>
      </c>
      <c r="M736" t="n">
        <v>0</v>
      </c>
      <c r="N736" t="n">
        <v>0</v>
      </c>
      <c r="O736" t="n">
        <v>0</v>
      </c>
      <c r="P736" t="n">
        <v>0</v>
      </c>
      <c r="Q736" t="n">
        <v>0</v>
      </c>
      <c r="R736" s="2" t="inlineStr"/>
    </row>
    <row r="737" ht="15" customHeight="1">
      <c r="A737" t="inlineStr">
        <is>
          <t>A 56611-2019</t>
        </is>
      </c>
      <c r="B737" s="1" t="n">
        <v>43762</v>
      </c>
      <c r="C737" s="1" t="n">
        <v>45724</v>
      </c>
      <c r="D737" t="inlineStr">
        <is>
          <t>VÄSTMANLANDS LÄN</t>
        </is>
      </c>
      <c r="E737" t="inlineStr">
        <is>
          <t>VÄSTERÅS</t>
        </is>
      </c>
      <c r="G737" t="n">
        <v>4.1</v>
      </c>
      <c r="H737" t="n">
        <v>0</v>
      </c>
      <c r="I737" t="n">
        <v>0</v>
      </c>
      <c r="J737" t="n">
        <v>0</v>
      </c>
      <c r="K737" t="n">
        <v>0</v>
      </c>
      <c r="L737" t="n">
        <v>0</v>
      </c>
      <c r="M737" t="n">
        <v>0</v>
      </c>
      <c r="N737" t="n">
        <v>0</v>
      </c>
      <c r="O737" t="n">
        <v>0</v>
      </c>
      <c r="P737" t="n">
        <v>0</v>
      </c>
      <c r="Q737" t="n">
        <v>0</v>
      </c>
      <c r="R737" s="2" t="inlineStr"/>
    </row>
    <row r="738" ht="15" customHeight="1">
      <c r="A738" t="inlineStr">
        <is>
          <t>A 56618-2019</t>
        </is>
      </c>
      <c r="B738" s="1" t="n">
        <v>43763</v>
      </c>
      <c r="C738" s="1" t="n">
        <v>45724</v>
      </c>
      <c r="D738" t="inlineStr">
        <is>
          <t>VÄSTMANLANDS LÄN</t>
        </is>
      </c>
      <c r="E738" t="inlineStr">
        <is>
          <t>KÖPING</t>
        </is>
      </c>
      <c r="G738" t="n">
        <v>1.2</v>
      </c>
      <c r="H738" t="n">
        <v>0</v>
      </c>
      <c r="I738" t="n">
        <v>0</v>
      </c>
      <c r="J738" t="n">
        <v>0</v>
      </c>
      <c r="K738" t="n">
        <v>0</v>
      </c>
      <c r="L738" t="n">
        <v>0</v>
      </c>
      <c r="M738" t="n">
        <v>0</v>
      </c>
      <c r="N738" t="n">
        <v>0</v>
      </c>
      <c r="O738" t="n">
        <v>0</v>
      </c>
      <c r="P738" t="n">
        <v>0</v>
      </c>
      <c r="Q738" t="n">
        <v>0</v>
      </c>
      <c r="R738" s="2" t="inlineStr"/>
    </row>
    <row r="739" ht="15" customHeight="1">
      <c r="A739" t="inlineStr">
        <is>
          <t>A 56616-2019</t>
        </is>
      </c>
      <c r="B739" s="1" t="n">
        <v>43763</v>
      </c>
      <c r="C739" s="1" t="n">
        <v>45724</v>
      </c>
      <c r="D739" t="inlineStr">
        <is>
          <t>VÄSTMANLANDS LÄN</t>
        </is>
      </c>
      <c r="E739" t="inlineStr">
        <is>
          <t>KÖPING</t>
        </is>
      </c>
      <c r="G739" t="n">
        <v>2.1</v>
      </c>
      <c r="H739" t="n">
        <v>0</v>
      </c>
      <c r="I739" t="n">
        <v>0</v>
      </c>
      <c r="J739" t="n">
        <v>0</v>
      </c>
      <c r="K739" t="n">
        <v>0</v>
      </c>
      <c r="L739" t="n">
        <v>0</v>
      </c>
      <c r="M739" t="n">
        <v>0</v>
      </c>
      <c r="N739" t="n">
        <v>0</v>
      </c>
      <c r="O739" t="n">
        <v>0</v>
      </c>
      <c r="P739" t="n">
        <v>0</v>
      </c>
      <c r="Q739" t="n">
        <v>0</v>
      </c>
      <c r="R739" s="2" t="inlineStr"/>
    </row>
    <row r="740" ht="15" customHeight="1">
      <c r="A740" t="inlineStr">
        <is>
          <t>A 56607-2019</t>
        </is>
      </c>
      <c r="B740" s="1" t="n">
        <v>43763</v>
      </c>
      <c r="C740" s="1" t="n">
        <v>45724</v>
      </c>
      <c r="D740" t="inlineStr">
        <is>
          <t>VÄSTMANLANDS LÄN</t>
        </is>
      </c>
      <c r="E740" t="inlineStr">
        <is>
          <t>KÖPING</t>
        </is>
      </c>
      <c r="G740" t="n">
        <v>1.7</v>
      </c>
      <c r="H740" t="n">
        <v>0</v>
      </c>
      <c r="I740" t="n">
        <v>0</v>
      </c>
      <c r="J740" t="n">
        <v>0</v>
      </c>
      <c r="K740" t="n">
        <v>0</v>
      </c>
      <c r="L740" t="n">
        <v>0</v>
      </c>
      <c r="M740" t="n">
        <v>0</v>
      </c>
      <c r="N740" t="n">
        <v>0</v>
      </c>
      <c r="O740" t="n">
        <v>0</v>
      </c>
      <c r="P740" t="n">
        <v>0</v>
      </c>
      <c r="Q740" t="n">
        <v>0</v>
      </c>
      <c r="R740" s="2" t="inlineStr"/>
    </row>
    <row r="741" ht="15" customHeight="1">
      <c r="A741" t="inlineStr">
        <is>
          <t>A 57078-2019</t>
        </is>
      </c>
      <c r="B741" s="1" t="n">
        <v>43766</v>
      </c>
      <c r="C741" s="1" t="n">
        <v>45724</v>
      </c>
      <c r="D741" t="inlineStr">
        <is>
          <t>VÄSTMANLANDS LÄN</t>
        </is>
      </c>
      <c r="E741" t="inlineStr">
        <is>
          <t>VÄSTERÅS</t>
        </is>
      </c>
      <c r="G741" t="n">
        <v>3.2</v>
      </c>
      <c r="H741" t="n">
        <v>0</v>
      </c>
      <c r="I741" t="n">
        <v>0</v>
      </c>
      <c r="J741" t="n">
        <v>0</v>
      </c>
      <c r="K741" t="n">
        <v>0</v>
      </c>
      <c r="L741" t="n">
        <v>0</v>
      </c>
      <c r="M741" t="n">
        <v>0</v>
      </c>
      <c r="N741" t="n">
        <v>0</v>
      </c>
      <c r="O741" t="n">
        <v>0</v>
      </c>
      <c r="P741" t="n">
        <v>0</v>
      </c>
      <c r="Q741" t="n">
        <v>0</v>
      </c>
      <c r="R741" s="2" t="inlineStr"/>
    </row>
    <row r="742" ht="15" customHeight="1">
      <c r="A742" t="inlineStr">
        <is>
          <t>A 58573-2019</t>
        </is>
      </c>
      <c r="B742" s="1" t="n">
        <v>43766</v>
      </c>
      <c r="C742" s="1" t="n">
        <v>45724</v>
      </c>
      <c r="D742" t="inlineStr">
        <is>
          <t>VÄSTMANLANDS LÄN</t>
        </is>
      </c>
      <c r="E742" t="inlineStr">
        <is>
          <t>NORBERG</t>
        </is>
      </c>
      <c r="G742" t="n">
        <v>2.5</v>
      </c>
      <c r="H742" t="n">
        <v>0</v>
      </c>
      <c r="I742" t="n">
        <v>0</v>
      </c>
      <c r="J742" t="n">
        <v>0</v>
      </c>
      <c r="K742" t="n">
        <v>0</v>
      </c>
      <c r="L742" t="n">
        <v>0</v>
      </c>
      <c r="M742" t="n">
        <v>0</v>
      </c>
      <c r="N742" t="n">
        <v>0</v>
      </c>
      <c r="O742" t="n">
        <v>0</v>
      </c>
      <c r="P742" t="n">
        <v>0</v>
      </c>
      <c r="Q742" t="n">
        <v>0</v>
      </c>
      <c r="R742" s="2" t="inlineStr"/>
    </row>
    <row r="743" ht="15" customHeight="1">
      <c r="A743" t="inlineStr">
        <is>
          <t>A 58582-2019</t>
        </is>
      </c>
      <c r="B743" s="1" t="n">
        <v>43766</v>
      </c>
      <c r="C743" s="1" t="n">
        <v>45724</v>
      </c>
      <c r="D743" t="inlineStr">
        <is>
          <t>VÄSTMANLANDS LÄN</t>
        </is>
      </c>
      <c r="E743" t="inlineStr">
        <is>
          <t>NORBERG</t>
        </is>
      </c>
      <c r="G743" t="n">
        <v>11.3</v>
      </c>
      <c r="H743" t="n">
        <v>0</v>
      </c>
      <c r="I743" t="n">
        <v>0</v>
      </c>
      <c r="J743" t="n">
        <v>0</v>
      </c>
      <c r="K743" t="n">
        <v>0</v>
      </c>
      <c r="L743" t="n">
        <v>0</v>
      </c>
      <c r="M743" t="n">
        <v>0</v>
      </c>
      <c r="N743" t="n">
        <v>0</v>
      </c>
      <c r="O743" t="n">
        <v>0</v>
      </c>
      <c r="P743" t="n">
        <v>0</v>
      </c>
      <c r="Q743" t="n">
        <v>0</v>
      </c>
      <c r="R743" s="2" t="inlineStr"/>
    </row>
    <row r="744" ht="15" customHeight="1">
      <c r="A744" t="inlineStr">
        <is>
          <t>A 58555-2019</t>
        </is>
      </c>
      <c r="B744" s="1" t="n">
        <v>43766</v>
      </c>
      <c r="C744" s="1" t="n">
        <v>45724</v>
      </c>
      <c r="D744" t="inlineStr">
        <is>
          <t>VÄSTMANLANDS LÄN</t>
        </is>
      </c>
      <c r="E744" t="inlineStr">
        <is>
          <t>NORBERG</t>
        </is>
      </c>
      <c r="G744" t="n">
        <v>1.8</v>
      </c>
      <c r="H744" t="n">
        <v>0</v>
      </c>
      <c r="I744" t="n">
        <v>0</v>
      </c>
      <c r="J744" t="n">
        <v>0</v>
      </c>
      <c r="K744" t="n">
        <v>0</v>
      </c>
      <c r="L744" t="n">
        <v>0</v>
      </c>
      <c r="M744" t="n">
        <v>0</v>
      </c>
      <c r="N744" t="n">
        <v>0</v>
      </c>
      <c r="O744" t="n">
        <v>0</v>
      </c>
      <c r="P744" t="n">
        <v>0</v>
      </c>
      <c r="Q744" t="n">
        <v>0</v>
      </c>
      <c r="R744" s="2" t="inlineStr"/>
    </row>
    <row r="745" ht="15" customHeight="1">
      <c r="A745" t="inlineStr">
        <is>
          <t>A 58579-2019</t>
        </is>
      </c>
      <c r="B745" s="1" t="n">
        <v>43766</v>
      </c>
      <c r="C745" s="1" t="n">
        <v>45724</v>
      </c>
      <c r="D745" t="inlineStr">
        <is>
          <t>VÄSTMANLANDS LÄN</t>
        </is>
      </c>
      <c r="E745" t="inlineStr">
        <is>
          <t>NORBERG</t>
        </is>
      </c>
      <c r="G745" t="n">
        <v>6.9</v>
      </c>
      <c r="H745" t="n">
        <v>0</v>
      </c>
      <c r="I745" t="n">
        <v>0</v>
      </c>
      <c r="J745" t="n">
        <v>0</v>
      </c>
      <c r="K745" t="n">
        <v>0</v>
      </c>
      <c r="L745" t="n">
        <v>0</v>
      </c>
      <c r="M745" t="n">
        <v>0</v>
      </c>
      <c r="N745" t="n">
        <v>0</v>
      </c>
      <c r="O745" t="n">
        <v>0</v>
      </c>
      <c r="P745" t="n">
        <v>0</v>
      </c>
      <c r="Q745" t="n">
        <v>0</v>
      </c>
      <c r="R745" s="2" t="inlineStr"/>
    </row>
    <row r="746" ht="15" customHeight="1">
      <c r="A746" t="inlineStr">
        <is>
          <t>A 57409-2019</t>
        </is>
      </c>
      <c r="B746" s="1" t="n">
        <v>43767</v>
      </c>
      <c r="C746" s="1" t="n">
        <v>45724</v>
      </c>
      <c r="D746" t="inlineStr">
        <is>
          <t>VÄSTMANLANDS LÄN</t>
        </is>
      </c>
      <c r="E746" t="inlineStr">
        <is>
          <t>KÖPING</t>
        </is>
      </c>
      <c r="G746" t="n">
        <v>0.7</v>
      </c>
      <c r="H746" t="n">
        <v>0</v>
      </c>
      <c r="I746" t="n">
        <v>0</v>
      </c>
      <c r="J746" t="n">
        <v>0</v>
      </c>
      <c r="K746" t="n">
        <v>0</v>
      </c>
      <c r="L746" t="n">
        <v>0</v>
      </c>
      <c r="M746" t="n">
        <v>0</v>
      </c>
      <c r="N746" t="n">
        <v>0</v>
      </c>
      <c r="O746" t="n">
        <v>0</v>
      </c>
      <c r="P746" t="n">
        <v>0</v>
      </c>
      <c r="Q746" t="n">
        <v>0</v>
      </c>
      <c r="R746" s="2" t="inlineStr"/>
    </row>
    <row r="747" ht="15" customHeight="1">
      <c r="A747" t="inlineStr">
        <is>
          <t>A 57406-2019</t>
        </is>
      </c>
      <c r="B747" s="1" t="n">
        <v>43767</v>
      </c>
      <c r="C747" s="1" t="n">
        <v>45724</v>
      </c>
      <c r="D747" t="inlineStr">
        <is>
          <t>VÄSTMANLANDS LÄN</t>
        </is>
      </c>
      <c r="E747" t="inlineStr">
        <is>
          <t>KÖPING</t>
        </is>
      </c>
      <c r="G747" t="n">
        <v>0.8</v>
      </c>
      <c r="H747" t="n">
        <v>0</v>
      </c>
      <c r="I747" t="n">
        <v>0</v>
      </c>
      <c r="J747" t="n">
        <v>0</v>
      </c>
      <c r="K747" t="n">
        <v>0</v>
      </c>
      <c r="L747" t="n">
        <v>0</v>
      </c>
      <c r="M747" t="n">
        <v>0</v>
      </c>
      <c r="N747" t="n">
        <v>0</v>
      </c>
      <c r="O747" t="n">
        <v>0</v>
      </c>
      <c r="P747" t="n">
        <v>0</v>
      </c>
      <c r="Q747" t="n">
        <v>0</v>
      </c>
      <c r="R747" s="2" t="inlineStr"/>
    </row>
    <row r="748" ht="15" customHeight="1">
      <c r="A748" t="inlineStr">
        <is>
          <t>A 57743-2019</t>
        </is>
      </c>
      <c r="B748" s="1" t="n">
        <v>43768</v>
      </c>
      <c r="C748" s="1" t="n">
        <v>45724</v>
      </c>
      <c r="D748" t="inlineStr">
        <is>
          <t>VÄSTMANLANDS LÄN</t>
        </is>
      </c>
      <c r="E748" t="inlineStr">
        <is>
          <t>SALA</t>
        </is>
      </c>
      <c r="G748" t="n">
        <v>3.8</v>
      </c>
      <c r="H748" t="n">
        <v>0</v>
      </c>
      <c r="I748" t="n">
        <v>0</v>
      </c>
      <c r="J748" t="n">
        <v>0</v>
      </c>
      <c r="K748" t="n">
        <v>0</v>
      </c>
      <c r="L748" t="n">
        <v>0</v>
      </c>
      <c r="M748" t="n">
        <v>0</v>
      </c>
      <c r="N748" t="n">
        <v>0</v>
      </c>
      <c r="O748" t="n">
        <v>0</v>
      </c>
      <c r="P748" t="n">
        <v>0</v>
      </c>
      <c r="Q748" t="n">
        <v>0</v>
      </c>
      <c r="R748" s="2" t="inlineStr"/>
    </row>
    <row r="749" ht="15" customHeight="1">
      <c r="A749" t="inlineStr">
        <is>
          <t>A 57810-2019</t>
        </is>
      </c>
      <c r="B749" s="1" t="n">
        <v>43768</v>
      </c>
      <c r="C749" s="1" t="n">
        <v>45724</v>
      </c>
      <c r="D749" t="inlineStr">
        <is>
          <t>VÄSTMANLANDS LÄN</t>
        </is>
      </c>
      <c r="E749" t="inlineStr">
        <is>
          <t>VÄSTERÅS</t>
        </is>
      </c>
      <c r="G749" t="n">
        <v>1.1</v>
      </c>
      <c r="H749" t="n">
        <v>0</v>
      </c>
      <c r="I749" t="n">
        <v>0</v>
      </c>
      <c r="J749" t="n">
        <v>0</v>
      </c>
      <c r="K749" t="n">
        <v>0</v>
      </c>
      <c r="L749" t="n">
        <v>0</v>
      </c>
      <c r="M749" t="n">
        <v>0</v>
      </c>
      <c r="N749" t="n">
        <v>0</v>
      </c>
      <c r="O749" t="n">
        <v>0</v>
      </c>
      <c r="P749" t="n">
        <v>0</v>
      </c>
      <c r="Q749" t="n">
        <v>0</v>
      </c>
      <c r="R749" s="2" t="inlineStr"/>
    </row>
    <row r="750" ht="15" customHeight="1">
      <c r="A750" t="inlineStr">
        <is>
          <t>A 58003-2019</t>
        </is>
      </c>
      <c r="B750" s="1" t="n">
        <v>43769</v>
      </c>
      <c r="C750" s="1" t="n">
        <v>45724</v>
      </c>
      <c r="D750" t="inlineStr">
        <is>
          <t>VÄSTMANLANDS LÄN</t>
        </is>
      </c>
      <c r="E750" t="inlineStr">
        <is>
          <t>SALA</t>
        </is>
      </c>
      <c r="G750" t="n">
        <v>1.3</v>
      </c>
      <c r="H750" t="n">
        <v>0</v>
      </c>
      <c r="I750" t="n">
        <v>0</v>
      </c>
      <c r="J750" t="n">
        <v>0</v>
      </c>
      <c r="K750" t="n">
        <v>0</v>
      </c>
      <c r="L750" t="n">
        <v>0</v>
      </c>
      <c r="M750" t="n">
        <v>0</v>
      </c>
      <c r="N750" t="n">
        <v>0</v>
      </c>
      <c r="O750" t="n">
        <v>0</v>
      </c>
      <c r="P750" t="n">
        <v>0</v>
      </c>
      <c r="Q750" t="n">
        <v>0</v>
      </c>
      <c r="R750" s="2" t="inlineStr"/>
    </row>
    <row r="751" ht="15" customHeight="1">
      <c r="A751" t="inlineStr">
        <is>
          <t>A 58027-2019</t>
        </is>
      </c>
      <c r="B751" s="1" t="n">
        <v>43769</v>
      </c>
      <c r="C751" s="1" t="n">
        <v>45724</v>
      </c>
      <c r="D751" t="inlineStr">
        <is>
          <t>VÄSTMANLANDS LÄN</t>
        </is>
      </c>
      <c r="E751" t="inlineStr">
        <is>
          <t>SALA</t>
        </is>
      </c>
      <c r="G751" t="n">
        <v>2.4</v>
      </c>
      <c r="H751" t="n">
        <v>0</v>
      </c>
      <c r="I751" t="n">
        <v>0</v>
      </c>
      <c r="J751" t="n">
        <v>0</v>
      </c>
      <c r="K751" t="n">
        <v>0</v>
      </c>
      <c r="L751" t="n">
        <v>0</v>
      </c>
      <c r="M751" t="n">
        <v>0</v>
      </c>
      <c r="N751" t="n">
        <v>0</v>
      </c>
      <c r="O751" t="n">
        <v>0</v>
      </c>
      <c r="P751" t="n">
        <v>0</v>
      </c>
      <c r="Q751" t="n">
        <v>0</v>
      </c>
      <c r="R751" s="2" t="inlineStr"/>
    </row>
    <row r="752" ht="15" customHeight="1">
      <c r="A752" t="inlineStr">
        <is>
          <t>A 58138-2019</t>
        </is>
      </c>
      <c r="B752" s="1" t="n">
        <v>43769</v>
      </c>
      <c r="C752" s="1" t="n">
        <v>45724</v>
      </c>
      <c r="D752" t="inlineStr">
        <is>
          <t>VÄSTMANLANDS LÄN</t>
        </is>
      </c>
      <c r="E752" t="inlineStr">
        <is>
          <t>VÄSTERÅS</t>
        </is>
      </c>
      <c r="G752" t="n">
        <v>2.3</v>
      </c>
      <c r="H752" t="n">
        <v>0</v>
      </c>
      <c r="I752" t="n">
        <v>0</v>
      </c>
      <c r="J752" t="n">
        <v>0</v>
      </c>
      <c r="K752" t="n">
        <v>0</v>
      </c>
      <c r="L752" t="n">
        <v>0</v>
      </c>
      <c r="M752" t="n">
        <v>0</v>
      </c>
      <c r="N752" t="n">
        <v>0</v>
      </c>
      <c r="O752" t="n">
        <v>0</v>
      </c>
      <c r="P752" t="n">
        <v>0</v>
      </c>
      <c r="Q752" t="n">
        <v>0</v>
      </c>
      <c r="R752" s="2" t="inlineStr"/>
    </row>
    <row r="753" ht="15" customHeight="1">
      <c r="A753" t="inlineStr">
        <is>
          <t>A 57997-2019</t>
        </is>
      </c>
      <c r="B753" s="1" t="n">
        <v>43769</v>
      </c>
      <c r="C753" s="1" t="n">
        <v>45724</v>
      </c>
      <c r="D753" t="inlineStr">
        <is>
          <t>VÄSTMANLANDS LÄN</t>
        </is>
      </c>
      <c r="E753" t="inlineStr">
        <is>
          <t>NORBERG</t>
        </is>
      </c>
      <c r="G753" t="n">
        <v>1.6</v>
      </c>
      <c r="H753" t="n">
        <v>0</v>
      </c>
      <c r="I753" t="n">
        <v>0</v>
      </c>
      <c r="J753" t="n">
        <v>0</v>
      </c>
      <c r="K753" t="n">
        <v>0</v>
      </c>
      <c r="L753" t="n">
        <v>0</v>
      </c>
      <c r="M753" t="n">
        <v>0</v>
      </c>
      <c r="N753" t="n">
        <v>0</v>
      </c>
      <c r="O753" t="n">
        <v>0</v>
      </c>
      <c r="P753" t="n">
        <v>0</v>
      </c>
      <c r="Q753" t="n">
        <v>0</v>
      </c>
      <c r="R753" s="2" t="inlineStr"/>
    </row>
    <row r="754" ht="15" customHeight="1">
      <c r="A754" t="inlineStr">
        <is>
          <t>A 58455-2019</t>
        </is>
      </c>
      <c r="B754" s="1" t="n">
        <v>43773</v>
      </c>
      <c r="C754" s="1" t="n">
        <v>45724</v>
      </c>
      <c r="D754" t="inlineStr">
        <is>
          <t>VÄSTMANLANDS LÄN</t>
        </is>
      </c>
      <c r="E754" t="inlineStr">
        <is>
          <t>ARBOGA</t>
        </is>
      </c>
      <c r="G754" t="n">
        <v>2.1</v>
      </c>
      <c r="H754" t="n">
        <v>0</v>
      </c>
      <c r="I754" t="n">
        <v>0</v>
      </c>
      <c r="J754" t="n">
        <v>0</v>
      </c>
      <c r="K754" t="n">
        <v>0</v>
      </c>
      <c r="L754" t="n">
        <v>0</v>
      </c>
      <c r="M754" t="n">
        <v>0</v>
      </c>
      <c r="N754" t="n">
        <v>0</v>
      </c>
      <c r="O754" t="n">
        <v>0</v>
      </c>
      <c r="P754" t="n">
        <v>0</v>
      </c>
      <c r="Q754" t="n">
        <v>0</v>
      </c>
      <c r="R754" s="2" t="inlineStr"/>
    </row>
    <row r="755" ht="15" customHeight="1">
      <c r="A755" t="inlineStr">
        <is>
          <t>A 58681-2019</t>
        </is>
      </c>
      <c r="B755" s="1" t="n">
        <v>43773</v>
      </c>
      <c r="C755" s="1" t="n">
        <v>45724</v>
      </c>
      <c r="D755" t="inlineStr">
        <is>
          <t>VÄSTMANLANDS LÄN</t>
        </is>
      </c>
      <c r="E755" t="inlineStr">
        <is>
          <t>SALA</t>
        </is>
      </c>
      <c r="G755" t="n">
        <v>3</v>
      </c>
      <c r="H755" t="n">
        <v>0</v>
      </c>
      <c r="I755" t="n">
        <v>0</v>
      </c>
      <c r="J755" t="n">
        <v>0</v>
      </c>
      <c r="K755" t="n">
        <v>0</v>
      </c>
      <c r="L755" t="n">
        <v>0</v>
      </c>
      <c r="M755" t="n">
        <v>0</v>
      </c>
      <c r="N755" t="n">
        <v>0</v>
      </c>
      <c r="O755" t="n">
        <v>0</v>
      </c>
      <c r="P755" t="n">
        <v>0</v>
      </c>
      <c r="Q755" t="n">
        <v>0</v>
      </c>
      <c r="R755" s="2" t="inlineStr"/>
    </row>
    <row r="756" ht="15" customHeight="1">
      <c r="A756" t="inlineStr">
        <is>
          <t>A 58917-2019</t>
        </is>
      </c>
      <c r="B756" s="1" t="n">
        <v>43774</v>
      </c>
      <c r="C756" s="1" t="n">
        <v>45724</v>
      </c>
      <c r="D756" t="inlineStr">
        <is>
          <t>VÄSTMANLANDS LÄN</t>
        </is>
      </c>
      <c r="E756" t="inlineStr">
        <is>
          <t>SALA</t>
        </is>
      </c>
      <c r="G756" t="n">
        <v>1.3</v>
      </c>
      <c r="H756" t="n">
        <v>0</v>
      </c>
      <c r="I756" t="n">
        <v>0</v>
      </c>
      <c r="J756" t="n">
        <v>0</v>
      </c>
      <c r="K756" t="n">
        <v>0</v>
      </c>
      <c r="L756" t="n">
        <v>0</v>
      </c>
      <c r="M756" t="n">
        <v>0</v>
      </c>
      <c r="N756" t="n">
        <v>0</v>
      </c>
      <c r="O756" t="n">
        <v>0</v>
      </c>
      <c r="P756" t="n">
        <v>0</v>
      </c>
      <c r="Q756" t="n">
        <v>0</v>
      </c>
      <c r="R756" s="2" t="inlineStr"/>
    </row>
    <row r="757" ht="15" customHeight="1">
      <c r="A757" t="inlineStr">
        <is>
          <t>A 59147-2019</t>
        </is>
      </c>
      <c r="B757" s="1" t="n">
        <v>43775</v>
      </c>
      <c r="C757" s="1" t="n">
        <v>45724</v>
      </c>
      <c r="D757" t="inlineStr">
        <is>
          <t>VÄSTMANLANDS LÄN</t>
        </is>
      </c>
      <c r="E757" t="inlineStr">
        <is>
          <t>SALA</t>
        </is>
      </c>
      <c r="F757" t="inlineStr">
        <is>
          <t>Övriga Aktiebolag</t>
        </is>
      </c>
      <c r="G757" t="n">
        <v>69.8</v>
      </c>
      <c r="H757" t="n">
        <v>0</v>
      </c>
      <c r="I757" t="n">
        <v>0</v>
      </c>
      <c r="J757" t="n">
        <v>0</v>
      </c>
      <c r="K757" t="n">
        <v>0</v>
      </c>
      <c r="L757" t="n">
        <v>0</v>
      </c>
      <c r="M757" t="n">
        <v>0</v>
      </c>
      <c r="N757" t="n">
        <v>0</v>
      </c>
      <c r="O757" t="n">
        <v>0</v>
      </c>
      <c r="P757" t="n">
        <v>0</v>
      </c>
      <c r="Q757" t="n">
        <v>0</v>
      </c>
      <c r="R757" s="2" t="inlineStr"/>
    </row>
    <row r="758" ht="15" customHeight="1">
      <c r="A758" t="inlineStr">
        <is>
          <t>A 59327-2019</t>
        </is>
      </c>
      <c r="B758" s="1" t="n">
        <v>43775</v>
      </c>
      <c r="C758" s="1" t="n">
        <v>45724</v>
      </c>
      <c r="D758" t="inlineStr">
        <is>
          <t>VÄSTMANLANDS LÄN</t>
        </is>
      </c>
      <c r="E758" t="inlineStr">
        <is>
          <t>VÄSTERÅS</t>
        </is>
      </c>
      <c r="G758" t="n">
        <v>4.6</v>
      </c>
      <c r="H758" t="n">
        <v>0</v>
      </c>
      <c r="I758" t="n">
        <v>0</v>
      </c>
      <c r="J758" t="n">
        <v>0</v>
      </c>
      <c r="K758" t="n">
        <v>0</v>
      </c>
      <c r="L758" t="n">
        <v>0</v>
      </c>
      <c r="M758" t="n">
        <v>0</v>
      </c>
      <c r="N758" t="n">
        <v>0</v>
      </c>
      <c r="O758" t="n">
        <v>0</v>
      </c>
      <c r="P758" t="n">
        <v>0</v>
      </c>
      <c r="Q758" t="n">
        <v>0</v>
      </c>
      <c r="R758" s="2" t="inlineStr"/>
    </row>
    <row r="759" ht="15" customHeight="1">
      <c r="A759" t="inlineStr">
        <is>
          <t>A 59467-2019</t>
        </is>
      </c>
      <c r="B759" s="1" t="n">
        <v>43775</v>
      </c>
      <c r="C759" s="1" t="n">
        <v>45724</v>
      </c>
      <c r="D759" t="inlineStr">
        <is>
          <t>VÄSTMANLANDS LÄN</t>
        </is>
      </c>
      <c r="E759" t="inlineStr">
        <is>
          <t>KÖPING</t>
        </is>
      </c>
      <c r="G759" t="n">
        <v>0.9</v>
      </c>
      <c r="H759" t="n">
        <v>0</v>
      </c>
      <c r="I759" t="n">
        <v>0</v>
      </c>
      <c r="J759" t="n">
        <v>0</v>
      </c>
      <c r="K759" t="n">
        <v>0</v>
      </c>
      <c r="L759" t="n">
        <v>0</v>
      </c>
      <c r="M759" t="n">
        <v>0</v>
      </c>
      <c r="N759" t="n">
        <v>0</v>
      </c>
      <c r="O759" t="n">
        <v>0</v>
      </c>
      <c r="P759" t="n">
        <v>0</v>
      </c>
      <c r="Q759" t="n">
        <v>0</v>
      </c>
      <c r="R759" s="2" t="inlineStr"/>
    </row>
    <row r="760" ht="15" customHeight="1">
      <c r="A760" t="inlineStr">
        <is>
          <t>A 59444-2019</t>
        </is>
      </c>
      <c r="B760" s="1" t="n">
        <v>43776</v>
      </c>
      <c r="C760" s="1" t="n">
        <v>45724</v>
      </c>
      <c r="D760" t="inlineStr">
        <is>
          <t>VÄSTMANLANDS LÄN</t>
        </is>
      </c>
      <c r="E760" t="inlineStr">
        <is>
          <t>SKINNSKATTEBERG</t>
        </is>
      </c>
      <c r="F760" t="inlineStr">
        <is>
          <t>Sveaskog</t>
        </is>
      </c>
      <c r="G760" t="n">
        <v>1</v>
      </c>
      <c r="H760" t="n">
        <v>0</v>
      </c>
      <c r="I760" t="n">
        <v>0</v>
      </c>
      <c r="J760" t="n">
        <v>0</v>
      </c>
      <c r="K760" t="n">
        <v>0</v>
      </c>
      <c r="L760" t="n">
        <v>0</v>
      </c>
      <c r="M760" t="n">
        <v>0</v>
      </c>
      <c r="N760" t="n">
        <v>0</v>
      </c>
      <c r="O760" t="n">
        <v>0</v>
      </c>
      <c r="P760" t="n">
        <v>0</v>
      </c>
      <c r="Q760" t="n">
        <v>0</v>
      </c>
      <c r="R760" s="2" t="inlineStr"/>
    </row>
    <row r="761" ht="15" customHeight="1">
      <c r="A761" t="inlineStr">
        <is>
          <t>A 59586-2019</t>
        </is>
      </c>
      <c r="B761" s="1" t="n">
        <v>43776</v>
      </c>
      <c r="C761" s="1" t="n">
        <v>45724</v>
      </c>
      <c r="D761" t="inlineStr">
        <is>
          <t>VÄSTMANLANDS LÄN</t>
        </is>
      </c>
      <c r="E761" t="inlineStr">
        <is>
          <t>VÄSTERÅS</t>
        </is>
      </c>
      <c r="G761" t="n">
        <v>4.7</v>
      </c>
      <c r="H761" t="n">
        <v>0</v>
      </c>
      <c r="I761" t="n">
        <v>0</v>
      </c>
      <c r="J761" t="n">
        <v>0</v>
      </c>
      <c r="K761" t="n">
        <v>0</v>
      </c>
      <c r="L761" t="n">
        <v>0</v>
      </c>
      <c r="M761" t="n">
        <v>0</v>
      </c>
      <c r="N761" t="n">
        <v>0</v>
      </c>
      <c r="O761" t="n">
        <v>0</v>
      </c>
      <c r="P761" t="n">
        <v>0</v>
      </c>
      <c r="Q761" t="n">
        <v>0</v>
      </c>
      <c r="R761" s="2" t="inlineStr"/>
    </row>
    <row r="762" ht="15" customHeight="1">
      <c r="A762" t="inlineStr">
        <is>
          <t>A 59870-2019</t>
        </is>
      </c>
      <c r="B762" s="1" t="n">
        <v>43777</v>
      </c>
      <c r="C762" s="1" t="n">
        <v>45724</v>
      </c>
      <c r="D762" t="inlineStr">
        <is>
          <t>VÄSTMANLANDS LÄN</t>
        </is>
      </c>
      <c r="E762" t="inlineStr">
        <is>
          <t>KUNGSÖR</t>
        </is>
      </c>
      <c r="G762" t="n">
        <v>2.6</v>
      </c>
      <c r="H762" t="n">
        <v>0</v>
      </c>
      <c r="I762" t="n">
        <v>0</v>
      </c>
      <c r="J762" t="n">
        <v>0</v>
      </c>
      <c r="K762" t="n">
        <v>0</v>
      </c>
      <c r="L762" t="n">
        <v>0</v>
      </c>
      <c r="M762" t="n">
        <v>0</v>
      </c>
      <c r="N762" t="n">
        <v>0</v>
      </c>
      <c r="O762" t="n">
        <v>0</v>
      </c>
      <c r="P762" t="n">
        <v>0</v>
      </c>
      <c r="Q762" t="n">
        <v>0</v>
      </c>
      <c r="R762" s="2" t="inlineStr"/>
    </row>
    <row r="763" ht="15" customHeight="1">
      <c r="A763" t="inlineStr">
        <is>
          <t>A 60007-2019</t>
        </is>
      </c>
      <c r="B763" s="1" t="n">
        <v>43777</v>
      </c>
      <c r="C763" s="1" t="n">
        <v>45724</v>
      </c>
      <c r="D763" t="inlineStr">
        <is>
          <t>VÄSTMANLANDS LÄN</t>
        </is>
      </c>
      <c r="E763" t="inlineStr">
        <is>
          <t>SALA</t>
        </is>
      </c>
      <c r="F763" t="inlineStr">
        <is>
          <t>Kyrkan</t>
        </is>
      </c>
      <c r="G763" t="n">
        <v>5.1</v>
      </c>
      <c r="H763" t="n">
        <v>0</v>
      </c>
      <c r="I763" t="n">
        <v>0</v>
      </c>
      <c r="J763" t="n">
        <v>0</v>
      </c>
      <c r="K763" t="n">
        <v>0</v>
      </c>
      <c r="L763" t="n">
        <v>0</v>
      </c>
      <c r="M763" t="n">
        <v>0</v>
      </c>
      <c r="N763" t="n">
        <v>0</v>
      </c>
      <c r="O763" t="n">
        <v>0</v>
      </c>
      <c r="P763" t="n">
        <v>0</v>
      </c>
      <c r="Q763" t="n">
        <v>0</v>
      </c>
      <c r="R763" s="2" t="inlineStr"/>
    </row>
    <row r="764" ht="15" customHeight="1">
      <c r="A764" t="inlineStr">
        <is>
          <t>A 59878-2019</t>
        </is>
      </c>
      <c r="B764" s="1" t="n">
        <v>43777</v>
      </c>
      <c r="C764" s="1" t="n">
        <v>45724</v>
      </c>
      <c r="D764" t="inlineStr">
        <is>
          <t>VÄSTMANLANDS LÄN</t>
        </is>
      </c>
      <c r="E764" t="inlineStr">
        <is>
          <t>SKINNSKATTEBERG</t>
        </is>
      </c>
      <c r="F764" t="inlineStr">
        <is>
          <t>Sveaskog</t>
        </is>
      </c>
      <c r="G764" t="n">
        <v>0.9</v>
      </c>
      <c r="H764" t="n">
        <v>0</v>
      </c>
      <c r="I764" t="n">
        <v>0</v>
      </c>
      <c r="J764" t="n">
        <v>0</v>
      </c>
      <c r="K764" t="n">
        <v>0</v>
      </c>
      <c r="L764" t="n">
        <v>0</v>
      </c>
      <c r="M764" t="n">
        <v>0</v>
      </c>
      <c r="N764" t="n">
        <v>0</v>
      </c>
      <c r="O764" t="n">
        <v>0</v>
      </c>
      <c r="P764" t="n">
        <v>0</v>
      </c>
      <c r="Q764" t="n">
        <v>0</v>
      </c>
      <c r="R764" s="2" t="inlineStr"/>
    </row>
    <row r="765" ht="15" customHeight="1">
      <c r="A765" t="inlineStr">
        <is>
          <t>A 59875-2019</t>
        </is>
      </c>
      <c r="B765" s="1" t="n">
        <v>43777</v>
      </c>
      <c r="C765" s="1" t="n">
        <v>45724</v>
      </c>
      <c r="D765" t="inlineStr">
        <is>
          <t>VÄSTMANLANDS LÄN</t>
        </is>
      </c>
      <c r="E765" t="inlineStr">
        <is>
          <t>SKINNSKATTEBERG</t>
        </is>
      </c>
      <c r="F765" t="inlineStr">
        <is>
          <t>Sveaskog</t>
        </is>
      </c>
      <c r="G765" t="n">
        <v>0.5</v>
      </c>
      <c r="H765" t="n">
        <v>0</v>
      </c>
      <c r="I765" t="n">
        <v>0</v>
      </c>
      <c r="J765" t="n">
        <v>0</v>
      </c>
      <c r="K765" t="n">
        <v>0</v>
      </c>
      <c r="L765" t="n">
        <v>0</v>
      </c>
      <c r="M765" t="n">
        <v>0</v>
      </c>
      <c r="N765" t="n">
        <v>0</v>
      </c>
      <c r="O765" t="n">
        <v>0</v>
      </c>
      <c r="P765" t="n">
        <v>0</v>
      </c>
      <c r="Q765" t="n">
        <v>0</v>
      </c>
      <c r="R765" s="2" t="inlineStr"/>
    </row>
    <row r="766" ht="15" customHeight="1">
      <c r="A766" t="inlineStr">
        <is>
          <t>A 60012-2019</t>
        </is>
      </c>
      <c r="B766" s="1" t="n">
        <v>43777</v>
      </c>
      <c r="C766" s="1" t="n">
        <v>45724</v>
      </c>
      <c r="D766" t="inlineStr">
        <is>
          <t>VÄSTMANLANDS LÄN</t>
        </is>
      </c>
      <c r="E766" t="inlineStr">
        <is>
          <t>SALA</t>
        </is>
      </c>
      <c r="F766" t="inlineStr">
        <is>
          <t>Kyrkan</t>
        </is>
      </c>
      <c r="G766" t="n">
        <v>1.5</v>
      </c>
      <c r="H766" t="n">
        <v>0</v>
      </c>
      <c r="I766" t="n">
        <v>0</v>
      </c>
      <c r="J766" t="n">
        <v>0</v>
      </c>
      <c r="K766" t="n">
        <v>0</v>
      </c>
      <c r="L766" t="n">
        <v>0</v>
      </c>
      <c r="M766" t="n">
        <v>0</v>
      </c>
      <c r="N766" t="n">
        <v>0</v>
      </c>
      <c r="O766" t="n">
        <v>0</v>
      </c>
      <c r="P766" t="n">
        <v>0</v>
      </c>
      <c r="Q766" t="n">
        <v>0</v>
      </c>
      <c r="R766" s="2" t="inlineStr"/>
    </row>
    <row r="767" ht="15" customHeight="1">
      <c r="A767" t="inlineStr">
        <is>
          <t>A 60343-2019</t>
        </is>
      </c>
      <c r="B767" s="1" t="n">
        <v>43780</v>
      </c>
      <c r="C767" s="1" t="n">
        <v>45724</v>
      </c>
      <c r="D767" t="inlineStr">
        <is>
          <t>VÄSTMANLANDS LÄN</t>
        </is>
      </c>
      <c r="E767" t="inlineStr">
        <is>
          <t>SURAHAMMAR</t>
        </is>
      </c>
      <c r="G767" t="n">
        <v>1.1</v>
      </c>
      <c r="H767" t="n">
        <v>0</v>
      </c>
      <c r="I767" t="n">
        <v>0</v>
      </c>
      <c r="J767" t="n">
        <v>0</v>
      </c>
      <c r="K767" t="n">
        <v>0</v>
      </c>
      <c r="L767" t="n">
        <v>0</v>
      </c>
      <c r="M767" t="n">
        <v>0</v>
      </c>
      <c r="N767" t="n">
        <v>0</v>
      </c>
      <c r="O767" t="n">
        <v>0</v>
      </c>
      <c r="P767" t="n">
        <v>0</v>
      </c>
      <c r="Q767" t="n">
        <v>0</v>
      </c>
      <c r="R767" s="2" t="inlineStr"/>
    </row>
    <row r="768" ht="15" customHeight="1">
      <c r="A768" t="inlineStr">
        <is>
          <t>A 61102-2019</t>
        </is>
      </c>
      <c r="B768" s="1" t="n">
        <v>43780</v>
      </c>
      <c r="C768" s="1" t="n">
        <v>45724</v>
      </c>
      <c r="D768" t="inlineStr">
        <is>
          <t>VÄSTMANLANDS LÄN</t>
        </is>
      </c>
      <c r="E768" t="inlineStr">
        <is>
          <t>SKINNSKATTEBERG</t>
        </is>
      </c>
      <c r="G768" t="n">
        <v>3.4</v>
      </c>
      <c r="H768" t="n">
        <v>0</v>
      </c>
      <c r="I768" t="n">
        <v>0</v>
      </c>
      <c r="J768" t="n">
        <v>0</v>
      </c>
      <c r="K768" t="n">
        <v>0</v>
      </c>
      <c r="L768" t="n">
        <v>0</v>
      </c>
      <c r="M768" t="n">
        <v>0</v>
      </c>
      <c r="N768" t="n">
        <v>0</v>
      </c>
      <c r="O768" t="n">
        <v>0</v>
      </c>
      <c r="P768" t="n">
        <v>0</v>
      </c>
      <c r="Q768" t="n">
        <v>0</v>
      </c>
      <c r="R768" s="2" t="inlineStr"/>
    </row>
    <row r="769" ht="15" customHeight="1">
      <c r="A769" t="inlineStr">
        <is>
          <t>A 61414-2019</t>
        </is>
      </c>
      <c r="B769" s="1" t="n">
        <v>43780</v>
      </c>
      <c r="C769" s="1" t="n">
        <v>45724</v>
      </c>
      <c r="D769" t="inlineStr">
        <is>
          <t>VÄSTMANLANDS LÄN</t>
        </is>
      </c>
      <c r="E769" t="inlineStr">
        <is>
          <t>SKINNSKATTEBERG</t>
        </is>
      </c>
      <c r="G769" t="n">
        <v>0.5</v>
      </c>
      <c r="H769" t="n">
        <v>0</v>
      </c>
      <c r="I769" t="n">
        <v>0</v>
      </c>
      <c r="J769" t="n">
        <v>0</v>
      </c>
      <c r="K769" t="n">
        <v>0</v>
      </c>
      <c r="L769" t="n">
        <v>0</v>
      </c>
      <c r="M769" t="n">
        <v>0</v>
      </c>
      <c r="N769" t="n">
        <v>0</v>
      </c>
      <c r="O769" t="n">
        <v>0</v>
      </c>
      <c r="P769" t="n">
        <v>0</v>
      </c>
      <c r="Q769" t="n">
        <v>0</v>
      </c>
      <c r="R769" s="2" t="inlineStr"/>
    </row>
    <row r="770" ht="15" customHeight="1">
      <c r="A770" t="inlineStr">
        <is>
          <t>A 60781-2019</t>
        </is>
      </c>
      <c r="B770" s="1" t="n">
        <v>43781</v>
      </c>
      <c r="C770" s="1" t="n">
        <v>45724</v>
      </c>
      <c r="D770" t="inlineStr">
        <is>
          <t>VÄSTMANLANDS LÄN</t>
        </is>
      </c>
      <c r="E770" t="inlineStr">
        <is>
          <t>SKINNSKATTEBERG</t>
        </is>
      </c>
      <c r="G770" t="n">
        <v>1.9</v>
      </c>
      <c r="H770" t="n">
        <v>0</v>
      </c>
      <c r="I770" t="n">
        <v>0</v>
      </c>
      <c r="J770" t="n">
        <v>0</v>
      </c>
      <c r="K770" t="n">
        <v>0</v>
      </c>
      <c r="L770" t="n">
        <v>0</v>
      </c>
      <c r="M770" t="n">
        <v>0</v>
      </c>
      <c r="N770" t="n">
        <v>0</v>
      </c>
      <c r="O770" t="n">
        <v>0</v>
      </c>
      <c r="P770" t="n">
        <v>0</v>
      </c>
      <c r="Q770" t="n">
        <v>0</v>
      </c>
      <c r="R770" s="2" t="inlineStr"/>
    </row>
    <row r="771" ht="15" customHeight="1">
      <c r="A771" t="inlineStr">
        <is>
          <t>A 60963-2019</t>
        </is>
      </c>
      <c r="B771" s="1" t="n">
        <v>43782</v>
      </c>
      <c r="C771" s="1" t="n">
        <v>45724</v>
      </c>
      <c r="D771" t="inlineStr">
        <is>
          <t>VÄSTMANLANDS LÄN</t>
        </is>
      </c>
      <c r="E771" t="inlineStr">
        <is>
          <t>VÄSTERÅS</t>
        </is>
      </c>
      <c r="G771" t="n">
        <v>1.5</v>
      </c>
      <c r="H771" t="n">
        <v>0</v>
      </c>
      <c r="I771" t="n">
        <v>0</v>
      </c>
      <c r="J771" t="n">
        <v>0</v>
      </c>
      <c r="K771" t="n">
        <v>0</v>
      </c>
      <c r="L771" t="n">
        <v>0</v>
      </c>
      <c r="M771" t="n">
        <v>0</v>
      </c>
      <c r="N771" t="n">
        <v>0</v>
      </c>
      <c r="O771" t="n">
        <v>0</v>
      </c>
      <c r="P771" t="n">
        <v>0</v>
      </c>
      <c r="Q771" t="n">
        <v>0</v>
      </c>
      <c r="R771" s="2" t="inlineStr"/>
    </row>
    <row r="772" ht="15" customHeight="1">
      <c r="A772" t="inlineStr">
        <is>
          <t>A 61016-2019</t>
        </is>
      </c>
      <c r="B772" s="1" t="n">
        <v>43782</v>
      </c>
      <c r="C772" s="1" t="n">
        <v>45724</v>
      </c>
      <c r="D772" t="inlineStr">
        <is>
          <t>VÄSTMANLANDS LÄN</t>
        </is>
      </c>
      <c r="E772" t="inlineStr">
        <is>
          <t>KÖPING</t>
        </is>
      </c>
      <c r="G772" t="n">
        <v>1.4</v>
      </c>
      <c r="H772" t="n">
        <v>0</v>
      </c>
      <c r="I772" t="n">
        <v>0</v>
      </c>
      <c r="J772" t="n">
        <v>0</v>
      </c>
      <c r="K772" t="n">
        <v>0</v>
      </c>
      <c r="L772" t="n">
        <v>0</v>
      </c>
      <c r="M772" t="n">
        <v>0</v>
      </c>
      <c r="N772" t="n">
        <v>0</v>
      </c>
      <c r="O772" t="n">
        <v>0</v>
      </c>
      <c r="P772" t="n">
        <v>0</v>
      </c>
      <c r="Q772" t="n">
        <v>0</v>
      </c>
      <c r="R772" s="2" t="inlineStr"/>
    </row>
    <row r="773" ht="15" customHeight="1">
      <c r="A773" t="inlineStr">
        <is>
          <t>A 61081-2019</t>
        </is>
      </c>
      <c r="B773" s="1" t="n">
        <v>43782</v>
      </c>
      <c r="C773" s="1" t="n">
        <v>45724</v>
      </c>
      <c r="D773" t="inlineStr">
        <is>
          <t>VÄSTMANLANDS LÄN</t>
        </is>
      </c>
      <c r="E773" t="inlineStr">
        <is>
          <t>KÖPING</t>
        </is>
      </c>
      <c r="G773" t="n">
        <v>1.5</v>
      </c>
      <c r="H773" t="n">
        <v>0</v>
      </c>
      <c r="I773" t="n">
        <v>0</v>
      </c>
      <c r="J773" t="n">
        <v>0</v>
      </c>
      <c r="K773" t="n">
        <v>0</v>
      </c>
      <c r="L773" t="n">
        <v>0</v>
      </c>
      <c r="M773" t="n">
        <v>0</v>
      </c>
      <c r="N773" t="n">
        <v>0</v>
      </c>
      <c r="O773" t="n">
        <v>0</v>
      </c>
      <c r="P773" t="n">
        <v>0</v>
      </c>
      <c r="Q773" t="n">
        <v>0</v>
      </c>
      <c r="R773" s="2" t="inlineStr"/>
    </row>
    <row r="774" ht="15" customHeight="1">
      <c r="A774" t="inlineStr">
        <is>
          <t>A 61155-2019</t>
        </is>
      </c>
      <c r="B774" s="1" t="n">
        <v>43782</v>
      </c>
      <c r="C774" s="1" t="n">
        <v>45724</v>
      </c>
      <c r="D774" t="inlineStr">
        <is>
          <t>VÄSTMANLANDS LÄN</t>
        </is>
      </c>
      <c r="E774" t="inlineStr">
        <is>
          <t>SKINNSKATTEBERG</t>
        </is>
      </c>
      <c r="G774" t="n">
        <v>7.2</v>
      </c>
      <c r="H774" t="n">
        <v>0</v>
      </c>
      <c r="I774" t="n">
        <v>0</v>
      </c>
      <c r="J774" t="n">
        <v>0</v>
      </c>
      <c r="K774" t="n">
        <v>0</v>
      </c>
      <c r="L774" t="n">
        <v>0</v>
      </c>
      <c r="M774" t="n">
        <v>0</v>
      </c>
      <c r="N774" t="n">
        <v>0</v>
      </c>
      <c r="O774" t="n">
        <v>0</v>
      </c>
      <c r="P774" t="n">
        <v>0</v>
      </c>
      <c r="Q774" t="n">
        <v>0</v>
      </c>
      <c r="R774" s="2" t="inlineStr"/>
    </row>
    <row r="775" ht="15" customHeight="1">
      <c r="A775" t="inlineStr">
        <is>
          <t>A 61166-2019</t>
        </is>
      </c>
      <c r="B775" s="1" t="n">
        <v>43782</v>
      </c>
      <c r="C775" s="1" t="n">
        <v>45724</v>
      </c>
      <c r="D775" t="inlineStr">
        <is>
          <t>VÄSTMANLANDS LÄN</t>
        </is>
      </c>
      <c r="E775" t="inlineStr">
        <is>
          <t>SKINNSKATTEBERG</t>
        </is>
      </c>
      <c r="G775" t="n">
        <v>6.9</v>
      </c>
      <c r="H775" t="n">
        <v>0</v>
      </c>
      <c r="I775" t="n">
        <v>0</v>
      </c>
      <c r="J775" t="n">
        <v>0</v>
      </c>
      <c r="K775" t="n">
        <v>0</v>
      </c>
      <c r="L775" t="n">
        <v>0</v>
      </c>
      <c r="M775" t="n">
        <v>0</v>
      </c>
      <c r="N775" t="n">
        <v>0</v>
      </c>
      <c r="O775" t="n">
        <v>0</v>
      </c>
      <c r="P775" t="n">
        <v>0</v>
      </c>
      <c r="Q775" t="n">
        <v>0</v>
      </c>
      <c r="R775" s="2" t="inlineStr"/>
    </row>
    <row r="776" ht="15" customHeight="1">
      <c r="A776" t="inlineStr">
        <is>
          <t>A 61146-2019</t>
        </is>
      </c>
      <c r="B776" s="1" t="n">
        <v>43782</v>
      </c>
      <c r="C776" s="1" t="n">
        <v>45724</v>
      </c>
      <c r="D776" t="inlineStr">
        <is>
          <t>VÄSTMANLANDS LÄN</t>
        </is>
      </c>
      <c r="E776" t="inlineStr">
        <is>
          <t>SKINNSKATTEBERG</t>
        </is>
      </c>
      <c r="G776" t="n">
        <v>6.4</v>
      </c>
      <c r="H776" t="n">
        <v>0</v>
      </c>
      <c r="I776" t="n">
        <v>0</v>
      </c>
      <c r="J776" t="n">
        <v>0</v>
      </c>
      <c r="K776" t="n">
        <v>0</v>
      </c>
      <c r="L776" t="n">
        <v>0</v>
      </c>
      <c r="M776" t="n">
        <v>0</v>
      </c>
      <c r="N776" t="n">
        <v>0</v>
      </c>
      <c r="O776" t="n">
        <v>0</v>
      </c>
      <c r="P776" t="n">
        <v>0</v>
      </c>
      <c r="Q776" t="n">
        <v>0</v>
      </c>
      <c r="R776" s="2" t="inlineStr"/>
    </row>
    <row r="777" ht="15" customHeight="1">
      <c r="A777" t="inlineStr">
        <is>
          <t>A 61034-2019</t>
        </is>
      </c>
      <c r="B777" s="1" t="n">
        <v>43782</v>
      </c>
      <c r="C777" s="1" t="n">
        <v>45724</v>
      </c>
      <c r="D777" t="inlineStr">
        <is>
          <t>VÄSTMANLANDS LÄN</t>
        </is>
      </c>
      <c r="E777" t="inlineStr">
        <is>
          <t>SKINNSKATTEBERG</t>
        </is>
      </c>
      <c r="G777" t="n">
        <v>4.6</v>
      </c>
      <c r="H777" t="n">
        <v>0</v>
      </c>
      <c r="I777" t="n">
        <v>0</v>
      </c>
      <c r="J777" t="n">
        <v>0</v>
      </c>
      <c r="K777" t="n">
        <v>0</v>
      </c>
      <c r="L777" t="n">
        <v>0</v>
      </c>
      <c r="M777" t="n">
        <v>0</v>
      </c>
      <c r="N777" t="n">
        <v>0</v>
      </c>
      <c r="O777" t="n">
        <v>0</v>
      </c>
      <c r="P777" t="n">
        <v>0</v>
      </c>
      <c r="Q777" t="n">
        <v>0</v>
      </c>
      <c r="R777" s="2" t="inlineStr"/>
    </row>
    <row r="778" ht="15" customHeight="1">
      <c r="A778" t="inlineStr">
        <is>
          <t>A 60958-2019</t>
        </is>
      </c>
      <c r="B778" s="1" t="n">
        <v>43782</v>
      </c>
      <c r="C778" s="1" t="n">
        <v>45724</v>
      </c>
      <c r="D778" t="inlineStr">
        <is>
          <t>VÄSTMANLANDS LÄN</t>
        </is>
      </c>
      <c r="E778" t="inlineStr">
        <is>
          <t>VÄSTERÅS</t>
        </is>
      </c>
      <c r="G778" t="n">
        <v>14.5</v>
      </c>
      <c r="H778" t="n">
        <v>0</v>
      </c>
      <c r="I778" t="n">
        <v>0</v>
      </c>
      <c r="J778" t="n">
        <v>0</v>
      </c>
      <c r="K778" t="n">
        <v>0</v>
      </c>
      <c r="L778" t="n">
        <v>0</v>
      </c>
      <c r="M778" t="n">
        <v>0</v>
      </c>
      <c r="N778" t="n">
        <v>0</v>
      </c>
      <c r="O778" t="n">
        <v>0</v>
      </c>
      <c r="P778" t="n">
        <v>0</v>
      </c>
      <c r="Q778" t="n">
        <v>0</v>
      </c>
      <c r="R778" s="2" t="inlineStr"/>
    </row>
    <row r="779" ht="15" customHeight="1">
      <c r="A779" t="inlineStr">
        <is>
          <t>A 61270-2019</t>
        </is>
      </c>
      <c r="B779" s="1" t="n">
        <v>43783</v>
      </c>
      <c r="C779" s="1" t="n">
        <v>45724</v>
      </c>
      <c r="D779" t="inlineStr">
        <is>
          <t>VÄSTMANLANDS LÄN</t>
        </is>
      </c>
      <c r="E779" t="inlineStr">
        <is>
          <t>SALA</t>
        </is>
      </c>
      <c r="G779" t="n">
        <v>3.3</v>
      </c>
      <c r="H779" t="n">
        <v>0</v>
      </c>
      <c r="I779" t="n">
        <v>0</v>
      </c>
      <c r="J779" t="n">
        <v>0</v>
      </c>
      <c r="K779" t="n">
        <v>0</v>
      </c>
      <c r="L779" t="n">
        <v>0</v>
      </c>
      <c r="M779" t="n">
        <v>0</v>
      </c>
      <c r="N779" t="n">
        <v>0</v>
      </c>
      <c r="O779" t="n">
        <v>0</v>
      </c>
      <c r="P779" t="n">
        <v>0</v>
      </c>
      <c r="Q779" t="n">
        <v>0</v>
      </c>
      <c r="R779" s="2" t="inlineStr"/>
    </row>
    <row r="780" ht="15" customHeight="1">
      <c r="A780" t="inlineStr">
        <is>
          <t>A 61394-2019</t>
        </is>
      </c>
      <c r="B780" s="1" t="n">
        <v>43783</v>
      </c>
      <c r="C780" s="1" t="n">
        <v>45724</v>
      </c>
      <c r="D780" t="inlineStr">
        <is>
          <t>VÄSTMANLANDS LÄN</t>
        </is>
      </c>
      <c r="E780" t="inlineStr">
        <is>
          <t>SALA</t>
        </is>
      </c>
      <c r="G780" t="n">
        <v>7.8</v>
      </c>
      <c r="H780" t="n">
        <v>0</v>
      </c>
      <c r="I780" t="n">
        <v>0</v>
      </c>
      <c r="J780" t="n">
        <v>0</v>
      </c>
      <c r="K780" t="n">
        <v>0</v>
      </c>
      <c r="L780" t="n">
        <v>0</v>
      </c>
      <c r="M780" t="n">
        <v>0</v>
      </c>
      <c r="N780" t="n">
        <v>0</v>
      </c>
      <c r="O780" t="n">
        <v>0</v>
      </c>
      <c r="P780" t="n">
        <v>0</v>
      </c>
      <c r="Q780" t="n">
        <v>0</v>
      </c>
      <c r="R780" s="2" t="inlineStr"/>
    </row>
    <row r="781" ht="15" customHeight="1">
      <c r="A781" t="inlineStr">
        <is>
          <t>A 61445-2019</t>
        </is>
      </c>
      <c r="B781" s="1" t="n">
        <v>43783</v>
      </c>
      <c r="C781" s="1" t="n">
        <v>45724</v>
      </c>
      <c r="D781" t="inlineStr">
        <is>
          <t>VÄSTMANLANDS LÄN</t>
        </is>
      </c>
      <c r="E781" t="inlineStr">
        <is>
          <t>SKINNSKATTEBERG</t>
        </is>
      </c>
      <c r="F781" t="inlineStr">
        <is>
          <t>Sveaskog</t>
        </is>
      </c>
      <c r="G781" t="n">
        <v>1.9</v>
      </c>
      <c r="H781" t="n">
        <v>0</v>
      </c>
      <c r="I781" t="n">
        <v>0</v>
      </c>
      <c r="J781" t="n">
        <v>0</v>
      </c>
      <c r="K781" t="n">
        <v>0</v>
      </c>
      <c r="L781" t="n">
        <v>0</v>
      </c>
      <c r="M781" t="n">
        <v>0</v>
      </c>
      <c r="N781" t="n">
        <v>0</v>
      </c>
      <c r="O781" t="n">
        <v>0</v>
      </c>
      <c r="P781" t="n">
        <v>0</v>
      </c>
      <c r="Q781" t="n">
        <v>0</v>
      </c>
      <c r="R781" s="2" t="inlineStr"/>
    </row>
    <row r="782" ht="15" customHeight="1">
      <c r="A782" t="inlineStr">
        <is>
          <t>A 61555-2019</t>
        </is>
      </c>
      <c r="B782" s="1" t="n">
        <v>43784</v>
      </c>
      <c r="C782" s="1" t="n">
        <v>45724</v>
      </c>
      <c r="D782" t="inlineStr">
        <is>
          <t>VÄSTMANLANDS LÄN</t>
        </is>
      </c>
      <c r="E782" t="inlineStr">
        <is>
          <t>NORBERG</t>
        </is>
      </c>
      <c r="F782" t="inlineStr">
        <is>
          <t>Sveaskog</t>
        </is>
      </c>
      <c r="G782" t="n">
        <v>12.9</v>
      </c>
      <c r="H782" t="n">
        <v>0</v>
      </c>
      <c r="I782" t="n">
        <v>0</v>
      </c>
      <c r="J782" t="n">
        <v>0</v>
      </c>
      <c r="K782" t="n">
        <v>0</v>
      </c>
      <c r="L782" t="n">
        <v>0</v>
      </c>
      <c r="M782" t="n">
        <v>0</v>
      </c>
      <c r="N782" t="n">
        <v>0</v>
      </c>
      <c r="O782" t="n">
        <v>0</v>
      </c>
      <c r="P782" t="n">
        <v>0</v>
      </c>
      <c r="Q782" t="n">
        <v>0</v>
      </c>
      <c r="R782" s="2" t="inlineStr"/>
    </row>
    <row r="783" ht="15" customHeight="1">
      <c r="A783" t="inlineStr">
        <is>
          <t>A 61762-2019</t>
        </is>
      </c>
      <c r="B783" s="1" t="n">
        <v>43784</v>
      </c>
      <c r="C783" s="1" t="n">
        <v>45724</v>
      </c>
      <c r="D783" t="inlineStr">
        <is>
          <t>VÄSTMANLANDS LÄN</t>
        </is>
      </c>
      <c r="E783" t="inlineStr">
        <is>
          <t>KÖPING</t>
        </is>
      </c>
      <c r="G783" t="n">
        <v>1</v>
      </c>
      <c r="H783" t="n">
        <v>0</v>
      </c>
      <c r="I783" t="n">
        <v>0</v>
      </c>
      <c r="J783" t="n">
        <v>0</v>
      </c>
      <c r="K783" t="n">
        <v>0</v>
      </c>
      <c r="L783" t="n">
        <v>0</v>
      </c>
      <c r="M783" t="n">
        <v>0</v>
      </c>
      <c r="N783" t="n">
        <v>0</v>
      </c>
      <c r="O783" t="n">
        <v>0</v>
      </c>
      <c r="P783" t="n">
        <v>0</v>
      </c>
      <c r="Q783" t="n">
        <v>0</v>
      </c>
      <c r="R783" s="2" t="inlineStr"/>
    </row>
    <row r="784" ht="15" customHeight="1">
      <c r="A784" t="inlineStr">
        <is>
          <t>A 61758-2019</t>
        </is>
      </c>
      <c r="B784" s="1" t="n">
        <v>43784</v>
      </c>
      <c r="C784" s="1" t="n">
        <v>45724</v>
      </c>
      <c r="D784" t="inlineStr">
        <is>
          <t>VÄSTMANLANDS LÄN</t>
        </is>
      </c>
      <c r="E784" t="inlineStr">
        <is>
          <t>SALA</t>
        </is>
      </c>
      <c r="G784" t="n">
        <v>1.3</v>
      </c>
      <c r="H784" t="n">
        <v>0</v>
      </c>
      <c r="I784" t="n">
        <v>0</v>
      </c>
      <c r="J784" t="n">
        <v>0</v>
      </c>
      <c r="K784" t="n">
        <v>0</v>
      </c>
      <c r="L784" t="n">
        <v>0</v>
      </c>
      <c r="M784" t="n">
        <v>0</v>
      </c>
      <c r="N784" t="n">
        <v>0</v>
      </c>
      <c r="O784" t="n">
        <v>0</v>
      </c>
      <c r="P784" t="n">
        <v>0</v>
      </c>
      <c r="Q784" t="n">
        <v>0</v>
      </c>
      <c r="R784" s="2" t="inlineStr"/>
    </row>
    <row r="785" ht="15" customHeight="1">
      <c r="A785" t="inlineStr">
        <is>
          <t>A 62912-2019</t>
        </is>
      </c>
      <c r="B785" s="1" t="n">
        <v>43784</v>
      </c>
      <c r="C785" s="1" t="n">
        <v>45724</v>
      </c>
      <c r="D785" t="inlineStr">
        <is>
          <t>VÄSTMANLANDS LÄN</t>
        </is>
      </c>
      <c r="E785" t="inlineStr">
        <is>
          <t>KÖPING</t>
        </is>
      </c>
      <c r="G785" t="n">
        <v>3.7</v>
      </c>
      <c r="H785" t="n">
        <v>0</v>
      </c>
      <c r="I785" t="n">
        <v>0</v>
      </c>
      <c r="J785" t="n">
        <v>0</v>
      </c>
      <c r="K785" t="n">
        <v>0</v>
      </c>
      <c r="L785" t="n">
        <v>0</v>
      </c>
      <c r="M785" t="n">
        <v>0</v>
      </c>
      <c r="N785" t="n">
        <v>0</v>
      </c>
      <c r="O785" t="n">
        <v>0</v>
      </c>
      <c r="P785" t="n">
        <v>0</v>
      </c>
      <c r="Q785" t="n">
        <v>0</v>
      </c>
      <c r="R785" s="2" t="inlineStr"/>
    </row>
    <row r="786" ht="15" customHeight="1">
      <c r="A786" t="inlineStr">
        <is>
          <t>A 61760-2019</t>
        </is>
      </c>
      <c r="B786" s="1" t="n">
        <v>43784</v>
      </c>
      <c r="C786" s="1" t="n">
        <v>45724</v>
      </c>
      <c r="D786" t="inlineStr">
        <is>
          <t>VÄSTMANLANDS LÄN</t>
        </is>
      </c>
      <c r="E786" t="inlineStr">
        <is>
          <t>KÖPING</t>
        </is>
      </c>
      <c r="G786" t="n">
        <v>1</v>
      </c>
      <c r="H786" t="n">
        <v>0</v>
      </c>
      <c r="I786" t="n">
        <v>0</v>
      </c>
      <c r="J786" t="n">
        <v>0</v>
      </c>
      <c r="K786" t="n">
        <v>0</v>
      </c>
      <c r="L786" t="n">
        <v>0</v>
      </c>
      <c r="M786" t="n">
        <v>0</v>
      </c>
      <c r="N786" t="n">
        <v>0</v>
      </c>
      <c r="O786" t="n">
        <v>0</v>
      </c>
      <c r="P786" t="n">
        <v>0</v>
      </c>
      <c r="Q786" t="n">
        <v>0</v>
      </c>
      <c r="R786" s="2" t="inlineStr"/>
    </row>
    <row r="787" ht="15" customHeight="1">
      <c r="A787" t="inlineStr">
        <is>
          <t>A 62020-2019</t>
        </is>
      </c>
      <c r="B787" s="1" t="n">
        <v>43787</v>
      </c>
      <c r="C787" s="1" t="n">
        <v>45724</v>
      </c>
      <c r="D787" t="inlineStr">
        <is>
          <t>VÄSTMANLANDS LÄN</t>
        </is>
      </c>
      <c r="E787" t="inlineStr">
        <is>
          <t>KÖPING</t>
        </is>
      </c>
      <c r="G787" t="n">
        <v>0.9</v>
      </c>
      <c r="H787" t="n">
        <v>0</v>
      </c>
      <c r="I787" t="n">
        <v>0</v>
      </c>
      <c r="J787" t="n">
        <v>0</v>
      </c>
      <c r="K787" t="n">
        <v>0</v>
      </c>
      <c r="L787" t="n">
        <v>0</v>
      </c>
      <c r="M787" t="n">
        <v>0</v>
      </c>
      <c r="N787" t="n">
        <v>0</v>
      </c>
      <c r="O787" t="n">
        <v>0</v>
      </c>
      <c r="P787" t="n">
        <v>0</v>
      </c>
      <c r="Q787" t="n">
        <v>0</v>
      </c>
      <c r="R787" s="2" t="inlineStr"/>
    </row>
    <row r="788" ht="15" customHeight="1">
      <c r="A788" t="inlineStr">
        <is>
          <t>A 62199-2019</t>
        </is>
      </c>
      <c r="B788" s="1" t="n">
        <v>43788</v>
      </c>
      <c r="C788" s="1" t="n">
        <v>45724</v>
      </c>
      <c r="D788" t="inlineStr">
        <is>
          <t>VÄSTMANLANDS LÄN</t>
        </is>
      </c>
      <c r="E788" t="inlineStr">
        <is>
          <t>FAGERSTA</t>
        </is>
      </c>
      <c r="G788" t="n">
        <v>0.8</v>
      </c>
      <c r="H788" t="n">
        <v>0</v>
      </c>
      <c r="I788" t="n">
        <v>0</v>
      </c>
      <c r="J788" t="n">
        <v>0</v>
      </c>
      <c r="K788" t="n">
        <v>0</v>
      </c>
      <c r="L788" t="n">
        <v>0</v>
      </c>
      <c r="M788" t="n">
        <v>0</v>
      </c>
      <c r="N788" t="n">
        <v>0</v>
      </c>
      <c r="O788" t="n">
        <v>0</v>
      </c>
      <c r="P788" t="n">
        <v>0</v>
      </c>
      <c r="Q788" t="n">
        <v>0</v>
      </c>
      <c r="R788" s="2" t="inlineStr"/>
    </row>
    <row r="789" ht="15" customHeight="1">
      <c r="A789" t="inlineStr">
        <is>
          <t>A 62198-2019</t>
        </is>
      </c>
      <c r="B789" s="1" t="n">
        <v>43788</v>
      </c>
      <c r="C789" s="1" t="n">
        <v>45724</v>
      </c>
      <c r="D789" t="inlineStr">
        <is>
          <t>VÄSTMANLANDS LÄN</t>
        </is>
      </c>
      <c r="E789" t="inlineStr">
        <is>
          <t>FAGERSTA</t>
        </is>
      </c>
      <c r="G789" t="n">
        <v>1</v>
      </c>
      <c r="H789" t="n">
        <v>0</v>
      </c>
      <c r="I789" t="n">
        <v>0</v>
      </c>
      <c r="J789" t="n">
        <v>0</v>
      </c>
      <c r="K789" t="n">
        <v>0</v>
      </c>
      <c r="L789" t="n">
        <v>0</v>
      </c>
      <c r="M789" t="n">
        <v>0</v>
      </c>
      <c r="N789" t="n">
        <v>0</v>
      </c>
      <c r="O789" t="n">
        <v>0</v>
      </c>
      <c r="P789" t="n">
        <v>0</v>
      </c>
      <c r="Q789" t="n">
        <v>0</v>
      </c>
      <c r="R789" s="2" t="inlineStr"/>
    </row>
    <row r="790" ht="15" customHeight="1">
      <c r="A790" t="inlineStr">
        <is>
          <t>A 62390-2019</t>
        </is>
      </c>
      <c r="B790" s="1" t="n">
        <v>43788</v>
      </c>
      <c r="C790" s="1" t="n">
        <v>45724</v>
      </c>
      <c r="D790" t="inlineStr">
        <is>
          <t>VÄSTMANLANDS LÄN</t>
        </is>
      </c>
      <c r="E790" t="inlineStr">
        <is>
          <t>SALA</t>
        </is>
      </c>
      <c r="G790" t="n">
        <v>0.9</v>
      </c>
      <c r="H790" t="n">
        <v>0</v>
      </c>
      <c r="I790" t="n">
        <v>0</v>
      </c>
      <c r="J790" t="n">
        <v>0</v>
      </c>
      <c r="K790" t="n">
        <v>0</v>
      </c>
      <c r="L790" t="n">
        <v>0</v>
      </c>
      <c r="M790" t="n">
        <v>0</v>
      </c>
      <c r="N790" t="n">
        <v>0</v>
      </c>
      <c r="O790" t="n">
        <v>0</v>
      </c>
      <c r="P790" t="n">
        <v>0</v>
      </c>
      <c r="Q790" t="n">
        <v>0</v>
      </c>
      <c r="R790" s="2" t="inlineStr"/>
    </row>
    <row r="791" ht="15" customHeight="1">
      <c r="A791" t="inlineStr">
        <is>
          <t>A 62412-2019</t>
        </is>
      </c>
      <c r="B791" s="1" t="n">
        <v>43788</v>
      </c>
      <c r="C791" s="1" t="n">
        <v>45724</v>
      </c>
      <c r="D791" t="inlineStr">
        <is>
          <t>VÄSTMANLANDS LÄN</t>
        </is>
      </c>
      <c r="E791" t="inlineStr">
        <is>
          <t>VÄSTERÅS</t>
        </is>
      </c>
      <c r="G791" t="n">
        <v>0.9</v>
      </c>
      <c r="H791" t="n">
        <v>0</v>
      </c>
      <c r="I791" t="n">
        <v>0</v>
      </c>
      <c r="J791" t="n">
        <v>0</v>
      </c>
      <c r="K791" t="n">
        <v>0</v>
      </c>
      <c r="L791" t="n">
        <v>0</v>
      </c>
      <c r="M791" t="n">
        <v>0</v>
      </c>
      <c r="N791" t="n">
        <v>0</v>
      </c>
      <c r="O791" t="n">
        <v>0</v>
      </c>
      <c r="P791" t="n">
        <v>0</v>
      </c>
      <c r="Q791" t="n">
        <v>0</v>
      </c>
      <c r="R791" s="2" t="inlineStr"/>
    </row>
    <row r="792" ht="15" customHeight="1">
      <c r="A792" t="inlineStr">
        <is>
          <t>A 62410-2019</t>
        </is>
      </c>
      <c r="B792" s="1" t="n">
        <v>43788</v>
      </c>
      <c r="C792" s="1" t="n">
        <v>45724</v>
      </c>
      <c r="D792" t="inlineStr">
        <is>
          <t>VÄSTMANLANDS LÄN</t>
        </is>
      </c>
      <c r="E792" t="inlineStr">
        <is>
          <t>KÖPING</t>
        </is>
      </c>
      <c r="G792" t="n">
        <v>1.1</v>
      </c>
      <c r="H792" t="n">
        <v>0</v>
      </c>
      <c r="I792" t="n">
        <v>0</v>
      </c>
      <c r="J792" t="n">
        <v>0</v>
      </c>
      <c r="K792" t="n">
        <v>0</v>
      </c>
      <c r="L792" t="n">
        <v>0</v>
      </c>
      <c r="M792" t="n">
        <v>0</v>
      </c>
      <c r="N792" t="n">
        <v>0</v>
      </c>
      <c r="O792" t="n">
        <v>0</v>
      </c>
      <c r="P792" t="n">
        <v>0</v>
      </c>
      <c r="Q792" t="n">
        <v>0</v>
      </c>
      <c r="R792" s="2" t="inlineStr"/>
    </row>
    <row r="793" ht="15" customHeight="1">
      <c r="A793" t="inlineStr">
        <is>
          <t>A 62692-2019</t>
        </is>
      </c>
      <c r="B793" s="1" t="n">
        <v>43789</v>
      </c>
      <c r="C793" s="1" t="n">
        <v>45724</v>
      </c>
      <c r="D793" t="inlineStr">
        <is>
          <t>VÄSTMANLANDS LÄN</t>
        </is>
      </c>
      <c r="E793" t="inlineStr">
        <is>
          <t>KUNGSÖR</t>
        </is>
      </c>
      <c r="G793" t="n">
        <v>1.8</v>
      </c>
      <c r="H793" t="n">
        <v>0</v>
      </c>
      <c r="I793" t="n">
        <v>0</v>
      </c>
      <c r="J793" t="n">
        <v>0</v>
      </c>
      <c r="K793" t="n">
        <v>0</v>
      </c>
      <c r="L793" t="n">
        <v>0</v>
      </c>
      <c r="M793" t="n">
        <v>0</v>
      </c>
      <c r="N793" t="n">
        <v>0</v>
      </c>
      <c r="O793" t="n">
        <v>0</v>
      </c>
      <c r="P793" t="n">
        <v>0</v>
      </c>
      <c r="Q793" t="n">
        <v>0</v>
      </c>
      <c r="R793" s="2" t="inlineStr"/>
    </row>
    <row r="794" ht="15" customHeight="1">
      <c r="A794" t="inlineStr">
        <is>
          <t>A 62686-2019</t>
        </is>
      </c>
      <c r="B794" s="1" t="n">
        <v>43789</v>
      </c>
      <c r="C794" s="1" t="n">
        <v>45724</v>
      </c>
      <c r="D794" t="inlineStr">
        <is>
          <t>VÄSTMANLANDS LÄN</t>
        </is>
      </c>
      <c r="E794" t="inlineStr">
        <is>
          <t>KUNGSÖR</t>
        </is>
      </c>
      <c r="G794" t="n">
        <v>0.5</v>
      </c>
      <c r="H794" t="n">
        <v>0</v>
      </c>
      <c r="I794" t="n">
        <v>0</v>
      </c>
      <c r="J794" t="n">
        <v>0</v>
      </c>
      <c r="K794" t="n">
        <v>0</v>
      </c>
      <c r="L794" t="n">
        <v>0</v>
      </c>
      <c r="M794" t="n">
        <v>0</v>
      </c>
      <c r="N794" t="n">
        <v>0</v>
      </c>
      <c r="O794" t="n">
        <v>0</v>
      </c>
      <c r="P794" t="n">
        <v>0</v>
      </c>
      <c r="Q794" t="n">
        <v>0</v>
      </c>
      <c r="R794" s="2" t="inlineStr"/>
    </row>
    <row r="795" ht="15" customHeight="1">
      <c r="A795" t="inlineStr">
        <is>
          <t>A 62774-2019</t>
        </is>
      </c>
      <c r="B795" s="1" t="n">
        <v>43789</v>
      </c>
      <c r="C795" s="1" t="n">
        <v>45724</v>
      </c>
      <c r="D795" t="inlineStr">
        <is>
          <t>VÄSTMANLANDS LÄN</t>
        </is>
      </c>
      <c r="E795" t="inlineStr">
        <is>
          <t>VÄSTERÅS</t>
        </is>
      </c>
      <c r="G795" t="n">
        <v>0.8</v>
      </c>
      <c r="H795" t="n">
        <v>0</v>
      </c>
      <c r="I795" t="n">
        <v>0</v>
      </c>
      <c r="J795" t="n">
        <v>0</v>
      </c>
      <c r="K795" t="n">
        <v>0</v>
      </c>
      <c r="L795" t="n">
        <v>0</v>
      </c>
      <c r="M795" t="n">
        <v>0</v>
      </c>
      <c r="N795" t="n">
        <v>0</v>
      </c>
      <c r="O795" t="n">
        <v>0</v>
      </c>
      <c r="P795" t="n">
        <v>0</v>
      </c>
      <c r="Q795" t="n">
        <v>0</v>
      </c>
      <c r="R795" s="2" t="inlineStr"/>
    </row>
    <row r="796" ht="15" customHeight="1">
      <c r="A796" t="inlineStr">
        <is>
          <t>A 62865-2019</t>
        </is>
      </c>
      <c r="B796" s="1" t="n">
        <v>43790</v>
      </c>
      <c r="C796" s="1" t="n">
        <v>45724</v>
      </c>
      <c r="D796" t="inlineStr">
        <is>
          <t>VÄSTMANLANDS LÄN</t>
        </is>
      </c>
      <c r="E796" t="inlineStr">
        <is>
          <t>ARBOGA</t>
        </is>
      </c>
      <c r="G796" t="n">
        <v>2.8</v>
      </c>
      <c r="H796" t="n">
        <v>0</v>
      </c>
      <c r="I796" t="n">
        <v>0</v>
      </c>
      <c r="J796" t="n">
        <v>0</v>
      </c>
      <c r="K796" t="n">
        <v>0</v>
      </c>
      <c r="L796" t="n">
        <v>0</v>
      </c>
      <c r="M796" t="n">
        <v>0</v>
      </c>
      <c r="N796" t="n">
        <v>0</v>
      </c>
      <c r="O796" t="n">
        <v>0</v>
      </c>
      <c r="P796" t="n">
        <v>0</v>
      </c>
      <c r="Q796" t="n">
        <v>0</v>
      </c>
      <c r="R796" s="2" t="inlineStr"/>
    </row>
    <row r="797" ht="15" customHeight="1">
      <c r="A797" t="inlineStr">
        <is>
          <t>A 62752-2019</t>
        </is>
      </c>
      <c r="B797" s="1" t="n">
        <v>43790</v>
      </c>
      <c r="C797" s="1" t="n">
        <v>45724</v>
      </c>
      <c r="D797" t="inlineStr">
        <is>
          <t>VÄSTMANLANDS LÄN</t>
        </is>
      </c>
      <c r="E797" t="inlineStr">
        <is>
          <t>SKINNSKATTEBERG</t>
        </is>
      </c>
      <c r="G797" t="n">
        <v>2.1</v>
      </c>
      <c r="H797" t="n">
        <v>0</v>
      </c>
      <c r="I797" t="n">
        <v>0</v>
      </c>
      <c r="J797" t="n">
        <v>0</v>
      </c>
      <c r="K797" t="n">
        <v>0</v>
      </c>
      <c r="L797" t="n">
        <v>0</v>
      </c>
      <c r="M797" t="n">
        <v>0</v>
      </c>
      <c r="N797" t="n">
        <v>0</v>
      </c>
      <c r="O797" t="n">
        <v>0</v>
      </c>
      <c r="P797" t="n">
        <v>0</v>
      </c>
      <c r="Q797" t="n">
        <v>0</v>
      </c>
      <c r="R797" s="2" t="inlineStr"/>
    </row>
    <row r="798" ht="15" customHeight="1">
      <c r="A798" t="inlineStr">
        <is>
          <t>A 62976-2019</t>
        </is>
      </c>
      <c r="B798" s="1" t="n">
        <v>43790</v>
      </c>
      <c r="C798" s="1" t="n">
        <v>45724</v>
      </c>
      <c r="D798" t="inlineStr">
        <is>
          <t>VÄSTMANLANDS LÄN</t>
        </is>
      </c>
      <c r="E798" t="inlineStr">
        <is>
          <t>HALLSTAHAMMAR</t>
        </is>
      </c>
      <c r="G798" t="n">
        <v>4.2</v>
      </c>
      <c r="H798" t="n">
        <v>0</v>
      </c>
      <c r="I798" t="n">
        <v>0</v>
      </c>
      <c r="J798" t="n">
        <v>0</v>
      </c>
      <c r="K798" t="n">
        <v>0</v>
      </c>
      <c r="L798" t="n">
        <v>0</v>
      </c>
      <c r="M798" t="n">
        <v>0</v>
      </c>
      <c r="N798" t="n">
        <v>0</v>
      </c>
      <c r="O798" t="n">
        <v>0</v>
      </c>
      <c r="P798" t="n">
        <v>0</v>
      </c>
      <c r="Q798" t="n">
        <v>0</v>
      </c>
      <c r="R798" s="2" t="inlineStr"/>
    </row>
    <row r="799" ht="15" customHeight="1">
      <c r="A799" t="inlineStr">
        <is>
          <t>A 63203-2019</t>
        </is>
      </c>
      <c r="B799" s="1" t="n">
        <v>43791</v>
      </c>
      <c r="C799" s="1" t="n">
        <v>45724</v>
      </c>
      <c r="D799" t="inlineStr">
        <is>
          <t>VÄSTMANLANDS LÄN</t>
        </is>
      </c>
      <c r="E799" t="inlineStr">
        <is>
          <t>VÄSTERÅS</t>
        </is>
      </c>
      <c r="G799" t="n">
        <v>1.1</v>
      </c>
      <c r="H799" t="n">
        <v>0</v>
      </c>
      <c r="I799" t="n">
        <v>0</v>
      </c>
      <c r="J799" t="n">
        <v>0</v>
      </c>
      <c r="K799" t="n">
        <v>0</v>
      </c>
      <c r="L799" t="n">
        <v>0</v>
      </c>
      <c r="M799" t="n">
        <v>0</v>
      </c>
      <c r="N799" t="n">
        <v>0</v>
      </c>
      <c r="O799" t="n">
        <v>0</v>
      </c>
      <c r="P799" t="n">
        <v>0</v>
      </c>
      <c r="Q799" t="n">
        <v>0</v>
      </c>
      <c r="R799" s="2" t="inlineStr"/>
    </row>
    <row r="800" ht="15" customHeight="1">
      <c r="A800" t="inlineStr">
        <is>
          <t>A 64164-2019</t>
        </is>
      </c>
      <c r="B800" s="1" t="n">
        <v>43791</v>
      </c>
      <c r="C800" s="1" t="n">
        <v>45724</v>
      </c>
      <c r="D800" t="inlineStr">
        <is>
          <t>VÄSTMANLANDS LÄN</t>
        </is>
      </c>
      <c r="E800" t="inlineStr">
        <is>
          <t>SALA</t>
        </is>
      </c>
      <c r="G800" t="n">
        <v>1.1</v>
      </c>
      <c r="H800" t="n">
        <v>0</v>
      </c>
      <c r="I800" t="n">
        <v>0</v>
      </c>
      <c r="J800" t="n">
        <v>0</v>
      </c>
      <c r="K800" t="n">
        <v>0</v>
      </c>
      <c r="L800" t="n">
        <v>0</v>
      </c>
      <c r="M800" t="n">
        <v>0</v>
      </c>
      <c r="N800" t="n">
        <v>0</v>
      </c>
      <c r="O800" t="n">
        <v>0</v>
      </c>
      <c r="P800" t="n">
        <v>0</v>
      </c>
      <c r="Q800" t="n">
        <v>0</v>
      </c>
      <c r="R800" s="2" t="inlineStr"/>
    </row>
    <row r="801" ht="15" customHeight="1">
      <c r="A801" t="inlineStr">
        <is>
          <t>A 63251-2019</t>
        </is>
      </c>
      <c r="B801" s="1" t="n">
        <v>43793</v>
      </c>
      <c r="C801" s="1" t="n">
        <v>45724</v>
      </c>
      <c r="D801" t="inlineStr">
        <is>
          <t>VÄSTMANLANDS LÄN</t>
        </is>
      </c>
      <c r="E801" t="inlineStr">
        <is>
          <t>ARBOGA</t>
        </is>
      </c>
      <c r="G801" t="n">
        <v>2.1</v>
      </c>
      <c r="H801" t="n">
        <v>0</v>
      </c>
      <c r="I801" t="n">
        <v>0</v>
      </c>
      <c r="J801" t="n">
        <v>0</v>
      </c>
      <c r="K801" t="n">
        <v>0</v>
      </c>
      <c r="L801" t="n">
        <v>0</v>
      </c>
      <c r="M801" t="n">
        <v>0</v>
      </c>
      <c r="N801" t="n">
        <v>0</v>
      </c>
      <c r="O801" t="n">
        <v>0</v>
      </c>
      <c r="P801" t="n">
        <v>0</v>
      </c>
      <c r="Q801" t="n">
        <v>0</v>
      </c>
      <c r="R801" s="2" t="inlineStr"/>
    </row>
    <row r="802" ht="15" customHeight="1">
      <c r="A802" t="inlineStr">
        <is>
          <t>A 63369-2019</t>
        </is>
      </c>
      <c r="B802" s="1" t="n">
        <v>43794</v>
      </c>
      <c r="C802" s="1" t="n">
        <v>45724</v>
      </c>
      <c r="D802" t="inlineStr">
        <is>
          <t>VÄSTMANLANDS LÄN</t>
        </is>
      </c>
      <c r="E802" t="inlineStr">
        <is>
          <t>SALA</t>
        </is>
      </c>
      <c r="G802" t="n">
        <v>0.4</v>
      </c>
      <c r="H802" t="n">
        <v>0</v>
      </c>
      <c r="I802" t="n">
        <v>0</v>
      </c>
      <c r="J802" t="n">
        <v>0</v>
      </c>
      <c r="K802" t="n">
        <v>0</v>
      </c>
      <c r="L802" t="n">
        <v>0</v>
      </c>
      <c r="M802" t="n">
        <v>0</v>
      </c>
      <c r="N802" t="n">
        <v>0</v>
      </c>
      <c r="O802" t="n">
        <v>0</v>
      </c>
      <c r="P802" t="n">
        <v>0</v>
      </c>
      <c r="Q802" t="n">
        <v>0</v>
      </c>
      <c r="R802" s="2" t="inlineStr"/>
    </row>
    <row r="803" ht="15" customHeight="1">
      <c r="A803" t="inlineStr">
        <is>
          <t>A 63296-2019</t>
        </is>
      </c>
      <c r="B803" s="1" t="n">
        <v>43794</v>
      </c>
      <c r="C803" s="1" t="n">
        <v>45724</v>
      </c>
      <c r="D803" t="inlineStr">
        <is>
          <t>VÄSTMANLANDS LÄN</t>
        </is>
      </c>
      <c r="E803" t="inlineStr">
        <is>
          <t>SKINNSKATTEBERG</t>
        </is>
      </c>
      <c r="G803" t="n">
        <v>8</v>
      </c>
      <c r="H803" t="n">
        <v>0</v>
      </c>
      <c r="I803" t="n">
        <v>0</v>
      </c>
      <c r="J803" t="n">
        <v>0</v>
      </c>
      <c r="K803" t="n">
        <v>0</v>
      </c>
      <c r="L803" t="n">
        <v>0</v>
      </c>
      <c r="M803" t="n">
        <v>0</v>
      </c>
      <c r="N803" t="n">
        <v>0</v>
      </c>
      <c r="O803" t="n">
        <v>0</v>
      </c>
      <c r="P803" t="n">
        <v>0</v>
      </c>
      <c r="Q803" t="n">
        <v>0</v>
      </c>
      <c r="R803" s="2" t="inlineStr"/>
    </row>
    <row r="804" ht="15" customHeight="1">
      <c r="A804" t="inlineStr">
        <is>
          <t>A 63288-2019</t>
        </is>
      </c>
      <c r="B804" s="1" t="n">
        <v>43794</v>
      </c>
      <c r="C804" s="1" t="n">
        <v>45724</v>
      </c>
      <c r="D804" t="inlineStr">
        <is>
          <t>VÄSTMANLANDS LÄN</t>
        </is>
      </c>
      <c r="E804" t="inlineStr">
        <is>
          <t>VÄSTERÅS</t>
        </is>
      </c>
      <c r="F804" t="inlineStr">
        <is>
          <t>Kommuner</t>
        </is>
      </c>
      <c r="G804" t="n">
        <v>2.4</v>
      </c>
      <c r="H804" t="n">
        <v>0</v>
      </c>
      <c r="I804" t="n">
        <v>0</v>
      </c>
      <c r="J804" t="n">
        <v>0</v>
      </c>
      <c r="K804" t="n">
        <v>0</v>
      </c>
      <c r="L804" t="n">
        <v>0</v>
      </c>
      <c r="M804" t="n">
        <v>0</v>
      </c>
      <c r="N804" t="n">
        <v>0</v>
      </c>
      <c r="O804" t="n">
        <v>0</v>
      </c>
      <c r="P804" t="n">
        <v>0</v>
      </c>
      <c r="Q804" t="n">
        <v>0</v>
      </c>
      <c r="R804" s="2" t="inlineStr"/>
    </row>
    <row r="805" ht="15" customHeight="1">
      <c r="A805" t="inlineStr">
        <is>
          <t>A 63498-2019</t>
        </is>
      </c>
      <c r="B805" s="1" t="n">
        <v>43794</v>
      </c>
      <c r="C805" s="1" t="n">
        <v>45724</v>
      </c>
      <c r="D805" t="inlineStr">
        <is>
          <t>VÄSTMANLANDS LÄN</t>
        </is>
      </c>
      <c r="E805" t="inlineStr">
        <is>
          <t>SALA</t>
        </is>
      </c>
      <c r="G805" t="n">
        <v>0.9</v>
      </c>
      <c r="H805" t="n">
        <v>0</v>
      </c>
      <c r="I805" t="n">
        <v>0</v>
      </c>
      <c r="J805" t="n">
        <v>0</v>
      </c>
      <c r="K805" t="n">
        <v>0</v>
      </c>
      <c r="L805" t="n">
        <v>0</v>
      </c>
      <c r="M805" t="n">
        <v>0</v>
      </c>
      <c r="N805" t="n">
        <v>0</v>
      </c>
      <c r="O805" t="n">
        <v>0</v>
      </c>
      <c r="P805" t="n">
        <v>0</v>
      </c>
      <c r="Q805" t="n">
        <v>0</v>
      </c>
      <c r="R805" s="2" t="inlineStr"/>
    </row>
    <row r="806" ht="15" customHeight="1">
      <c r="A806" t="inlineStr">
        <is>
          <t>A 63604-2019</t>
        </is>
      </c>
      <c r="B806" s="1" t="n">
        <v>43795</v>
      </c>
      <c r="C806" s="1" t="n">
        <v>45724</v>
      </c>
      <c r="D806" t="inlineStr">
        <is>
          <t>VÄSTMANLANDS LÄN</t>
        </is>
      </c>
      <c r="E806" t="inlineStr">
        <is>
          <t>KUNGSÖR</t>
        </is>
      </c>
      <c r="G806" t="n">
        <v>1.5</v>
      </c>
      <c r="H806" t="n">
        <v>0</v>
      </c>
      <c r="I806" t="n">
        <v>0</v>
      </c>
      <c r="J806" t="n">
        <v>0</v>
      </c>
      <c r="K806" t="n">
        <v>0</v>
      </c>
      <c r="L806" t="n">
        <v>0</v>
      </c>
      <c r="M806" t="n">
        <v>0</v>
      </c>
      <c r="N806" t="n">
        <v>0</v>
      </c>
      <c r="O806" t="n">
        <v>0</v>
      </c>
      <c r="P806" t="n">
        <v>0</v>
      </c>
      <c r="Q806" t="n">
        <v>0</v>
      </c>
      <c r="R806" s="2" t="inlineStr"/>
    </row>
    <row r="807" ht="15" customHeight="1">
      <c r="A807" t="inlineStr">
        <is>
          <t>A 63753-2019</t>
        </is>
      </c>
      <c r="B807" s="1" t="n">
        <v>43795</v>
      </c>
      <c r="C807" s="1" t="n">
        <v>45724</v>
      </c>
      <c r="D807" t="inlineStr">
        <is>
          <t>VÄSTMANLANDS LÄN</t>
        </is>
      </c>
      <c r="E807" t="inlineStr">
        <is>
          <t>VÄSTERÅS</t>
        </is>
      </c>
      <c r="G807" t="n">
        <v>0.9</v>
      </c>
      <c r="H807" t="n">
        <v>0</v>
      </c>
      <c r="I807" t="n">
        <v>0</v>
      </c>
      <c r="J807" t="n">
        <v>0</v>
      </c>
      <c r="K807" t="n">
        <v>0</v>
      </c>
      <c r="L807" t="n">
        <v>0</v>
      </c>
      <c r="M807" t="n">
        <v>0</v>
      </c>
      <c r="N807" t="n">
        <v>0</v>
      </c>
      <c r="O807" t="n">
        <v>0</v>
      </c>
      <c r="P807" t="n">
        <v>0</v>
      </c>
      <c r="Q807" t="n">
        <v>0</v>
      </c>
      <c r="R807" s="2" t="inlineStr"/>
    </row>
    <row r="808" ht="15" customHeight="1">
      <c r="A808" t="inlineStr">
        <is>
          <t>A 64090-2019</t>
        </is>
      </c>
      <c r="B808" s="1" t="n">
        <v>43796</v>
      </c>
      <c r="C808" s="1" t="n">
        <v>45724</v>
      </c>
      <c r="D808" t="inlineStr">
        <is>
          <t>VÄSTMANLANDS LÄN</t>
        </is>
      </c>
      <c r="E808" t="inlineStr">
        <is>
          <t>SALA</t>
        </is>
      </c>
      <c r="G808" t="n">
        <v>0.6</v>
      </c>
      <c r="H808" t="n">
        <v>0</v>
      </c>
      <c r="I808" t="n">
        <v>0</v>
      </c>
      <c r="J808" t="n">
        <v>0</v>
      </c>
      <c r="K808" t="n">
        <v>0</v>
      </c>
      <c r="L808" t="n">
        <v>0</v>
      </c>
      <c r="M808" t="n">
        <v>0</v>
      </c>
      <c r="N808" t="n">
        <v>0</v>
      </c>
      <c r="O808" t="n">
        <v>0</v>
      </c>
      <c r="P808" t="n">
        <v>0</v>
      </c>
      <c r="Q808" t="n">
        <v>0</v>
      </c>
      <c r="R808" s="2" t="inlineStr"/>
    </row>
    <row r="809" ht="15" customHeight="1">
      <c r="A809" t="inlineStr">
        <is>
          <t>A 64512-2019</t>
        </is>
      </c>
      <c r="B809" s="1" t="n">
        <v>43796</v>
      </c>
      <c r="C809" s="1" t="n">
        <v>45724</v>
      </c>
      <c r="D809" t="inlineStr">
        <is>
          <t>VÄSTMANLANDS LÄN</t>
        </is>
      </c>
      <c r="E809" t="inlineStr">
        <is>
          <t>SKINNSKATTEBERG</t>
        </is>
      </c>
      <c r="G809" t="n">
        <v>2.9</v>
      </c>
      <c r="H809" t="n">
        <v>0</v>
      </c>
      <c r="I809" t="n">
        <v>0</v>
      </c>
      <c r="J809" t="n">
        <v>0</v>
      </c>
      <c r="K809" t="n">
        <v>0</v>
      </c>
      <c r="L809" t="n">
        <v>0</v>
      </c>
      <c r="M809" t="n">
        <v>0</v>
      </c>
      <c r="N809" t="n">
        <v>0</v>
      </c>
      <c r="O809" t="n">
        <v>0</v>
      </c>
      <c r="P809" t="n">
        <v>0</v>
      </c>
      <c r="Q809" t="n">
        <v>0</v>
      </c>
      <c r="R809" s="2" t="inlineStr"/>
    </row>
    <row r="810" ht="15" customHeight="1">
      <c r="A810" t="inlineStr">
        <is>
          <t>A 64092-2019</t>
        </is>
      </c>
      <c r="B810" s="1" t="n">
        <v>43796</v>
      </c>
      <c r="C810" s="1" t="n">
        <v>45724</v>
      </c>
      <c r="D810" t="inlineStr">
        <is>
          <t>VÄSTMANLANDS LÄN</t>
        </is>
      </c>
      <c r="E810" t="inlineStr">
        <is>
          <t>SALA</t>
        </is>
      </c>
      <c r="G810" t="n">
        <v>1.1</v>
      </c>
      <c r="H810" t="n">
        <v>0</v>
      </c>
      <c r="I810" t="n">
        <v>0</v>
      </c>
      <c r="J810" t="n">
        <v>0</v>
      </c>
      <c r="K810" t="n">
        <v>0</v>
      </c>
      <c r="L810" t="n">
        <v>0</v>
      </c>
      <c r="M810" t="n">
        <v>0</v>
      </c>
      <c r="N810" t="n">
        <v>0</v>
      </c>
      <c r="O810" t="n">
        <v>0</v>
      </c>
      <c r="P810" t="n">
        <v>0</v>
      </c>
      <c r="Q810" t="n">
        <v>0</v>
      </c>
      <c r="R810" s="2" t="inlineStr"/>
    </row>
    <row r="811" ht="15" customHeight="1">
      <c r="A811" t="inlineStr">
        <is>
          <t>A 67284-2019</t>
        </is>
      </c>
      <c r="B811" s="1" t="n">
        <v>43796</v>
      </c>
      <c r="C811" s="1" t="n">
        <v>45724</v>
      </c>
      <c r="D811" t="inlineStr">
        <is>
          <t>VÄSTMANLANDS LÄN</t>
        </is>
      </c>
      <c r="E811" t="inlineStr">
        <is>
          <t>SKINNSKATTEBERG</t>
        </is>
      </c>
      <c r="G811" t="n">
        <v>1.4</v>
      </c>
      <c r="H811" t="n">
        <v>0</v>
      </c>
      <c r="I811" t="n">
        <v>0</v>
      </c>
      <c r="J811" t="n">
        <v>0</v>
      </c>
      <c r="K811" t="n">
        <v>0</v>
      </c>
      <c r="L811" t="n">
        <v>0</v>
      </c>
      <c r="M811" t="n">
        <v>0</v>
      </c>
      <c r="N811" t="n">
        <v>0</v>
      </c>
      <c r="O811" t="n">
        <v>0</v>
      </c>
      <c r="P811" t="n">
        <v>0</v>
      </c>
      <c r="Q811" t="n">
        <v>0</v>
      </c>
      <c r="R811" s="2" t="inlineStr"/>
    </row>
    <row r="812" ht="15" customHeight="1">
      <c r="A812" t="inlineStr">
        <is>
          <t>A 64223-2019</t>
        </is>
      </c>
      <c r="B812" s="1" t="n">
        <v>43797</v>
      </c>
      <c r="C812" s="1" t="n">
        <v>45724</v>
      </c>
      <c r="D812" t="inlineStr">
        <is>
          <t>VÄSTMANLANDS LÄN</t>
        </is>
      </c>
      <c r="E812" t="inlineStr">
        <is>
          <t>KÖPING</t>
        </is>
      </c>
      <c r="G812" t="n">
        <v>2.7</v>
      </c>
      <c r="H812" t="n">
        <v>0</v>
      </c>
      <c r="I812" t="n">
        <v>0</v>
      </c>
      <c r="J812" t="n">
        <v>0</v>
      </c>
      <c r="K812" t="n">
        <v>0</v>
      </c>
      <c r="L812" t="n">
        <v>0</v>
      </c>
      <c r="M812" t="n">
        <v>0</v>
      </c>
      <c r="N812" t="n">
        <v>0</v>
      </c>
      <c r="O812" t="n">
        <v>0</v>
      </c>
      <c r="P812" t="n">
        <v>0</v>
      </c>
      <c r="Q812" t="n">
        <v>0</v>
      </c>
      <c r="R812" s="2" t="inlineStr"/>
    </row>
    <row r="813" ht="15" customHeight="1">
      <c r="A813" t="inlineStr">
        <is>
          <t>A 64639-2019</t>
        </is>
      </c>
      <c r="B813" s="1" t="n">
        <v>43798</v>
      </c>
      <c r="C813" s="1" t="n">
        <v>45724</v>
      </c>
      <c r="D813" t="inlineStr">
        <is>
          <t>VÄSTMANLANDS LÄN</t>
        </is>
      </c>
      <c r="E813" t="inlineStr">
        <is>
          <t>VÄSTERÅS</t>
        </is>
      </c>
      <c r="G813" t="n">
        <v>1.5</v>
      </c>
      <c r="H813" t="n">
        <v>0</v>
      </c>
      <c r="I813" t="n">
        <v>0</v>
      </c>
      <c r="J813" t="n">
        <v>0</v>
      </c>
      <c r="K813" t="n">
        <v>0</v>
      </c>
      <c r="L813" t="n">
        <v>0</v>
      </c>
      <c r="M813" t="n">
        <v>0</v>
      </c>
      <c r="N813" t="n">
        <v>0</v>
      </c>
      <c r="O813" t="n">
        <v>0</v>
      </c>
      <c r="P813" t="n">
        <v>0</v>
      </c>
      <c r="Q813" t="n">
        <v>0</v>
      </c>
      <c r="R813" s="2" t="inlineStr"/>
    </row>
    <row r="814" ht="15" customHeight="1">
      <c r="A814" t="inlineStr">
        <is>
          <t>A 64772-2019</t>
        </is>
      </c>
      <c r="B814" s="1" t="n">
        <v>43801</v>
      </c>
      <c r="C814" s="1" t="n">
        <v>45724</v>
      </c>
      <c r="D814" t="inlineStr">
        <is>
          <t>VÄSTMANLANDS LÄN</t>
        </is>
      </c>
      <c r="E814" t="inlineStr">
        <is>
          <t>SURAHAMMAR</t>
        </is>
      </c>
      <c r="F814" t="inlineStr">
        <is>
          <t>Övriga Aktiebolag</t>
        </is>
      </c>
      <c r="G814" t="n">
        <v>7</v>
      </c>
      <c r="H814" t="n">
        <v>0</v>
      </c>
      <c r="I814" t="n">
        <v>0</v>
      </c>
      <c r="J814" t="n">
        <v>0</v>
      </c>
      <c r="K814" t="n">
        <v>0</v>
      </c>
      <c r="L814" t="n">
        <v>0</v>
      </c>
      <c r="M814" t="n">
        <v>0</v>
      </c>
      <c r="N814" t="n">
        <v>0</v>
      </c>
      <c r="O814" t="n">
        <v>0</v>
      </c>
      <c r="P814" t="n">
        <v>0</v>
      </c>
      <c r="Q814" t="n">
        <v>0</v>
      </c>
      <c r="R814" s="2" t="inlineStr"/>
    </row>
    <row r="815" ht="15" customHeight="1">
      <c r="A815" t="inlineStr">
        <is>
          <t>A 64940-2019</t>
        </is>
      </c>
      <c r="B815" s="1" t="n">
        <v>43801</v>
      </c>
      <c r="C815" s="1" t="n">
        <v>45724</v>
      </c>
      <c r="D815" t="inlineStr">
        <is>
          <t>VÄSTMANLANDS LÄN</t>
        </is>
      </c>
      <c r="E815" t="inlineStr">
        <is>
          <t>KUNGSÖR</t>
        </is>
      </c>
      <c r="G815" t="n">
        <v>3</v>
      </c>
      <c r="H815" t="n">
        <v>0</v>
      </c>
      <c r="I815" t="n">
        <v>0</v>
      </c>
      <c r="J815" t="n">
        <v>0</v>
      </c>
      <c r="K815" t="n">
        <v>0</v>
      </c>
      <c r="L815" t="n">
        <v>0</v>
      </c>
      <c r="M815" t="n">
        <v>0</v>
      </c>
      <c r="N815" t="n">
        <v>0</v>
      </c>
      <c r="O815" t="n">
        <v>0</v>
      </c>
      <c r="P815" t="n">
        <v>0</v>
      </c>
      <c r="Q815" t="n">
        <v>0</v>
      </c>
      <c r="R815" s="2" t="inlineStr"/>
    </row>
    <row r="816" ht="15" customHeight="1">
      <c r="A816" t="inlineStr">
        <is>
          <t>A 65021-2019</t>
        </is>
      </c>
      <c r="B816" s="1" t="n">
        <v>43801</v>
      </c>
      <c r="C816" s="1" t="n">
        <v>45724</v>
      </c>
      <c r="D816" t="inlineStr">
        <is>
          <t>VÄSTMANLANDS LÄN</t>
        </is>
      </c>
      <c r="E816" t="inlineStr">
        <is>
          <t>SALA</t>
        </is>
      </c>
      <c r="F816" t="inlineStr">
        <is>
          <t>Sveaskog</t>
        </is>
      </c>
      <c r="G816" t="n">
        <v>3.5</v>
      </c>
      <c r="H816" t="n">
        <v>0</v>
      </c>
      <c r="I816" t="n">
        <v>0</v>
      </c>
      <c r="J816" t="n">
        <v>0</v>
      </c>
      <c r="K816" t="n">
        <v>0</v>
      </c>
      <c r="L816" t="n">
        <v>0</v>
      </c>
      <c r="M816" t="n">
        <v>0</v>
      </c>
      <c r="N816" t="n">
        <v>0</v>
      </c>
      <c r="O816" t="n">
        <v>0</v>
      </c>
      <c r="P816" t="n">
        <v>0</v>
      </c>
      <c r="Q816" t="n">
        <v>0</v>
      </c>
      <c r="R816" s="2" t="inlineStr"/>
    </row>
    <row r="817" ht="15" customHeight="1">
      <c r="A817" t="inlineStr">
        <is>
          <t>A 65113-2019</t>
        </is>
      </c>
      <c r="B817" s="1" t="n">
        <v>43802</v>
      </c>
      <c r="C817" s="1" t="n">
        <v>45724</v>
      </c>
      <c r="D817" t="inlineStr">
        <is>
          <t>VÄSTMANLANDS LÄN</t>
        </is>
      </c>
      <c r="E817" t="inlineStr">
        <is>
          <t>HALLSTAHAMMAR</t>
        </is>
      </c>
      <c r="G817" t="n">
        <v>0.5</v>
      </c>
      <c r="H817" t="n">
        <v>0</v>
      </c>
      <c r="I817" t="n">
        <v>0</v>
      </c>
      <c r="J817" t="n">
        <v>0</v>
      </c>
      <c r="K817" t="n">
        <v>0</v>
      </c>
      <c r="L817" t="n">
        <v>0</v>
      </c>
      <c r="M817" t="n">
        <v>0</v>
      </c>
      <c r="N817" t="n">
        <v>0</v>
      </c>
      <c r="O817" t="n">
        <v>0</v>
      </c>
      <c r="P817" t="n">
        <v>0</v>
      </c>
      <c r="Q817" t="n">
        <v>0</v>
      </c>
      <c r="R817" s="2" t="inlineStr"/>
    </row>
    <row r="818" ht="15" customHeight="1">
      <c r="A818" t="inlineStr">
        <is>
          <t>A 65299-2019</t>
        </is>
      </c>
      <c r="B818" s="1" t="n">
        <v>43802</v>
      </c>
      <c r="C818" s="1" t="n">
        <v>45724</v>
      </c>
      <c r="D818" t="inlineStr">
        <is>
          <t>VÄSTMANLANDS LÄN</t>
        </is>
      </c>
      <c r="E818" t="inlineStr">
        <is>
          <t>VÄSTERÅS</t>
        </is>
      </c>
      <c r="F818" t="inlineStr">
        <is>
          <t>Kyrkan</t>
        </is>
      </c>
      <c r="G818" t="n">
        <v>20.9</v>
      </c>
      <c r="H818" t="n">
        <v>0</v>
      </c>
      <c r="I818" t="n">
        <v>0</v>
      </c>
      <c r="J818" t="n">
        <v>0</v>
      </c>
      <c r="K818" t="n">
        <v>0</v>
      </c>
      <c r="L818" t="n">
        <v>0</v>
      </c>
      <c r="M818" t="n">
        <v>0</v>
      </c>
      <c r="N818" t="n">
        <v>0</v>
      </c>
      <c r="O818" t="n">
        <v>0</v>
      </c>
      <c r="P818" t="n">
        <v>0</v>
      </c>
      <c r="Q818" t="n">
        <v>0</v>
      </c>
      <c r="R818" s="2" t="inlineStr"/>
    </row>
    <row r="819" ht="15" customHeight="1">
      <c r="A819" t="inlineStr">
        <is>
          <t>A 65184-2019</t>
        </is>
      </c>
      <c r="B819" s="1" t="n">
        <v>43802</v>
      </c>
      <c r="C819" s="1" t="n">
        <v>45724</v>
      </c>
      <c r="D819" t="inlineStr">
        <is>
          <t>VÄSTMANLANDS LÄN</t>
        </is>
      </c>
      <c r="E819" t="inlineStr">
        <is>
          <t>VÄSTERÅS</t>
        </is>
      </c>
      <c r="G819" t="n">
        <v>5</v>
      </c>
      <c r="H819" t="n">
        <v>0</v>
      </c>
      <c r="I819" t="n">
        <v>0</v>
      </c>
      <c r="J819" t="n">
        <v>0</v>
      </c>
      <c r="K819" t="n">
        <v>0</v>
      </c>
      <c r="L819" t="n">
        <v>0</v>
      </c>
      <c r="M819" t="n">
        <v>0</v>
      </c>
      <c r="N819" t="n">
        <v>0</v>
      </c>
      <c r="O819" t="n">
        <v>0</v>
      </c>
      <c r="P819" t="n">
        <v>0</v>
      </c>
      <c r="Q819" t="n">
        <v>0</v>
      </c>
      <c r="R819" s="2" t="inlineStr"/>
    </row>
    <row r="820" ht="15" customHeight="1">
      <c r="A820" t="inlineStr">
        <is>
          <t>A 66269-2019</t>
        </is>
      </c>
      <c r="B820" s="1" t="n">
        <v>43802</v>
      </c>
      <c r="C820" s="1" t="n">
        <v>45724</v>
      </c>
      <c r="D820" t="inlineStr">
        <is>
          <t>VÄSTMANLANDS LÄN</t>
        </is>
      </c>
      <c r="E820" t="inlineStr">
        <is>
          <t>SURAHAMMAR</t>
        </is>
      </c>
      <c r="G820" t="n">
        <v>0.9</v>
      </c>
      <c r="H820" t="n">
        <v>0</v>
      </c>
      <c r="I820" t="n">
        <v>0</v>
      </c>
      <c r="J820" t="n">
        <v>0</v>
      </c>
      <c r="K820" t="n">
        <v>0</v>
      </c>
      <c r="L820" t="n">
        <v>0</v>
      </c>
      <c r="M820" t="n">
        <v>0</v>
      </c>
      <c r="N820" t="n">
        <v>0</v>
      </c>
      <c r="O820" t="n">
        <v>0</v>
      </c>
      <c r="P820" t="n">
        <v>0</v>
      </c>
      <c r="Q820" t="n">
        <v>0</v>
      </c>
      <c r="R820" s="2" t="inlineStr"/>
    </row>
    <row r="821" ht="15" customHeight="1">
      <c r="A821" t="inlineStr">
        <is>
          <t>A 66576-2019</t>
        </is>
      </c>
      <c r="B821" s="1" t="n">
        <v>43803</v>
      </c>
      <c r="C821" s="1" t="n">
        <v>45724</v>
      </c>
      <c r="D821" t="inlineStr">
        <is>
          <t>VÄSTMANLANDS LÄN</t>
        </is>
      </c>
      <c r="E821" t="inlineStr">
        <is>
          <t>KÖPING</t>
        </is>
      </c>
      <c r="G821" t="n">
        <v>0.9</v>
      </c>
      <c r="H821" t="n">
        <v>0</v>
      </c>
      <c r="I821" t="n">
        <v>0</v>
      </c>
      <c r="J821" t="n">
        <v>0</v>
      </c>
      <c r="K821" t="n">
        <v>0</v>
      </c>
      <c r="L821" t="n">
        <v>0</v>
      </c>
      <c r="M821" t="n">
        <v>0</v>
      </c>
      <c r="N821" t="n">
        <v>0</v>
      </c>
      <c r="O821" t="n">
        <v>0</v>
      </c>
      <c r="P821" t="n">
        <v>0</v>
      </c>
      <c r="Q821" t="n">
        <v>0</v>
      </c>
      <c r="R821" s="2" t="inlineStr"/>
    </row>
    <row r="822" ht="15" customHeight="1">
      <c r="A822" t="inlineStr">
        <is>
          <t>A 65449-2019</t>
        </is>
      </c>
      <c r="B822" s="1" t="n">
        <v>43803</v>
      </c>
      <c r="C822" s="1" t="n">
        <v>45724</v>
      </c>
      <c r="D822" t="inlineStr">
        <is>
          <t>VÄSTMANLANDS LÄN</t>
        </is>
      </c>
      <c r="E822" t="inlineStr">
        <is>
          <t>ARBOGA</t>
        </is>
      </c>
      <c r="G822" t="n">
        <v>4.7</v>
      </c>
      <c r="H822" t="n">
        <v>0</v>
      </c>
      <c r="I822" t="n">
        <v>0</v>
      </c>
      <c r="J822" t="n">
        <v>0</v>
      </c>
      <c r="K822" t="n">
        <v>0</v>
      </c>
      <c r="L822" t="n">
        <v>0</v>
      </c>
      <c r="M822" t="n">
        <v>0</v>
      </c>
      <c r="N822" t="n">
        <v>0</v>
      </c>
      <c r="O822" t="n">
        <v>0</v>
      </c>
      <c r="P822" t="n">
        <v>0</v>
      </c>
      <c r="Q822" t="n">
        <v>0</v>
      </c>
      <c r="R822" s="2" t="inlineStr"/>
    </row>
    <row r="823" ht="15" customHeight="1">
      <c r="A823" t="inlineStr">
        <is>
          <t>A 65619-2019</t>
        </is>
      </c>
      <c r="B823" s="1" t="n">
        <v>43804</v>
      </c>
      <c r="C823" s="1" t="n">
        <v>45724</v>
      </c>
      <c r="D823" t="inlineStr">
        <is>
          <t>VÄSTMANLANDS LÄN</t>
        </is>
      </c>
      <c r="E823" t="inlineStr">
        <is>
          <t>SURAHAMMAR</t>
        </is>
      </c>
      <c r="F823" t="inlineStr">
        <is>
          <t>Övriga Aktiebolag</t>
        </is>
      </c>
      <c r="G823" t="n">
        <v>1.6</v>
      </c>
      <c r="H823" t="n">
        <v>0</v>
      </c>
      <c r="I823" t="n">
        <v>0</v>
      </c>
      <c r="J823" t="n">
        <v>0</v>
      </c>
      <c r="K823" t="n">
        <v>0</v>
      </c>
      <c r="L823" t="n">
        <v>0</v>
      </c>
      <c r="M823" t="n">
        <v>0</v>
      </c>
      <c r="N823" t="n">
        <v>0</v>
      </c>
      <c r="O823" t="n">
        <v>0</v>
      </c>
      <c r="P823" t="n">
        <v>0</v>
      </c>
      <c r="Q823" t="n">
        <v>0</v>
      </c>
      <c r="R823" s="2" t="inlineStr"/>
    </row>
    <row r="824" ht="15" customHeight="1">
      <c r="A824" t="inlineStr">
        <is>
          <t>A 65683-2019</t>
        </is>
      </c>
      <c r="B824" s="1" t="n">
        <v>43804</v>
      </c>
      <c r="C824" s="1" t="n">
        <v>45724</v>
      </c>
      <c r="D824" t="inlineStr">
        <is>
          <t>VÄSTMANLANDS LÄN</t>
        </is>
      </c>
      <c r="E824" t="inlineStr">
        <is>
          <t>ARBOGA</t>
        </is>
      </c>
      <c r="G824" t="n">
        <v>4.4</v>
      </c>
      <c r="H824" t="n">
        <v>0</v>
      </c>
      <c r="I824" t="n">
        <v>0</v>
      </c>
      <c r="J824" t="n">
        <v>0</v>
      </c>
      <c r="K824" t="n">
        <v>0</v>
      </c>
      <c r="L824" t="n">
        <v>0</v>
      </c>
      <c r="M824" t="n">
        <v>0</v>
      </c>
      <c r="N824" t="n">
        <v>0</v>
      </c>
      <c r="O824" t="n">
        <v>0</v>
      </c>
      <c r="P824" t="n">
        <v>0</v>
      </c>
      <c r="Q824" t="n">
        <v>0</v>
      </c>
      <c r="R824" s="2" t="inlineStr"/>
    </row>
    <row r="825" ht="15" customHeight="1">
      <c r="A825" t="inlineStr">
        <is>
          <t>A 65848-2019</t>
        </is>
      </c>
      <c r="B825" s="1" t="n">
        <v>43805</v>
      </c>
      <c r="C825" s="1" t="n">
        <v>45724</v>
      </c>
      <c r="D825" t="inlineStr">
        <is>
          <t>VÄSTMANLANDS LÄN</t>
        </is>
      </c>
      <c r="E825" t="inlineStr">
        <is>
          <t>KUNGSÖR</t>
        </is>
      </c>
      <c r="G825" t="n">
        <v>1.3</v>
      </c>
      <c r="H825" t="n">
        <v>0</v>
      </c>
      <c r="I825" t="n">
        <v>0</v>
      </c>
      <c r="J825" t="n">
        <v>0</v>
      </c>
      <c r="K825" t="n">
        <v>0</v>
      </c>
      <c r="L825" t="n">
        <v>0</v>
      </c>
      <c r="M825" t="n">
        <v>0</v>
      </c>
      <c r="N825" t="n">
        <v>0</v>
      </c>
      <c r="O825" t="n">
        <v>0</v>
      </c>
      <c r="P825" t="n">
        <v>0</v>
      </c>
      <c r="Q825" t="n">
        <v>0</v>
      </c>
      <c r="R825" s="2" t="inlineStr"/>
    </row>
    <row r="826" ht="15" customHeight="1">
      <c r="A826" t="inlineStr">
        <is>
          <t>A 65950-2019</t>
        </is>
      </c>
      <c r="B826" s="1" t="n">
        <v>43805</v>
      </c>
      <c r="C826" s="1" t="n">
        <v>45724</v>
      </c>
      <c r="D826" t="inlineStr">
        <is>
          <t>VÄSTMANLANDS LÄN</t>
        </is>
      </c>
      <c r="E826" t="inlineStr">
        <is>
          <t>SKINNSKATTEBERG</t>
        </is>
      </c>
      <c r="G826" t="n">
        <v>0.2</v>
      </c>
      <c r="H826" t="n">
        <v>0</v>
      </c>
      <c r="I826" t="n">
        <v>0</v>
      </c>
      <c r="J826" t="n">
        <v>0</v>
      </c>
      <c r="K826" t="n">
        <v>0</v>
      </c>
      <c r="L826" t="n">
        <v>0</v>
      </c>
      <c r="M826" t="n">
        <v>0</v>
      </c>
      <c r="N826" t="n">
        <v>0</v>
      </c>
      <c r="O826" t="n">
        <v>0</v>
      </c>
      <c r="P826" t="n">
        <v>0</v>
      </c>
      <c r="Q826" t="n">
        <v>0</v>
      </c>
      <c r="R826" s="2" t="inlineStr"/>
    </row>
    <row r="827" ht="15" customHeight="1">
      <c r="A827" t="inlineStr">
        <is>
          <t>A 65955-2019</t>
        </is>
      </c>
      <c r="B827" s="1" t="n">
        <v>43805</v>
      </c>
      <c r="C827" s="1" t="n">
        <v>45724</v>
      </c>
      <c r="D827" t="inlineStr">
        <is>
          <t>VÄSTMANLANDS LÄN</t>
        </is>
      </c>
      <c r="E827" t="inlineStr">
        <is>
          <t>SKINNSKATTEBERG</t>
        </is>
      </c>
      <c r="G827" t="n">
        <v>1.9</v>
      </c>
      <c r="H827" t="n">
        <v>0</v>
      </c>
      <c r="I827" t="n">
        <v>0</v>
      </c>
      <c r="J827" t="n">
        <v>0</v>
      </c>
      <c r="K827" t="n">
        <v>0</v>
      </c>
      <c r="L827" t="n">
        <v>0</v>
      </c>
      <c r="M827" t="n">
        <v>0</v>
      </c>
      <c r="N827" t="n">
        <v>0</v>
      </c>
      <c r="O827" t="n">
        <v>0</v>
      </c>
      <c r="P827" t="n">
        <v>0</v>
      </c>
      <c r="Q827" t="n">
        <v>0</v>
      </c>
      <c r="R827" s="2" t="inlineStr"/>
    </row>
    <row r="828" ht="15" customHeight="1">
      <c r="A828" t="inlineStr">
        <is>
          <t>A 65953-2019</t>
        </is>
      </c>
      <c r="B828" s="1" t="n">
        <v>43805</v>
      </c>
      <c r="C828" s="1" t="n">
        <v>45724</v>
      </c>
      <c r="D828" t="inlineStr">
        <is>
          <t>VÄSTMANLANDS LÄN</t>
        </is>
      </c>
      <c r="E828" t="inlineStr">
        <is>
          <t>SKINNSKATTEBERG</t>
        </is>
      </c>
      <c r="G828" t="n">
        <v>1.3</v>
      </c>
      <c r="H828" t="n">
        <v>0</v>
      </c>
      <c r="I828" t="n">
        <v>0</v>
      </c>
      <c r="J828" t="n">
        <v>0</v>
      </c>
      <c r="K828" t="n">
        <v>0</v>
      </c>
      <c r="L828" t="n">
        <v>0</v>
      </c>
      <c r="M828" t="n">
        <v>0</v>
      </c>
      <c r="N828" t="n">
        <v>0</v>
      </c>
      <c r="O828" t="n">
        <v>0</v>
      </c>
      <c r="P828" t="n">
        <v>0</v>
      </c>
      <c r="Q828" t="n">
        <v>0</v>
      </c>
      <c r="R828" s="2" t="inlineStr"/>
    </row>
    <row r="829" ht="15" customHeight="1">
      <c r="A829" t="inlineStr">
        <is>
          <t>A 66089-2019</t>
        </is>
      </c>
      <c r="B829" s="1" t="n">
        <v>43807</v>
      </c>
      <c r="C829" s="1" t="n">
        <v>45724</v>
      </c>
      <c r="D829" t="inlineStr">
        <is>
          <t>VÄSTMANLANDS LÄN</t>
        </is>
      </c>
      <c r="E829" t="inlineStr">
        <is>
          <t>SALA</t>
        </is>
      </c>
      <c r="G829" t="n">
        <v>17.1</v>
      </c>
      <c r="H829" t="n">
        <v>0</v>
      </c>
      <c r="I829" t="n">
        <v>0</v>
      </c>
      <c r="J829" t="n">
        <v>0</v>
      </c>
      <c r="K829" t="n">
        <v>0</v>
      </c>
      <c r="L829" t="n">
        <v>0</v>
      </c>
      <c r="M829" t="n">
        <v>0</v>
      </c>
      <c r="N829" t="n">
        <v>0</v>
      </c>
      <c r="O829" t="n">
        <v>0</v>
      </c>
      <c r="P829" t="n">
        <v>0</v>
      </c>
      <c r="Q829" t="n">
        <v>0</v>
      </c>
      <c r="R829" s="2" t="inlineStr"/>
    </row>
    <row r="830" ht="15" customHeight="1">
      <c r="A830" t="inlineStr">
        <is>
          <t>A 66216-2019</t>
        </is>
      </c>
      <c r="B830" s="1" t="n">
        <v>43808</v>
      </c>
      <c r="C830" s="1" t="n">
        <v>45724</v>
      </c>
      <c r="D830" t="inlineStr">
        <is>
          <t>VÄSTMANLANDS LÄN</t>
        </is>
      </c>
      <c r="E830" t="inlineStr">
        <is>
          <t>SALA</t>
        </is>
      </c>
      <c r="F830" t="inlineStr">
        <is>
          <t>Kommuner</t>
        </is>
      </c>
      <c r="G830" t="n">
        <v>3.7</v>
      </c>
      <c r="H830" t="n">
        <v>0</v>
      </c>
      <c r="I830" t="n">
        <v>0</v>
      </c>
      <c r="J830" t="n">
        <v>0</v>
      </c>
      <c r="K830" t="n">
        <v>0</v>
      </c>
      <c r="L830" t="n">
        <v>0</v>
      </c>
      <c r="M830" t="n">
        <v>0</v>
      </c>
      <c r="N830" t="n">
        <v>0</v>
      </c>
      <c r="O830" t="n">
        <v>0</v>
      </c>
      <c r="P830" t="n">
        <v>0</v>
      </c>
      <c r="Q830" t="n">
        <v>0</v>
      </c>
      <c r="R830" s="2" t="inlineStr"/>
    </row>
    <row r="831" ht="15" customHeight="1">
      <c r="A831" t="inlineStr">
        <is>
          <t>A 66188-2019</t>
        </is>
      </c>
      <c r="B831" s="1" t="n">
        <v>43808</v>
      </c>
      <c r="C831" s="1" t="n">
        <v>45724</v>
      </c>
      <c r="D831" t="inlineStr">
        <is>
          <t>VÄSTMANLANDS LÄN</t>
        </is>
      </c>
      <c r="E831" t="inlineStr">
        <is>
          <t>ARBOGA</t>
        </is>
      </c>
      <c r="G831" t="n">
        <v>2.2</v>
      </c>
      <c r="H831" t="n">
        <v>0</v>
      </c>
      <c r="I831" t="n">
        <v>0</v>
      </c>
      <c r="J831" t="n">
        <v>0</v>
      </c>
      <c r="K831" t="n">
        <v>0</v>
      </c>
      <c r="L831" t="n">
        <v>0</v>
      </c>
      <c r="M831" t="n">
        <v>0</v>
      </c>
      <c r="N831" t="n">
        <v>0</v>
      </c>
      <c r="O831" t="n">
        <v>0</v>
      </c>
      <c r="P831" t="n">
        <v>0</v>
      </c>
      <c r="Q831" t="n">
        <v>0</v>
      </c>
      <c r="R831" s="2" t="inlineStr"/>
    </row>
    <row r="832" ht="15" customHeight="1">
      <c r="A832" t="inlineStr">
        <is>
          <t>A 66205-2019</t>
        </is>
      </c>
      <c r="B832" s="1" t="n">
        <v>43808</v>
      </c>
      <c r="C832" s="1" t="n">
        <v>45724</v>
      </c>
      <c r="D832" t="inlineStr">
        <is>
          <t>VÄSTMANLANDS LÄN</t>
        </is>
      </c>
      <c r="E832" t="inlineStr">
        <is>
          <t>VÄSTERÅS</t>
        </is>
      </c>
      <c r="G832" t="n">
        <v>3.2</v>
      </c>
      <c r="H832" t="n">
        <v>0</v>
      </c>
      <c r="I832" t="n">
        <v>0</v>
      </c>
      <c r="J832" t="n">
        <v>0</v>
      </c>
      <c r="K832" t="n">
        <v>0</v>
      </c>
      <c r="L832" t="n">
        <v>0</v>
      </c>
      <c r="M832" t="n">
        <v>0</v>
      </c>
      <c r="N832" t="n">
        <v>0</v>
      </c>
      <c r="O832" t="n">
        <v>0</v>
      </c>
      <c r="P832" t="n">
        <v>0</v>
      </c>
      <c r="Q832" t="n">
        <v>0</v>
      </c>
      <c r="R832" s="2" t="inlineStr"/>
    </row>
    <row r="833" ht="15" customHeight="1">
      <c r="A833" t="inlineStr">
        <is>
          <t>A 66359-2019</t>
        </is>
      </c>
      <c r="B833" s="1" t="n">
        <v>43808</v>
      </c>
      <c r="C833" s="1" t="n">
        <v>45724</v>
      </c>
      <c r="D833" t="inlineStr">
        <is>
          <t>VÄSTMANLANDS LÄN</t>
        </is>
      </c>
      <c r="E833" t="inlineStr">
        <is>
          <t>ARBOGA</t>
        </is>
      </c>
      <c r="G833" t="n">
        <v>0.9</v>
      </c>
      <c r="H833" t="n">
        <v>0</v>
      </c>
      <c r="I833" t="n">
        <v>0</v>
      </c>
      <c r="J833" t="n">
        <v>0</v>
      </c>
      <c r="K833" t="n">
        <v>0</v>
      </c>
      <c r="L833" t="n">
        <v>0</v>
      </c>
      <c r="M833" t="n">
        <v>0</v>
      </c>
      <c r="N833" t="n">
        <v>0</v>
      </c>
      <c r="O833" t="n">
        <v>0</v>
      </c>
      <c r="P833" t="n">
        <v>0</v>
      </c>
      <c r="Q833" t="n">
        <v>0</v>
      </c>
      <c r="R833" s="2" t="inlineStr"/>
    </row>
    <row r="834" ht="15" customHeight="1">
      <c r="A834" t="inlineStr">
        <is>
          <t>A 66583-2019</t>
        </is>
      </c>
      <c r="B834" s="1" t="n">
        <v>43809</v>
      </c>
      <c r="C834" s="1" t="n">
        <v>45724</v>
      </c>
      <c r="D834" t="inlineStr">
        <is>
          <t>VÄSTMANLANDS LÄN</t>
        </is>
      </c>
      <c r="E834" t="inlineStr">
        <is>
          <t>KUNGSÖR</t>
        </is>
      </c>
      <c r="G834" t="n">
        <v>2</v>
      </c>
      <c r="H834" t="n">
        <v>0</v>
      </c>
      <c r="I834" t="n">
        <v>0</v>
      </c>
      <c r="J834" t="n">
        <v>0</v>
      </c>
      <c r="K834" t="n">
        <v>0</v>
      </c>
      <c r="L834" t="n">
        <v>0</v>
      </c>
      <c r="M834" t="n">
        <v>0</v>
      </c>
      <c r="N834" t="n">
        <v>0</v>
      </c>
      <c r="O834" t="n">
        <v>0</v>
      </c>
      <c r="P834" t="n">
        <v>0</v>
      </c>
      <c r="Q834" t="n">
        <v>0</v>
      </c>
      <c r="R834" s="2" t="inlineStr"/>
    </row>
    <row r="835" ht="15" customHeight="1">
      <c r="A835" t="inlineStr">
        <is>
          <t>A 66476-2019</t>
        </is>
      </c>
      <c r="B835" s="1" t="n">
        <v>43809</v>
      </c>
      <c r="C835" s="1" t="n">
        <v>45724</v>
      </c>
      <c r="D835" t="inlineStr">
        <is>
          <t>VÄSTMANLANDS LÄN</t>
        </is>
      </c>
      <c r="E835" t="inlineStr">
        <is>
          <t>KÖPING</t>
        </is>
      </c>
      <c r="G835" t="n">
        <v>0.8</v>
      </c>
      <c r="H835" t="n">
        <v>0</v>
      </c>
      <c r="I835" t="n">
        <v>0</v>
      </c>
      <c r="J835" t="n">
        <v>0</v>
      </c>
      <c r="K835" t="n">
        <v>0</v>
      </c>
      <c r="L835" t="n">
        <v>0</v>
      </c>
      <c r="M835" t="n">
        <v>0</v>
      </c>
      <c r="N835" t="n">
        <v>0</v>
      </c>
      <c r="O835" t="n">
        <v>0</v>
      </c>
      <c r="P835" t="n">
        <v>0</v>
      </c>
      <c r="Q835" t="n">
        <v>0</v>
      </c>
      <c r="R835" s="2" t="inlineStr"/>
    </row>
    <row r="836" ht="15" customHeight="1">
      <c r="A836" t="inlineStr">
        <is>
          <t>A 66934-2019</t>
        </is>
      </c>
      <c r="B836" s="1" t="n">
        <v>43810</v>
      </c>
      <c r="C836" s="1" t="n">
        <v>45724</v>
      </c>
      <c r="D836" t="inlineStr">
        <is>
          <t>VÄSTMANLANDS LÄN</t>
        </is>
      </c>
      <c r="E836" t="inlineStr">
        <is>
          <t>KÖPING</t>
        </is>
      </c>
      <c r="G836" t="n">
        <v>8</v>
      </c>
      <c r="H836" t="n">
        <v>0</v>
      </c>
      <c r="I836" t="n">
        <v>0</v>
      </c>
      <c r="J836" t="n">
        <v>0</v>
      </c>
      <c r="K836" t="n">
        <v>0</v>
      </c>
      <c r="L836" t="n">
        <v>0</v>
      </c>
      <c r="M836" t="n">
        <v>0</v>
      </c>
      <c r="N836" t="n">
        <v>0</v>
      </c>
      <c r="O836" t="n">
        <v>0</v>
      </c>
      <c r="P836" t="n">
        <v>0</v>
      </c>
      <c r="Q836" t="n">
        <v>0</v>
      </c>
      <c r="R836" s="2" t="inlineStr"/>
    </row>
    <row r="837" ht="15" customHeight="1">
      <c r="A837" t="inlineStr">
        <is>
          <t>A 67711-2019</t>
        </is>
      </c>
      <c r="B837" s="1" t="n">
        <v>43810</v>
      </c>
      <c r="C837" s="1" t="n">
        <v>45724</v>
      </c>
      <c r="D837" t="inlineStr">
        <is>
          <t>VÄSTMANLANDS LÄN</t>
        </is>
      </c>
      <c r="E837" t="inlineStr">
        <is>
          <t>NORBERG</t>
        </is>
      </c>
      <c r="G837" t="n">
        <v>9</v>
      </c>
      <c r="H837" t="n">
        <v>0</v>
      </c>
      <c r="I837" t="n">
        <v>0</v>
      </c>
      <c r="J837" t="n">
        <v>0</v>
      </c>
      <c r="K837" t="n">
        <v>0</v>
      </c>
      <c r="L837" t="n">
        <v>0</v>
      </c>
      <c r="M837" t="n">
        <v>0</v>
      </c>
      <c r="N837" t="n">
        <v>0</v>
      </c>
      <c r="O837" t="n">
        <v>0</v>
      </c>
      <c r="P837" t="n">
        <v>0</v>
      </c>
      <c r="Q837" t="n">
        <v>0</v>
      </c>
      <c r="R837" s="2" t="inlineStr"/>
    </row>
    <row r="838" ht="15" customHeight="1">
      <c r="A838" t="inlineStr">
        <is>
          <t>A 66952-2019</t>
        </is>
      </c>
      <c r="B838" s="1" t="n">
        <v>43810</v>
      </c>
      <c r="C838" s="1" t="n">
        <v>45724</v>
      </c>
      <c r="D838" t="inlineStr">
        <is>
          <t>VÄSTMANLANDS LÄN</t>
        </is>
      </c>
      <c r="E838" t="inlineStr">
        <is>
          <t>KÖPING</t>
        </is>
      </c>
      <c r="G838" t="n">
        <v>5.9</v>
      </c>
      <c r="H838" t="n">
        <v>0</v>
      </c>
      <c r="I838" t="n">
        <v>0</v>
      </c>
      <c r="J838" t="n">
        <v>0</v>
      </c>
      <c r="K838" t="n">
        <v>0</v>
      </c>
      <c r="L838" t="n">
        <v>0</v>
      </c>
      <c r="M838" t="n">
        <v>0</v>
      </c>
      <c r="N838" t="n">
        <v>0</v>
      </c>
      <c r="O838" t="n">
        <v>0</v>
      </c>
      <c r="P838" t="n">
        <v>0</v>
      </c>
      <c r="Q838" t="n">
        <v>0</v>
      </c>
      <c r="R838" s="2" t="inlineStr"/>
    </row>
    <row r="839" ht="15" customHeight="1">
      <c r="A839" t="inlineStr">
        <is>
          <t>A 67061-2019</t>
        </is>
      </c>
      <c r="B839" s="1" t="n">
        <v>43811</v>
      </c>
      <c r="C839" s="1" t="n">
        <v>45724</v>
      </c>
      <c r="D839" t="inlineStr">
        <is>
          <t>VÄSTMANLANDS LÄN</t>
        </is>
      </c>
      <c r="E839" t="inlineStr">
        <is>
          <t>KÖPING</t>
        </is>
      </c>
      <c r="G839" t="n">
        <v>1.5</v>
      </c>
      <c r="H839" t="n">
        <v>0</v>
      </c>
      <c r="I839" t="n">
        <v>0</v>
      </c>
      <c r="J839" t="n">
        <v>0</v>
      </c>
      <c r="K839" t="n">
        <v>0</v>
      </c>
      <c r="L839" t="n">
        <v>0</v>
      </c>
      <c r="M839" t="n">
        <v>0</v>
      </c>
      <c r="N839" t="n">
        <v>0</v>
      </c>
      <c r="O839" t="n">
        <v>0</v>
      </c>
      <c r="P839" t="n">
        <v>0</v>
      </c>
      <c r="Q839" t="n">
        <v>0</v>
      </c>
      <c r="R839" s="2" t="inlineStr"/>
    </row>
    <row r="840" ht="15" customHeight="1">
      <c r="A840" t="inlineStr">
        <is>
          <t>A 66992-2019</t>
        </is>
      </c>
      <c r="B840" s="1" t="n">
        <v>43811</v>
      </c>
      <c r="C840" s="1" t="n">
        <v>45724</v>
      </c>
      <c r="D840" t="inlineStr">
        <is>
          <t>VÄSTMANLANDS LÄN</t>
        </is>
      </c>
      <c r="E840" t="inlineStr">
        <is>
          <t>ARBOGA</t>
        </is>
      </c>
      <c r="G840" t="n">
        <v>1.8</v>
      </c>
      <c r="H840" t="n">
        <v>0</v>
      </c>
      <c r="I840" t="n">
        <v>0</v>
      </c>
      <c r="J840" t="n">
        <v>0</v>
      </c>
      <c r="K840" t="n">
        <v>0</v>
      </c>
      <c r="L840" t="n">
        <v>0</v>
      </c>
      <c r="M840" t="n">
        <v>0</v>
      </c>
      <c r="N840" t="n">
        <v>0</v>
      </c>
      <c r="O840" t="n">
        <v>0</v>
      </c>
      <c r="P840" t="n">
        <v>0</v>
      </c>
      <c r="Q840" t="n">
        <v>0</v>
      </c>
      <c r="R840" s="2" t="inlineStr"/>
    </row>
    <row r="841" ht="15" customHeight="1">
      <c r="A841" t="inlineStr">
        <is>
          <t>A 67995-2019</t>
        </is>
      </c>
      <c r="B841" s="1" t="n">
        <v>43811</v>
      </c>
      <c r="C841" s="1" t="n">
        <v>45724</v>
      </c>
      <c r="D841" t="inlineStr">
        <is>
          <t>VÄSTMANLANDS LÄN</t>
        </is>
      </c>
      <c r="E841" t="inlineStr">
        <is>
          <t>VÄSTERÅS</t>
        </is>
      </c>
      <c r="G841" t="n">
        <v>1.5</v>
      </c>
      <c r="H841" t="n">
        <v>0</v>
      </c>
      <c r="I841" t="n">
        <v>0</v>
      </c>
      <c r="J841" t="n">
        <v>0</v>
      </c>
      <c r="K841" t="n">
        <v>0</v>
      </c>
      <c r="L841" t="n">
        <v>0</v>
      </c>
      <c r="M841" t="n">
        <v>0</v>
      </c>
      <c r="N841" t="n">
        <v>0</v>
      </c>
      <c r="O841" t="n">
        <v>0</v>
      </c>
      <c r="P841" t="n">
        <v>0</v>
      </c>
      <c r="Q841" t="n">
        <v>0</v>
      </c>
      <c r="R841" s="2" t="inlineStr"/>
    </row>
    <row r="842" ht="15" customHeight="1">
      <c r="A842" t="inlineStr">
        <is>
          <t>A 67360-2019</t>
        </is>
      </c>
      <c r="B842" s="1" t="n">
        <v>43812</v>
      </c>
      <c r="C842" s="1" t="n">
        <v>45724</v>
      </c>
      <c r="D842" t="inlineStr">
        <is>
          <t>VÄSTMANLANDS LÄN</t>
        </is>
      </c>
      <c r="E842" t="inlineStr">
        <is>
          <t>SALA</t>
        </is>
      </c>
      <c r="G842" t="n">
        <v>4.9</v>
      </c>
      <c r="H842" t="n">
        <v>0</v>
      </c>
      <c r="I842" t="n">
        <v>0</v>
      </c>
      <c r="J842" t="n">
        <v>0</v>
      </c>
      <c r="K842" t="n">
        <v>0</v>
      </c>
      <c r="L842" t="n">
        <v>0</v>
      </c>
      <c r="M842" t="n">
        <v>0</v>
      </c>
      <c r="N842" t="n">
        <v>0</v>
      </c>
      <c r="O842" t="n">
        <v>0</v>
      </c>
      <c r="P842" t="n">
        <v>0</v>
      </c>
      <c r="Q842" t="n">
        <v>0</v>
      </c>
      <c r="R842" s="2" t="inlineStr"/>
    </row>
    <row r="843" ht="15" customHeight="1">
      <c r="A843" t="inlineStr">
        <is>
          <t>A 67357-2019</t>
        </is>
      </c>
      <c r="B843" s="1" t="n">
        <v>43812</v>
      </c>
      <c r="C843" s="1" t="n">
        <v>45724</v>
      </c>
      <c r="D843" t="inlineStr">
        <is>
          <t>VÄSTMANLANDS LÄN</t>
        </is>
      </c>
      <c r="E843" t="inlineStr">
        <is>
          <t>SKINNSKATTEBERG</t>
        </is>
      </c>
      <c r="G843" t="n">
        <v>3</v>
      </c>
      <c r="H843" t="n">
        <v>0</v>
      </c>
      <c r="I843" t="n">
        <v>0</v>
      </c>
      <c r="J843" t="n">
        <v>0</v>
      </c>
      <c r="K843" t="n">
        <v>0</v>
      </c>
      <c r="L843" t="n">
        <v>0</v>
      </c>
      <c r="M843" t="n">
        <v>0</v>
      </c>
      <c r="N843" t="n">
        <v>0</v>
      </c>
      <c r="O843" t="n">
        <v>0</v>
      </c>
      <c r="P843" t="n">
        <v>0</v>
      </c>
      <c r="Q843" t="n">
        <v>0</v>
      </c>
      <c r="R843" s="2" t="inlineStr"/>
    </row>
    <row r="844" ht="15" customHeight="1">
      <c r="A844" t="inlineStr">
        <is>
          <t>A 67602-2019</t>
        </is>
      </c>
      <c r="B844" s="1" t="n">
        <v>43815</v>
      </c>
      <c r="C844" s="1" t="n">
        <v>45724</v>
      </c>
      <c r="D844" t="inlineStr">
        <is>
          <t>VÄSTMANLANDS LÄN</t>
        </is>
      </c>
      <c r="E844" t="inlineStr">
        <is>
          <t>SKINNSKATTEBERG</t>
        </is>
      </c>
      <c r="F844" t="inlineStr">
        <is>
          <t>Sveaskog</t>
        </is>
      </c>
      <c r="G844" t="n">
        <v>0.5</v>
      </c>
      <c r="H844" t="n">
        <v>0</v>
      </c>
      <c r="I844" t="n">
        <v>0</v>
      </c>
      <c r="J844" t="n">
        <v>0</v>
      </c>
      <c r="K844" t="n">
        <v>0</v>
      </c>
      <c r="L844" t="n">
        <v>0</v>
      </c>
      <c r="M844" t="n">
        <v>0</v>
      </c>
      <c r="N844" t="n">
        <v>0</v>
      </c>
      <c r="O844" t="n">
        <v>0</v>
      </c>
      <c r="P844" t="n">
        <v>0</v>
      </c>
      <c r="Q844" t="n">
        <v>0</v>
      </c>
      <c r="R844" s="2" t="inlineStr"/>
    </row>
    <row r="845" ht="15" customHeight="1">
      <c r="A845" t="inlineStr">
        <is>
          <t>A 68366-2019</t>
        </is>
      </c>
      <c r="B845" s="1" t="n">
        <v>43818</v>
      </c>
      <c r="C845" s="1" t="n">
        <v>45724</v>
      </c>
      <c r="D845" t="inlineStr">
        <is>
          <t>VÄSTMANLANDS LÄN</t>
        </is>
      </c>
      <c r="E845" t="inlineStr">
        <is>
          <t>SKINNSKATTEBERG</t>
        </is>
      </c>
      <c r="G845" t="n">
        <v>2</v>
      </c>
      <c r="H845" t="n">
        <v>0</v>
      </c>
      <c r="I845" t="n">
        <v>0</v>
      </c>
      <c r="J845" t="n">
        <v>0</v>
      </c>
      <c r="K845" t="n">
        <v>0</v>
      </c>
      <c r="L845" t="n">
        <v>0</v>
      </c>
      <c r="M845" t="n">
        <v>0</v>
      </c>
      <c r="N845" t="n">
        <v>0</v>
      </c>
      <c r="O845" t="n">
        <v>0</v>
      </c>
      <c r="P845" t="n">
        <v>0</v>
      </c>
      <c r="Q845" t="n">
        <v>0</v>
      </c>
      <c r="R845" s="2" t="inlineStr"/>
    </row>
    <row r="846" ht="15" customHeight="1">
      <c r="A846" t="inlineStr">
        <is>
          <t>A 68398-2019</t>
        </is>
      </c>
      <c r="B846" s="1" t="n">
        <v>43818</v>
      </c>
      <c r="C846" s="1" t="n">
        <v>45724</v>
      </c>
      <c r="D846" t="inlineStr">
        <is>
          <t>VÄSTMANLANDS LÄN</t>
        </is>
      </c>
      <c r="E846" t="inlineStr">
        <is>
          <t>SALA</t>
        </is>
      </c>
      <c r="G846" t="n">
        <v>1.4</v>
      </c>
      <c r="H846" t="n">
        <v>0</v>
      </c>
      <c r="I846" t="n">
        <v>0</v>
      </c>
      <c r="J846" t="n">
        <v>0</v>
      </c>
      <c r="K846" t="n">
        <v>0</v>
      </c>
      <c r="L846" t="n">
        <v>0</v>
      </c>
      <c r="M846" t="n">
        <v>0</v>
      </c>
      <c r="N846" t="n">
        <v>0</v>
      </c>
      <c r="O846" t="n">
        <v>0</v>
      </c>
      <c r="P846" t="n">
        <v>0</v>
      </c>
      <c r="Q846" t="n">
        <v>0</v>
      </c>
      <c r="R846" s="2" t="inlineStr"/>
    </row>
    <row r="847" ht="15" customHeight="1">
      <c r="A847" t="inlineStr">
        <is>
          <t>A 68394-2019</t>
        </is>
      </c>
      <c r="B847" s="1" t="n">
        <v>43818</v>
      </c>
      <c r="C847" s="1" t="n">
        <v>45724</v>
      </c>
      <c r="D847" t="inlineStr">
        <is>
          <t>VÄSTMANLANDS LÄN</t>
        </is>
      </c>
      <c r="E847" t="inlineStr">
        <is>
          <t>SALA</t>
        </is>
      </c>
      <c r="G847" t="n">
        <v>1.6</v>
      </c>
      <c r="H847" t="n">
        <v>0</v>
      </c>
      <c r="I847" t="n">
        <v>0</v>
      </c>
      <c r="J847" t="n">
        <v>0</v>
      </c>
      <c r="K847" t="n">
        <v>0</v>
      </c>
      <c r="L847" t="n">
        <v>0</v>
      </c>
      <c r="M847" t="n">
        <v>0</v>
      </c>
      <c r="N847" t="n">
        <v>0</v>
      </c>
      <c r="O847" t="n">
        <v>0</v>
      </c>
      <c r="P847" t="n">
        <v>0</v>
      </c>
      <c r="Q847" t="n">
        <v>0</v>
      </c>
      <c r="R847" s="2" t="inlineStr"/>
    </row>
    <row r="848" ht="15" customHeight="1">
      <c r="A848" t="inlineStr">
        <is>
          <t>A 1465-2020</t>
        </is>
      </c>
      <c r="B848" s="1" t="n">
        <v>43822</v>
      </c>
      <c r="C848" s="1" t="n">
        <v>45724</v>
      </c>
      <c r="D848" t="inlineStr">
        <is>
          <t>VÄSTMANLANDS LÄN</t>
        </is>
      </c>
      <c r="E848" t="inlineStr">
        <is>
          <t>SALA</t>
        </is>
      </c>
      <c r="G848" t="n">
        <v>4.1</v>
      </c>
      <c r="H848" t="n">
        <v>0</v>
      </c>
      <c r="I848" t="n">
        <v>0</v>
      </c>
      <c r="J848" t="n">
        <v>0</v>
      </c>
      <c r="K848" t="n">
        <v>0</v>
      </c>
      <c r="L848" t="n">
        <v>0</v>
      </c>
      <c r="M848" t="n">
        <v>0</v>
      </c>
      <c r="N848" t="n">
        <v>0</v>
      </c>
      <c r="O848" t="n">
        <v>0</v>
      </c>
      <c r="P848" t="n">
        <v>0</v>
      </c>
      <c r="Q848" t="n">
        <v>0</v>
      </c>
      <c r="R848" s="2" t="inlineStr"/>
    </row>
    <row r="849" ht="15" customHeight="1">
      <c r="A849" t="inlineStr">
        <is>
          <t>A 68900-2019</t>
        </is>
      </c>
      <c r="B849" s="1" t="n">
        <v>43822</v>
      </c>
      <c r="C849" s="1" t="n">
        <v>45724</v>
      </c>
      <c r="D849" t="inlineStr">
        <is>
          <t>VÄSTMANLANDS LÄN</t>
        </is>
      </c>
      <c r="E849" t="inlineStr">
        <is>
          <t>KUNGSÖR</t>
        </is>
      </c>
      <c r="F849" t="inlineStr">
        <is>
          <t>Kommuner</t>
        </is>
      </c>
      <c r="G849" t="n">
        <v>17.4</v>
      </c>
      <c r="H849" t="n">
        <v>0</v>
      </c>
      <c r="I849" t="n">
        <v>0</v>
      </c>
      <c r="J849" t="n">
        <v>0</v>
      </c>
      <c r="K849" t="n">
        <v>0</v>
      </c>
      <c r="L849" t="n">
        <v>0</v>
      </c>
      <c r="M849" t="n">
        <v>0</v>
      </c>
      <c r="N849" t="n">
        <v>0</v>
      </c>
      <c r="O849" t="n">
        <v>0</v>
      </c>
      <c r="P849" t="n">
        <v>0</v>
      </c>
      <c r="Q849" t="n">
        <v>0</v>
      </c>
      <c r="R849" s="2" t="inlineStr"/>
    </row>
    <row r="850" ht="15" customHeight="1">
      <c r="A850" t="inlineStr">
        <is>
          <t>A 69075-2019</t>
        </is>
      </c>
      <c r="B850" s="1" t="n">
        <v>43827</v>
      </c>
      <c r="C850" s="1" t="n">
        <v>45724</v>
      </c>
      <c r="D850" t="inlineStr">
        <is>
          <t>VÄSTMANLANDS LÄN</t>
        </is>
      </c>
      <c r="E850" t="inlineStr">
        <is>
          <t>ARBOGA</t>
        </is>
      </c>
      <c r="G850" t="n">
        <v>5.2</v>
      </c>
      <c r="H850" t="n">
        <v>0</v>
      </c>
      <c r="I850" t="n">
        <v>0</v>
      </c>
      <c r="J850" t="n">
        <v>0</v>
      </c>
      <c r="K850" t="n">
        <v>0</v>
      </c>
      <c r="L850" t="n">
        <v>0</v>
      </c>
      <c r="M850" t="n">
        <v>0</v>
      </c>
      <c r="N850" t="n">
        <v>0</v>
      </c>
      <c r="O850" t="n">
        <v>0</v>
      </c>
      <c r="P850" t="n">
        <v>0</v>
      </c>
      <c r="Q850" t="n">
        <v>0</v>
      </c>
      <c r="R850" s="2" t="inlineStr"/>
    </row>
    <row r="851" ht="15" customHeight="1">
      <c r="A851" t="inlineStr">
        <is>
          <t>A 69078-2019</t>
        </is>
      </c>
      <c r="B851" s="1" t="n">
        <v>43827</v>
      </c>
      <c r="C851" s="1" t="n">
        <v>45724</v>
      </c>
      <c r="D851" t="inlineStr">
        <is>
          <t>VÄSTMANLANDS LÄN</t>
        </is>
      </c>
      <c r="E851" t="inlineStr">
        <is>
          <t>ARBOGA</t>
        </is>
      </c>
      <c r="G851" t="n">
        <v>16.6</v>
      </c>
      <c r="H851" t="n">
        <v>0</v>
      </c>
      <c r="I851" t="n">
        <v>0</v>
      </c>
      <c r="J851" t="n">
        <v>0</v>
      </c>
      <c r="K851" t="n">
        <v>0</v>
      </c>
      <c r="L851" t="n">
        <v>0</v>
      </c>
      <c r="M851" t="n">
        <v>0</v>
      </c>
      <c r="N851" t="n">
        <v>0</v>
      </c>
      <c r="O851" t="n">
        <v>0</v>
      </c>
      <c r="P851" t="n">
        <v>0</v>
      </c>
      <c r="Q851" t="n">
        <v>0</v>
      </c>
      <c r="R851" s="2" t="inlineStr"/>
    </row>
    <row r="852" ht="15" customHeight="1">
      <c r="A852" t="inlineStr">
        <is>
          <t>A 69076-2019</t>
        </is>
      </c>
      <c r="B852" s="1" t="n">
        <v>43827</v>
      </c>
      <c r="C852" s="1" t="n">
        <v>45724</v>
      </c>
      <c r="D852" t="inlineStr">
        <is>
          <t>VÄSTMANLANDS LÄN</t>
        </is>
      </c>
      <c r="E852" t="inlineStr">
        <is>
          <t>ARBOGA</t>
        </is>
      </c>
      <c r="G852" t="n">
        <v>2.1</v>
      </c>
      <c r="H852" t="n">
        <v>0</v>
      </c>
      <c r="I852" t="n">
        <v>0</v>
      </c>
      <c r="J852" t="n">
        <v>0</v>
      </c>
      <c r="K852" t="n">
        <v>0</v>
      </c>
      <c r="L852" t="n">
        <v>0</v>
      </c>
      <c r="M852" t="n">
        <v>0</v>
      </c>
      <c r="N852" t="n">
        <v>0</v>
      </c>
      <c r="O852" t="n">
        <v>0</v>
      </c>
      <c r="P852" t="n">
        <v>0</v>
      </c>
      <c r="Q852" t="n">
        <v>0</v>
      </c>
      <c r="R852" s="2" t="inlineStr"/>
    </row>
    <row r="853" ht="15" customHeight="1">
      <c r="A853" t="inlineStr">
        <is>
          <t>A 63-2020</t>
        </is>
      </c>
      <c r="B853" s="1" t="n">
        <v>43832</v>
      </c>
      <c r="C853" s="1" t="n">
        <v>45724</v>
      </c>
      <c r="D853" t="inlineStr">
        <is>
          <t>VÄSTMANLANDS LÄN</t>
        </is>
      </c>
      <c r="E853" t="inlineStr">
        <is>
          <t>SALA</t>
        </is>
      </c>
      <c r="G853" t="n">
        <v>4.6</v>
      </c>
      <c r="H853" t="n">
        <v>0</v>
      </c>
      <c r="I853" t="n">
        <v>0</v>
      </c>
      <c r="J853" t="n">
        <v>0</v>
      </c>
      <c r="K853" t="n">
        <v>0</v>
      </c>
      <c r="L853" t="n">
        <v>0</v>
      </c>
      <c r="M853" t="n">
        <v>0</v>
      </c>
      <c r="N853" t="n">
        <v>0</v>
      </c>
      <c r="O853" t="n">
        <v>0</v>
      </c>
      <c r="P853" t="n">
        <v>0</v>
      </c>
      <c r="Q853" t="n">
        <v>0</v>
      </c>
      <c r="R853" s="2" t="inlineStr"/>
    </row>
    <row r="854" ht="15" customHeight="1">
      <c r="A854" t="inlineStr">
        <is>
          <t>A 151-2020</t>
        </is>
      </c>
      <c r="B854" s="1" t="n">
        <v>43833</v>
      </c>
      <c r="C854" s="1" t="n">
        <v>45724</v>
      </c>
      <c r="D854" t="inlineStr">
        <is>
          <t>VÄSTMANLANDS LÄN</t>
        </is>
      </c>
      <c r="E854" t="inlineStr">
        <is>
          <t>SALA</t>
        </is>
      </c>
      <c r="F854" t="inlineStr">
        <is>
          <t>Kyrkan</t>
        </is>
      </c>
      <c r="G854" t="n">
        <v>6.5</v>
      </c>
      <c r="H854" t="n">
        <v>0</v>
      </c>
      <c r="I854" t="n">
        <v>0</v>
      </c>
      <c r="J854" t="n">
        <v>0</v>
      </c>
      <c r="K854" t="n">
        <v>0</v>
      </c>
      <c r="L854" t="n">
        <v>0</v>
      </c>
      <c r="M854" t="n">
        <v>0</v>
      </c>
      <c r="N854" t="n">
        <v>0</v>
      </c>
      <c r="O854" t="n">
        <v>0</v>
      </c>
      <c r="P854" t="n">
        <v>0</v>
      </c>
      <c r="Q854" t="n">
        <v>0</v>
      </c>
      <c r="R854" s="2" t="inlineStr"/>
    </row>
    <row r="855" ht="15" customHeight="1">
      <c r="A855" t="inlineStr">
        <is>
          <t>A 161-2020</t>
        </is>
      </c>
      <c r="B855" s="1" t="n">
        <v>43833</v>
      </c>
      <c r="C855" s="1" t="n">
        <v>45724</v>
      </c>
      <c r="D855" t="inlineStr">
        <is>
          <t>VÄSTMANLANDS LÄN</t>
        </is>
      </c>
      <c r="E855" t="inlineStr">
        <is>
          <t>SALA</t>
        </is>
      </c>
      <c r="F855" t="inlineStr">
        <is>
          <t>Kyrkan</t>
        </is>
      </c>
      <c r="G855" t="n">
        <v>1.6</v>
      </c>
      <c r="H855" t="n">
        <v>0</v>
      </c>
      <c r="I855" t="n">
        <v>0</v>
      </c>
      <c r="J855" t="n">
        <v>0</v>
      </c>
      <c r="K855" t="n">
        <v>0</v>
      </c>
      <c r="L855" t="n">
        <v>0</v>
      </c>
      <c r="M855" t="n">
        <v>0</v>
      </c>
      <c r="N855" t="n">
        <v>0</v>
      </c>
      <c r="O855" t="n">
        <v>0</v>
      </c>
      <c r="P855" t="n">
        <v>0</v>
      </c>
      <c r="Q855" t="n">
        <v>0</v>
      </c>
      <c r="R855" s="2" t="inlineStr"/>
    </row>
    <row r="856" ht="15" customHeight="1">
      <c r="A856" t="inlineStr">
        <is>
          <t>A 297-2020</t>
        </is>
      </c>
      <c r="B856" s="1" t="n">
        <v>43837</v>
      </c>
      <c r="C856" s="1" t="n">
        <v>45724</v>
      </c>
      <c r="D856" t="inlineStr">
        <is>
          <t>VÄSTMANLANDS LÄN</t>
        </is>
      </c>
      <c r="E856" t="inlineStr">
        <is>
          <t>SALA</t>
        </is>
      </c>
      <c r="F856" t="inlineStr">
        <is>
          <t>Kyrkan</t>
        </is>
      </c>
      <c r="G856" t="n">
        <v>0.3</v>
      </c>
      <c r="H856" t="n">
        <v>0</v>
      </c>
      <c r="I856" t="n">
        <v>0</v>
      </c>
      <c r="J856" t="n">
        <v>0</v>
      </c>
      <c r="K856" t="n">
        <v>0</v>
      </c>
      <c r="L856" t="n">
        <v>0</v>
      </c>
      <c r="M856" t="n">
        <v>0</v>
      </c>
      <c r="N856" t="n">
        <v>0</v>
      </c>
      <c r="O856" t="n">
        <v>0</v>
      </c>
      <c r="P856" t="n">
        <v>0</v>
      </c>
      <c r="Q856" t="n">
        <v>0</v>
      </c>
      <c r="R856" s="2" t="inlineStr"/>
    </row>
    <row r="857" ht="15" customHeight="1">
      <c r="A857" t="inlineStr">
        <is>
          <t>A 496-2020</t>
        </is>
      </c>
      <c r="B857" s="1" t="n">
        <v>43837</v>
      </c>
      <c r="C857" s="1" t="n">
        <v>45724</v>
      </c>
      <c r="D857" t="inlineStr">
        <is>
          <t>VÄSTMANLANDS LÄN</t>
        </is>
      </c>
      <c r="E857" t="inlineStr">
        <is>
          <t>SALA</t>
        </is>
      </c>
      <c r="G857" t="n">
        <v>1.3</v>
      </c>
      <c r="H857" t="n">
        <v>0</v>
      </c>
      <c r="I857" t="n">
        <v>0</v>
      </c>
      <c r="J857" t="n">
        <v>0</v>
      </c>
      <c r="K857" t="n">
        <v>0</v>
      </c>
      <c r="L857" t="n">
        <v>0</v>
      </c>
      <c r="M857" t="n">
        <v>0</v>
      </c>
      <c r="N857" t="n">
        <v>0</v>
      </c>
      <c r="O857" t="n">
        <v>0</v>
      </c>
      <c r="P857" t="n">
        <v>0</v>
      </c>
      <c r="Q857" t="n">
        <v>0</v>
      </c>
      <c r="R857" s="2" t="inlineStr"/>
    </row>
    <row r="858" ht="15" customHeight="1">
      <c r="A858" t="inlineStr">
        <is>
          <t>A 549-2020</t>
        </is>
      </c>
      <c r="B858" s="1" t="n">
        <v>43838</v>
      </c>
      <c r="C858" s="1" t="n">
        <v>45724</v>
      </c>
      <c r="D858" t="inlineStr">
        <is>
          <t>VÄSTMANLANDS LÄN</t>
        </is>
      </c>
      <c r="E858" t="inlineStr">
        <is>
          <t>KÖPING</t>
        </is>
      </c>
      <c r="G858" t="n">
        <v>0.6</v>
      </c>
      <c r="H858" t="n">
        <v>0</v>
      </c>
      <c r="I858" t="n">
        <v>0</v>
      </c>
      <c r="J858" t="n">
        <v>0</v>
      </c>
      <c r="K858" t="n">
        <v>0</v>
      </c>
      <c r="L858" t="n">
        <v>0</v>
      </c>
      <c r="M858" t="n">
        <v>0</v>
      </c>
      <c r="N858" t="n">
        <v>0</v>
      </c>
      <c r="O858" t="n">
        <v>0</v>
      </c>
      <c r="P858" t="n">
        <v>0</v>
      </c>
      <c r="Q858" t="n">
        <v>0</v>
      </c>
      <c r="R858" s="2" t="inlineStr"/>
    </row>
    <row r="859" ht="15" customHeight="1">
      <c r="A859" t="inlineStr">
        <is>
          <t>A 1005-2020</t>
        </is>
      </c>
      <c r="B859" s="1" t="n">
        <v>43839</v>
      </c>
      <c r="C859" s="1" t="n">
        <v>45724</v>
      </c>
      <c r="D859" t="inlineStr">
        <is>
          <t>VÄSTMANLANDS LÄN</t>
        </is>
      </c>
      <c r="E859" t="inlineStr">
        <is>
          <t>SALA</t>
        </is>
      </c>
      <c r="G859" t="n">
        <v>0.5</v>
      </c>
      <c r="H859" t="n">
        <v>0</v>
      </c>
      <c r="I859" t="n">
        <v>0</v>
      </c>
      <c r="J859" t="n">
        <v>0</v>
      </c>
      <c r="K859" t="n">
        <v>0</v>
      </c>
      <c r="L859" t="n">
        <v>0</v>
      </c>
      <c r="M859" t="n">
        <v>0</v>
      </c>
      <c r="N859" t="n">
        <v>0</v>
      </c>
      <c r="O859" t="n">
        <v>0</v>
      </c>
      <c r="P859" t="n">
        <v>0</v>
      </c>
      <c r="Q859" t="n">
        <v>0</v>
      </c>
      <c r="R859" s="2" t="inlineStr"/>
    </row>
    <row r="860" ht="15" customHeight="1">
      <c r="A860" t="inlineStr">
        <is>
          <t>A 913-2020</t>
        </is>
      </c>
      <c r="B860" s="1" t="n">
        <v>43839</v>
      </c>
      <c r="C860" s="1" t="n">
        <v>45724</v>
      </c>
      <c r="D860" t="inlineStr">
        <is>
          <t>VÄSTMANLANDS LÄN</t>
        </is>
      </c>
      <c r="E860" t="inlineStr">
        <is>
          <t>KUNGSÖR</t>
        </is>
      </c>
      <c r="G860" t="n">
        <v>1.5</v>
      </c>
      <c r="H860" t="n">
        <v>0</v>
      </c>
      <c r="I860" t="n">
        <v>0</v>
      </c>
      <c r="J860" t="n">
        <v>0</v>
      </c>
      <c r="K860" t="n">
        <v>0</v>
      </c>
      <c r="L860" t="n">
        <v>0</v>
      </c>
      <c r="M860" t="n">
        <v>0</v>
      </c>
      <c r="N860" t="n">
        <v>0</v>
      </c>
      <c r="O860" t="n">
        <v>0</v>
      </c>
      <c r="P860" t="n">
        <v>0</v>
      </c>
      <c r="Q860" t="n">
        <v>0</v>
      </c>
      <c r="R860" s="2" t="inlineStr"/>
    </row>
    <row r="861" ht="15" customHeight="1">
      <c r="A861" t="inlineStr">
        <is>
          <t>A 2039-2020</t>
        </is>
      </c>
      <c r="B861" s="1" t="n">
        <v>43839</v>
      </c>
      <c r="C861" s="1" t="n">
        <v>45724</v>
      </c>
      <c r="D861" t="inlineStr">
        <is>
          <t>VÄSTMANLANDS LÄN</t>
        </is>
      </c>
      <c r="E861" t="inlineStr">
        <is>
          <t>SURAHAMMAR</t>
        </is>
      </c>
      <c r="G861" t="n">
        <v>1</v>
      </c>
      <c r="H861" t="n">
        <v>0</v>
      </c>
      <c r="I861" t="n">
        <v>0</v>
      </c>
      <c r="J861" t="n">
        <v>0</v>
      </c>
      <c r="K861" t="n">
        <v>0</v>
      </c>
      <c r="L861" t="n">
        <v>0</v>
      </c>
      <c r="M861" t="n">
        <v>0</v>
      </c>
      <c r="N861" t="n">
        <v>0</v>
      </c>
      <c r="O861" t="n">
        <v>0</v>
      </c>
      <c r="P861" t="n">
        <v>0</v>
      </c>
      <c r="Q861" t="n">
        <v>0</v>
      </c>
      <c r="R861" s="2" t="inlineStr"/>
    </row>
    <row r="862" ht="15" customHeight="1">
      <c r="A862" t="inlineStr">
        <is>
          <t>A 950-2020</t>
        </is>
      </c>
      <c r="B862" s="1" t="n">
        <v>43839</v>
      </c>
      <c r="C862" s="1" t="n">
        <v>45724</v>
      </c>
      <c r="D862" t="inlineStr">
        <is>
          <t>VÄSTMANLANDS LÄN</t>
        </is>
      </c>
      <c r="E862" t="inlineStr">
        <is>
          <t>VÄSTERÅS</t>
        </is>
      </c>
      <c r="G862" t="n">
        <v>1.3</v>
      </c>
      <c r="H862" t="n">
        <v>0</v>
      </c>
      <c r="I862" t="n">
        <v>0</v>
      </c>
      <c r="J862" t="n">
        <v>0</v>
      </c>
      <c r="K862" t="n">
        <v>0</v>
      </c>
      <c r="L862" t="n">
        <v>0</v>
      </c>
      <c r="M862" t="n">
        <v>0</v>
      </c>
      <c r="N862" t="n">
        <v>0</v>
      </c>
      <c r="O862" t="n">
        <v>0</v>
      </c>
      <c r="P862" t="n">
        <v>0</v>
      </c>
      <c r="Q862" t="n">
        <v>0</v>
      </c>
      <c r="R862" s="2" t="inlineStr"/>
    </row>
    <row r="863" ht="15" customHeight="1">
      <c r="A863" t="inlineStr">
        <is>
          <t>A 1162-2020</t>
        </is>
      </c>
      <c r="B863" s="1" t="n">
        <v>43840</v>
      </c>
      <c r="C863" s="1" t="n">
        <v>45724</v>
      </c>
      <c r="D863" t="inlineStr">
        <is>
          <t>VÄSTMANLANDS LÄN</t>
        </is>
      </c>
      <c r="E863" t="inlineStr">
        <is>
          <t>ARBOGA</t>
        </is>
      </c>
      <c r="G863" t="n">
        <v>4.9</v>
      </c>
      <c r="H863" t="n">
        <v>0</v>
      </c>
      <c r="I863" t="n">
        <v>0</v>
      </c>
      <c r="J863" t="n">
        <v>0</v>
      </c>
      <c r="K863" t="n">
        <v>0</v>
      </c>
      <c r="L863" t="n">
        <v>0</v>
      </c>
      <c r="M863" t="n">
        <v>0</v>
      </c>
      <c r="N863" t="n">
        <v>0</v>
      </c>
      <c r="O863" t="n">
        <v>0</v>
      </c>
      <c r="P863" t="n">
        <v>0</v>
      </c>
      <c r="Q863" t="n">
        <v>0</v>
      </c>
      <c r="R863" s="2" t="inlineStr"/>
    </row>
    <row r="864" ht="15" customHeight="1">
      <c r="A864" t="inlineStr">
        <is>
          <t>A 2323-2020</t>
        </is>
      </c>
      <c r="B864" s="1" t="n">
        <v>43840</v>
      </c>
      <c r="C864" s="1" t="n">
        <v>45724</v>
      </c>
      <c r="D864" t="inlineStr">
        <is>
          <t>VÄSTMANLANDS LÄN</t>
        </is>
      </c>
      <c r="E864" t="inlineStr">
        <is>
          <t>KÖPING</t>
        </is>
      </c>
      <c r="G864" t="n">
        <v>4.1</v>
      </c>
      <c r="H864" t="n">
        <v>0</v>
      </c>
      <c r="I864" t="n">
        <v>0</v>
      </c>
      <c r="J864" t="n">
        <v>0</v>
      </c>
      <c r="K864" t="n">
        <v>0</v>
      </c>
      <c r="L864" t="n">
        <v>0</v>
      </c>
      <c r="M864" t="n">
        <v>0</v>
      </c>
      <c r="N864" t="n">
        <v>0</v>
      </c>
      <c r="O864" t="n">
        <v>0</v>
      </c>
      <c r="P864" t="n">
        <v>0</v>
      </c>
      <c r="Q864" t="n">
        <v>0</v>
      </c>
      <c r="R864" s="2" t="inlineStr"/>
    </row>
    <row r="865" ht="15" customHeight="1">
      <c r="A865" t="inlineStr">
        <is>
          <t>A 1272-2020</t>
        </is>
      </c>
      <c r="B865" s="1" t="n">
        <v>43841</v>
      </c>
      <c r="C865" s="1" t="n">
        <v>45724</v>
      </c>
      <c r="D865" t="inlineStr">
        <is>
          <t>VÄSTMANLANDS LÄN</t>
        </is>
      </c>
      <c r="E865" t="inlineStr">
        <is>
          <t>SALA</t>
        </is>
      </c>
      <c r="G865" t="n">
        <v>0.9</v>
      </c>
      <c r="H865" t="n">
        <v>0</v>
      </c>
      <c r="I865" t="n">
        <v>0</v>
      </c>
      <c r="J865" t="n">
        <v>0</v>
      </c>
      <c r="K865" t="n">
        <v>0</v>
      </c>
      <c r="L865" t="n">
        <v>0</v>
      </c>
      <c r="M865" t="n">
        <v>0</v>
      </c>
      <c r="N865" t="n">
        <v>0</v>
      </c>
      <c r="O865" t="n">
        <v>0</v>
      </c>
      <c r="P865" t="n">
        <v>0</v>
      </c>
      <c r="Q865" t="n">
        <v>0</v>
      </c>
      <c r="R865" s="2" t="inlineStr"/>
    </row>
    <row r="866" ht="15" customHeight="1">
      <c r="A866" t="inlineStr">
        <is>
          <t>A 1288-2020</t>
        </is>
      </c>
      <c r="B866" s="1" t="n">
        <v>43842</v>
      </c>
      <c r="C866" s="1" t="n">
        <v>45724</v>
      </c>
      <c r="D866" t="inlineStr">
        <is>
          <t>VÄSTMANLANDS LÄN</t>
        </is>
      </c>
      <c r="E866" t="inlineStr">
        <is>
          <t>NORBERG</t>
        </is>
      </c>
      <c r="G866" t="n">
        <v>0.3</v>
      </c>
      <c r="H866" t="n">
        <v>0</v>
      </c>
      <c r="I866" t="n">
        <v>0</v>
      </c>
      <c r="J866" t="n">
        <v>0</v>
      </c>
      <c r="K866" t="n">
        <v>0</v>
      </c>
      <c r="L866" t="n">
        <v>0</v>
      </c>
      <c r="M866" t="n">
        <v>0</v>
      </c>
      <c r="N866" t="n">
        <v>0</v>
      </c>
      <c r="O866" t="n">
        <v>0</v>
      </c>
      <c r="P866" t="n">
        <v>0</v>
      </c>
      <c r="Q866" t="n">
        <v>0</v>
      </c>
      <c r="R866" s="2" t="inlineStr"/>
    </row>
    <row r="867" ht="15" customHeight="1">
      <c r="A867" t="inlineStr">
        <is>
          <t>A 1346-2020</t>
        </is>
      </c>
      <c r="B867" s="1" t="n">
        <v>43843</v>
      </c>
      <c r="C867" s="1" t="n">
        <v>45724</v>
      </c>
      <c r="D867" t="inlineStr">
        <is>
          <t>VÄSTMANLANDS LÄN</t>
        </is>
      </c>
      <c r="E867" t="inlineStr">
        <is>
          <t>SALA</t>
        </is>
      </c>
      <c r="G867" t="n">
        <v>1</v>
      </c>
      <c r="H867" t="n">
        <v>0</v>
      </c>
      <c r="I867" t="n">
        <v>0</v>
      </c>
      <c r="J867" t="n">
        <v>0</v>
      </c>
      <c r="K867" t="n">
        <v>0</v>
      </c>
      <c r="L867" t="n">
        <v>0</v>
      </c>
      <c r="M867" t="n">
        <v>0</v>
      </c>
      <c r="N867" t="n">
        <v>0</v>
      </c>
      <c r="O867" t="n">
        <v>0</v>
      </c>
      <c r="P867" t="n">
        <v>0</v>
      </c>
      <c r="Q867" t="n">
        <v>0</v>
      </c>
      <c r="R867" s="2" t="inlineStr"/>
    </row>
    <row r="868" ht="15" customHeight="1">
      <c r="A868" t="inlineStr">
        <is>
          <t>A 2180-2020</t>
        </is>
      </c>
      <c r="B868" s="1" t="n">
        <v>43845</v>
      </c>
      <c r="C868" s="1" t="n">
        <v>45724</v>
      </c>
      <c r="D868" t="inlineStr">
        <is>
          <t>VÄSTMANLANDS LÄN</t>
        </is>
      </c>
      <c r="E868" t="inlineStr">
        <is>
          <t>HALLSTAHAMMAR</t>
        </is>
      </c>
      <c r="G868" t="n">
        <v>1</v>
      </c>
      <c r="H868" t="n">
        <v>0</v>
      </c>
      <c r="I868" t="n">
        <v>0</v>
      </c>
      <c r="J868" t="n">
        <v>0</v>
      </c>
      <c r="K868" t="n">
        <v>0</v>
      </c>
      <c r="L868" t="n">
        <v>0</v>
      </c>
      <c r="M868" t="n">
        <v>0</v>
      </c>
      <c r="N868" t="n">
        <v>0</v>
      </c>
      <c r="O868" t="n">
        <v>0</v>
      </c>
      <c r="P868" t="n">
        <v>0</v>
      </c>
      <c r="Q868" t="n">
        <v>0</v>
      </c>
      <c r="R868" s="2" t="inlineStr"/>
    </row>
    <row r="869" ht="15" customHeight="1">
      <c r="A869" t="inlineStr">
        <is>
          <t>A 2331-2020</t>
        </is>
      </c>
      <c r="B869" s="1" t="n">
        <v>43846</v>
      </c>
      <c r="C869" s="1" t="n">
        <v>45724</v>
      </c>
      <c r="D869" t="inlineStr">
        <is>
          <t>VÄSTMANLANDS LÄN</t>
        </is>
      </c>
      <c r="E869" t="inlineStr">
        <is>
          <t>VÄSTERÅS</t>
        </is>
      </c>
      <c r="F869" t="inlineStr">
        <is>
          <t>Sveaskog</t>
        </is>
      </c>
      <c r="G869" t="n">
        <v>2.2</v>
      </c>
      <c r="H869" t="n">
        <v>0</v>
      </c>
      <c r="I869" t="n">
        <v>0</v>
      </c>
      <c r="J869" t="n">
        <v>0</v>
      </c>
      <c r="K869" t="n">
        <v>0</v>
      </c>
      <c r="L869" t="n">
        <v>0</v>
      </c>
      <c r="M869" t="n">
        <v>0</v>
      </c>
      <c r="N869" t="n">
        <v>0</v>
      </c>
      <c r="O869" t="n">
        <v>0</v>
      </c>
      <c r="P869" t="n">
        <v>0</v>
      </c>
      <c r="Q869" t="n">
        <v>0</v>
      </c>
      <c r="R869" s="2" t="inlineStr"/>
    </row>
    <row r="870" ht="15" customHeight="1">
      <c r="A870" t="inlineStr">
        <is>
          <t>A 3935-2020</t>
        </is>
      </c>
      <c r="B870" s="1" t="n">
        <v>43846</v>
      </c>
      <c r="C870" s="1" t="n">
        <v>45724</v>
      </c>
      <c r="D870" t="inlineStr">
        <is>
          <t>VÄSTMANLANDS LÄN</t>
        </is>
      </c>
      <c r="E870" t="inlineStr">
        <is>
          <t>SALA</t>
        </is>
      </c>
      <c r="G870" t="n">
        <v>1</v>
      </c>
      <c r="H870" t="n">
        <v>0</v>
      </c>
      <c r="I870" t="n">
        <v>0</v>
      </c>
      <c r="J870" t="n">
        <v>0</v>
      </c>
      <c r="K870" t="n">
        <v>0</v>
      </c>
      <c r="L870" t="n">
        <v>0</v>
      </c>
      <c r="M870" t="n">
        <v>0</v>
      </c>
      <c r="N870" t="n">
        <v>0</v>
      </c>
      <c r="O870" t="n">
        <v>0</v>
      </c>
      <c r="P870" t="n">
        <v>0</v>
      </c>
      <c r="Q870" t="n">
        <v>0</v>
      </c>
      <c r="R870" s="2" t="inlineStr"/>
    </row>
    <row r="871" ht="15" customHeight="1">
      <c r="A871" t="inlineStr">
        <is>
          <t>A 2429-2020</t>
        </is>
      </c>
      <c r="B871" s="1" t="n">
        <v>43847</v>
      </c>
      <c r="C871" s="1" t="n">
        <v>45724</v>
      </c>
      <c r="D871" t="inlineStr">
        <is>
          <t>VÄSTMANLANDS LÄN</t>
        </is>
      </c>
      <c r="E871" t="inlineStr">
        <is>
          <t>SKINNSKATTEBERG</t>
        </is>
      </c>
      <c r="G871" t="n">
        <v>1.9</v>
      </c>
      <c r="H871" t="n">
        <v>0</v>
      </c>
      <c r="I871" t="n">
        <v>0</v>
      </c>
      <c r="J871" t="n">
        <v>0</v>
      </c>
      <c r="K871" t="n">
        <v>0</v>
      </c>
      <c r="L871" t="n">
        <v>0</v>
      </c>
      <c r="M871" t="n">
        <v>0</v>
      </c>
      <c r="N871" t="n">
        <v>0</v>
      </c>
      <c r="O871" t="n">
        <v>0</v>
      </c>
      <c r="P871" t="n">
        <v>0</v>
      </c>
      <c r="Q871" t="n">
        <v>0</v>
      </c>
      <c r="R871" s="2" t="inlineStr"/>
    </row>
    <row r="872" ht="15" customHeight="1">
      <c r="A872" t="inlineStr">
        <is>
          <t>A 2588-2020</t>
        </is>
      </c>
      <c r="B872" s="1" t="n">
        <v>43847</v>
      </c>
      <c r="C872" s="1" t="n">
        <v>45724</v>
      </c>
      <c r="D872" t="inlineStr">
        <is>
          <t>VÄSTMANLANDS LÄN</t>
        </is>
      </c>
      <c r="E872" t="inlineStr">
        <is>
          <t>SALA</t>
        </is>
      </c>
      <c r="G872" t="n">
        <v>1.8</v>
      </c>
      <c r="H872" t="n">
        <v>0</v>
      </c>
      <c r="I872" t="n">
        <v>0</v>
      </c>
      <c r="J872" t="n">
        <v>0</v>
      </c>
      <c r="K872" t="n">
        <v>0</v>
      </c>
      <c r="L872" t="n">
        <v>0</v>
      </c>
      <c r="M872" t="n">
        <v>0</v>
      </c>
      <c r="N872" t="n">
        <v>0</v>
      </c>
      <c r="O872" t="n">
        <v>0</v>
      </c>
      <c r="P872" t="n">
        <v>0</v>
      </c>
      <c r="Q872" t="n">
        <v>0</v>
      </c>
      <c r="R872" s="2" t="inlineStr"/>
    </row>
    <row r="873" ht="15" customHeight="1">
      <c r="A873" t="inlineStr">
        <is>
          <t>A 4425-2020</t>
        </is>
      </c>
      <c r="B873" s="1" t="n">
        <v>43847</v>
      </c>
      <c r="C873" s="1" t="n">
        <v>45724</v>
      </c>
      <c r="D873" t="inlineStr">
        <is>
          <t>VÄSTMANLANDS LÄN</t>
        </is>
      </c>
      <c r="E873" t="inlineStr">
        <is>
          <t>VÄSTERÅS</t>
        </is>
      </c>
      <c r="G873" t="n">
        <v>6.6</v>
      </c>
      <c r="H873" t="n">
        <v>0</v>
      </c>
      <c r="I873" t="n">
        <v>0</v>
      </c>
      <c r="J873" t="n">
        <v>0</v>
      </c>
      <c r="K873" t="n">
        <v>0</v>
      </c>
      <c r="L873" t="n">
        <v>0</v>
      </c>
      <c r="M873" t="n">
        <v>0</v>
      </c>
      <c r="N873" t="n">
        <v>0</v>
      </c>
      <c r="O873" t="n">
        <v>0</v>
      </c>
      <c r="P873" t="n">
        <v>0</v>
      </c>
      <c r="Q873" t="n">
        <v>0</v>
      </c>
      <c r="R873" s="2" t="inlineStr"/>
    </row>
    <row r="874" ht="15" customHeight="1">
      <c r="A874" t="inlineStr">
        <is>
          <t>A 2939-2020</t>
        </is>
      </c>
      <c r="B874" s="1" t="n">
        <v>43850</v>
      </c>
      <c r="C874" s="1" t="n">
        <v>45724</v>
      </c>
      <c r="D874" t="inlineStr">
        <is>
          <t>VÄSTMANLANDS LÄN</t>
        </is>
      </c>
      <c r="E874" t="inlineStr">
        <is>
          <t>VÄSTERÅS</t>
        </is>
      </c>
      <c r="F874" t="inlineStr">
        <is>
          <t>Kyrkan</t>
        </is>
      </c>
      <c r="G874" t="n">
        <v>2.5</v>
      </c>
      <c r="H874" t="n">
        <v>0</v>
      </c>
      <c r="I874" t="n">
        <v>0</v>
      </c>
      <c r="J874" t="n">
        <v>0</v>
      </c>
      <c r="K874" t="n">
        <v>0</v>
      </c>
      <c r="L874" t="n">
        <v>0</v>
      </c>
      <c r="M874" t="n">
        <v>0</v>
      </c>
      <c r="N874" t="n">
        <v>0</v>
      </c>
      <c r="O874" t="n">
        <v>0</v>
      </c>
      <c r="P874" t="n">
        <v>0</v>
      </c>
      <c r="Q874" t="n">
        <v>0</v>
      </c>
      <c r="R874" s="2" t="inlineStr"/>
    </row>
    <row r="875" ht="15" customHeight="1">
      <c r="A875" t="inlineStr">
        <is>
          <t>A 2920-2020</t>
        </is>
      </c>
      <c r="B875" s="1" t="n">
        <v>43850</v>
      </c>
      <c r="C875" s="1" t="n">
        <v>45724</v>
      </c>
      <c r="D875" t="inlineStr">
        <is>
          <t>VÄSTMANLANDS LÄN</t>
        </is>
      </c>
      <c r="E875" t="inlineStr">
        <is>
          <t>VÄSTERÅS</t>
        </is>
      </c>
      <c r="F875" t="inlineStr">
        <is>
          <t>Kyrkan</t>
        </is>
      </c>
      <c r="G875" t="n">
        <v>0.5</v>
      </c>
      <c r="H875" t="n">
        <v>0</v>
      </c>
      <c r="I875" t="n">
        <v>0</v>
      </c>
      <c r="J875" t="n">
        <v>0</v>
      </c>
      <c r="K875" t="n">
        <v>0</v>
      </c>
      <c r="L875" t="n">
        <v>0</v>
      </c>
      <c r="M875" t="n">
        <v>0</v>
      </c>
      <c r="N875" t="n">
        <v>0</v>
      </c>
      <c r="O875" t="n">
        <v>0</v>
      </c>
      <c r="P875" t="n">
        <v>0</v>
      </c>
      <c r="Q875" t="n">
        <v>0</v>
      </c>
      <c r="R875" s="2" t="inlineStr"/>
    </row>
    <row r="876" ht="15" customHeight="1">
      <c r="A876" t="inlineStr">
        <is>
          <t>A 3078-2020</t>
        </is>
      </c>
      <c r="B876" s="1" t="n">
        <v>43851</v>
      </c>
      <c r="C876" s="1" t="n">
        <v>45724</v>
      </c>
      <c r="D876" t="inlineStr">
        <is>
          <t>VÄSTMANLANDS LÄN</t>
        </is>
      </c>
      <c r="E876" t="inlineStr">
        <is>
          <t>VÄSTERÅS</t>
        </is>
      </c>
      <c r="G876" t="n">
        <v>2.7</v>
      </c>
      <c r="H876" t="n">
        <v>0</v>
      </c>
      <c r="I876" t="n">
        <v>0</v>
      </c>
      <c r="J876" t="n">
        <v>0</v>
      </c>
      <c r="K876" t="n">
        <v>0</v>
      </c>
      <c r="L876" t="n">
        <v>0</v>
      </c>
      <c r="M876" t="n">
        <v>0</v>
      </c>
      <c r="N876" t="n">
        <v>0</v>
      </c>
      <c r="O876" t="n">
        <v>0</v>
      </c>
      <c r="P876" t="n">
        <v>0</v>
      </c>
      <c r="Q876" t="n">
        <v>0</v>
      </c>
      <c r="R876" s="2" t="inlineStr"/>
    </row>
    <row r="877" ht="15" customHeight="1">
      <c r="A877" t="inlineStr">
        <is>
          <t>A 4630-2020</t>
        </is>
      </c>
      <c r="B877" s="1" t="n">
        <v>43851</v>
      </c>
      <c r="C877" s="1" t="n">
        <v>45724</v>
      </c>
      <c r="D877" t="inlineStr">
        <is>
          <t>VÄSTMANLANDS LÄN</t>
        </is>
      </c>
      <c r="E877" t="inlineStr">
        <is>
          <t>SALA</t>
        </is>
      </c>
      <c r="G877" t="n">
        <v>0.4</v>
      </c>
      <c r="H877" t="n">
        <v>0</v>
      </c>
      <c r="I877" t="n">
        <v>0</v>
      </c>
      <c r="J877" t="n">
        <v>0</v>
      </c>
      <c r="K877" t="n">
        <v>0</v>
      </c>
      <c r="L877" t="n">
        <v>0</v>
      </c>
      <c r="M877" t="n">
        <v>0</v>
      </c>
      <c r="N877" t="n">
        <v>0</v>
      </c>
      <c r="O877" t="n">
        <v>0</v>
      </c>
      <c r="P877" t="n">
        <v>0</v>
      </c>
      <c r="Q877" t="n">
        <v>0</v>
      </c>
      <c r="R877" s="2" t="inlineStr"/>
    </row>
    <row r="878" ht="15" customHeight="1">
      <c r="A878" t="inlineStr">
        <is>
          <t>A 3590-2020</t>
        </is>
      </c>
      <c r="B878" s="1" t="n">
        <v>43853</v>
      </c>
      <c r="C878" s="1" t="n">
        <v>45724</v>
      </c>
      <c r="D878" t="inlineStr">
        <is>
          <t>VÄSTMANLANDS LÄN</t>
        </is>
      </c>
      <c r="E878" t="inlineStr">
        <is>
          <t>SALA</t>
        </is>
      </c>
      <c r="G878" t="n">
        <v>0.4</v>
      </c>
      <c r="H878" t="n">
        <v>0</v>
      </c>
      <c r="I878" t="n">
        <v>0</v>
      </c>
      <c r="J878" t="n">
        <v>0</v>
      </c>
      <c r="K878" t="n">
        <v>0</v>
      </c>
      <c r="L878" t="n">
        <v>0</v>
      </c>
      <c r="M878" t="n">
        <v>0</v>
      </c>
      <c r="N878" t="n">
        <v>0</v>
      </c>
      <c r="O878" t="n">
        <v>0</v>
      </c>
      <c r="P878" t="n">
        <v>0</v>
      </c>
      <c r="Q878" t="n">
        <v>0</v>
      </c>
      <c r="R878" s="2" t="inlineStr"/>
    </row>
    <row r="879" ht="15" customHeight="1">
      <c r="A879" t="inlineStr">
        <is>
          <t>A 5110-2020</t>
        </is>
      </c>
      <c r="B879" s="1" t="n">
        <v>43853</v>
      </c>
      <c r="C879" s="1" t="n">
        <v>45724</v>
      </c>
      <c r="D879" t="inlineStr">
        <is>
          <t>VÄSTMANLANDS LÄN</t>
        </is>
      </c>
      <c r="E879" t="inlineStr">
        <is>
          <t>SKINNSKATTEBERG</t>
        </is>
      </c>
      <c r="G879" t="n">
        <v>3</v>
      </c>
      <c r="H879" t="n">
        <v>0</v>
      </c>
      <c r="I879" t="n">
        <v>0</v>
      </c>
      <c r="J879" t="n">
        <v>0</v>
      </c>
      <c r="K879" t="n">
        <v>0</v>
      </c>
      <c r="L879" t="n">
        <v>0</v>
      </c>
      <c r="M879" t="n">
        <v>0</v>
      </c>
      <c r="N879" t="n">
        <v>0</v>
      </c>
      <c r="O879" t="n">
        <v>0</v>
      </c>
      <c r="P879" t="n">
        <v>0</v>
      </c>
      <c r="Q879" t="n">
        <v>0</v>
      </c>
      <c r="R879" s="2" t="inlineStr"/>
    </row>
    <row r="880" ht="15" customHeight="1">
      <c r="A880" t="inlineStr">
        <is>
          <t>A 5112-2020</t>
        </is>
      </c>
      <c r="B880" s="1" t="n">
        <v>43853</v>
      </c>
      <c r="C880" s="1" t="n">
        <v>45724</v>
      </c>
      <c r="D880" t="inlineStr">
        <is>
          <t>VÄSTMANLANDS LÄN</t>
        </is>
      </c>
      <c r="E880" t="inlineStr">
        <is>
          <t>FAGERSTA</t>
        </is>
      </c>
      <c r="G880" t="n">
        <v>4.4</v>
      </c>
      <c r="H880" t="n">
        <v>0</v>
      </c>
      <c r="I880" t="n">
        <v>0</v>
      </c>
      <c r="J880" t="n">
        <v>0</v>
      </c>
      <c r="K880" t="n">
        <v>0</v>
      </c>
      <c r="L880" t="n">
        <v>0</v>
      </c>
      <c r="M880" t="n">
        <v>0</v>
      </c>
      <c r="N880" t="n">
        <v>0</v>
      </c>
      <c r="O880" t="n">
        <v>0</v>
      </c>
      <c r="P880" t="n">
        <v>0</v>
      </c>
      <c r="Q880" t="n">
        <v>0</v>
      </c>
      <c r="R880" s="2" t="inlineStr"/>
    </row>
    <row r="881" ht="15" customHeight="1">
      <c r="A881" t="inlineStr">
        <is>
          <t>A 3889-2020</t>
        </is>
      </c>
      <c r="B881" s="1" t="n">
        <v>43854</v>
      </c>
      <c r="C881" s="1" t="n">
        <v>45724</v>
      </c>
      <c r="D881" t="inlineStr">
        <is>
          <t>VÄSTMANLANDS LÄN</t>
        </is>
      </c>
      <c r="E881" t="inlineStr">
        <is>
          <t>FAGERSTA</t>
        </is>
      </c>
      <c r="G881" t="n">
        <v>0.8</v>
      </c>
      <c r="H881" t="n">
        <v>0</v>
      </c>
      <c r="I881" t="n">
        <v>0</v>
      </c>
      <c r="J881" t="n">
        <v>0</v>
      </c>
      <c r="K881" t="n">
        <v>0</v>
      </c>
      <c r="L881" t="n">
        <v>0</v>
      </c>
      <c r="M881" t="n">
        <v>0</v>
      </c>
      <c r="N881" t="n">
        <v>0</v>
      </c>
      <c r="O881" t="n">
        <v>0</v>
      </c>
      <c r="P881" t="n">
        <v>0</v>
      </c>
      <c r="Q881" t="n">
        <v>0</v>
      </c>
      <c r="R881" s="2" t="inlineStr"/>
    </row>
    <row r="882" ht="15" customHeight="1">
      <c r="A882" t="inlineStr">
        <is>
          <t>A 5467-2020</t>
        </is>
      </c>
      <c r="B882" s="1" t="n">
        <v>43858</v>
      </c>
      <c r="C882" s="1" t="n">
        <v>45724</v>
      </c>
      <c r="D882" t="inlineStr">
        <is>
          <t>VÄSTMANLANDS LÄN</t>
        </is>
      </c>
      <c r="E882" t="inlineStr">
        <is>
          <t>ARBOGA</t>
        </is>
      </c>
      <c r="G882" t="n">
        <v>2.8</v>
      </c>
      <c r="H882" t="n">
        <v>0</v>
      </c>
      <c r="I882" t="n">
        <v>0</v>
      </c>
      <c r="J882" t="n">
        <v>0</v>
      </c>
      <c r="K882" t="n">
        <v>0</v>
      </c>
      <c r="L882" t="n">
        <v>0</v>
      </c>
      <c r="M882" t="n">
        <v>0</v>
      </c>
      <c r="N882" t="n">
        <v>0</v>
      </c>
      <c r="O882" t="n">
        <v>0</v>
      </c>
      <c r="P882" t="n">
        <v>0</v>
      </c>
      <c r="Q882" t="n">
        <v>0</v>
      </c>
      <c r="R882" s="2" t="inlineStr"/>
    </row>
    <row r="883" ht="15" customHeight="1">
      <c r="A883" t="inlineStr">
        <is>
          <t>A 4466-2020</t>
        </is>
      </c>
      <c r="B883" s="1" t="n">
        <v>43858</v>
      </c>
      <c r="C883" s="1" t="n">
        <v>45724</v>
      </c>
      <c r="D883" t="inlineStr">
        <is>
          <t>VÄSTMANLANDS LÄN</t>
        </is>
      </c>
      <c r="E883" t="inlineStr">
        <is>
          <t>HALLSTAHAMMAR</t>
        </is>
      </c>
      <c r="G883" t="n">
        <v>3.5</v>
      </c>
      <c r="H883" t="n">
        <v>0</v>
      </c>
      <c r="I883" t="n">
        <v>0</v>
      </c>
      <c r="J883" t="n">
        <v>0</v>
      </c>
      <c r="K883" t="n">
        <v>0</v>
      </c>
      <c r="L883" t="n">
        <v>0</v>
      </c>
      <c r="M883" t="n">
        <v>0</v>
      </c>
      <c r="N883" t="n">
        <v>0</v>
      </c>
      <c r="O883" t="n">
        <v>0</v>
      </c>
      <c r="P883" t="n">
        <v>0</v>
      </c>
      <c r="Q883" t="n">
        <v>0</v>
      </c>
      <c r="R883" s="2" t="inlineStr"/>
    </row>
    <row r="884" ht="15" customHeight="1">
      <c r="A884" t="inlineStr">
        <is>
          <t>A 4809-2020</t>
        </is>
      </c>
      <c r="B884" s="1" t="n">
        <v>43859</v>
      </c>
      <c r="C884" s="1" t="n">
        <v>45724</v>
      </c>
      <c r="D884" t="inlineStr">
        <is>
          <t>VÄSTMANLANDS LÄN</t>
        </is>
      </c>
      <c r="E884" t="inlineStr">
        <is>
          <t>VÄSTERÅS</t>
        </is>
      </c>
      <c r="G884" t="n">
        <v>4</v>
      </c>
      <c r="H884" t="n">
        <v>0</v>
      </c>
      <c r="I884" t="n">
        <v>0</v>
      </c>
      <c r="J884" t="n">
        <v>0</v>
      </c>
      <c r="K884" t="n">
        <v>0</v>
      </c>
      <c r="L884" t="n">
        <v>0</v>
      </c>
      <c r="M884" t="n">
        <v>0</v>
      </c>
      <c r="N884" t="n">
        <v>0</v>
      </c>
      <c r="O884" t="n">
        <v>0</v>
      </c>
      <c r="P884" t="n">
        <v>0</v>
      </c>
      <c r="Q884" t="n">
        <v>0</v>
      </c>
      <c r="R884" s="2" t="inlineStr"/>
    </row>
    <row r="885" ht="15" customHeight="1">
      <c r="A885" t="inlineStr">
        <is>
          <t>A 4978-2020</t>
        </is>
      </c>
      <c r="B885" s="1" t="n">
        <v>43859</v>
      </c>
      <c r="C885" s="1" t="n">
        <v>45724</v>
      </c>
      <c r="D885" t="inlineStr">
        <is>
          <t>VÄSTMANLANDS LÄN</t>
        </is>
      </c>
      <c r="E885" t="inlineStr">
        <is>
          <t>NORBERG</t>
        </is>
      </c>
      <c r="G885" t="n">
        <v>2.2</v>
      </c>
      <c r="H885" t="n">
        <v>0</v>
      </c>
      <c r="I885" t="n">
        <v>0</v>
      </c>
      <c r="J885" t="n">
        <v>0</v>
      </c>
      <c r="K885" t="n">
        <v>0</v>
      </c>
      <c r="L885" t="n">
        <v>0</v>
      </c>
      <c r="M885" t="n">
        <v>0</v>
      </c>
      <c r="N885" t="n">
        <v>0</v>
      </c>
      <c r="O885" t="n">
        <v>0</v>
      </c>
      <c r="P885" t="n">
        <v>0</v>
      </c>
      <c r="Q885" t="n">
        <v>0</v>
      </c>
      <c r="R885" s="2" t="inlineStr"/>
    </row>
    <row r="886" ht="15" customHeight="1">
      <c r="A886" t="inlineStr">
        <is>
          <t>A 5551-2020</t>
        </is>
      </c>
      <c r="B886" s="1" t="n">
        <v>43859</v>
      </c>
      <c r="C886" s="1" t="n">
        <v>45724</v>
      </c>
      <c r="D886" t="inlineStr">
        <is>
          <t>VÄSTMANLANDS LÄN</t>
        </is>
      </c>
      <c r="E886" t="inlineStr">
        <is>
          <t>SKINNSKATTEBERG</t>
        </is>
      </c>
      <c r="G886" t="n">
        <v>1.3</v>
      </c>
      <c r="H886" t="n">
        <v>0</v>
      </c>
      <c r="I886" t="n">
        <v>0</v>
      </c>
      <c r="J886" t="n">
        <v>0</v>
      </c>
      <c r="K886" t="n">
        <v>0</v>
      </c>
      <c r="L886" t="n">
        <v>0</v>
      </c>
      <c r="M886" t="n">
        <v>0</v>
      </c>
      <c r="N886" t="n">
        <v>0</v>
      </c>
      <c r="O886" t="n">
        <v>0</v>
      </c>
      <c r="P886" t="n">
        <v>0</v>
      </c>
      <c r="Q886" t="n">
        <v>0</v>
      </c>
      <c r="R886" s="2" t="inlineStr"/>
    </row>
    <row r="887" ht="15" customHeight="1">
      <c r="A887" t="inlineStr">
        <is>
          <t>A 5560-2020</t>
        </is>
      </c>
      <c r="B887" s="1" t="n">
        <v>43859</v>
      </c>
      <c r="C887" s="1" t="n">
        <v>45724</v>
      </c>
      <c r="D887" t="inlineStr">
        <is>
          <t>VÄSTMANLANDS LÄN</t>
        </is>
      </c>
      <c r="E887" t="inlineStr">
        <is>
          <t>SKINNSKATTEBERG</t>
        </is>
      </c>
      <c r="G887" t="n">
        <v>0.6</v>
      </c>
      <c r="H887" t="n">
        <v>0</v>
      </c>
      <c r="I887" t="n">
        <v>0</v>
      </c>
      <c r="J887" t="n">
        <v>0</v>
      </c>
      <c r="K887" t="n">
        <v>0</v>
      </c>
      <c r="L887" t="n">
        <v>0</v>
      </c>
      <c r="M887" t="n">
        <v>0</v>
      </c>
      <c r="N887" t="n">
        <v>0</v>
      </c>
      <c r="O887" t="n">
        <v>0</v>
      </c>
      <c r="P887" t="n">
        <v>0</v>
      </c>
      <c r="Q887" t="n">
        <v>0</v>
      </c>
      <c r="R887" s="2" t="inlineStr"/>
    </row>
    <row r="888" ht="15" customHeight="1">
      <c r="A888" t="inlineStr">
        <is>
          <t>A 5554-2020</t>
        </is>
      </c>
      <c r="B888" s="1" t="n">
        <v>43859</v>
      </c>
      <c r="C888" s="1" t="n">
        <v>45724</v>
      </c>
      <c r="D888" t="inlineStr">
        <is>
          <t>VÄSTMANLANDS LÄN</t>
        </is>
      </c>
      <c r="E888" t="inlineStr">
        <is>
          <t>SKINNSKATTEBERG</t>
        </is>
      </c>
      <c r="G888" t="n">
        <v>3.6</v>
      </c>
      <c r="H888" t="n">
        <v>0</v>
      </c>
      <c r="I888" t="n">
        <v>0</v>
      </c>
      <c r="J888" t="n">
        <v>0</v>
      </c>
      <c r="K888" t="n">
        <v>0</v>
      </c>
      <c r="L888" t="n">
        <v>0</v>
      </c>
      <c r="M888" t="n">
        <v>0</v>
      </c>
      <c r="N888" t="n">
        <v>0</v>
      </c>
      <c r="O888" t="n">
        <v>0</v>
      </c>
      <c r="P888" t="n">
        <v>0</v>
      </c>
      <c r="Q888" t="n">
        <v>0</v>
      </c>
      <c r="R888" s="2" t="inlineStr"/>
    </row>
    <row r="889" ht="15" customHeight="1">
      <c r="A889" t="inlineStr">
        <is>
          <t>A 4866-2020</t>
        </is>
      </c>
      <c r="B889" s="1" t="n">
        <v>43859</v>
      </c>
      <c r="C889" s="1" t="n">
        <v>45724</v>
      </c>
      <c r="D889" t="inlineStr">
        <is>
          <t>VÄSTMANLANDS LÄN</t>
        </is>
      </c>
      <c r="E889" t="inlineStr">
        <is>
          <t>SALA</t>
        </is>
      </c>
      <c r="G889" t="n">
        <v>0.5</v>
      </c>
      <c r="H889" t="n">
        <v>0</v>
      </c>
      <c r="I889" t="n">
        <v>0</v>
      </c>
      <c r="J889" t="n">
        <v>0</v>
      </c>
      <c r="K889" t="n">
        <v>0</v>
      </c>
      <c r="L889" t="n">
        <v>0</v>
      </c>
      <c r="M889" t="n">
        <v>0</v>
      </c>
      <c r="N889" t="n">
        <v>0</v>
      </c>
      <c r="O889" t="n">
        <v>0</v>
      </c>
      <c r="P889" t="n">
        <v>0</v>
      </c>
      <c r="Q889" t="n">
        <v>0</v>
      </c>
      <c r="R889" s="2" t="inlineStr"/>
    </row>
    <row r="890" ht="15" customHeight="1">
      <c r="A890" t="inlineStr">
        <is>
          <t>A 4951-2020</t>
        </is>
      </c>
      <c r="B890" s="1" t="n">
        <v>43859</v>
      </c>
      <c r="C890" s="1" t="n">
        <v>45724</v>
      </c>
      <c r="D890" t="inlineStr">
        <is>
          <t>VÄSTMANLANDS LÄN</t>
        </is>
      </c>
      <c r="E890" t="inlineStr">
        <is>
          <t>NORBERG</t>
        </is>
      </c>
      <c r="G890" t="n">
        <v>0.7</v>
      </c>
      <c r="H890" t="n">
        <v>0</v>
      </c>
      <c r="I890" t="n">
        <v>0</v>
      </c>
      <c r="J890" t="n">
        <v>0</v>
      </c>
      <c r="K890" t="n">
        <v>0</v>
      </c>
      <c r="L890" t="n">
        <v>0</v>
      </c>
      <c r="M890" t="n">
        <v>0</v>
      </c>
      <c r="N890" t="n">
        <v>0</v>
      </c>
      <c r="O890" t="n">
        <v>0</v>
      </c>
      <c r="P890" t="n">
        <v>0</v>
      </c>
      <c r="Q890" t="n">
        <v>0</v>
      </c>
      <c r="R890" s="2" t="inlineStr"/>
    </row>
    <row r="891" ht="15" customHeight="1">
      <c r="A891" t="inlineStr">
        <is>
          <t>A 5561-2020</t>
        </is>
      </c>
      <c r="B891" s="1" t="n">
        <v>43859</v>
      </c>
      <c r="C891" s="1" t="n">
        <v>45724</v>
      </c>
      <c r="D891" t="inlineStr">
        <is>
          <t>VÄSTMANLANDS LÄN</t>
        </is>
      </c>
      <c r="E891" t="inlineStr">
        <is>
          <t>SKINNSKATTEBERG</t>
        </is>
      </c>
      <c r="G891" t="n">
        <v>0.6</v>
      </c>
      <c r="H891" t="n">
        <v>0</v>
      </c>
      <c r="I891" t="n">
        <v>0</v>
      </c>
      <c r="J891" t="n">
        <v>0</v>
      </c>
      <c r="K891" t="n">
        <v>0</v>
      </c>
      <c r="L891" t="n">
        <v>0</v>
      </c>
      <c r="M891" t="n">
        <v>0</v>
      </c>
      <c r="N891" t="n">
        <v>0</v>
      </c>
      <c r="O891" t="n">
        <v>0</v>
      </c>
      <c r="P891" t="n">
        <v>0</v>
      </c>
      <c r="Q891" t="n">
        <v>0</v>
      </c>
      <c r="R891" s="2" t="inlineStr"/>
    </row>
    <row r="892" ht="15" customHeight="1">
      <c r="A892" t="inlineStr">
        <is>
          <t>A 5201-2020</t>
        </is>
      </c>
      <c r="B892" s="1" t="n">
        <v>43860</v>
      </c>
      <c r="C892" s="1" t="n">
        <v>45724</v>
      </c>
      <c r="D892" t="inlineStr">
        <is>
          <t>VÄSTMANLANDS LÄN</t>
        </is>
      </c>
      <c r="E892" t="inlineStr">
        <is>
          <t>SALA</t>
        </is>
      </c>
      <c r="F892" t="inlineStr">
        <is>
          <t>Kyrkan</t>
        </is>
      </c>
      <c r="G892" t="n">
        <v>5</v>
      </c>
      <c r="H892" t="n">
        <v>0</v>
      </c>
      <c r="I892" t="n">
        <v>0</v>
      </c>
      <c r="J892" t="n">
        <v>0</v>
      </c>
      <c r="K892" t="n">
        <v>0</v>
      </c>
      <c r="L892" t="n">
        <v>0</v>
      </c>
      <c r="M892" t="n">
        <v>0</v>
      </c>
      <c r="N892" t="n">
        <v>0</v>
      </c>
      <c r="O892" t="n">
        <v>0</v>
      </c>
      <c r="P892" t="n">
        <v>0</v>
      </c>
      <c r="Q892" t="n">
        <v>0</v>
      </c>
      <c r="R892" s="2" t="inlineStr"/>
    </row>
    <row r="893" ht="15" customHeight="1">
      <c r="A893" t="inlineStr">
        <is>
          <t>A 5163-2020</t>
        </is>
      </c>
      <c r="B893" s="1" t="n">
        <v>43860</v>
      </c>
      <c r="C893" s="1" t="n">
        <v>45724</v>
      </c>
      <c r="D893" t="inlineStr">
        <is>
          <t>VÄSTMANLANDS LÄN</t>
        </is>
      </c>
      <c r="E893" t="inlineStr">
        <is>
          <t>SALA</t>
        </is>
      </c>
      <c r="G893" t="n">
        <v>1.9</v>
      </c>
      <c r="H893" t="n">
        <v>0</v>
      </c>
      <c r="I893" t="n">
        <v>0</v>
      </c>
      <c r="J893" t="n">
        <v>0</v>
      </c>
      <c r="K893" t="n">
        <v>0</v>
      </c>
      <c r="L893" t="n">
        <v>0</v>
      </c>
      <c r="M893" t="n">
        <v>0</v>
      </c>
      <c r="N893" t="n">
        <v>0</v>
      </c>
      <c r="O893" t="n">
        <v>0</v>
      </c>
      <c r="P893" t="n">
        <v>0</v>
      </c>
      <c r="Q893" t="n">
        <v>0</v>
      </c>
      <c r="R893" s="2" t="inlineStr"/>
    </row>
    <row r="894" ht="15" customHeight="1">
      <c r="A894" t="inlineStr">
        <is>
          <t>A 5191-2020</t>
        </is>
      </c>
      <c r="B894" s="1" t="n">
        <v>43860</v>
      </c>
      <c r="C894" s="1" t="n">
        <v>45724</v>
      </c>
      <c r="D894" t="inlineStr">
        <is>
          <t>VÄSTMANLANDS LÄN</t>
        </is>
      </c>
      <c r="E894" t="inlineStr">
        <is>
          <t>SALA</t>
        </is>
      </c>
      <c r="F894" t="inlineStr">
        <is>
          <t>Kyrkan</t>
        </is>
      </c>
      <c r="G894" t="n">
        <v>10.9</v>
      </c>
      <c r="H894" t="n">
        <v>0</v>
      </c>
      <c r="I894" t="n">
        <v>0</v>
      </c>
      <c r="J894" t="n">
        <v>0</v>
      </c>
      <c r="K894" t="n">
        <v>0</v>
      </c>
      <c r="L894" t="n">
        <v>0</v>
      </c>
      <c r="M894" t="n">
        <v>0</v>
      </c>
      <c r="N894" t="n">
        <v>0</v>
      </c>
      <c r="O894" t="n">
        <v>0</v>
      </c>
      <c r="P894" t="n">
        <v>0</v>
      </c>
      <c r="Q894" t="n">
        <v>0</v>
      </c>
      <c r="R894" s="2" t="inlineStr"/>
    </row>
    <row r="895" ht="15" customHeight="1">
      <c r="A895" t="inlineStr">
        <is>
          <t>A 5320-2020</t>
        </is>
      </c>
      <c r="B895" s="1" t="n">
        <v>43860</v>
      </c>
      <c r="C895" s="1" t="n">
        <v>45724</v>
      </c>
      <c r="D895" t="inlineStr">
        <is>
          <t>VÄSTMANLANDS LÄN</t>
        </is>
      </c>
      <c r="E895" t="inlineStr">
        <is>
          <t>SALA</t>
        </is>
      </c>
      <c r="G895" t="n">
        <v>3.1</v>
      </c>
      <c r="H895" t="n">
        <v>0</v>
      </c>
      <c r="I895" t="n">
        <v>0</v>
      </c>
      <c r="J895" t="n">
        <v>0</v>
      </c>
      <c r="K895" t="n">
        <v>0</v>
      </c>
      <c r="L895" t="n">
        <v>0</v>
      </c>
      <c r="M895" t="n">
        <v>0</v>
      </c>
      <c r="N895" t="n">
        <v>0</v>
      </c>
      <c r="O895" t="n">
        <v>0</v>
      </c>
      <c r="P895" t="n">
        <v>0</v>
      </c>
      <c r="Q895" t="n">
        <v>0</v>
      </c>
      <c r="R895" s="2" t="inlineStr"/>
    </row>
    <row r="896" ht="15" customHeight="1">
      <c r="A896" t="inlineStr">
        <is>
          <t>A 5693-2020</t>
        </is>
      </c>
      <c r="B896" s="1" t="n">
        <v>43861</v>
      </c>
      <c r="C896" s="1" t="n">
        <v>45724</v>
      </c>
      <c r="D896" t="inlineStr">
        <is>
          <t>VÄSTMANLANDS LÄN</t>
        </is>
      </c>
      <c r="E896" t="inlineStr">
        <is>
          <t>KÖPING</t>
        </is>
      </c>
      <c r="G896" t="n">
        <v>1.1</v>
      </c>
      <c r="H896" t="n">
        <v>0</v>
      </c>
      <c r="I896" t="n">
        <v>0</v>
      </c>
      <c r="J896" t="n">
        <v>0</v>
      </c>
      <c r="K896" t="n">
        <v>0</v>
      </c>
      <c r="L896" t="n">
        <v>0</v>
      </c>
      <c r="M896" t="n">
        <v>0</v>
      </c>
      <c r="N896" t="n">
        <v>0</v>
      </c>
      <c r="O896" t="n">
        <v>0</v>
      </c>
      <c r="P896" t="n">
        <v>0</v>
      </c>
      <c r="Q896" t="n">
        <v>0</v>
      </c>
      <c r="R896" s="2" t="inlineStr"/>
    </row>
    <row r="897" ht="15" customHeight="1">
      <c r="A897" t="inlineStr">
        <is>
          <t>A 5587-2020</t>
        </is>
      </c>
      <c r="B897" s="1" t="n">
        <v>43861</v>
      </c>
      <c r="C897" s="1" t="n">
        <v>45724</v>
      </c>
      <c r="D897" t="inlineStr">
        <is>
          <t>VÄSTMANLANDS LÄN</t>
        </is>
      </c>
      <c r="E897" t="inlineStr">
        <is>
          <t>SALA</t>
        </is>
      </c>
      <c r="G897" t="n">
        <v>9.6</v>
      </c>
      <c r="H897" t="n">
        <v>0</v>
      </c>
      <c r="I897" t="n">
        <v>0</v>
      </c>
      <c r="J897" t="n">
        <v>0</v>
      </c>
      <c r="K897" t="n">
        <v>0</v>
      </c>
      <c r="L897" t="n">
        <v>0</v>
      </c>
      <c r="M897" t="n">
        <v>0</v>
      </c>
      <c r="N897" t="n">
        <v>0</v>
      </c>
      <c r="O897" t="n">
        <v>0</v>
      </c>
      <c r="P897" t="n">
        <v>0</v>
      </c>
      <c r="Q897" t="n">
        <v>0</v>
      </c>
      <c r="R897" s="2" t="inlineStr"/>
    </row>
    <row r="898" ht="15" customHeight="1">
      <c r="A898" t="inlineStr">
        <is>
          <t>A 5750-2020</t>
        </is>
      </c>
      <c r="B898" s="1" t="n">
        <v>43864</v>
      </c>
      <c r="C898" s="1" t="n">
        <v>45724</v>
      </c>
      <c r="D898" t="inlineStr">
        <is>
          <t>VÄSTMANLANDS LÄN</t>
        </is>
      </c>
      <c r="E898" t="inlineStr">
        <is>
          <t>SALA</t>
        </is>
      </c>
      <c r="G898" t="n">
        <v>0.5</v>
      </c>
      <c r="H898" t="n">
        <v>0</v>
      </c>
      <c r="I898" t="n">
        <v>0</v>
      </c>
      <c r="J898" t="n">
        <v>0</v>
      </c>
      <c r="K898" t="n">
        <v>0</v>
      </c>
      <c r="L898" t="n">
        <v>0</v>
      </c>
      <c r="M898" t="n">
        <v>0</v>
      </c>
      <c r="N898" t="n">
        <v>0</v>
      </c>
      <c r="O898" t="n">
        <v>0</v>
      </c>
      <c r="P898" t="n">
        <v>0</v>
      </c>
      <c r="Q898" t="n">
        <v>0</v>
      </c>
      <c r="R898" s="2" t="inlineStr"/>
    </row>
    <row r="899" ht="15" customHeight="1">
      <c r="A899" t="inlineStr">
        <is>
          <t>A 5839-2020</t>
        </is>
      </c>
      <c r="B899" s="1" t="n">
        <v>43864</v>
      </c>
      <c r="C899" s="1" t="n">
        <v>45724</v>
      </c>
      <c r="D899" t="inlineStr">
        <is>
          <t>VÄSTMANLANDS LÄN</t>
        </is>
      </c>
      <c r="E899" t="inlineStr">
        <is>
          <t>ARBOGA</t>
        </is>
      </c>
      <c r="G899" t="n">
        <v>8</v>
      </c>
      <c r="H899" t="n">
        <v>0</v>
      </c>
      <c r="I899" t="n">
        <v>0</v>
      </c>
      <c r="J899" t="n">
        <v>0</v>
      </c>
      <c r="K899" t="n">
        <v>0</v>
      </c>
      <c r="L899" t="n">
        <v>0</v>
      </c>
      <c r="M899" t="n">
        <v>0</v>
      </c>
      <c r="N899" t="n">
        <v>0</v>
      </c>
      <c r="O899" t="n">
        <v>0</v>
      </c>
      <c r="P899" t="n">
        <v>0</v>
      </c>
      <c r="Q899" t="n">
        <v>0</v>
      </c>
      <c r="R899" s="2" t="inlineStr"/>
    </row>
    <row r="900" ht="15" customHeight="1">
      <c r="A900" t="inlineStr">
        <is>
          <t>A 5804-2020</t>
        </is>
      </c>
      <c r="B900" s="1" t="n">
        <v>43864</v>
      </c>
      <c r="C900" s="1" t="n">
        <v>45724</v>
      </c>
      <c r="D900" t="inlineStr">
        <is>
          <t>VÄSTMANLANDS LÄN</t>
        </is>
      </c>
      <c r="E900" t="inlineStr">
        <is>
          <t>SURAHAMMAR</t>
        </is>
      </c>
      <c r="F900" t="inlineStr">
        <is>
          <t>Bergvik skog väst AB</t>
        </is>
      </c>
      <c r="G900" t="n">
        <v>0.9</v>
      </c>
      <c r="H900" t="n">
        <v>0</v>
      </c>
      <c r="I900" t="n">
        <v>0</v>
      </c>
      <c r="J900" t="n">
        <v>0</v>
      </c>
      <c r="K900" t="n">
        <v>0</v>
      </c>
      <c r="L900" t="n">
        <v>0</v>
      </c>
      <c r="M900" t="n">
        <v>0</v>
      </c>
      <c r="N900" t="n">
        <v>0</v>
      </c>
      <c r="O900" t="n">
        <v>0</v>
      </c>
      <c r="P900" t="n">
        <v>0</v>
      </c>
      <c r="Q900" t="n">
        <v>0</v>
      </c>
      <c r="R900" s="2" t="inlineStr"/>
    </row>
    <row r="901" ht="15" customHeight="1">
      <c r="A901" t="inlineStr">
        <is>
          <t>A 6185-2020</t>
        </is>
      </c>
      <c r="B901" s="1" t="n">
        <v>43865</v>
      </c>
      <c r="C901" s="1" t="n">
        <v>45724</v>
      </c>
      <c r="D901" t="inlineStr">
        <is>
          <t>VÄSTMANLANDS LÄN</t>
        </is>
      </c>
      <c r="E901" t="inlineStr">
        <is>
          <t>SALA</t>
        </is>
      </c>
      <c r="G901" t="n">
        <v>1.4</v>
      </c>
      <c r="H901" t="n">
        <v>0</v>
      </c>
      <c r="I901" t="n">
        <v>0</v>
      </c>
      <c r="J901" t="n">
        <v>0</v>
      </c>
      <c r="K901" t="n">
        <v>0</v>
      </c>
      <c r="L901" t="n">
        <v>0</v>
      </c>
      <c r="M901" t="n">
        <v>0</v>
      </c>
      <c r="N901" t="n">
        <v>0</v>
      </c>
      <c r="O901" t="n">
        <v>0</v>
      </c>
      <c r="P901" t="n">
        <v>0</v>
      </c>
      <c r="Q901" t="n">
        <v>0</v>
      </c>
      <c r="R901" s="2" t="inlineStr"/>
    </row>
    <row r="902" ht="15" customHeight="1">
      <c r="A902" t="inlineStr">
        <is>
          <t>A 6043-2020</t>
        </is>
      </c>
      <c r="B902" s="1" t="n">
        <v>43865</v>
      </c>
      <c r="C902" s="1" t="n">
        <v>45724</v>
      </c>
      <c r="D902" t="inlineStr">
        <is>
          <t>VÄSTMANLANDS LÄN</t>
        </is>
      </c>
      <c r="E902" t="inlineStr">
        <is>
          <t>VÄSTERÅS</t>
        </is>
      </c>
      <c r="G902" t="n">
        <v>8.4</v>
      </c>
      <c r="H902" t="n">
        <v>0</v>
      </c>
      <c r="I902" t="n">
        <v>0</v>
      </c>
      <c r="J902" t="n">
        <v>0</v>
      </c>
      <c r="K902" t="n">
        <v>0</v>
      </c>
      <c r="L902" t="n">
        <v>0</v>
      </c>
      <c r="M902" t="n">
        <v>0</v>
      </c>
      <c r="N902" t="n">
        <v>0</v>
      </c>
      <c r="O902" t="n">
        <v>0</v>
      </c>
      <c r="P902" t="n">
        <v>0</v>
      </c>
      <c r="Q902" t="n">
        <v>0</v>
      </c>
      <c r="R902" s="2" t="inlineStr"/>
    </row>
    <row r="903" ht="15" customHeight="1">
      <c r="A903" t="inlineStr">
        <is>
          <t>A 6330-2020</t>
        </is>
      </c>
      <c r="B903" s="1" t="n">
        <v>43866</v>
      </c>
      <c r="C903" s="1" t="n">
        <v>45724</v>
      </c>
      <c r="D903" t="inlineStr">
        <is>
          <t>VÄSTMANLANDS LÄN</t>
        </is>
      </c>
      <c r="E903" t="inlineStr">
        <is>
          <t>SKINNSKATTEBERG</t>
        </is>
      </c>
      <c r="F903" t="inlineStr">
        <is>
          <t>Sveaskog</t>
        </is>
      </c>
      <c r="G903" t="n">
        <v>0.7</v>
      </c>
      <c r="H903" t="n">
        <v>0</v>
      </c>
      <c r="I903" t="n">
        <v>0</v>
      </c>
      <c r="J903" t="n">
        <v>0</v>
      </c>
      <c r="K903" t="n">
        <v>0</v>
      </c>
      <c r="L903" t="n">
        <v>0</v>
      </c>
      <c r="M903" t="n">
        <v>0</v>
      </c>
      <c r="N903" t="n">
        <v>0</v>
      </c>
      <c r="O903" t="n">
        <v>0</v>
      </c>
      <c r="P903" t="n">
        <v>0</v>
      </c>
      <c r="Q903" t="n">
        <v>0</v>
      </c>
      <c r="R903" s="2" t="inlineStr"/>
    </row>
    <row r="904" ht="15" customHeight="1">
      <c r="A904" t="inlineStr">
        <is>
          <t>A 6341-2020</t>
        </is>
      </c>
      <c r="B904" s="1" t="n">
        <v>43866</v>
      </c>
      <c r="C904" s="1" t="n">
        <v>45724</v>
      </c>
      <c r="D904" t="inlineStr">
        <is>
          <t>VÄSTMANLANDS LÄN</t>
        </is>
      </c>
      <c r="E904" t="inlineStr">
        <is>
          <t>VÄSTERÅS</t>
        </is>
      </c>
      <c r="G904" t="n">
        <v>0.7</v>
      </c>
      <c r="H904" t="n">
        <v>0</v>
      </c>
      <c r="I904" t="n">
        <v>0</v>
      </c>
      <c r="J904" t="n">
        <v>0</v>
      </c>
      <c r="K904" t="n">
        <v>0</v>
      </c>
      <c r="L904" t="n">
        <v>0</v>
      </c>
      <c r="M904" t="n">
        <v>0</v>
      </c>
      <c r="N904" t="n">
        <v>0</v>
      </c>
      <c r="O904" t="n">
        <v>0</v>
      </c>
      <c r="P904" t="n">
        <v>0</v>
      </c>
      <c r="Q904" t="n">
        <v>0</v>
      </c>
      <c r="R904" s="2" t="inlineStr"/>
    </row>
    <row r="905" ht="15" customHeight="1">
      <c r="A905" t="inlineStr">
        <is>
          <t>A 6327-2020</t>
        </is>
      </c>
      <c r="B905" s="1" t="n">
        <v>43866</v>
      </c>
      <c r="C905" s="1" t="n">
        <v>45724</v>
      </c>
      <c r="D905" t="inlineStr">
        <is>
          <t>VÄSTMANLANDS LÄN</t>
        </is>
      </c>
      <c r="E905" t="inlineStr">
        <is>
          <t>SKINNSKATTEBERG</t>
        </is>
      </c>
      <c r="F905" t="inlineStr">
        <is>
          <t>Sveaskog</t>
        </is>
      </c>
      <c r="G905" t="n">
        <v>0.3</v>
      </c>
      <c r="H905" t="n">
        <v>0</v>
      </c>
      <c r="I905" t="n">
        <v>0</v>
      </c>
      <c r="J905" t="n">
        <v>0</v>
      </c>
      <c r="K905" t="n">
        <v>0</v>
      </c>
      <c r="L905" t="n">
        <v>0</v>
      </c>
      <c r="M905" t="n">
        <v>0</v>
      </c>
      <c r="N905" t="n">
        <v>0</v>
      </c>
      <c r="O905" t="n">
        <v>0</v>
      </c>
      <c r="P905" t="n">
        <v>0</v>
      </c>
      <c r="Q905" t="n">
        <v>0</v>
      </c>
      <c r="R905" s="2" t="inlineStr"/>
    </row>
    <row r="906" ht="15" customHeight="1">
      <c r="A906" t="inlineStr">
        <is>
          <t>A 6592-2020</t>
        </is>
      </c>
      <c r="B906" s="1" t="n">
        <v>43866</v>
      </c>
      <c r="C906" s="1" t="n">
        <v>45724</v>
      </c>
      <c r="D906" t="inlineStr">
        <is>
          <t>VÄSTMANLANDS LÄN</t>
        </is>
      </c>
      <c r="E906" t="inlineStr">
        <is>
          <t>VÄSTERÅS</t>
        </is>
      </c>
      <c r="G906" t="n">
        <v>1.7</v>
      </c>
      <c r="H906" t="n">
        <v>0</v>
      </c>
      <c r="I906" t="n">
        <v>0</v>
      </c>
      <c r="J906" t="n">
        <v>0</v>
      </c>
      <c r="K906" t="n">
        <v>0</v>
      </c>
      <c r="L906" t="n">
        <v>0</v>
      </c>
      <c r="M906" t="n">
        <v>0</v>
      </c>
      <c r="N906" t="n">
        <v>0</v>
      </c>
      <c r="O906" t="n">
        <v>0</v>
      </c>
      <c r="P906" t="n">
        <v>0</v>
      </c>
      <c r="Q906" t="n">
        <v>0</v>
      </c>
      <c r="R906" s="2" t="inlineStr"/>
    </row>
    <row r="907" ht="15" customHeight="1">
      <c r="A907" t="inlineStr">
        <is>
          <t>A 6583-2020</t>
        </is>
      </c>
      <c r="B907" s="1" t="n">
        <v>43866</v>
      </c>
      <c r="C907" s="1" t="n">
        <v>45724</v>
      </c>
      <c r="D907" t="inlineStr">
        <is>
          <t>VÄSTMANLANDS LÄN</t>
        </is>
      </c>
      <c r="E907" t="inlineStr">
        <is>
          <t>VÄSTERÅS</t>
        </is>
      </c>
      <c r="G907" t="n">
        <v>1.7</v>
      </c>
      <c r="H907" t="n">
        <v>0</v>
      </c>
      <c r="I907" t="n">
        <v>0</v>
      </c>
      <c r="J907" t="n">
        <v>0</v>
      </c>
      <c r="K907" t="n">
        <v>0</v>
      </c>
      <c r="L907" t="n">
        <v>0</v>
      </c>
      <c r="M907" t="n">
        <v>0</v>
      </c>
      <c r="N907" t="n">
        <v>0</v>
      </c>
      <c r="O907" t="n">
        <v>0</v>
      </c>
      <c r="P907" t="n">
        <v>0</v>
      </c>
      <c r="Q907" t="n">
        <v>0</v>
      </c>
      <c r="R907" s="2" t="inlineStr"/>
    </row>
    <row r="908" ht="15" customHeight="1">
      <c r="A908" t="inlineStr">
        <is>
          <t>A 6669-2020</t>
        </is>
      </c>
      <c r="B908" s="1" t="n">
        <v>43867</v>
      </c>
      <c r="C908" s="1" t="n">
        <v>45724</v>
      </c>
      <c r="D908" t="inlineStr">
        <is>
          <t>VÄSTMANLANDS LÄN</t>
        </is>
      </c>
      <c r="E908" t="inlineStr">
        <is>
          <t>VÄSTERÅS</t>
        </is>
      </c>
      <c r="G908" t="n">
        <v>2.2</v>
      </c>
      <c r="H908" t="n">
        <v>0</v>
      </c>
      <c r="I908" t="n">
        <v>0</v>
      </c>
      <c r="J908" t="n">
        <v>0</v>
      </c>
      <c r="K908" t="n">
        <v>0</v>
      </c>
      <c r="L908" t="n">
        <v>0</v>
      </c>
      <c r="M908" t="n">
        <v>0</v>
      </c>
      <c r="N908" t="n">
        <v>0</v>
      </c>
      <c r="O908" t="n">
        <v>0</v>
      </c>
      <c r="P908" t="n">
        <v>0</v>
      </c>
      <c r="Q908" t="n">
        <v>0</v>
      </c>
      <c r="R908" s="2" t="inlineStr"/>
    </row>
    <row r="909" ht="15" customHeight="1">
      <c r="A909" t="inlineStr">
        <is>
          <t>A 6664-2020</t>
        </is>
      </c>
      <c r="B909" s="1" t="n">
        <v>43867</v>
      </c>
      <c r="C909" s="1" t="n">
        <v>45724</v>
      </c>
      <c r="D909" t="inlineStr">
        <is>
          <t>VÄSTMANLANDS LÄN</t>
        </is>
      </c>
      <c r="E909" t="inlineStr">
        <is>
          <t>VÄSTERÅS</t>
        </is>
      </c>
      <c r="G909" t="n">
        <v>2.7</v>
      </c>
      <c r="H909" t="n">
        <v>0</v>
      </c>
      <c r="I909" t="n">
        <v>0</v>
      </c>
      <c r="J909" t="n">
        <v>0</v>
      </c>
      <c r="K909" t="n">
        <v>0</v>
      </c>
      <c r="L909" t="n">
        <v>0</v>
      </c>
      <c r="M909" t="n">
        <v>0</v>
      </c>
      <c r="N909" t="n">
        <v>0</v>
      </c>
      <c r="O909" t="n">
        <v>0</v>
      </c>
      <c r="P909" t="n">
        <v>0</v>
      </c>
      <c r="Q909" t="n">
        <v>0</v>
      </c>
      <c r="R909" s="2" t="inlineStr"/>
    </row>
    <row r="910" ht="15" customHeight="1">
      <c r="A910" t="inlineStr">
        <is>
          <t>A 6750-2020</t>
        </is>
      </c>
      <c r="B910" s="1" t="n">
        <v>43867</v>
      </c>
      <c r="C910" s="1" t="n">
        <v>45724</v>
      </c>
      <c r="D910" t="inlineStr">
        <is>
          <t>VÄSTMANLANDS LÄN</t>
        </is>
      </c>
      <c r="E910" t="inlineStr">
        <is>
          <t>VÄSTERÅS</t>
        </is>
      </c>
      <c r="F910" t="inlineStr">
        <is>
          <t>Kommuner</t>
        </is>
      </c>
      <c r="G910" t="n">
        <v>9.199999999999999</v>
      </c>
      <c r="H910" t="n">
        <v>0</v>
      </c>
      <c r="I910" t="n">
        <v>0</v>
      </c>
      <c r="J910" t="n">
        <v>0</v>
      </c>
      <c r="K910" t="n">
        <v>0</v>
      </c>
      <c r="L910" t="n">
        <v>0</v>
      </c>
      <c r="M910" t="n">
        <v>0</v>
      </c>
      <c r="N910" t="n">
        <v>0</v>
      </c>
      <c r="O910" t="n">
        <v>0</v>
      </c>
      <c r="P910" t="n">
        <v>0</v>
      </c>
      <c r="Q910" t="n">
        <v>0</v>
      </c>
      <c r="R910" s="2" t="inlineStr"/>
    </row>
    <row r="911" ht="15" customHeight="1">
      <c r="A911" t="inlineStr">
        <is>
          <t>A 6813-2020</t>
        </is>
      </c>
      <c r="B911" s="1" t="n">
        <v>43868</v>
      </c>
      <c r="C911" s="1" t="n">
        <v>45724</v>
      </c>
      <c r="D911" t="inlineStr">
        <is>
          <t>VÄSTMANLANDS LÄN</t>
        </is>
      </c>
      <c r="E911" t="inlineStr">
        <is>
          <t>HALLSTAHAMMAR</t>
        </is>
      </c>
      <c r="F911" t="inlineStr">
        <is>
          <t>Kyrkan</t>
        </is>
      </c>
      <c r="G911" t="n">
        <v>0.5</v>
      </c>
      <c r="H911" t="n">
        <v>0</v>
      </c>
      <c r="I911" t="n">
        <v>0</v>
      </c>
      <c r="J911" t="n">
        <v>0</v>
      </c>
      <c r="K911" t="n">
        <v>0</v>
      </c>
      <c r="L911" t="n">
        <v>0</v>
      </c>
      <c r="M911" t="n">
        <v>0</v>
      </c>
      <c r="N911" t="n">
        <v>0</v>
      </c>
      <c r="O911" t="n">
        <v>0</v>
      </c>
      <c r="P911" t="n">
        <v>0</v>
      </c>
      <c r="Q911" t="n">
        <v>0</v>
      </c>
      <c r="R911" s="2" t="inlineStr"/>
    </row>
    <row r="912" ht="15" customHeight="1">
      <c r="A912" t="inlineStr">
        <is>
          <t>A 6986-2020</t>
        </is>
      </c>
      <c r="B912" s="1" t="n">
        <v>43868</v>
      </c>
      <c r="C912" s="1" t="n">
        <v>45724</v>
      </c>
      <c r="D912" t="inlineStr">
        <is>
          <t>VÄSTMANLANDS LÄN</t>
        </is>
      </c>
      <c r="E912" t="inlineStr">
        <is>
          <t>ARBOGA</t>
        </is>
      </c>
      <c r="G912" t="n">
        <v>1.1</v>
      </c>
      <c r="H912" t="n">
        <v>0</v>
      </c>
      <c r="I912" t="n">
        <v>0</v>
      </c>
      <c r="J912" t="n">
        <v>0</v>
      </c>
      <c r="K912" t="n">
        <v>0</v>
      </c>
      <c r="L912" t="n">
        <v>0</v>
      </c>
      <c r="M912" t="n">
        <v>0</v>
      </c>
      <c r="N912" t="n">
        <v>0</v>
      </c>
      <c r="O912" t="n">
        <v>0</v>
      </c>
      <c r="P912" t="n">
        <v>0</v>
      </c>
      <c r="Q912" t="n">
        <v>0</v>
      </c>
      <c r="R912" s="2" t="inlineStr"/>
    </row>
    <row r="913" ht="15" customHeight="1">
      <c r="A913" t="inlineStr">
        <is>
          <t>A 7129-2020</t>
        </is>
      </c>
      <c r="B913" s="1" t="n">
        <v>43868</v>
      </c>
      <c r="C913" s="1" t="n">
        <v>45724</v>
      </c>
      <c r="D913" t="inlineStr">
        <is>
          <t>VÄSTMANLANDS LÄN</t>
        </is>
      </c>
      <c r="E913" t="inlineStr">
        <is>
          <t>ARBOGA</t>
        </is>
      </c>
      <c r="G913" t="n">
        <v>7.8</v>
      </c>
      <c r="H913" t="n">
        <v>0</v>
      </c>
      <c r="I913" t="n">
        <v>0</v>
      </c>
      <c r="J913" t="n">
        <v>0</v>
      </c>
      <c r="K913" t="n">
        <v>0</v>
      </c>
      <c r="L913" t="n">
        <v>0</v>
      </c>
      <c r="M913" t="n">
        <v>0</v>
      </c>
      <c r="N913" t="n">
        <v>0</v>
      </c>
      <c r="O913" t="n">
        <v>0</v>
      </c>
      <c r="P913" t="n">
        <v>0</v>
      </c>
      <c r="Q913" t="n">
        <v>0</v>
      </c>
      <c r="R913" s="2" t="inlineStr"/>
    </row>
    <row r="914" ht="15" customHeight="1">
      <c r="A914" t="inlineStr">
        <is>
          <t>A 7190-2020</t>
        </is>
      </c>
      <c r="B914" s="1" t="n">
        <v>43868</v>
      </c>
      <c r="C914" s="1" t="n">
        <v>45724</v>
      </c>
      <c r="D914" t="inlineStr">
        <is>
          <t>VÄSTMANLANDS LÄN</t>
        </is>
      </c>
      <c r="E914" t="inlineStr">
        <is>
          <t>SALA</t>
        </is>
      </c>
      <c r="G914" t="n">
        <v>4.5</v>
      </c>
      <c r="H914" t="n">
        <v>0</v>
      </c>
      <c r="I914" t="n">
        <v>0</v>
      </c>
      <c r="J914" t="n">
        <v>0</v>
      </c>
      <c r="K914" t="n">
        <v>0</v>
      </c>
      <c r="L914" t="n">
        <v>0</v>
      </c>
      <c r="M914" t="n">
        <v>0</v>
      </c>
      <c r="N914" t="n">
        <v>0</v>
      </c>
      <c r="O914" t="n">
        <v>0</v>
      </c>
      <c r="P914" t="n">
        <v>0</v>
      </c>
      <c r="Q914" t="n">
        <v>0</v>
      </c>
      <c r="R914" s="2" t="inlineStr"/>
    </row>
    <row r="915" ht="15" customHeight="1">
      <c r="A915" t="inlineStr">
        <is>
          <t>A 6979-2020</t>
        </is>
      </c>
      <c r="B915" s="1" t="n">
        <v>43868</v>
      </c>
      <c r="C915" s="1" t="n">
        <v>45724</v>
      </c>
      <c r="D915" t="inlineStr">
        <is>
          <t>VÄSTMANLANDS LÄN</t>
        </is>
      </c>
      <c r="E915" t="inlineStr">
        <is>
          <t>KUNGSÖR</t>
        </is>
      </c>
      <c r="G915" t="n">
        <v>4.6</v>
      </c>
      <c r="H915" t="n">
        <v>0</v>
      </c>
      <c r="I915" t="n">
        <v>0</v>
      </c>
      <c r="J915" t="n">
        <v>0</v>
      </c>
      <c r="K915" t="n">
        <v>0</v>
      </c>
      <c r="L915" t="n">
        <v>0</v>
      </c>
      <c r="M915" t="n">
        <v>0</v>
      </c>
      <c r="N915" t="n">
        <v>0</v>
      </c>
      <c r="O915" t="n">
        <v>0</v>
      </c>
      <c r="P915" t="n">
        <v>0</v>
      </c>
      <c r="Q915" t="n">
        <v>0</v>
      </c>
      <c r="R915" s="2" t="inlineStr"/>
    </row>
    <row r="916" ht="15" customHeight="1">
      <c r="A916" t="inlineStr">
        <is>
          <t>A 6988-2020</t>
        </is>
      </c>
      <c r="B916" s="1" t="n">
        <v>43868</v>
      </c>
      <c r="C916" s="1" t="n">
        <v>45724</v>
      </c>
      <c r="D916" t="inlineStr">
        <is>
          <t>VÄSTMANLANDS LÄN</t>
        </is>
      </c>
      <c r="E916" t="inlineStr">
        <is>
          <t>ARBOGA</t>
        </is>
      </c>
      <c r="G916" t="n">
        <v>1.5</v>
      </c>
      <c r="H916" t="n">
        <v>0</v>
      </c>
      <c r="I916" t="n">
        <v>0</v>
      </c>
      <c r="J916" t="n">
        <v>0</v>
      </c>
      <c r="K916" t="n">
        <v>0</v>
      </c>
      <c r="L916" t="n">
        <v>0</v>
      </c>
      <c r="M916" t="n">
        <v>0</v>
      </c>
      <c r="N916" t="n">
        <v>0</v>
      </c>
      <c r="O916" t="n">
        <v>0</v>
      </c>
      <c r="P916" t="n">
        <v>0</v>
      </c>
      <c r="Q916" t="n">
        <v>0</v>
      </c>
      <c r="R916" s="2" t="inlineStr"/>
    </row>
    <row r="917" ht="15" customHeight="1">
      <c r="A917" t="inlineStr">
        <is>
          <t>A 6987-2020</t>
        </is>
      </c>
      <c r="B917" s="1" t="n">
        <v>43868</v>
      </c>
      <c r="C917" s="1" t="n">
        <v>45724</v>
      </c>
      <c r="D917" t="inlineStr">
        <is>
          <t>VÄSTMANLANDS LÄN</t>
        </is>
      </c>
      <c r="E917" t="inlineStr">
        <is>
          <t>ARBOGA</t>
        </is>
      </c>
      <c r="G917" t="n">
        <v>0.8</v>
      </c>
      <c r="H917" t="n">
        <v>0</v>
      </c>
      <c r="I917" t="n">
        <v>0</v>
      </c>
      <c r="J917" t="n">
        <v>0</v>
      </c>
      <c r="K917" t="n">
        <v>0</v>
      </c>
      <c r="L917" t="n">
        <v>0</v>
      </c>
      <c r="M917" t="n">
        <v>0</v>
      </c>
      <c r="N917" t="n">
        <v>0</v>
      </c>
      <c r="O917" t="n">
        <v>0</v>
      </c>
      <c r="P917" t="n">
        <v>0</v>
      </c>
      <c r="Q917" t="n">
        <v>0</v>
      </c>
      <c r="R917" s="2" t="inlineStr"/>
    </row>
    <row r="918" ht="15" customHeight="1">
      <c r="A918" t="inlineStr">
        <is>
          <t>A 7125-2020</t>
        </is>
      </c>
      <c r="B918" s="1" t="n">
        <v>43868</v>
      </c>
      <c r="C918" s="1" t="n">
        <v>45724</v>
      </c>
      <c r="D918" t="inlineStr">
        <is>
          <t>VÄSTMANLANDS LÄN</t>
        </is>
      </c>
      <c r="E918" t="inlineStr">
        <is>
          <t>ARBOGA</t>
        </is>
      </c>
      <c r="G918" t="n">
        <v>1.1</v>
      </c>
      <c r="H918" t="n">
        <v>0</v>
      </c>
      <c r="I918" t="n">
        <v>0</v>
      </c>
      <c r="J918" t="n">
        <v>0</v>
      </c>
      <c r="K918" t="n">
        <v>0</v>
      </c>
      <c r="L918" t="n">
        <v>0</v>
      </c>
      <c r="M918" t="n">
        <v>0</v>
      </c>
      <c r="N918" t="n">
        <v>0</v>
      </c>
      <c r="O918" t="n">
        <v>0</v>
      </c>
      <c r="P918" t="n">
        <v>0</v>
      </c>
      <c r="Q918" t="n">
        <v>0</v>
      </c>
      <c r="R918" s="2" t="inlineStr"/>
    </row>
    <row r="919" ht="15" customHeight="1">
      <c r="A919" t="inlineStr">
        <is>
          <t>A 7143-2020</t>
        </is>
      </c>
      <c r="B919" s="1" t="n">
        <v>43869</v>
      </c>
      <c r="C919" s="1" t="n">
        <v>45724</v>
      </c>
      <c r="D919" t="inlineStr">
        <is>
          <t>VÄSTMANLANDS LÄN</t>
        </is>
      </c>
      <c r="E919" t="inlineStr">
        <is>
          <t>KUNGSÖR</t>
        </is>
      </c>
      <c r="G919" t="n">
        <v>4.2</v>
      </c>
      <c r="H919" t="n">
        <v>0</v>
      </c>
      <c r="I919" t="n">
        <v>0</v>
      </c>
      <c r="J919" t="n">
        <v>0</v>
      </c>
      <c r="K919" t="n">
        <v>0</v>
      </c>
      <c r="L919" t="n">
        <v>0</v>
      </c>
      <c r="M919" t="n">
        <v>0</v>
      </c>
      <c r="N919" t="n">
        <v>0</v>
      </c>
      <c r="O919" t="n">
        <v>0</v>
      </c>
      <c r="P919" t="n">
        <v>0</v>
      </c>
      <c r="Q919" t="n">
        <v>0</v>
      </c>
      <c r="R919" s="2" t="inlineStr"/>
    </row>
    <row r="920" ht="15" customHeight="1">
      <c r="A920" t="inlineStr">
        <is>
          <t>A 7139-2020</t>
        </is>
      </c>
      <c r="B920" s="1" t="n">
        <v>43869</v>
      </c>
      <c r="C920" s="1" t="n">
        <v>45724</v>
      </c>
      <c r="D920" t="inlineStr">
        <is>
          <t>VÄSTMANLANDS LÄN</t>
        </is>
      </c>
      <c r="E920" t="inlineStr">
        <is>
          <t>VÄSTERÅS</t>
        </is>
      </c>
      <c r="G920" t="n">
        <v>1.7</v>
      </c>
      <c r="H920" t="n">
        <v>0</v>
      </c>
      <c r="I920" t="n">
        <v>0</v>
      </c>
      <c r="J920" t="n">
        <v>0</v>
      </c>
      <c r="K920" t="n">
        <v>0</v>
      </c>
      <c r="L920" t="n">
        <v>0</v>
      </c>
      <c r="M920" t="n">
        <v>0</v>
      </c>
      <c r="N920" t="n">
        <v>0</v>
      </c>
      <c r="O920" t="n">
        <v>0</v>
      </c>
      <c r="P920" t="n">
        <v>0</v>
      </c>
      <c r="Q920" t="n">
        <v>0</v>
      </c>
      <c r="R920" s="2" t="inlineStr"/>
    </row>
    <row r="921" ht="15" customHeight="1">
      <c r="A921" t="inlineStr">
        <is>
          <t>A 7144-2020</t>
        </is>
      </c>
      <c r="B921" s="1" t="n">
        <v>43869</v>
      </c>
      <c r="C921" s="1" t="n">
        <v>45724</v>
      </c>
      <c r="D921" t="inlineStr">
        <is>
          <t>VÄSTMANLANDS LÄN</t>
        </is>
      </c>
      <c r="E921" t="inlineStr">
        <is>
          <t>ARBOGA</t>
        </is>
      </c>
      <c r="G921" t="n">
        <v>7.5</v>
      </c>
      <c r="H921" t="n">
        <v>0</v>
      </c>
      <c r="I921" t="n">
        <v>0</v>
      </c>
      <c r="J921" t="n">
        <v>0</v>
      </c>
      <c r="K921" t="n">
        <v>0</v>
      </c>
      <c r="L921" t="n">
        <v>0</v>
      </c>
      <c r="M921" t="n">
        <v>0</v>
      </c>
      <c r="N921" t="n">
        <v>0</v>
      </c>
      <c r="O921" t="n">
        <v>0</v>
      </c>
      <c r="P921" t="n">
        <v>0</v>
      </c>
      <c r="Q921" t="n">
        <v>0</v>
      </c>
      <c r="R921" s="2" t="inlineStr"/>
    </row>
    <row r="922" ht="15" customHeight="1">
      <c r="A922" t="inlineStr">
        <is>
          <t>A 7260-2020</t>
        </is>
      </c>
      <c r="B922" s="1" t="n">
        <v>43871</v>
      </c>
      <c r="C922" s="1" t="n">
        <v>45724</v>
      </c>
      <c r="D922" t="inlineStr">
        <is>
          <t>VÄSTMANLANDS LÄN</t>
        </is>
      </c>
      <c r="E922" t="inlineStr">
        <is>
          <t>KUNGSÖR</t>
        </is>
      </c>
      <c r="F922" t="inlineStr">
        <is>
          <t>Allmännings- och besparingsskogar</t>
        </is>
      </c>
      <c r="G922" t="n">
        <v>3.1</v>
      </c>
      <c r="H922" t="n">
        <v>0</v>
      </c>
      <c r="I922" t="n">
        <v>0</v>
      </c>
      <c r="J922" t="n">
        <v>0</v>
      </c>
      <c r="K922" t="n">
        <v>0</v>
      </c>
      <c r="L922" t="n">
        <v>0</v>
      </c>
      <c r="M922" t="n">
        <v>0</v>
      </c>
      <c r="N922" t="n">
        <v>0</v>
      </c>
      <c r="O922" t="n">
        <v>0</v>
      </c>
      <c r="P922" t="n">
        <v>0</v>
      </c>
      <c r="Q922" t="n">
        <v>0</v>
      </c>
      <c r="R922" s="2" t="inlineStr"/>
    </row>
    <row r="923" ht="15" customHeight="1">
      <c r="A923" t="inlineStr">
        <is>
          <t>A 7294-2020</t>
        </is>
      </c>
      <c r="B923" s="1" t="n">
        <v>43871</v>
      </c>
      <c r="C923" s="1" t="n">
        <v>45724</v>
      </c>
      <c r="D923" t="inlineStr">
        <is>
          <t>VÄSTMANLANDS LÄN</t>
        </is>
      </c>
      <c r="E923" t="inlineStr">
        <is>
          <t>KÖPING</t>
        </is>
      </c>
      <c r="F923" t="inlineStr">
        <is>
          <t>Allmännings- och besparingsskogar</t>
        </is>
      </c>
      <c r="G923" t="n">
        <v>31.2</v>
      </c>
      <c r="H923" t="n">
        <v>0</v>
      </c>
      <c r="I923" t="n">
        <v>0</v>
      </c>
      <c r="J923" t="n">
        <v>0</v>
      </c>
      <c r="K923" t="n">
        <v>0</v>
      </c>
      <c r="L923" t="n">
        <v>0</v>
      </c>
      <c r="M923" t="n">
        <v>0</v>
      </c>
      <c r="N923" t="n">
        <v>0</v>
      </c>
      <c r="O923" t="n">
        <v>0</v>
      </c>
      <c r="P923" t="n">
        <v>0</v>
      </c>
      <c r="Q923" t="n">
        <v>0</v>
      </c>
      <c r="R923" s="2" t="inlineStr"/>
    </row>
    <row r="924" ht="15" customHeight="1">
      <c r="A924" t="inlineStr">
        <is>
          <t>A 7269-2020</t>
        </is>
      </c>
      <c r="B924" s="1" t="n">
        <v>43871</v>
      </c>
      <c r="C924" s="1" t="n">
        <v>45724</v>
      </c>
      <c r="D924" t="inlineStr">
        <is>
          <t>VÄSTMANLANDS LÄN</t>
        </is>
      </c>
      <c r="E924" t="inlineStr">
        <is>
          <t>SKINNSKATTEBERG</t>
        </is>
      </c>
      <c r="G924" t="n">
        <v>2.5</v>
      </c>
      <c r="H924" t="n">
        <v>0</v>
      </c>
      <c r="I924" t="n">
        <v>0</v>
      </c>
      <c r="J924" t="n">
        <v>0</v>
      </c>
      <c r="K924" t="n">
        <v>0</v>
      </c>
      <c r="L924" t="n">
        <v>0</v>
      </c>
      <c r="M924" t="n">
        <v>0</v>
      </c>
      <c r="N924" t="n">
        <v>0</v>
      </c>
      <c r="O924" t="n">
        <v>0</v>
      </c>
      <c r="P924" t="n">
        <v>0</v>
      </c>
      <c r="Q924" t="n">
        <v>0</v>
      </c>
      <c r="R924" s="2" t="inlineStr"/>
    </row>
    <row r="925" ht="15" customHeight="1">
      <c r="A925" t="inlineStr">
        <is>
          <t>A 7310-2020</t>
        </is>
      </c>
      <c r="B925" s="1" t="n">
        <v>43871</v>
      </c>
      <c r="C925" s="1" t="n">
        <v>45724</v>
      </c>
      <c r="D925" t="inlineStr">
        <is>
          <t>VÄSTMANLANDS LÄN</t>
        </is>
      </c>
      <c r="E925" t="inlineStr">
        <is>
          <t>KUNGSÖR</t>
        </is>
      </c>
      <c r="F925" t="inlineStr">
        <is>
          <t>Allmännings- och besparingsskogar</t>
        </is>
      </c>
      <c r="G925" t="n">
        <v>1.1</v>
      </c>
      <c r="H925" t="n">
        <v>0</v>
      </c>
      <c r="I925" t="n">
        <v>0</v>
      </c>
      <c r="J925" t="n">
        <v>0</v>
      </c>
      <c r="K925" t="n">
        <v>0</v>
      </c>
      <c r="L925" t="n">
        <v>0</v>
      </c>
      <c r="M925" t="n">
        <v>0</v>
      </c>
      <c r="N925" t="n">
        <v>0</v>
      </c>
      <c r="O925" t="n">
        <v>0</v>
      </c>
      <c r="P925" t="n">
        <v>0</v>
      </c>
      <c r="Q925" t="n">
        <v>0</v>
      </c>
      <c r="R925" s="2" t="inlineStr"/>
    </row>
    <row r="926" ht="15" customHeight="1">
      <c r="A926" t="inlineStr">
        <is>
          <t>A 7298-2020</t>
        </is>
      </c>
      <c r="B926" s="1" t="n">
        <v>43871</v>
      </c>
      <c r="C926" s="1" t="n">
        <v>45724</v>
      </c>
      <c r="D926" t="inlineStr">
        <is>
          <t>VÄSTMANLANDS LÄN</t>
        </is>
      </c>
      <c r="E926" t="inlineStr">
        <is>
          <t>ARBOGA</t>
        </is>
      </c>
      <c r="F926" t="inlineStr">
        <is>
          <t>Allmännings- och besparingsskogar</t>
        </is>
      </c>
      <c r="G926" t="n">
        <v>16.9</v>
      </c>
      <c r="H926" t="n">
        <v>0</v>
      </c>
      <c r="I926" t="n">
        <v>0</v>
      </c>
      <c r="J926" t="n">
        <v>0</v>
      </c>
      <c r="K926" t="n">
        <v>0</v>
      </c>
      <c r="L926" t="n">
        <v>0</v>
      </c>
      <c r="M926" t="n">
        <v>0</v>
      </c>
      <c r="N926" t="n">
        <v>0</v>
      </c>
      <c r="O926" t="n">
        <v>0</v>
      </c>
      <c r="P926" t="n">
        <v>0</v>
      </c>
      <c r="Q926" t="n">
        <v>0</v>
      </c>
      <c r="R926" s="2" t="inlineStr"/>
    </row>
    <row r="927" ht="15" customHeight="1">
      <c r="A927" t="inlineStr">
        <is>
          <t>A 7250-2020</t>
        </is>
      </c>
      <c r="B927" s="1" t="n">
        <v>43871</v>
      </c>
      <c r="C927" s="1" t="n">
        <v>45724</v>
      </c>
      <c r="D927" t="inlineStr">
        <is>
          <t>VÄSTMANLANDS LÄN</t>
        </is>
      </c>
      <c r="E927" t="inlineStr">
        <is>
          <t>HALLSTAHAMMAR</t>
        </is>
      </c>
      <c r="G927" t="n">
        <v>1</v>
      </c>
      <c r="H927" t="n">
        <v>0</v>
      </c>
      <c r="I927" t="n">
        <v>0</v>
      </c>
      <c r="J927" t="n">
        <v>0</v>
      </c>
      <c r="K927" t="n">
        <v>0</v>
      </c>
      <c r="L927" t="n">
        <v>0</v>
      </c>
      <c r="M927" t="n">
        <v>0</v>
      </c>
      <c r="N927" t="n">
        <v>0</v>
      </c>
      <c r="O927" t="n">
        <v>0</v>
      </c>
      <c r="P927" t="n">
        <v>0</v>
      </c>
      <c r="Q927" t="n">
        <v>0</v>
      </c>
      <c r="R927" s="2" t="inlineStr"/>
    </row>
    <row r="928" ht="15" customHeight="1">
      <c r="A928" t="inlineStr">
        <is>
          <t>A 7612-2020</t>
        </is>
      </c>
      <c r="B928" s="1" t="n">
        <v>43872</v>
      </c>
      <c r="C928" s="1" t="n">
        <v>45724</v>
      </c>
      <c r="D928" t="inlineStr">
        <is>
          <t>VÄSTMANLANDS LÄN</t>
        </is>
      </c>
      <c r="E928" t="inlineStr">
        <is>
          <t>ARBOGA</t>
        </is>
      </c>
      <c r="G928" t="n">
        <v>2.4</v>
      </c>
      <c r="H928" t="n">
        <v>0</v>
      </c>
      <c r="I928" t="n">
        <v>0</v>
      </c>
      <c r="J928" t="n">
        <v>0</v>
      </c>
      <c r="K928" t="n">
        <v>0</v>
      </c>
      <c r="L928" t="n">
        <v>0</v>
      </c>
      <c r="M928" t="n">
        <v>0</v>
      </c>
      <c r="N928" t="n">
        <v>0</v>
      </c>
      <c r="O928" t="n">
        <v>0</v>
      </c>
      <c r="P928" t="n">
        <v>0</v>
      </c>
      <c r="Q928" t="n">
        <v>0</v>
      </c>
      <c r="R928" s="2" t="inlineStr"/>
    </row>
    <row r="929" ht="15" customHeight="1">
      <c r="A929" t="inlineStr">
        <is>
          <t>A 7735-2020</t>
        </is>
      </c>
      <c r="B929" s="1" t="n">
        <v>43872</v>
      </c>
      <c r="C929" s="1" t="n">
        <v>45724</v>
      </c>
      <c r="D929" t="inlineStr">
        <is>
          <t>VÄSTMANLANDS LÄN</t>
        </is>
      </c>
      <c r="E929" t="inlineStr">
        <is>
          <t>NORBERG</t>
        </is>
      </c>
      <c r="G929" t="n">
        <v>1.4</v>
      </c>
      <c r="H929" t="n">
        <v>0</v>
      </c>
      <c r="I929" t="n">
        <v>0</v>
      </c>
      <c r="J929" t="n">
        <v>0</v>
      </c>
      <c r="K929" t="n">
        <v>0</v>
      </c>
      <c r="L929" t="n">
        <v>0</v>
      </c>
      <c r="M929" t="n">
        <v>0</v>
      </c>
      <c r="N929" t="n">
        <v>0</v>
      </c>
      <c r="O929" t="n">
        <v>0</v>
      </c>
      <c r="P929" t="n">
        <v>0</v>
      </c>
      <c r="Q929" t="n">
        <v>0</v>
      </c>
      <c r="R929" s="2" t="inlineStr"/>
    </row>
    <row r="930" ht="15" customHeight="1">
      <c r="A930" t="inlineStr">
        <is>
          <t>A 8007-2020</t>
        </is>
      </c>
      <c r="B930" s="1" t="n">
        <v>43873</v>
      </c>
      <c r="C930" s="1" t="n">
        <v>45724</v>
      </c>
      <c r="D930" t="inlineStr">
        <is>
          <t>VÄSTMANLANDS LÄN</t>
        </is>
      </c>
      <c r="E930" t="inlineStr">
        <is>
          <t>HALLSTAHAMMAR</t>
        </is>
      </c>
      <c r="G930" t="n">
        <v>1.6</v>
      </c>
      <c r="H930" t="n">
        <v>0</v>
      </c>
      <c r="I930" t="n">
        <v>0</v>
      </c>
      <c r="J930" t="n">
        <v>0</v>
      </c>
      <c r="K930" t="n">
        <v>0</v>
      </c>
      <c r="L930" t="n">
        <v>0</v>
      </c>
      <c r="M930" t="n">
        <v>0</v>
      </c>
      <c r="N930" t="n">
        <v>0</v>
      </c>
      <c r="O930" t="n">
        <v>0</v>
      </c>
      <c r="P930" t="n">
        <v>0</v>
      </c>
      <c r="Q930" t="n">
        <v>0</v>
      </c>
      <c r="R930" s="2" t="inlineStr"/>
    </row>
    <row r="931" ht="15" customHeight="1">
      <c r="A931" t="inlineStr">
        <is>
          <t>A 8012-2020</t>
        </is>
      </c>
      <c r="B931" s="1" t="n">
        <v>43873</v>
      </c>
      <c r="C931" s="1" t="n">
        <v>45724</v>
      </c>
      <c r="D931" t="inlineStr">
        <is>
          <t>VÄSTMANLANDS LÄN</t>
        </is>
      </c>
      <c r="E931" t="inlineStr">
        <is>
          <t>HALLSTAHAMMAR</t>
        </is>
      </c>
      <c r="G931" t="n">
        <v>8.9</v>
      </c>
      <c r="H931" t="n">
        <v>0</v>
      </c>
      <c r="I931" t="n">
        <v>0</v>
      </c>
      <c r="J931" t="n">
        <v>0</v>
      </c>
      <c r="K931" t="n">
        <v>0</v>
      </c>
      <c r="L931" t="n">
        <v>0</v>
      </c>
      <c r="M931" t="n">
        <v>0</v>
      </c>
      <c r="N931" t="n">
        <v>0</v>
      </c>
      <c r="O931" t="n">
        <v>0</v>
      </c>
      <c r="P931" t="n">
        <v>0</v>
      </c>
      <c r="Q931" t="n">
        <v>0</v>
      </c>
      <c r="R931" s="2" t="inlineStr"/>
    </row>
    <row r="932" ht="15" customHeight="1">
      <c r="A932" t="inlineStr">
        <is>
          <t>A 7797-2020</t>
        </is>
      </c>
      <c r="B932" s="1" t="n">
        <v>43873</v>
      </c>
      <c r="C932" s="1" t="n">
        <v>45724</v>
      </c>
      <c r="D932" t="inlineStr">
        <is>
          <t>VÄSTMANLANDS LÄN</t>
        </is>
      </c>
      <c r="E932" t="inlineStr">
        <is>
          <t>SKINNSKATTEBERG</t>
        </is>
      </c>
      <c r="F932" t="inlineStr">
        <is>
          <t>Sveaskog</t>
        </is>
      </c>
      <c r="G932" t="n">
        <v>1.5</v>
      </c>
      <c r="H932" t="n">
        <v>0</v>
      </c>
      <c r="I932" t="n">
        <v>0</v>
      </c>
      <c r="J932" t="n">
        <v>0</v>
      </c>
      <c r="K932" t="n">
        <v>0</v>
      </c>
      <c r="L932" t="n">
        <v>0</v>
      </c>
      <c r="M932" t="n">
        <v>0</v>
      </c>
      <c r="N932" t="n">
        <v>0</v>
      </c>
      <c r="O932" t="n">
        <v>0</v>
      </c>
      <c r="P932" t="n">
        <v>0</v>
      </c>
      <c r="Q932" t="n">
        <v>0</v>
      </c>
      <c r="R932" s="2" t="inlineStr"/>
    </row>
    <row r="933" ht="15" customHeight="1">
      <c r="A933" t="inlineStr">
        <is>
          <t>A 8147-2020</t>
        </is>
      </c>
      <c r="B933" s="1" t="n">
        <v>43874</v>
      </c>
      <c r="C933" s="1" t="n">
        <v>45724</v>
      </c>
      <c r="D933" t="inlineStr">
        <is>
          <t>VÄSTMANLANDS LÄN</t>
        </is>
      </c>
      <c r="E933" t="inlineStr">
        <is>
          <t>KUNGSÖR</t>
        </is>
      </c>
      <c r="G933" t="n">
        <v>4</v>
      </c>
      <c r="H933" t="n">
        <v>0</v>
      </c>
      <c r="I933" t="n">
        <v>0</v>
      </c>
      <c r="J933" t="n">
        <v>0</v>
      </c>
      <c r="K933" t="n">
        <v>0</v>
      </c>
      <c r="L933" t="n">
        <v>0</v>
      </c>
      <c r="M933" t="n">
        <v>0</v>
      </c>
      <c r="N933" t="n">
        <v>0</v>
      </c>
      <c r="O933" t="n">
        <v>0</v>
      </c>
      <c r="P933" t="n">
        <v>0</v>
      </c>
      <c r="Q933" t="n">
        <v>0</v>
      </c>
      <c r="R933" s="2" t="inlineStr"/>
    </row>
    <row r="934" ht="15" customHeight="1">
      <c r="A934" t="inlineStr">
        <is>
          <t>A 8145-2020</t>
        </is>
      </c>
      <c r="B934" s="1" t="n">
        <v>43874</v>
      </c>
      <c r="C934" s="1" t="n">
        <v>45724</v>
      </c>
      <c r="D934" t="inlineStr">
        <is>
          <t>VÄSTMANLANDS LÄN</t>
        </is>
      </c>
      <c r="E934" t="inlineStr">
        <is>
          <t>KUNGSÖR</t>
        </is>
      </c>
      <c r="G934" t="n">
        <v>3.7</v>
      </c>
      <c r="H934" t="n">
        <v>0</v>
      </c>
      <c r="I934" t="n">
        <v>0</v>
      </c>
      <c r="J934" t="n">
        <v>0</v>
      </c>
      <c r="K934" t="n">
        <v>0</v>
      </c>
      <c r="L934" t="n">
        <v>0</v>
      </c>
      <c r="M934" t="n">
        <v>0</v>
      </c>
      <c r="N934" t="n">
        <v>0</v>
      </c>
      <c r="O934" t="n">
        <v>0</v>
      </c>
      <c r="P934" t="n">
        <v>0</v>
      </c>
      <c r="Q934" t="n">
        <v>0</v>
      </c>
      <c r="R934" s="2" t="inlineStr"/>
    </row>
    <row r="935" ht="15" customHeight="1">
      <c r="A935" t="inlineStr">
        <is>
          <t>A 8174-2020</t>
        </is>
      </c>
      <c r="B935" s="1" t="n">
        <v>43874</v>
      </c>
      <c r="C935" s="1" t="n">
        <v>45724</v>
      </c>
      <c r="D935" t="inlineStr">
        <is>
          <t>VÄSTMANLANDS LÄN</t>
        </is>
      </c>
      <c r="E935" t="inlineStr">
        <is>
          <t>HALLSTAHAMMAR</t>
        </is>
      </c>
      <c r="G935" t="n">
        <v>0.7</v>
      </c>
      <c r="H935" t="n">
        <v>0</v>
      </c>
      <c r="I935" t="n">
        <v>0</v>
      </c>
      <c r="J935" t="n">
        <v>0</v>
      </c>
      <c r="K935" t="n">
        <v>0</v>
      </c>
      <c r="L935" t="n">
        <v>0</v>
      </c>
      <c r="M935" t="n">
        <v>0</v>
      </c>
      <c r="N935" t="n">
        <v>0</v>
      </c>
      <c r="O935" t="n">
        <v>0</v>
      </c>
      <c r="P935" t="n">
        <v>0</v>
      </c>
      <c r="Q935" t="n">
        <v>0</v>
      </c>
      <c r="R935" s="2" t="inlineStr"/>
    </row>
    <row r="936" ht="15" customHeight="1">
      <c r="A936" t="inlineStr">
        <is>
          <t>A 8112-2020</t>
        </is>
      </c>
      <c r="B936" s="1" t="n">
        <v>43874</v>
      </c>
      <c r="C936" s="1" t="n">
        <v>45724</v>
      </c>
      <c r="D936" t="inlineStr">
        <is>
          <t>VÄSTMANLANDS LÄN</t>
        </is>
      </c>
      <c r="E936" t="inlineStr">
        <is>
          <t>FAGERSTA</t>
        </is>
      </c>
      <c r="G936" t="n">
        <v>12.5</v>
      </c>
      <c r="H936" t="n">
        <v>0</v>
      </c>
      <c r="I936" t="n">
        <v>0</v>
      </c>
      <c r="J936" t="n">
        <v>0</v>
      </c>
      <c r="K936" t="n">
        <v>0</v>
      </c>
      <c r="L936" t="n">
        <v>0</v>
      </c>
      <c r="M936" t="n">
        <v>0</v>
      </c>
      <c r="N936" t="n">
        <v>0</v>
      </c>
      <c r="O936" t="n">
        <v>0</v>
      </c>
      <c r="P936" t="n">
        <v>0</v>
      </c>
      <c r="Q936" t="n">
        <v>0</v>
      </c>
      <c r="R936" s="2" t="inlineStr"/>
    </row>
    <row r="937" ht="15" customHeight="1">
      <c r="A937" t="inlineStr">
        <is>
          <t>A 8462-2020</t>
        </is>
      </c>
      <c r="B937" s="1" t="n">
        <v>43875</v>
      </c>
      <c r="C937" s="1" t="n">
        <v>45724</v>
      </c>
      <c r="D937" t="inlineStr">
        <is>
          <t>VÄSTMANLANDS LÄN</t>
        </is>
      </c>
      <c r="E937" t="inlineStr">
        <is>
          <t>HALLSTAHAMMAR</t>
        </is>
      </c>
      <c r="G937" t="n">
        <v>1.2</v>
      </c>
      <c r="H937" t="n">
        <v>0</v>
      </c>
      <c r="I937" t="n">
        <v>0</v>
      </c>
      <c r="J937" t="n">
        <v>0</v>
      </c>
      <c r="K937" t="n">
        <v>0</v>
      </c>
      <c r="L937" t="n">
        <v>0</v>
      </c>
      <c r="M937" t="n">
        <v>0</v>
      </c>
      <c r="N937" t="n">
        <v>0</v>
      </c>
      <c r="O937" t="n">
        <v>0</v>
      </c>
      <c r="P937" t="n">
        <v>0</v>
      </c>
      <c r="Q937" t="n">
        <v>0</v>
      </c>
      <c r="R937" s="2" t="inlineStr"/>
    </row>
    <row r="938" ht="15" customHeight="1">
      <c r="A938" t="inlineStr">
        <is>
          <t>A 8497-2020</t>
        </is>
      </c>
      <c r="B938" s="1" t="n">
        <v>43875</v>
      </c>
      <c r="C938" s="1" t="n">
        <v>45724</v>
      </c>
      <c r="D938" t="inlineStr">
        <is>
          <t>VÄSTMANLANDS LÄN</t>
        </is>
      </c>
      <c r="E938" t="inlineStr">
        <is>
          <t>ARBOGA</t>
        </is>
      </c>
      <c r="G938" t="n">
        <v>8.800000000000001</v>
      </c>
      <c r="H938" t="n">
        <v>0</v>
      </c>
      <c r="I938" t="n">
        <v>0</v>
      </c>
      <c r="J938" t="n">
        <v>0</v>
      </c>
      <c r="K938" t="n">
        <v>0</v>
      </c>
      <c r="L938" t="n">
        <v>0</v>
      </c>
      <c r="M938" t="n">
        <v>0</v>
      </c>
      <c r="N938" t="n">
        <v>0</v>
      </c>
      <c r="O938" t="n">
        <v>0</v>
      </c>
      <c r="P938" t="n">
        <v>0</v>
      </c>
      <c r="Q938" t="n">
        <v>0</v>
      </c>
      <c r="R938" s="2" t="inlineStr"/>
    </row>
    <row r="939" ht="15" customHeight="1">
      <c r="A939" t="inlineStr">
        <is>
          <t>A 8644-2020</t>
        </is>
      </c>
      <c r="B939" s="1" t="n">
        <v>43878</v>
      </c>
      <c r="C939" s="1" t="n">
        <v>45724</v>
      </c>
      <c r="D939" t="inlineStr">
        <is>
          <t>VÄSTMANLANDS LÄN</t>
        </is>
      </c>
      <c r="E939" t="inlineStr">
        <is>
          <t>VÄSTERÅS</t>
        </is>
      </c>
      <c r="G939" t="n">
        <v>0.8</v>
      </c>
      <c r="H939" t="n">
        <v>0</v>
      </c>
      <c r="I939" t="n">
        <v>0</v>
      </c>
      <c r="J939" t="n">
        <v>0</v>
      </c>
      <c r="K939" t="n">
        <v>0</v>
      </c>
      <c r="L939" t="n">
        <v>0</v>
      </c>
      <c r="M939" t="n">
        <v>0</v>
      </c>
      <c r="N939" t="n">
        <v>0</v>
      </c>
      <c r="O939" t="n">
        <v>0</v>
      </c>
      <c r="P939" t="n">
        <v>0</v>
      </c>
      <c r="Q939" t="n">
        <v>0</v>
      </c>
      <c r="R939" s="2" t="inlineStr"/>
    </row>
    <row r="940" ht="15" customHeight="1">
      <c r="A940" t="inlineStr">
        <is>
          <t>A 8608-2020</t>
        </is>
      </c>
      <c r="B940" s="1" t="n">
        <v>43878</v>
      </c>
      <c r="C940" s="1" t="n">
        <v>45724</v>
      </c>
      <c r="D940" t="inlineStr">
        <is>
          <t>VÄSTMANLANDS LÄN</t>
        </is>
      </c>
      <c r="E940" t="inlineStr">
        <is>
          <t>SURAHAMMAR</t>
        </is>
      </c>
      <c r="F940" t="inlineStr">
        <is>
          <t>Övriga Aktiebolag</t>
        </is>
      </c>
      <c r="G940" t="n">
        <v>20.2</v>
      </c>
      <c r="H940" t="n">
        <v>0</v>
      </c>
      <c r="I940" t="n">
        <v>0</v>
      </c>
      <c r="J940" t="n">
        <v>0</v>
      </c>
      <c r="K940" t="n">
        <v>0</v>
      </c>
      <c r="L940" t="n">
        <v>0</v>
      </c>
      <c r="M940" t="n">
        <v>0</v>
      </c>
      <c r="N940" t="n">
        <v>0</v>
      </c>
      <c r="O940" t="n">
        <v>0</v>
      </c>
      <c r="P940" t="n">
        <v>0</v>
      </c>
      <c r="Q940" t="n">
        <v>0</v>
      </c>
      <c r="R940" s="2" t="inlineStr"/>
    </row>
    <row r="941" ht="15" customHeight="1">
      <c r="A941" t="inlineStr">
        <is>
          <t>A 9337-2020</t>
        </is>
      </c>
      <c r="B941" s="1" t="n">
        <v>43880</v>
      </c>
      <c r="C941" s="1" t="n">
        <v>45724</v>
      </c>
      <c r="D941" t="inlineStr">
        <is>
          <t>VÄSTMANLANDS LÄN</t>
        </is>
      </c>
      <c r="E941" t="inlineStr">
        <is>
          <t>ARBOGA</t>
        </is>
      </c>
      <c r="F941" t="inlineStr">
        <is>
          <t>Kommuner</t>
        </is>
      </c>
      <c r="G941" t="n">
        <v>1.3</v>
      </c>
      <c r="H941" t="n">
        <v>0</v>
      </c>
      <c r="I941" t="n">
        <v>0</v>
      </c>
      <c r="J941" t="n">
        <v>0</v>
      </c>
      <c r="K941" t="n">
        <v>0</v>
      </c>
      <c r="L941" t="n">
        <v>0</v>
      </c>
      <c r="M941" t="n">
        <v>0</v>
      </c>
      <c r="N941" t="n">
        <v>0</v>
      </c>
      <c r="O941" t="n">
        <v>0</v>
      </c>
      <c r="P941" t="n">
        <v>0</v>
      </c>
      <c r="Q941" t="n">
        <v>0</v>
      </c>
      <c r="R941" s="2" t="inlineStr"/>
    </row>
    <row r="942" ht="15" customHeight="1">
      <c r="A942" t="inlineStr">
        <is>
          <t>A 9299-2020</t>
        </is>
      </c>
      <c r="B942" s="1" t="n">
        <v>43880</v>
      </c>
      <c r="C942" s="1" t="n">
        <v>45724</v>
      </c>
      <c r="D942" t="inlineStr">
        <is>
          <t>VÄSTMANLANDS LÄN</t>
        </is>
      </c>
      <c r="E942" t="inlineStr">
        <is>
          <t>VÄSTERÅS</t>
        </is>
      </c>
      <c r="G942" t="n">
        <v>18.6</v>
      </c>
      <c r="H942" t="n">
        <v>0</v>
      </c>
      <c r="I942" t="n">
        <v>0</v>
      </c>
      <c r="J942" t="n">
        <v>0</v>
      </c>
      <c r="K942" t="n">
        <v>0</v>
      </c>
      <c r="L942" t="n">
        <v>0</v>
      </c>
      <c r="M942" t="n">
        <v>0</v>
      </c>
      <c r="N942" t="n">
        <v>0</v>
      </c>
      <c r="O942" t="n">
        <v>0</v>
      </c>
      <c r="P942" t="n">
        <v>0</v>
      </c>
      <c r="Q942" t="n">
        <v>0</v>
      </c>
      <c r="R942" s="2" t="inlineStr"/>
    </row>
    <row r="943" ht="15" customHeight="1">
      <c r="A943" t="inlineStr">
        <is>
          <t>A 9583-2020</t>
        </is>
      </c>
      <c r="B943" s="1" t="n">
        <v>43881</v>
      </c>
      <c r="C943" s="1" t="n">
        <v>45724</v>
      </c>
      <c r="D943" t="inlineStr">
        <is>
          <t>VÄSTMANLANDS LÄN</t>
        </is>
      </c>
      <c r="E943" t="inlineStr">
        <is>
          <t>NORBERG</t>
        </is>
      </c>
      <c r="F943" t="inlineStr">
        <is>
          <t>Övriga Aktiebolag</t>
        </is>
      </c>
      <c r="G943" t="n">
        <v>2.9</v>
      </c>
      <c r="H943" t="n">
        <v>0</v>
      </c>
      <c r="I943" t="n">
        <v>0</v>
      </c>
      <c r="J943" t="n">
        <v>0</v>
      </c>
      <c r="K943" t="n">
        <v>0</v>
      </c>
      <c r="L943" t="n">
        <v>0</v>
      </c>
      <c r="M943" t="n">
        <v>0</v>
      </c>
      <c r="N943" t="n">
        <v>0</v>
      </c>
      <c r="O943" t="n">
        <v>0</v>
      </c>
      <c r="P943" t="n">
        <v>0</v>
      </c>
      <c r="Q943" t="n">
        <v>0</v>
      </c>
      <c r="R943" s="2" t="inlineStr"/>
    </row>
    <row r="944" ht="15" customHeight="1">
      <c r="A944" t="inlineStr">
        <is>
          <t>A 9706-2020</t>
        </is>
      </c>
      <c r="B944" s="1" t="n">
        <v>43881</v>
      </c>
      <c r="C944" s="1" t="n">
        <v>45724</v>
      </c>
      <c r="D944" t="inlineStr">
        <is>
          <t>VÄSTMANLANDS LÄN</t>
        </is>
      </c>
      <c r="E944" t="inlineStr">
        <is>
          <t>KÖPING</t>
        </is>
      </c>
      <c r="G944" t="n">
        <v>4.4</v>
      </c>
      <c r="H944" t="n">
        <v>0</v>
      </c>
      <c r="I944" t="n">
        <v>0</v>
      </c>
      <c r="J944" t="n">
        <v>0</v>
      </c>
      <c r="K944" t="n">
        <v>0</v>
      </c>
      <c r="L944" t="n">
        <v>0</v>
      </c>
      <c r="M944" t="n">
        <v>0</v>
      </c>
      <c r="N944" t="n">
        <v>0</v>
      </c>
      <c r="O944" t="n">
        <v>0</v>
      </c>
      <c r="P944" t="n">
        <v>0</v>
      </c>
      <c r="Q944" t="n">
        <v>0</v>
      </c>
      <c r="R944" s="2" t="inlineStr"/>
    </row>
    <row r="945" ht="15" customHeight="1">
      <c r="A945" t="inlineStr">
        <is>
          <t>A 9636-2020</t>
        </is>
      </c>
      <c r="B945" s="1" t="n">
        <v>43881</v>
      </c>
      <c r="C945" s="1" t="n">
        <v>45724</v>
      </c>
      <c r="D945" t="inlineStr">
        <is>
          <t>VÄSTMANLANDS LÄN</t>
        </is>
      </c>
      <c r="E945" t="inlineStr">
        <is>
          <t>HALLSTAHAMMAR</t>
        </is>
      </c>
      <c r="G945" t="n">
        <v>2.4</v>
      </c>
      <c r="H945" t="n">
        <v>0</v>
      </c>
      <c r="I945" t="n">
        <v>0</v>
      </c>
      <c r="J945" t="n">
        <v>0</v>
      </c>
      <c r="K945" t="n">
        <v>0</v>
      </c>
      <c r="L945" t="n">
        <v>0</v>
      </c>
      <c r="M945" t="n">
        <v>0</v>
      </c>
      <c r="N945" t="n">
        <v>0</v>
      </c>
      <c r="O945" t="n">
        <v>0</v>
      </c>
      <c r="P945" t="n">
        <v>0</v>
      </c>
      <c r="Q945" t="n">
        <v>0</v>
      </c>
      <c r="R945" s="2" t="inlineStr"/>
    </row>
    <row r="946" ht="15" customHeight="1">
      <c r="A946" t="inlineStr">
        <is>
          <t>A 9896-2020</t>
        </is>
      </c>
      <c r="B946" s="1" t="n">
        <v>43882</v>
      </c>
      <c r="C946" s="1" t="n">
        <v>45724</v>
      </c>
      <c r="D946" t="inlineStr">
        <is>
          <t>VÄSTMANLANDS LÄN</t>
        </is>
      </c>
      <c r="E946" t="inlineStr">
        <is>
          <t>SKINNSKATTEBERG</t>
        </is>
      </c>
      <c r="G946" t="n">
        <v>1.9</v>
      </c>
      <c r="H946" t="n">
        <v>0</v>
      </c>
      <c r="I946" t="n">
        <v>0</v>
      </c>
      <c r="J946" t="n">
        <v>0</v>
      </c>
      <c r="K946" t="n">
        <v>0</v>
      </c>
      <c r="L946" t="n">
        <v>0</v>
      </c>
      <c r="M946" t="n">
        <v>0</v>
      </c>
      <c r="N946" t="n">
        <v>0</v>
      </c>
      <c r="O946" t="n">
        <v>0</v>
      </c>
      <c r="P946" t="n">
        <v>0</v>
      </c>
      <c r="Q946" t="n">
        <v>0</v>
      </c>
      <c r="R946" s="2" t="inlineStr"/>
    </row>
    <row r="947" ht="15" customHeight="1">
      <c r="A947" t="inlineStr">
        <is>
          <t>A 9989-2020</t>
        </is>
      </c>
      <c r="B947" s="1" t="n">
        <v>43882</v>
      </c>
      <c r="C947" s="1" t="n">
        <v>45724</v>
      </c>
      <c r="D947" t="inlineStr">
        <is>
          <t>VÄSTMANLANDS LÄN</t>
        </is>
      </c>
      <c r="E947" t="inlineStr">
        <is>
          <t>NORBERG</t>
        </is>
      </c>
      <c r="G947" t="n">
        <v>3.1</v>
      </c>
      <c r="H947" t="n">
        <v>0</v>
      </c>
      <c r="I947" t="n">
        <v>0</v>
      </c>
      <c r="J947" t="n">
        <v>0</v>
      </c>
      <c r="K947" t="n">
        <v>0</v>
      </c>
      <c r="L947" t="n">
        <v>0</v>
      </c>
      <c r="M947" t="n">
        <v>0</v>
      </c>
      <c r="N947" t="n">
        <v>0</v>
      </c>
      <c r="O947" t="n">
        <v>0</v>
      </c>
      <c r="P947" t="n">
        <v>0</v>
      </c>
      <c r="Q947" t="n">
        <v>0</v>
      </c>
      <c r="R947" s="2" t="inlineStr"/>
    </row>
    <row r="948" ht="15" customHeight="1">
      <c r="A948" t="inlineStr">
        <is>
          <t>A 10010-2020</t>
        </is>
      </c>
      <c r="B948" s="1" t="n">
        <v>43882</v>
      </c>
      <c r="C948" s="1" t="n">
        <v>45724</v>
      </c>
      <c r="D948" t="inlineStr">
        <is>
          <t>VÄSTMANLANDS LÄN</t>
        </is>
      </c>
      <c r="E948" t="inlineStr">
        <is>
          <t>SALA</t>
        </is>
      </c>
      <c r="G948" t="n">
        <v>0.5</v>
      </c>
      <c r="H948" t="n">
        <v>0</v>
      </c>
      <c r="I948" t="n">
        <v>0</v>
      </c>
      <c r="J948" t="n">
        <v>0</v>
      </c>
      <c r="K948" t="n">
        <v>0</v>
      </c>
      <c r="L948" t="n">
        <v>0</v>
      </c>
      <c r="M948" t="n">
        <v>0</v>
      </c>
      <c r="N948" t="n">
        <v>0</v>
      </c>
      <c r="O948" t="n">
        <v>0</v>
      </c>
      <c r="P948" t="n">
        <v>0</v>
      </c>
      <c r="Q948" t="n">
        <v>0</v>
      </c>
      <c r="R948" s="2" t="inlineStr"/>
    </row>
    <row r="949" ht="15" customHeight="1">
      <c r="A949" t="inlineStr">
        <is>
          <t>A 10006-2020</t>
        </is>
      </c>
      <c r="B949" s="1" t="n">
        <v>43882</v>
      </c>
      <c r="C949" s="1" t="n">
        <v>45724</v>
      </c>
      <c r="D949" t="inlineStr">
        <is>
          <t>VÄSTMANLANDS LÄN</t>
        </is>
      </c>
      <c r="E949" t="inlineStr">
        <is>
          <t>NORBERG</t>
        </is>
      </c>
      <c r="G949" t="n">
        <v>0.8</v>
      </c>
      <c r="H949" t="n">
        <v>0</v>
      </c>
      <c r="I949" t="n">
        <v>0</v>
      </c>
      <c r="J949" t="n">
        <v>0</v>
      </c>
      <c r="K949" t="n">
        <v>0</v>
      </c>
      <c r="L949" t="n">
        <v>0</v>
      </c>
      <c r="M949" t="n">
        <v>0</v>
      </c>
      <c r="N949" t="n">
        <v>0</v>
      </c>
      <c r="O949" t="n">
        <v>0</v>
      </c>
      <c r="P949" t="n">
        <v>0</v>
      </c>
      <c r="Q949" t="n">
        <v>0</v>
      </c>
      <c r="R949" s="2" t="inlineStr"/>
    </row>
    <row r="950" ht="15" customHeight="1">
      <c r="A950" t="inlineStr">
        <is>
          <t>A 10013-2020</t>
        </is>
      </c>
      <c r="B950" s="1" t="n">
        <v>43882</v>
      </c>
      <c r="C950" s="1" t="n">
        <v>45724</v>
      </c>
      <c r="D950" t="inlineStr">
        <is>
          <t>VÄSTMANLANDS LÄN</t>
        </is>
      </c>
      <c r="E950" t="inlineStr">
        <is>
          <t>FAGERSTA</t>
        </is>
      </c>
      <c r="F950" t="inlineStr">
        <is>
          <t>Sveaskog</t>
        </is>
      </c>
      <c r="G950" t="n">
        <v>0.9</v>
      </c>
      <c r="H950" t="n">
        <v>0</v>
      </c>
      <c r="I950" t="n">
        <v>0</v>
      </c>
      <c r="J950" t="n">
        <v>0</v>
      </c>
      <c r="K950" t="n">
        <v>0</v>
      </c>
      <c r="L950" t="n">
        <v>0</v>
      </c>
      <c r="M950" t="n">
        <v>0</v>
      </c>
      <c r="N950" t="n">
        <v>0</v>
      </c>
      <c r="O950" t="n">
        <v>0</v>
      </c>
      <c r="P950" t="n">
        <v>0</v>
      </c>
      <c r="Q950" t="n">
        <v>0</v>
      </c>
      <c r="R950" s="2" t="inlineStr"/>
    </row>
    <row r="951" ht="15" customHeight="1">
      <c r="A951" t="inlineStr">
        <is>
          <t>A 10000-2020</t>
        </is>
      </c>
      <c r="B951" s="1" t="n">
        <v>43882</v>
      </c>
      <c r="C951" s="1" t="n">
        <v>45724</v>
      </c>
      <c r="D951" t="inlineStr">
        <is>
          <t>VÄSTMANLANDS LÄN</t>
        </is>
      </c>
      <c r="E951" t="inlineStr">
        <is>
          <t>NORBERG</t>
        </is>
      </c>
      <c r="G951" t="n">
        <v>0.9</v>
      </c>
      <c r="H951" t="n">
        <v>0</v>
      </c>
      <c r="I951" t="n">
        <v>0</v>
      </c>
      <c r="J951" t="n">
        <v>0</v>
      </c>
      <c r="K951" t="n">
        <v>0</v>
      </c>
      <c r="L951" t="n">
        <v>0</v>
      </c>
      <c r="M951" t="n">
        <v>0</v>
      </c>
      <c r="N951" t="n">
        <v>0</v>
      </c>
      <c r="O951" t="n">
        <v>0</v>
      </c>
      <c r="P951" t="n">
        <v>0</v>
      </c>
      <c r="Q951" t="n">
        <v>0</v>
      </c>
      <c r="R951" s="2" t="inlineStr"/>
    </row>
    <row r="952" ht="15" customHeight="1">
      <c r="A952" t="inlineStr">
        <is>
          <t>A 10001-2020</t>
        </is>
      </c>
      <c r="B952" s="1" t="n">
        <v>43882</v>
      </c>
      <c r="C952" s="1" t="n">
        <v>45724</v>
      </c>
      <c r="D952" t="inlineStr">
        <is>
          <t>VÄSTMANLANDS LÄN</t>
        </is>
      </c>
      <c r="E952" t="inlineStr">
        <is>
          <t>NORBERG</t>
        </is>
      </c>
      <c r="G952" t="n">
        <v>5.9</v>
      </c>
      <c r="H952" t="n">
        <v>0</v>
      </c>
      <c r="I952" t="n">
        <v>0</v>
      </c>
      <c r="J952" t="n">
        <v>0</v>
      </c>
      <c r="K952" t="n">
        <v>0</v>
      </c>
      <c r="L952" t="n">
        <v>0</v>
      </c>
      <c r="M952" t="n">
        <v>0</v>
      </c>
      <c r="N952" t="n">
        <v>0</v>
      </c>
      <c r="O952" t="n">
        <v>0</v>
      </c>
      <c r="P952" t="n">
        <v>0</v>
      </c>
      <c r="Q952" t="n">
        <v>0</v>
      </c>
      <c r="R952" s="2" t="inlineStr"/>
    </row>
    <row r="953" ht="15" customHeight="1">
      <c r="A953" t="inlineStr">
        <is>
          <t>A 10276-2020</t>
        </is>
      </c>
      <c r="B953" s="1" t="n">
        <v>43885</v>
      </c>
      <c r="C953" s="1" t="n">
        <v>45724</v>
      </c>
      <c r="D953" t="inlineStr">
        <is>
          <t>VÄSTMANLANDS LÄN</t>
        </is>
      </c>
      <c r="E953" t="inlineStr">
        <is>
          <t>SALA</t>
        </is>
      </c>
      <c r="G953" t="n">
        <v>1.3</v>
      </c>
      <c r="H953" t="n">
        <v>0</v>
      </c>
      <c r="I953" t="n">
        <v>0</v>
      </c>
      <c r="J953" t="n">
        <v>0</v>
      </c>
      <c r="K953" t="n">
        <v>0</v>
      </c>
      <c r="L953" t="n">
        <v>0</v>
      </c>
      <c r="M953" t="n">
        <v>0</v>
      </c>
      <c r="N953" t="n">
        <v>0</v>
      </c>
      <c r="O953" t="n">
        <v>0</v>
      </c>
      <c r="P953" t="n">
        <v>0</v>
      </c>
      <c r="Q953" t="n">
        <v>0</v>
      </c>
      <c r="R953" s="2" t="inlineStr"/>
    </row>
    <row r="954" ht="15" customHeight="1">
      <c r="A954" t="inlineStr">
        <is>
          <t>A 10302-2020</t>
        </is>
      </c>
      <c r="B954" s="1" t="n">
        <v>43885</v>
      </c>
      <c r="C954" s="1" t="n">
        <v>45724</v>
      </c>
      <c r="D954" t="inlineStr">
        <is>
          <t>VÄSTMANLANDS LÄN</t>
        </is>
      </c>
      <c r="E954" t="inlineStr">
        <is>
          <t>KUNGSÖR</t>
        </is>
      </c>
      <c r="G954" t="n">
        <v>3</v>
      </c>
      <c r="H954" t="n">
        <v>0</v>
      </c>
      <c r="I954" t="n">
        <v>0</v>
      </c>
      <c r="J954" t="n">
        <v>0</v>
      </c>
      <c r="K954" t="n">
        <v>0</v>
      </c>
      <c r="L954" t="n">
        <v>0</v>
      </c>
      <c r="M954" t="n">
        <v>0</v>
      </c>
      <c r="N954" t="n">
        <v>0</v>
      </c>
      <c r="O954" t="n">
        <v>0</v>
      </c>
      <c r="P954" t="n">
        <v>0</v>
      </c>
      <c r="Q954" t="n">
        <v>0</v>
      </c>
      <c r="R954" s="2" t="inlineStr"/>
    </row>
    <row r="955" ht="15" customHeight="1">
      <c r="A955" t="inlineStr">
        <is>
          <t>A 10299-2020</t>
        </is>
      </c>
      <c r="B955" s="1" t="n">
        <v>43885</v>
      </c>
      <c r="C955" s="1" t="n">
        <v>45724</v>
      </c>
      <c r="D955" t="inlineStr">
        <is>
          <t>VÄSTMANLANDS LÄN</t>
        </is>
      </c>
      <c r="E955" t="inlineStr">
        <is>
          <t>KUNGSÖR</t>
        </is>
      </c>
      <c r="G955" t="n">
        <v>1.6</v>
      </c>
      <c r="H955" t="n">
        <v>0</v>
      </c>
      <c r="I955" t="n">
        <v>0</v>
      </c>
      <c r="J955" t="n">
        <v>0</v>
      </c>
      <c r="K955" t="n">
        <v>0</v>
      </c>
      <c r="L955" t="n">
        <v>0</v>
      </c>
      <c r="M955" t="n">
        <v>0</v>
      </c>
      <c r="N955" t="n">
        <v>0</v>
      </c>
      <c r="O955" t="n">
        <v>0</v>
      </c>
      <c r="P955" t="n">
        <v>0</v>
      </c>
      <c r="Q955" t="n">
        <v>0</v>
      </c>
      <c r="R955" s="2" t="inlineStr"/>
    </row>
    <row r="956" ht="15" customHeight="1">
      <c r="A956" t="inlineStr">
        <is>
          <t>A 10472-2020</t>
        </is>
      </c>
      <c r="B956" s="1" t="n">
        <v>43886</v>
      </c>
      <c r="C956" s="1" t="n">
        <v>45724</v>
      </c>
      <c r="D956" t="inlineStr">
        <is>
          <t>VÄSTMANLANDS LÄN</t>
        </is>
      </c>
      <c r="E956" t="inlineStr">
        <is>
          <t>KÖPING</t>
        </is>
      </c>
      <c r="G956" t="n">
        <v>1.5</v>
      </c>
      <c r="H956" t="n">
        <v>0</v>
      </c>
      <c r="I956" t="n">
        <v>0</v>
      </c>
      <c r="J956" t="n">
        <v>0</v>
      </c>
      <c r="K956" t="n">
        <v>0</v>
      </c>
      <c r="L956" t="n">
        <v>0</v>
      </c>
      <c r="M956" t="n">
        <v>0</v>
      </c>
      <c r="N956" t="n">
        <v>0</v>
      </c>
      <c r="O956" t="n">
        <v>0</v>
      </c>
      <c r="P956" t="n">
        <v>0</v>
      </c>
      <c r="Q956" t="n">
        <v>0</v>
      </c>
      <c r="R956" s="2" t="inlineStr"/>
    </row>
    <row r="957" ht="15" customHeight="1">
      <c r="A957" t="inlineStr">
        <is>
          <t>A 17388-2020</t>
        </is>
      </c>
      <c r="B957" s="1" t="n">
        <v>43887</v>
      </c>
      <c r="C957" s="1" t="n">
        <v>45724</v>
      </c>
      <c r="D957" t="inlineStr">
        <is>
          <t>VÄSTMANLANDS LÄN</t>
        </is>
      </c>
      <c r="E957" t="inlineStr">
        <is>
          <t>VÄSTERÅS</t>
        </is>
      </c>
      <c r="G957" t="n">
        <v>0.8</v>
      </c>
      <c r="H957" t="n">
        <v>0</v>
      </c>
      <c r="I957" t="n">
        <v>0</v>
      </c>
      <c r="J957" t="n">
        <v>0</v>
      </c>
      <c r="K957" t="n">
        <v>0</v>
      </c>
      <c r="L957" t="n">
        <v>0</v>
      </c>
      <c r="M957" t="n">
        <v>0</v>
      </c>
      <c r="N957" t="n">
        <v>0</v>
      </c>
      <c r="O957" t="n">
        <v>0</v>
      </c>
      <c r="P957" t="n">
        <v>0</v>
      </c>
      <c r="Q957" t="n">
        <v>0</v>
      </c>
      <c r="R957" s="2" t="inlineStr"/>
    </row>
    <row r="958" ht="15" customHeight="1">
      <c r="A958" t="inlineStr">
        <is>
          <t>A 10783-2020</t>
        </is>
      </c>
      <c r="B958" s="1" t="n">
        <v>43888</v>
      </c>
      <c r="C958" s="1" t="n">
        <v>45724</v>
      </c>
      <c r="D958" t="inlineStr">
        <is>
          <t>VÄSTMANLANDS LÄN</t>
        </is>
      </c>
      <c r="E958" t="inlineStr">
        <is>
          <t>NORBERG</t>
        </is>
      </c>
      <c r="F958" t="inlineStr">
        <is>
          <t>Bergvik skog väst AB</t>
        </is>
      </c>
      <c r="G958" t="n">
        <v>3</v>
      </c>
      <c r="H958" t="n">
        <v>0</v>
      </c>
      <c r="I958" t="n">
        <v>0</v>
      </c>
      <c r="J958" t="n">
        <v>0</v>
      </c>
      <c r="K958" t="n">
        <v>0</v>
      </c>
      <c r="L958" t="n">
        <v>0</v>
      </c>
      <c r="M958" t="n">
        <v>0</v>
      </c>
      <c r="N958" t="n">
        <v>0</v>
      </c>
      <c r="O958" t="n">
        <v>0</v>
      </c>
      <c r="P958" t="n">
        <v>0</v>
      </c>
      <c r="Q958" t="n">
        <v>0</v>
      </c>
      <c r="R958" s="2" t="inlineStr"/>
    </row>
    <row r="959" ht="15" customHeight="1">
      <c r="A959" t="inlineStr">
        <is>
          <t>A 11912-2020</t>
        </is>
      </c>
      <c r="B959" s="1" t="n">
        <v>43888</v>
      </c>
      <c r="C959" s="1" t="n">
        <v>45724</v>
      </c>
      <c r="D959" t="inlineStr">
        <is>
          <t>VÄSTMANLANDS LÄN</t>
        </is>
      </c>
      <c r="E959" t="inlineStr">
        <is>
          <t>SKINNSKATTEBERG</t>
        </is>
      </c>
      <c r="G959" t="n">
        <v>4.5</v>
      </c>
      <c r="H959" t="n">
        <v>0</v>
      </c>
      <c r="I959" t="n">
        <v>0</v>
      </c>
      <c r="J959" t="n">
        <v>0</v>
      </c>
      <c r="K959" t="n">
        <v>0</v>
      </c>
      <c r="L959" t="n">
        <v>0</v>
      </c>
      <c r="M959" t="n">
        <v>0</v>
      </c>
      <c r="N959" t="n">
        <v>0</v>
      </c>
      <c r="O959" t="n">
        <v>0</v>
      </c>
      <c r="P959" t="n">
        <v>0</v>
      </c>
      <c r="Q959" t="n">
        <v>0</v>
      </c>
      <c r="R959" s="2" t="inlineStr"/>
    </row>
    <row r="960" ht="15" customHeight="1">
      <c r="A960" t="inlineStr">
        <is>
          <t>A 10811-2020</t>
        </is>
      </c>
      <c r="B960" s="1" t="n">
        <v>43888</v>
      </c>
      <c r="C960" s="1" t="n">
        <v>45724</v>
      </c>
      <c r="D960" t="inlineStr">
        <is>
          <t>VÄSTMANLANDS LÄN</t>
        </is>
      </c>
      <c r="E960" t="inlineStr">
        <is>
          <t>SALA</t>
        </is>
      </c>
      <c r="G960" t="n">
        <v>3.9</v>
      </c>
      <c r="H960" t="n">
        <v>0</v>
      </c>
      <c r="I960" t="n">
        <v>0</v>
      </c>
      <c r="J960" t="n">
        <v>0</v>
      </c>
      <c r="K960" t="n">
        <v>0</v>
      </c>
      <c r="L960" t="n">
        <v>0</v>
      </c>
      <c r="M960" t="n">
        <v>0</v>
      </c>
      <c r="N960" t="n">
        <v>0</v>
      </c>
      <c r="O960" t="n">
        <v>0</v>
      </c>
      <c r="P960" t="n">
        <v>0</v>
      </c>
      <c r="Q960" t="n">
        <v>0</v>
      </c>
      <c r="R960" s="2" t="inlineStr"/>
    </row>
    <row r="961" ht="15" customHeight="1">
      <c r="A961" t="inlineStr">
        <is>
          <t>A 10868-2020</t>
        </is>
      </c>
      <c r="B961" s="1" t="n">
        <v>43889</v>
      </c>
      <c r="C961" s="1" t="n">
        <v>45724</v>
      </c>
      <c r="D961" t="inlineStr">
        <is>
          <t>VÄSTMANLANDS LÄN</t>
        </is>
      </c>
      <c r="E961" t="inlineStr">
        <is>
          <t>FAGERSTA</t>
        </is>
      </c>
      <c r="F961" t="inlineStr">
        <is>
          <t>Övriga Aktiebolag</t>
        </is>
      </c>
      <c r="G961" t="n">
        <v>1.8</v>
      </c>
      <c r="H961" t="n">
        <v>0</v>
      </c>
      <c r="I961" t="n">
        <v>0</v>
      </c>
      <c r="J961" t="n">
        <v>0</v>
      </c>
      <c r="K961" t="n">
        <v>0</v>
      </c>
      <c r="L961" t="n">
        <v>0</v>
      </c>
      <c r="M961" t="n">
        <v>0</v>
      </c>
      <c r="N961" t="n">
        <v>0</v>
      </c>
      <c r="O961" t="n">
        <v>0</v>
      </c>
      <c r="P961" t="n">
        <v>0</v>
      </c>
      <c r="Q961" t="n">
        <v>0</v>
      </c>
      <c r="R961" s="2" t="inlineStr"/>
    </row>
    <row r="962" ht="15" customHeight="1">
      <c r="A962" t="inlineStr">
        <is>
          <t>A 10917-2020</t>
        </is>
      </c>
      <c r="B962" s="1" t="n">
        <v>43889</v>
      </c>
      <c r="C962" s="1" t="n">
        <v>45724</v>
      </c>
      <c r="D962" t="inlineStr">
        <is>
          <t>VÄSTMANLANDS LÄN</t>
        </is>
      </c>
      <c r="E962" t="inlineStr">
        <is>
          <t>NORBERG</t>
        </is>
      </c>
      <c r="F962" t="inlineStr">
        <is>
          <t>Övriga Aktiebolag</t>
        </is>
      </c>
      <c r="G962" t="n">
        <v>10.1</v>
      </c>
      <c r="H962" t="n">
        <v>0</v>
      </c>
      <c r="I962" t="n">
        <v>0</v>
      </c>
      <c r="J962" t="n">
        <v>0</v>
      </c>
      <c r="K962" t="n">
        <v>0</v>
      </c>
      <c r="L962" t="n">
        <v>0</v>
      </c>
      <c r="M962" t="n">
        <v>0</v>
      </c>
      <c r="N962" t="n">
        <v>0</v>
      </c>
      <c r="O962" t="n">
        <v>0</v>
      </c>
      <c r="P962" t="n">
        <v>0</v>
      </c>
      <c r="Q962" t="n">
        <v>0</v>
      </c>
      <c r="R962" s="2" t="inlineStr"/>
    </row>
    <row r="963" ht="15" customHeight="1">
      <c r="A963" t="inlineStr">
        <is>
          <t>A 10905-2020</t>
        </is>
      </c>
      <c r="B963" s="1" t="n">
        <v>43889</v>
      </c>
      <c r="C963" s="1" t="n">
        <v>45724</v>
      </c>
      <c r="D963" t="inlineStr">
        <is>
          <t>VÄSTMANLANDS LÄN</t>
        </is>
      </c>
      <c r="E963" t="inlineStr">
        <is>
          <t>NORBERG</t>
        </is>
      </c>
      <c r="F963" t="inlineStr">
        <is>
          <t>Övriga Aktiebolag</t>
        </is>
      </c>
      <c r="G963" t="n">
        <v>6</v>
      </c>
      <c r="H963" t="n">
        <v>0</v>
      </c>
      <c r="I963" t="n">
        <v>0</v>
      </c>
      <c r="J963" t="n">
        <v>0</v>
      </c>
      <c r="K963" t="n">
        <v>0</v>
      </c>
      <c r="L963" t="n">
        <v>0</v>
      </c>
      <c r="M963" t="n">
        <v>0</v>
      </c>
      <c r="N963" t="n">
        <v>0</v>
      </c>
      <c r="O963" t="n">
        <v>0</v>
      </c>
      <c r="P963" t="n">
        <v>0</v>
      </c>
      <c r="Q963" t="n">
        <v>0</v>
      </c>
      <c r="R963" s="2" t="inlineStr"/>
    </row>
    <row r="964" ht="15" customHeight="1">
      <c r="A964" t="inlineStr">
        <is>
          <t>A 11162-2020</t>
        </is>
      </c>
      <c r="B964" s="1" t="n">
        <v>43891</v>
      </c>
      <c r="C964" s="1" t="n">
        <v>45724</v>
      </c>
      <c r="D964" t="inlineStr">
        <is>
          <t>VÄSTMANLANDS LÄN</t>
        </is>
      </c>
      <c r="E964" t="inlineStr">
        <is>
          <t>ARBOGA</t>
        </is>
      </c>
      <c r="G964" t="n">
        <v>8.699999999999999</v>
      </c>
      <c r="H964" t="n">
        <v>0</v>
      </c>
      <c r="I964" t="n">
        <v>0</v>
      </c>
      <c r="J964" t="n">
        <v>0</v>
      </c>
      <c r="K964" t="n">
        <v>0</v>
      </c>
      <c r="L964" t="n">
        <v>0</v>
      </c>
      <c r="M964" t="n">
        <v>0</v>
      </c>
      <c r="N964" t="n">
        <v>0</v>
      </c>
      <c r="O964" t="n">
        <v>0</v>
      </c>
      <c r="P964" t="n">
        <v>0</v>
      </c>
      <c r="Q964" t="n">
        <v>0</v>
      </c>
      <c r="R964" s="2" t="inlineStr"/>
    </row>
    <row r="965" ht="15" customHeight="1">
      <c r="A965" t="inlineStr">
        <is>
          <t>A 11161-2020</t>
        </is>
      </c>
      <c r="B965" s="1" t="n">
        <v>43891</v>
      </c>
      <c r="C965" s="1" t="n">
        <v>45724</v>
      </c>
      <c r="D965" t="inlineStr">
        <is>
          <t>VÄSTMANLANDS LÄN</t>
        </is>
      </c>
      <c r="E965" t="inlineStr">
        <is>
          <t>ARBOGA</t>
        </is>
      </c>
      <c r="G965" t="n">
        <v>42.3</v>
      </c>
      <c r="H965" t="n">
        <v>0</v>
      </c>
      <c r="I965" t="n">
        <v>0</v>
      </c>
      <c r="J965" t="n">
        <v>0</v>
      </c>
      <c r="K965" t="n">
        <v>0</v>
      </c>
      <c r="L965" t="n">
        <v>0</v>
      </c>
      <c r="M965" t="n">
        <v>0</v>
      </c>
      <c r="N965" t="n">
        <v>0</v>
      </c>
      <c r="O965" t="n">
        <v>0</v>
      </c>
      <c r="P965" t="n">
        <v>0</v>
      </c>
      <c r="Q965" t="n">
        <v>0</v>
      </c>
      <c r="R965" s="2" t="inlineStr"/>
    </row>
    <row r="966" ht="15" customHeight="1">
      <c r="A966" t="inlineStr">
        <is>
          <t>A 11186-2020</t>
        </is>
      </c>
      <c r="B966" s="1" t="n">
        <v>43892</v>
      </c>
      <c r="C966" s="1" t="n">
        <v>45724</v>
      </c>
      <c r="D966" t="inlineStr">
        <is>
          <t>VÄSTMANLANDS LÄN</t>
        </is>
      </c>
      <c r="E966" t="inlineStr">
        <is>
          <t>FAGERSTA</t>
        </is>
      </c>
      <c r="F966" t="inlineStr">
        <is>
          <t>Bergvik skog väst AB</t>
        </is>
      </c>
      <c r="G966" t="n">
        <v>3.7</v>
      </c>
      <c r="H966" t="n">
        <v>0</v>
      </c>
      <c r="I966" t="n">
        <v>0</v>
      </c>
      <c r="J966" t="n">
        <v>0</v>
      </c>
      <c r="K966" t="n">
        <v>0</v>
      </c>
      <c r="L966" t="n">
        <v>0</v>
      </c>
      <c r="M966" t="n">
        <v>0</v>
      </c>
      <c r="N966" t="n">
        <v>0</v>
      </c>
      <c r="O966" t="n">
        <v>0</v>
      </c>
      <c r="P966" t="n">
        <v>0</v>
      </c>
      <c r="Q966" t="n">
        <v>0</v>
      </c>
      <c r="R966" s="2" t="inlineStr"/>
    </row>
    <row r="967" ht="15" customHeight="1">
      <c r="A967" t="inlineStr">
        <is>
          <t>A 11452-2020</t>
        </is>
      </c>
      <c r="B967" s="1" t="n">
        <v>43893</v>
      </c>
      <c r="C967" s="1" t="n">
        <v>45724</v>
      </c>
      <c r="D967" t="inlineStr">
        <is>
          <t>VÄSTMANLANDS LÄN</t>
        </is>
      </c>
      <c r="E967" t="inlineStr">
        <is>
          <t>KÖPING</t>
        </is>
      </c>
      <c r="G967" t="n">
        <v>1.8</v>
      </c>
      <c r="H967" t="n">
        <v>0</v>
      </c>
      <c r="I967" t="n">
        <v>0</v>
      </c>
      <c r="J967" t="n">
        <v>0</v>
      </c>
      <c r="K967" t="n">
        <v>0</v>
      </c>
      <c r="L967" t="n">
        <v>0</v>
      </c>
      <c r="M967" t="n">
        <v>0</v>
      </c>
      <c r="N967" t="n">
        <v>0</v>
      </c>
      <c r="O967" t="n">
        <v>0</v>
      </c>
      <c r="P967" t="n">
        <v>0</v>
      </c>
      <c r="Q967" t="n">
        <v>0</v>
      </c>
      <c r="R967" s="2" t="inlineStr"/>
    </row>
    <row r="968" ht="15" customHeight="1">
      <c r="A968" t="inlineStr">
        <is>
          <t>A 11551-2020</t>
        </is>
      </c>
      <c r="B968" s="1" t="n">
        <v>43893</v>
      </c>
      <c r="C968" s="1" t="n">
        <v>45724</v>
      </c>
      <c r="D968" t="inlineStr">
        <is>
          <t>VÄSTMANLANDS LÄN</t>
        </is>
      </c>
      <c r="E968" t="inlineStr">
        <is>
          <t>SKINNSKATTEBERG</t>
        </is>
      </c>
      <c r="G968" t="n">
        <v>3.7</v>
      </c>
      <c r="H968" t="n">
        <v>0</v>
      </c>
      <c r="I968" t="n">
        <v>0</v>
      </c>
      <c r="J968" t="n">
        <v>0</v>
      </c>
      <c r="K968" t="n">
        <v>0</v>
      </c>
      <c r="L968" t="n">
        <v>0</v>
      </c>
      <c r="M968" t="n">
        <v>0</v>
      </c>
      <c r="N968" t="n">
        <v>0</v>
      </c>
      <c r="O968" t="n">
        <v>0</v>
      </c>
      <c r="P968" t="n">
        <v>0</v>
      </c>
      <c r="Q968" t="n">
        <v>0</v>
      </c>
      <c r="R968" s="2" t="inlineStr"/>
    </row>
    <row r="969" ht="15" customHeight="1">
      <c r="A969" t="inlineStr">
        <is>
          <t>A 11657-2020</t>
        </is>
      </c>
      <c r="B969" s="1" t="n">
        <v>43893</v>
      </c>
      <c r="C969" s="1" t="n">
        <v>45724</v>
      </c>
      <c r="D969" t="inlineStr">
        <is>
          <t>VÄSTMANLANDS LÄN</t>
        </is>
      </c>
      <c r="E969" t="inlineStr">
        <is>
          <t>VÄSTERÅS</t>
        </is>
      </c>
      <c r="G969" t="n">
        <v>1.2</v>
      </c>
      <c r="H969" t="n">
        <v>0</v>
      </c>
      <c r="I969" t="n">
        <v>0</v>
      </c>
      <c r="J969" t="n">
        <v>0</v>
      </c>
      <c r="K969" t="n">
        <v>0</v>
      </c>
      <c r="L969" t="n">
        <v>0</v>
      </c>
      <c r="M969" t="n">
        <v>0</v>
      </c>
      <c r="N969" t="n">
        <v>0</v>
      </c>
      <c r="O969" t="n">
        <v>0</v>
      </c>
      <c r="P969" t="n">
        <v>0</v>
      </c>
      <c r="Q969" t="n">
        <v>0</v>
      </c>
      <c r="R969" s="2" t="inlineStr"/>
    </row>
    <row r="970" ht="15" customHeight="1">
      <c r="A970" t="inlineStr">
        <is>
          <t>A 11629-2020</t>
        </is>
      </c>
      <c r="B970" s="1" t="n">
        <v>43893</v>
      </c>
      <c r="C970" s="1" t="n">
        <v>45724</v>
      </c>
      <c r="D970" t="inlineStr">
        <is>
          <t>VÄSTMANLANDS LÄN</t>
        </is>
      </c>
      <c r="E970" t="inlineStr">
        <is>
          <t>NORBERG</t>
        </is>
      </c>
      <c r="G970" t="n">
        <v>1.8</v>
      </c>
      <c r="H970" t="n">
        <v>0</v>
      </c>
      <c r="I970" t="n">
        <v>0</v>
      </c>
      <c r="J970" t="n">
        <v>0</v>
      </c>
      <c r="K970" t="n">
        <v>0</v>
      </c>
      <c r="L970" t="n">
        <v>0</v>
      </c>
      <c r="M970" t="n">
        <v>0</v>
      </c>
      <c r="N970" t="n">
        <v>0</v>
      </c>
      <c r="O970" t="n">
        <v>0</v>
      </c>
      <c r="P970" t="n">
        <v>0</v>
      </c>
      <c r="Q970" t="n">
        <v>0</v>
      </c>
      <c r="R970" s="2" t="inlineStr"/>
    </row>
    <row r="971" ht="15" customHeight="1">
      <c r="A971" t="inlineStr">
        <is>
          <t>A 11826-2020</t>
        </is>
      </c>
      <c r="B971" s="1" t="n">
        <v>43894</v>
      </c>
      <c r="C971" s="1" t="n">
        <v>45724</v>
      </c>
      <c r="D971" t="inlineStr">
        <is>
          <t>VÄSTMANLANDS LÄN</t>
        </is>
      </c>
      <c r="E971" t="inlineStr">
        <is>
          <t>NORBERG</t>
        </is>
      </c>
      <c r="G971" t="n">
        <v>1.8</v>
      </c>
      <c r="H971" t="n">
        <v>0</v>
      </c>
      <c r="I971" t="n">
        <v>0</v>
      </c>
      <c r="J971" t="n">
        <v>0</v>
      </c>
      <c r="K971" t="n">
        <v>0</v>
      </c>
      <c r="L971" t="n">
        <v>0</v>
      </c>
      <c r="M971" t="n">
        <v>0</v>
      </c>
      <c r="N971" t="n">
        <v>0</v>
      </c>
      <c r="O971" t="n">
        <v>0</v>
      </c>
      <c r="P971" t="n">
        <v>0</v>
      </c>
      <c r="Q971" t="n">
        <v>0</v>
      </c>
      <c r="R971" s="2" t="inlineStr"/>
    </row>
    <row r="972" ht="15" customHeight="1">
      <c r="A972" t="inlineStr">
        <is>
          <t>A 12058-2020</t>
        </is>
      </c>
      <c r="B972" s="1" t="n">
        <v>43894</v>
      </c>
      <c r="C972" s="1" t="n">
        <v>45724</v>
      </c>
      <c r="D972" t="inlineStr">
        <is>
          <t>VÄSTMANLANDS LÄN</t>
        </is>
      </c>
      <c r="E972" t="inlineStr">
        <is>
          <t>ARBOGA</t>
        </is>
      </c>
      <c r="G972" t="n">
        <v>1.7</v>
      </c>
      <c r="H972" t="n">
        <v>0</v>
      </c>
      <c r="I972" t="n">
        <v>0</v>
      </c>
      <c r="J972" t="n">
        <v>0</v>
      </c>
      <c r="K972" t="n">
        <v>0</v>
      </c>
      <c r="L972" t="n">
        <v>0</v>
      </c>
      <c r="M972" t="n">
        <v>0</v>
      </c>
      <c r="N972" t="n">
        <v>0</v>
      </c>
      <c r="O972" t="n">
        <v>0</v>
      </c>
      <c r="P972" t="n">
        <v>0</v>
      </c>
      <c r="Q972" t="n">
        <v>0</v>
      </c>
      <c r="R972" s="2" t="inlineStr"/>
    </row>
    <row r="973" ht="15" customHeight="1">
      <c r="A973" t="inlineStr">
        <is>
          <t>A 12184-2020</t>
        </is>
      </c>
      <c r="B973" s="1" t="n">
        <v>43895</v>
      </c>
      <c r="C973" s="1" t="n">
        <v>45724</v>
      </c>
      <c r="D973" t="inlineStr">
        <is>
          <t>VÄSTMANLANDS LÄN</t>
        </is>
      </c>
      <c r="E973" t="inlineStr">
        <is>
          <t>KUNGSÖR</t>
        </is>
      </c>
      <c r="G973" t="n">
        <v>6.1</v>
      </c>
      <c r="H973" t="n">
        <v>0</v>
      </c>
      <c r="I973" t="n">
        <v>0</v>
      </c>
      <c r="J973" t="n">
        <v>0</v>
      </c>
      <c r="K973" t="n">
        <v>0</v>
      </c>
      <c r="L973" t="n">
        <v>0</v>
      </c>
      <c r="M973" t="n">
        <v>0</v>
      </c>
      <c r="N973" t="n">
        <v>0</v>
      </c>
      <c r="O973" t="n">
        <v>0</v>
      </c>
      <c r="P973" t="n">
        <v>0</v>
      </c>
      <c r="Q973" t="n">
        <v>0</v>
      </c>
      <c r="R973" s="2" t="inlineStr"/>
    </row>
    <row r="974" ht="15" customHeight="1">
      <c r="A974" t="inlineStr">
        <is>
          <t>A 12191-2020</t>
        </is>
      </c>
      <c r="B974" s="1" t="n">
        <v>43895</v>
      </c>
      <c r="C974" s="1" t="n">
        <v>45724</v>
      </c>
      <c r="D974" t="inlineStr">
        <is>
          <t>VÄSTMANLANDS LÄN</t>
        </is>
      </c>
      <c r="E974" t="inlineStr">
        <is>
          <t>ARBOGA</t>
        </is>
      </c>
      <c r="G974" t="n">
        <v>1.2</v>
      </c>
      <c r="H974" t="n">
        <v>0</v>
      </c>
      <c r="I974" t="n">
        <v>0</v>
      </c>
      <c r="J974" t="n">
        <v>0</v>
      </c>
      <c r="K974" t="n">
        <v>0</v>
      </c>
      <c r="L974" t="n">
        <v>0</v>
      </c>
      <c r="M974" t="n">
        <v>0</v>
      </c>
      <c r="N974" t="n">
        <v>0</v>
      </c>
      <c r="O974" t="n">
        <v>0</v>
      </c>
      <c r="P974" t="n">
        <v>0</v>
      </c>
      <c r="Q974" t="n">
        <v>0</v>
      </c>
      <c r="R974" s="2" t="inlineStr"/>
    </row>
    <row r="975" ht="15" customHeight="1">
      <c r="A975" t="inlineStr">
        <is>
          <t>A 12595-2020</t>
        </is>
      </c>
      <c r="B975" s="1" t="n">
        <v>43899</v>
      </c>
      <c r="C975" s="1" t="n">
        <v>45724</v>
      </c>
      <c r="D975" t="inlineStr">
        <is>
          <t>VÄSTMANLANDS LÄN</t>
        </is>
      </c>
      <c r="E975" t="inlineStr">
        <is>
          <t>FAGERSTA</t>
        </is>
      </c>
      <c r="F975" t="inlineStr">
        <is>
          <t>Sveaskog</t>
        </is>
      </c>
      <c r="G975" t="n">
        <v>6.4</v>
      </c>
      <c r="H975" t="n">
        <v>0</v>
      </c>
      <c r="I975" t="n">
        <v>0</v>
      </c>
      <c r="J975" t="n">
        <v>0</v>
      </c>
      <c r="K975" t="n">
        <v>0</v>
      </c>
      <c r="L975" t="n">
        <v>0</v>
      </c>
      <c r="M975" t="n">
        <v>0</v>
      </c>
      <c r="N975" t="n">
        <v>0</v>
      </c>
      <c r="O975" t="n">
        <v>0</v>
      </c>
      <c r="P975" t="n">
        <v>0</v>
      </c>
      <c r="Q975" t="n">
        <v>0</v>
      </c>
      <c r="R975" s="2" t="inlineStr"/>
    </row>
    <row r="976" ht="15" customHeight="1">
      <c r="A976" t="inlineStr">
        <is>
          <t>A 12621-2020</t>
        </is>
      </c>
      <c r="B976" s="1" t="n">
        <v>43899</v>
      </c>
      <c r="C976" s="1" t="n">
        <v>45724</v>
      </c>
      <c r="D976" t="inlineStr">
        <is>
          <t>VÄSTMANLANDS LÄN</t>
        </is>
      </c>
      <c r="E976" t="inlineStr">
        <is>
          <t>NORBERG</t>
        </is>
      </c>
      <c r="G976" t="n">
        <v>9.300000000000001</v>
      </c>
      <c r="H976" t="n">
        <v>0</v>
      </c>
      <c r="I976" t="n">
        <v>0</v>
      </c>
      <c r="J976" t="n">
        <v>0</v>
      </c>
      <c r="K976" t="n">
        <v>0</v>
      </c>
      <c r="L976" t="n">
        <v>0</v>
      </c>
      <c r="M976" t="n">
        <v>0</v>
      </c>
      <c r="N976" t="n">
        <v>0</v>
      </c>
      <c r="O976" t="n">
        <v>0</v>
      </c>
      <c r="P976" t="n">
        <v>0</v>
      </c>
      <c r="Q976" t="n">
        <v>0</v>
      </c>
      <c r="R976" s="2" t="inlineStr"/>
    </row>
    <row r="977" ht="15" customHeight="1">
      <c r="A977" t="inlineStr">
        <is>
          <t>A 14110-2020</t>
        </is>
      </c>
      <c r="B977" s="1" t="n">
        <v>43900</v>
      </c>
      <c r="C977" s="1" t="n">
        <v>45724</v>
      </c>
      <c r="D977" t="inlineStr">
        <is>
          <t>VÄSTMANLANDS LÄN</t>
        </is>
      </c>
      <c r="E977" t="inlineStr">
        <is>
          <t>SALA</t>
        </is>
      </c>
      <c r="G977" t="n">
        <v>2.5</v>
      </c>
      <c r="H977" t="n">
        <v>0</v>
      </c>
      <c r="I977" t="n">
        <v>0</v>
      </c>
      <c r="J977" t="n">
        <v>0</v>
      </c>
      <c r="K977" t="n">
        <v>0</v>
      </c>
      <c r="L977" t="n">
        <v>0</v>
      </c>
      <c r="M977" t="n">
        <v>0</v>
      </c>
      <c r="N977" t="n">
        <v>0</v>
      </c>
      <c r="O977" t="n">
        <v>0</v>
      </c>
      <c r="P977" t="n">
        <v>0</v>
      </c>
      <c r="Q977" t="n">
        <v>0</v>
      </c>
      <c r="R977" s="2" t="inlineStr"/>
    </row>
    <row r="978" ht="15" customHeight="1">
      <c r="A978" t="inlineStr">
        <is>
          <t>A 13158-2020</t>
        </is>
      </c>
      <c r="B978" s="1" t="n">
        <v>43901</v>
      </c>
      <c r="C978" s="1" t="n">
        <v>45724</v>
      </c>
      <c r="D978" t="inlineStr">
        <is>
          <t>VÄSTMANLANDS LÄN</t>
        </is>
      </c>
      <c r="E978" t="inlineStr">
        <is>
          <t>KÖPING</t>
        </is>
      </c>
      <c r="G978" t="n">
        <v>4.6</v>
      </c>
      <c r="H978" t="n">
        <v>0</v>
      </c>
      <c r="I978" t="n">
        <v>0</v>
      </c>
      <c r="J978" t="n">
        <v>0</v>
      </c>
      <c r="K978" t="n">
        <v>0</v>
      </c>
      <c r="L978" t="n">
        <v>0</v>
      </c>
      <c r="M978" t="n">
        <v>0</v>
      </c>
      <c r="N978" t="n">
        <v>0</v>
      </c>
      <c r="O978" t="n">
        <v>0</v>
      </c>
      <c r="P978" t="n">
        <v>0</v>
      </c>
      <c r="Q978" t="n">
        <v>0</v>
      </c>
      <c r="R978" s="2" t="inlineStr"/>
    </row>
    <row r="979" ht="15" customHeight="1">
      <c r="A979" t="inlineStr">
        <is>
          <t>A 13259-2020</t>
        </is>
      </c>
      <c r="B979" s="1" t="n">
        <v>43901</v>
      </c>
      <c r="C979" s="1" t="n">
        <v>45724</v>
      </c>
      <c r="D979" t="inlineStr">
        <is>
          <t>VÄSTMANLANDS LÄN</t>
        </is>
      </c>
      <c r="E979" t="inlineStr">
        <is>
          <t>ARBOGA</t>
        </is>
      </c>
      <c r="G979" t="n">
        <v>2.2</v>
      </c>
      <c r="H979" t="n">
        <v>0</v>
      </c>
      <c r="I979" t="n">
        <v>0</v>
      </c>
      <c r="J979" t="n">
        <v>0</v>
      </c>
      <c r="K979" t="n">
        <v>0</v>
      </c>
      <c r="L979" t="n">
        <v>0</v>
      </c>
      <c r="M979" t="n">
        <v>0</v>
      </c>
      <c r="N979" t="n">
        <v>0</v>
      </c>
      <c r="O979" t="n">
        <v>0</v>
      </c>
      <c r="P979" t="n">
        <v>0</v>
      </c>
      <c r="Q979" t="n">
        <v>0</v>
      </c>
      <c r="R979" s="2" t="inlineStr"/>
    </row>
    <row r="980" ht="15" customHeight="1">
      <c r="A980" t="inlineStr">
        <is>
          <t>A 13692-2020</t>
        </is>
      </c>
      <c r="B980" s="1" t="n">
        <v>43902</v>
      </c>
      <c r="C980" s="1" t="n">
        <v>45724</v>
      </c>
      <c r="D980" t="inlineStr">
        <is>
          <t>VÄSTMANLANDS LÄN</t>
        </is>
      </c>
      <c r="E980" t="inlineStr">
        <is>
          <t>KUNGSÖR</t>
        </is>
      </c>
      <c r="G980" t="n">
        <v>2.6</v>
      </c>
      <c r="H980" t="n">
        <v>0</v>
      </c>
      <c r="I980" t="n">
        <v>0</v>
      </c>
      <c r="J980" t="n">
        <v>0</v>
      </c>
      <c r="K980" t="n">
        <v>0</v>
      </c>
      <c r="L980" t="n">
        <v>0</v>
      </c>
      <c r="M980" t="n">
        <v>0</v>
      </c>
      <c r="N980" t="n">
        <v>0</v>
      </c>
      <c r="O980" t="n">
        <v>0</v>
      </c>
      <c r="P980" t="n">
        <v>0</v>
      </c>
      <c r="Q980" t="n">
        <v>0</v>
      </c>
      <c r="R980" s="2" t="inlineStr"/>
    </row>
    <row r="981" ht="15" customHeight="1">
      <c r="A981" t="inlineStr">
        <is>
          <t>A 13695-2020</t>
        </is>
      </c>
      <c r="B981" s="1" t="n">
        <v>43902</v>
      </c>
      <c r="C981" s="1" t="n">
        <v>45724</v>
      </c>
      <c r="D981" t="inlineStr">
        <is>
          <t>VÄSTMANLANDS LÄN</t>
        </is>
      </c>
      <c r="E981" t="inlineStr">
        <is>
          <t>KUNGSÖR</t>
        </is>
      </c>
      <c r="G981" t="n">
        <v>6.2</v>
      </c>
      <c r="H981" t="n">
        <v>0</v>
      </c>
      <c r="I981" t="n">
        <v>0</v>
      </c>
      <c r="J981" t="n">
        <v>0</v>
      </c>
      <c r="K981" t="n">
        <v>0</v>
      </c>
      <c r="L981" t="n">
        <v>0</v>
      </c>
      <c r="M981" t="n">
        <v>0</v>
      </c>
      <c r="N981" t="n">
        <v>0</v>
      </c>
      <c r="O981" t="n">
        <v>0</v>
      </c>
      <c r="P981" t="n">
        <v>0</v>
      </c>
      <c r="Q981" t="n">
        <v>0</v>
      </c>
      <c r="R981" s="2" t="inlineStr"/>
    </row>
    <row r="982" ht="15" customHeight="1">
      <c r="A982" t="inlineStr">
        <is>
          <t>A 13542-2020</t>
        </is>
      </c>
      <c r="B982" s="1" t="n">
        <v>43902</v>
      </c>
      <c r="C982" s="1" t="n">
        <v>45724</v>
      </c>
      <c r="D982" t="inlineStr">
        <is>
          <t>VÄSTMANLANDS LÄN</t>
        </is>
      </c>
      <c r="E982" t="inlineStr">
        <is>
          <t>VÄSTERÅS</t>
        </is>
      </c>
      <c r="G982" t="n">
        <v>2</v>
      </c>
      <c r="H982" t="n">
        <v>0</v>
      </c>
      <c r="I982" t="n">
        <v>0</v>
      </c>
      <c r="J982" t="n">
        <v>0</v>
      </c>
      <c r="K982" t="n">
        <v>0</v>
      </c>
      <c r="L982" t="n">
        <v>0</v>
      </c>
      <c r="M982" t="n">
        <v>0</v>
      </c>
      <c r="N982" t="n">
        <v>0</v>
      </c>
      <c r="O982" t="n">
        <v>0</v>
      </c>
      <c r="P982" t="n">
        <v>0</v>
      </c>
      <c r="Q982" t="n">
        <v>0</v>
      </c>
      <c r="R982" s="2" t="inlineStr"/>
    </row>
    <row r="983" ht="15" customHeight="1">
      <c r="A983" t="inlineStr">
        <is>
          <t>A 13643-2020</t>
        </is>
      </c>
      <c r="B983" s="1" t="n">
        <v>43903</v>
      </c>
      <c r="C983" s="1" t="n">
        <v>45724</v>
      </c>
      <c r="D983" t="inlineStr">
        <is>
          <t>VÄSTMANLANDS LÄN</t>
        </is>
      </c>
      <c r="E983" t="inlineStr">
        <is>
          <t>SALA</t>
        </is>
      </c>
      <c r="G983" t="n">
        <v>2.3</v>
      </c>
      <c r="H983" t="n">
        <v>0</v>
      </c>
      <c r="I983" t="n">
        <v>0</v>
      </c>
      <c r="J983" t="n">
        <v>0</v>
      </c>
      <c r="K983" t="n">
        <v>0</v>
      </c>
      <c r="L983" t="n">
        <v>0</v>
      </c>
      <c r="M983" t="n">
        <v>0</v>
      </c>
      <c r="N983" t="n">
        <v>0</v>
      </c>
      <c r="O983" t="n">
        <v>0</v>
      </c>
      <c r="P983" t="n">
        <v>0</v>
      </c>
      <c r="Q983" t="n">
        <v>0</v>
      </c>
      <c r="R983" s="2" t="inlineStr"/>
    </row>
    <row r="984" ht="15" customHeight="1">
      <c r="A984" t="inlineStr">
        <is>
          <t>A 13626-2020</t>
        </is>
      </c>
      <c r="B984" s="1" t="n">
        <v>43903</v>
      </c>
      <c r="C984" s="1" t="n">
        <v>45724</v>
      </c>
      <c r="D984" t="inlineStr">
        <is>
          <t>VÄSTMANLANDS LÄN</t>
        </is>
      </c>
      <c r="E984" t="inlineStr">
        <is>
          <t>ARBOGA</t>
        </is>
      </c>
      <c r="G984" t="n">
        <v>8.5</v>
      </c>
      <c r="H984" t="n">
        <v>0</v>
      </c>
      <c r="I984" t="n">
        <v>0</v>
      </c>
      <c r="J984" t="n">
        <v>0</v>
      </c>
      <c r="K984" t="n">
        <v>0</v>
      </c>
      <c r="L984" t="n">
        <v>0</v>
      </c>
      <c r="M984" t="n">
        <v>0</v>
      </c>
      <c r="N984" t="n">
        <v>0</v>
      </c>
      <c r="O984" t="n">
        <v>0</v>
      </c>
      <c r="P984" t="n">
        <v>0</v>
      </c>
      <c r="Q984" t="n">
        <v>0</v>
      </c>
      <c r="R984" s="2" t="inlineStr"/>
    </row>
    <row r="985" ht="15" customHeight="1">
      <c r="A985" t="inlineStr">
        <is>
          <t>A 13936-2020</t>
        </is>
      </c>
      <c r="B985" s="1" t="n">
        <v>43903</v>
      </c>
      <c r="C985" s="1" t="n">
        <v>45724</v>
      </c>
      <c r="D985" t="inlineStr">
        <is>
          <t>VÄSTMANLANDS LÄN</t>
        </is>
      </c>
      <c r="E985" t="inlineStr">
        <is>
          <t>SALA</t>
        </is>
      </c>
      <c r="G985" t="n">
        <v>1.7</v>
      </c>
      <c r="H985" t="n">
        <v>0</v>
      </c>
      <c r="I985" t="n">
        <v>0</v>
      </c>
      <c r="J985" t="n">
        <v>0</v>
      </c>
      <c r="K985" t="n">
        <v>0</v>
      </c>
      <c r="L985" t="n">
        <v>0</v>
      </c>
      <c r="M985" t="n">
        <v>0</v>
      </c>
      <c r="N985" t="n">
        <v>0</v>
      </c>
      <c r="O985" t="n">
        <v>0</v>
      </c>
      <c r="P985" t="n">
        <v>0</v>
      </c>
      <c r="Q985" t="n">
        <v>0</v>
      </c>
      <c r="R985" s="2" t="inlineStr"/>
    </row>
    <row r="986" ht="15" customHeight="1">
      <c r="A986" t="inlineStr">
        <is>
          <t>A 14049-2020</t>
        </is>
      </c>
      <c r="B986" s="1" t="n">
        <v>43906</v>
      </c>
      <c r="C986" s="1" t="n">
        <v>45724</v>
      </c>
      <c r="D986" t="inlineStr">
        <is>
          <t>VÄSTMANLANDS LÄN</t>
        </is>
      </c>
      <c r="E986" t="inlineStr">
        <is>
          <t>SALA</t>
        </is>
      </c>
      <c r="G986" t="n">
        <v>4.4</v>
      </c>
      <c r="H986" t="n">
        <v>0</v>
      </c>
      <c r="I986" t="n">
        <v>0</v>
      </c>
      <c r="J986" t="n">
        <v>0</v>
      </c>
      <c r="K986" t="n">
        <v>0</v>
      </c>
      <c r="L986" t="n">
        <v>0</v>
      </c>
      <c r="M986" t="n">
        <v>0</v>
      </c>
      <c r="N986" t="n">
        <v>0</v>
      </c>
      <c r="O986" t="n">
        <v>0</v>
      </c>
      <c r="P986" t="n">
        <v>0</v>
      </c>
      <c r="Q986" t="n">
        <v>0</v>
      </c>
      <c r="R986" s="2" t="inlineStr"/>
    </row>
    <row r="987" ht="15" customHeight="1">
      <c r="A987" t="inlineStr">
        <is>
          <t>A 13868-2020</t>
        </is>
      </c>
      <c r="B987" s="1" t="n">
        <v>43906</v>
      </c>
      <c r="C987" s="1" t="n">
        <v>45724</v>
      </c>
      <c r="D987" t="inlineStr">
        <is>
          <t>VÄSTMANLANDS LÄN</t>
        </is>
      </c>
      <c r="E987" t="inlineStr">
        <is>
          <t>HALLSTAHAMMAR</t>
        </is>
      </c>
      <c r="G987" t="n">
        <v>2.6</v>
      </c>
      <c r="H987" t="n">
        <v>0</v>
      </c>
      <c r="I987" t="n">
        <v>0</v>
      </c>
      <c r="J987" t="n">
        <v>0</v>
      </c>
      <c r="K987" t="n">
        <v>0</v>
      </c>
      <c r="L987" t="n">
        <v>0</v>
      </c>
      <c r="M987" t="n">
        <v>0</v>
      </c>
      <c r="N987" t="n">
        <v>0</v>
      </c>
      <c r="O987" t="n">
        <v>0</v>
      </c>
      <c r="P987" t="n">
        <v>0</v>
      </c>
      <c r="Q987" t="n">
        <v>0</v>
      </c>
      <c r="R987" s="2" t="inlineStr"/>
    </row>
    <row r="988" ht="15" customHeight="1">
      <c r="A988" t="inlineStr">
        <is>
          <t>A 14295-2020</t>
        </is>
      </c>
      <c r="B988" s="1" t="n">
        <v>43907</v>
      </c>
      <c r="C988" s="1" t="n">
        <v>45724</v>
      </c>
      <c r="D988" t="inlineStr">
        <is>
          <t>VÄSTMANLANDS LÄN</t>
        </is>
      </c>
      <c r="E988" t="inlineStr">
        <is>
          <t>KÖPING</t>
        </is>
      </c>
      <c r="G988" t="n">
        <v>2.3</v>
      </c>
      <c r="H988" t="n">
        <v>0</v>
      </c>
      <c r="I988" t="n">
        <v>0</v>
      </c>
      <c r="J988" t="n">
        <v>0</v>
      </c>
      <c r="K988" t="n">
        <v>0</v>
      </c>
      <c r="L988" t="n">
        <v>0</v>
      </c>
      <c r="M988" t="n">
        <v>0</v>
      </c>
      <c r="N988" t="n">
        <v>0</v>
      </c>
      <c r="O988" t="n">
        <v>0</v>
      </c>
      <c r="P988" t="n">
        <v>0</v>
      </c>
      <c r="Q988" t="n">
        <v>0</v>
      </c>
      <c r="R988" s="2" t="inlineStr"/>
    </row>
    <row r="989" ht="15" customHeight="1">
      <c r="A989" t="inlineStr">
        <is>
          <t>A 14403-2020</t>
        </is>
      </c>
      <c r="B989" s="1" t="n">
        <v>43908</v>
      </c>
      <c r="C989" s="1" t="n">
        <v>45724</v>
      </c>
      <c r="D989" t="inlineStr">
        <is>
          <t>VÄSTMANLANDS LÄN</t>
        </is>
      </c>
      <c r="E989" t="inlineStr">
        <is>
          <t>KÖPING</t>
        </is>
      </c>
      <c r="G989" t="n">
        <v>3.1</v>
      </c>
      <c r="H989" t="n">
        <v>0</v>
      </c>
      <c r="I989" t="n">
        <v>0</v>
      </c>
      <c r="J989" t="n">
        <v>0</v>
      </c>
      <c r="K989" t="n">
        <v>0</v>
      </c>
      <c r="L989" t="n">
        <v>0</v>
      </c>
      <c r="M989" t="n">
        <v>0</v>
      </c>
      <c r="N989" t="n">
        <v>0</v>
      </c>
      <c r="O989" t="n">
        <v>0</v>
      </c>
      <c r="P989" t="n">
        <v>0</v>
      </c>
      <c r="Q989" t="n">
        <v>0</v>
      </c>
      <c r="R989" s="2" t="inlineStr"/>
    </row>
    <row r="990" ht="15" customHeight="1">
      <c r="A990" t="inlineStr">
        <is>
          <t>A 14542-2020</t>
        </is>
      </c>
      <c r="B990" s="1" t="n">
        <v>43908</v>
      </c>
      <c r="C990" s="1" t="n">
        <v>45724</v>
      </c>
      <c r="D990" t="inlineStr">
        <is>
          <t>VÄSTMANLANDS LÄN</t>
        </is>
      </c>
      <c r="E990" t="inlineStr">
        <is>
          <t>SALA</t>
        </is>
      </c>
      <c r="G990" t="n">
        <v>4.1</v>
      </c>
      <c r="H990" t="n">
        <v>0</v>
      </c>
      <c r="I990" t="n">
        <v>0</v>
      </c>
      <c r="J990" t="n">
        <v>0</v>
      </c>
      <c r="K990" t="n">
        <v>0</v>
      </c>
      <c r="L990" t="n">
        <v>0</v>
      </c>
      <c r="M990" t="n">
        <v>0</v>
      </c>
      <c r="N990" t="n">
        <v>0</v>
      </c>
      <c r="O990" t="n">
        <v>0</v>
      </c>
      <c r="P990" t="n">
        <v>0</v>
      </c>
      <c r="Q990" t="n">
        <v>0</v>
      </c>
      <c r="R990" s="2" t="inlineStr"/>
    </row>
    <row r="991" ht="15" customHeight="1">
      <c r="A991" t="inlineStr">
        <is>
          <t>A 14420-2020</t>
        </is>
      </c>
      <c r="B991" s="1" t="n">
        <v>43908</v>
      </c>
      <c r="C991" s="1" t="n">
        <v>45724</v>
      </c>
      <c r="D991" t="inlineStr">
        <is>
          <t>VÄSTMANLANDS LÄN</t>
        </is>
      </c>
      <c r="E991" t="inlineStr">
        <is>
          <t>HALLSTAHAMMAR</t>
        </is>
      </c>
      <c r="G991" t="n">
        <v>3.8</v>
      </c>
      <c r="H991" t="n">
        <v>0</v>
      </c>
      <c r="I991" t="n">
        <v>0</v>
      </c>
      <c r="J991" t="n">
        <v>0</v>
      </c>
      <c r="K991" t="n">
        <v>0</v>
      </c>
      <c r="L991" t="n">
        <v>0</v>
      </c>
      <c r="M991" t="n">
        <v>0</v>
      </c>
      <c r="N991" t="n">
        <v>0</v>
      </c>
      <c r="O991" t="n">
        <v>0</v>
      </c>
      <c r="P991" t="n">
        <v>0</v>
      </c>
      <c r="Q991" t="n">
        <v>0</v>
      </c>
      <c r="R991" s="2" t="inlineStr"/>
    </row>
    <row r="992" ht="15" customHeight="1">
      <c r="A992" t="inlineStr">
        <is>
          <t>A 14811-2020</t>
        </is>
      </c>
      <c r="B992" s="1" t="n">
        <v>43909</v>
      </c>
      <c r="C992" s="1" t="n">
        <v>45724</v>
      </c>
      <c r="D992" t="inlineStr">
        <is>
          <t>VÄSTMANLANDS LÄN</t>
        </is>
      </c>
      <c r="E992" t="inlineStr">
        <is>
          <t>VÄSTERÅS</t>
        </is>
      </c>
      <c r="G992" t="n">
        <v>2.6</v>
      </c>
      <c r="H992" t="n">
        <v>0</v>
      </c>
      <c r="I992" t="n">
        <v>0</v>
      </c>
      <c r="J992" t="n">
        <v>0</v>
      </c>
      <c r="K992" t="n">
        <v>0</v>
      </c>
      <c r="L992" t="n">
        <v>0</v>
      </c>
      <c r="M992" t="n">
        <v>0</v>
      </c>
      <c r="N992" t="n">
        <v>0</v>
      </c>
      <c r="O992" t="n">
        <v>0</v>
      </c>
      <c r="P992" t="n">
        <v>0</v>
      </c>
      <c r="Q992" t="n">
        <v>0</v>
      </c>
      <c r="R992" s="2" t="inlineStr"/>
    </row>
    <row r="993" ht="15" customHeight="1">
      <c r="A993" t="inlineStr">
        <is>
          <t>A 14979-2020</t>
        </is>
      </c>
      <c r="B993" s="1" t="n">
        <v>43910</v>
      </c>
      <c r="C993" s="1" t="n">
        <v>45724</v>
      </c>
      <c r="D993" t="inlineStr">
        <is>
          <t>VÄSTMANLANDS LÄN</t>
        </is>
      </c>
      <c r="E993" t="inlineStr">
        <is>
          <t>HALLSTAHAMMAR</t>
        </is>
      </c>
      <c r="G993" t="n">
        <v>0.6</v>
      </c>
      <c r="H993" t="n">
        <v>0</v>
      </c>
      <c r="I993" t="n">
        <v>0</v>
      </c>
      <c r="J993" t="n">
        <v>0</v>
      </c>
      <c r="K993" t="n">
        <v>0</v>
      </c>
      <c r="L993" t="n">
        <v>0</v>
      </c>
      <c r="M993" t="n">
        <v>0</v>
      </c>
      <c r="N993" t="n">
        <v>0</v>
      </c>
      <c r="O993" t="n">
        <v>0</v>
      </c>
      <c r="P993" t="n">
        <v>0</v>
      </c>
      <c r="Q993" t="n">
        <v>0</v>
      </c>
      <c r="R993" s="2" t="inlineStr"/>
    </row>
    <row r="994" ht="15" customHeight="1">
      <c r="A994" t="inlineStr">
        <is>
          <t>A 14898-2020</t>
        </is>
      </c>
      <c r="B994" s="1" t="n">
        <v>43910</v>
      </c>
      <c r="C994" s="1" t="n">
        <v>45724</v>
      </c>
      <c r="D994" t="inlineStr">
        <is>
          <t>VÄSTMANLANDS LÄN</t>
        </is>
      </c>
      <c r="E994" t="inlineStr">
        <is>
          <t>KÖPING</t>
        </is>
      </c>
      <c r="G994" t="n">
        <v>1.2</v>
      </c>
      <c r="H994" t="n">
        <v>0</v>
      </c>
      <c r="I994" t="n">
        <v>0</v>
      </c>
      <c r="J994" t="n">
        <v>0</v>
      </c>
      <c r="K994" t="n">
        <v>0</v>
      </c>
      <c r="L994" t="n">
        <v>0</v>
      </c>
      <c r="M994" t="n">
        <v>0</v>
      </c>
      <c r="N994" t="n">
        <v>0</v>
      </c>
      <c r="O994" t="n">
        <v>0</v>
      </c>
      <c r="P994" t="n">
        <v>0</v>
      </c>
      <c r="Q994" t="n">
        <v>0</v>
      </c>
      <c r="R994" s="2" t="inlineStr"/>
    </row>
    <row r="995" ht="15" customHeight="1">
      <c r="A995" t="inlineStr">
        <is>
          <t>A 15179-2020</t>
        </is>
      </c>
      <c r="B995" s="1" t="n">
        <v>43913</v>
      </c>
      <c r="C995" s="1" t="n">
        <v>45724</v>
      </c>
      <c r="D995" t="inlineStr">
        <is>
          <t>VÄSTMANLANDS LÄN</t>
        </is>
      </c>
      <c r="E995" t="inlineStr">
        <is>
          <t>NORBERG</t>
        </is>
      </c>
      <c r="F995" t="inlineStr">
        <is>
          <t>Övriga Aktiebolag</t>
        </is>
      </c>
      <c r="G995" t="n">
        <v>8.199999999999999</v>
      </c>
      <c r="H995" t="n">
        <v>0</v>
      </c>
      <c r="I995" t="n">
        <v>0</v>
      </c>
      <c r="J995" t="n">
        <v>0</v>
      </c>
      <c r="K995" t="n">
        <v>0</v>
      </c>
      <c r="L995" t="n">
        <v>0</v>
      </c>
      <c r="M995" t="n">
        <v>0</v>
      </c>
      <c r="N995" t="n">
        <v>0</v>
      </c>
      <c r="O995" t="n">
        <v>0</v>
      </c>
      <c r="P995" t="n">
        <v>0</v>
      </c>
      <c r="Q995" t="n">
        <v>0</v>
      </c>
      <c r="R995" s="2" t="inlineStr"/>
    </row>
    <row r="996" ht="15" customHeight="1">
      <c r="A996" t="inlineStr">
        <is>
          <t>A 15314-2020</t>
        </is>
      </c>
      <c r="B996" s="1" t="n">
        <v>43913</v>
      </c>
      <c r="C996" s="1" t="n">
        <v>45724</v>
      </c>
      <c r="D996" t="inlineStr">
        <is>
          <t>VÄSTMANLANDS LÄN</t>
        </is>
      </c>
      <c r="E996" t="inlineStr">
        <is>
          <t>VÄSTERÅS</t>
        </is>
      </c>
      <c r="G996" t="n">
        <v>1.8</v>
      </c>
      <c r="H996" t="n">
        <v>0</v>
      </c>
      <c r="I996" t="n">
        <v>0</v>
      </c>
      <c r="J996" t="n">
        <v>0</v>
      </c>
      <c r="K996" t="n">
        <v>0</v>
      </c>
      <c r="L996" t="n">
        <v>0</v>
      </c>
      <c r="M996" t="n">
        <v>0</v>
      </c>
      <c r="N996" t="n">
        <v>0</v>
      </c>
      <c r="O996" t="n">
        <v>0</v>
      </c>
      <c r="P996" t="n">
        <v>0</v>
      </c>
      <c r="Q996" t="n">
        <v>0</v>
      </c>
      <c r="R996" s="2" t="inlineStr"/>
    </row>
    <row r="997" ht="15" customHeight="1">
      <c r="A997" t="inlineStr">
        <is>
          <t>A 15187-2020</t>
        </is>
      </c>
      <c r="B997" s="1" t="n">
        <v>43913</v>
      </c>
      <c r="C997" s="1" t="n">
        <v>45724</v>
      </c>
      <c r="D997" t="inlineStr">
        <is>
          <t>VÄSTMANLANDS LÄN</t>
        </is>
      </c>
      <c r="E997" t="inlineStr">
        <is>
          <t>VÄSTERÅS</t>
        </is>
      </c>
      <c r="F997" t="inlineStr">
        <is>
          <t>Sveaskog</t>
        </is>
      </c>
      <c r="G997" t="n">
        <v>0.6</v>
      </c>
      <c r="H997" t="n">
        <v>0</v>
      </c>
      <c r="I997" t="n">
        <v>0</v>
      </c>
      <c r="J997" t="n">
        <v>0</v>
      </c>
      <c r="K997" t="n">
        <v>0</v>
      </c>
      <c r="L997" t="n">
        <v>0</v>
      </c>
      <c r="M997" t="n">
        <v>0</v>
      </c>
      <c r="N997" t="n">
        <v>0</v>
      </c>
      <c r="O997" t="n">
        <v>0</v>
      </c>
      <c r="P997" t="n">
        <v>0</v>
      </c>
      <c r="Q997" t="n">
        <v>0</v>
      </c>
      <c r="R997" s="2" t="inlineStr"/>
    </row>
    <row r="998" ht="15" customHeight="1">
      <c r="A998" t="inlineStr">
        <is>
          <t>A 15546-2020</t>
        </is>
      </c>
      <c r="B998" s="1" t="n">
        <v>43914</v>
      </c>
      <c r="C998" s="1" t="n">
        <v>45724</v>
      </c>
      <c r="D998" t="inlineStr">
        <is>
          <t>VÄSTMANLANDS LÄN</t>
        </is>
      </c>
      <c r="E998" t="inlineStr">
        <is>
          <t>NORBERG</t>
        </is>
      </c>
      <c r="G998" t="n">
        <v>0.5</v>
      </c>
      <c r="H998" t="n">
        <v>0</v>
      </c>
      <c r="I998" t="n">
        <v>0</v>
      </c>
      <c r="J998" t="n">
        <v>0</v>
      </c>
      <c r="K998" t="n">
        <v>0</v>
      </c>
      <c r="L998" t="n">
        <v>0</v>
      </c>
      <c r="M998" t="n">
        <v>0</v>
      </c>
      <c r="N998" t="n">
        <v>0</v>
      </c>
      <c r="O998" t="n">
        <v>0</v>
      </c>
      <c r="P998" t="n">
        <v>0</v>
      </c>
      <c r="Q998" t="n">
        <v>0</v>
      </c>
      <c r="R998" s="2" t="inlineStr"/>
    </row>
    <row r="999" ht="15" customHeight="1">
      <c r="A999" t="inlineStr">
        <is>
          <t>A 15567-2020</t>
        </is>
      </c>
      <c r="B999" s="1" t="n">
        <v>43914</v>
      </c>
      <c r="C999" s="1" t="n">
        <v>45724</v>
      </c>
      <c r="D999" t="inlineStr">
        <is>
          <t>VÄSTMANLANDS LÄN</t>
        </is>
      </c>
      <c r="E999" t="inlineStr">
        <is>
          <t>VÄSTERÅS</t>
        </is>
      </c>
      <c r="G999" t="n">
        <v>2.9</v>
      </c>
      <c r="H999" t="n">
        <v>0</v>
      </c>
      <c r="I999" t="n">
        <v>0</v>
      </c>
      <c r="J999" t="n">
        <v>0</v>
      </c>
      <c r="K999" t="n">
        <v>0</v>
      </c>
      <c r="L999" t="n">
        <v>0</v>
      </c>
      <c r="M999" t="n">
        <v>0</v>
      </c>
      <c r="N999" t="n">
        <v>0</v>
      </c>
      <c r="O999" t="n">
        <v>0</v>
      </c>
      <c r="P999" t="n">
        <v>0</v>
      </c>
      <c r="Q999" t="n">
        <v>0</v>
      </c>
      <c r="R999" s="2" t="inlineStr"/>
    </row>
    <row r="1000" ht="15" customHeight="1">
      <c r="A1000" t="inlineStr">
        <is>
          <t>A 16480-2020</t>
        </is>
      </c>
      <c r="B1000" s="1" t="n">
        <v>43914</v>
      </c>
      <c r="C1000" s="1" t="n">
        <v>45724</v>
      </c>
      <c r="D1000" t="inlineStr">
        <is>
          <t>VÄSTMANLANDS LÄN</t>
        </is>
      </c>
      <c r="E1000" t="inlineStr">
        <is>
          <t>SALA</t>
        </is>
      </c>
      <c r="G1000" t="n">
        <v>1.4</v>
      </c>
      <c r="H1000" t="n">
        <v>0</v>
      </c>
      <c r="I1000" t="n">
        <v>0</v>
      </c>
      <c r="J1000" t="n">
        <v>0</v>
      </c>
      <c r="K1000" t="n">
        <v>0</v>
      </c>
      <c r="L1000" t="n">
        <v>0</v>
      </c>
      <c r="M1000" t="n">
        <v>0</v>
      </c>
      <c r="N1000" t="n">
        <v>0</v>
      </c>
      <c r="O1000" t="n">
        <v>0</v>
      </c>
      <c r="P1000" t="n">
        <v>0</v>
      </c>
      <c r="Q1000" t="n">
        <v>0</v>
      </c>
      <c r="R1000" s="2" t="inlineStr"/>
    </row>
    <row r="1001" ht="15" customHeight="1">
      <c r="A1001" t="inlineStr">
        <is>
          <t>A 15850-2020</t>
        </is>
      </c>
      <c r="B1001" s="1" t="n">
        <v>43915</v>
      </c>
      <c r="C1001" s="1" t="n">
        <v>45724</v>
      </c>
      <c r="D1001" t="inlineStr">
        <is>
          <t>VÄSTMANLANDS LÄN</t>
        </is>
      </c>
      <c r="E1001" t="inlineStr">
        <is>
          <t>SALA</t>
        </is>
      </c>
      <c r="G1001" t="n">
        <v>0.7</v>
      </c>
      <c r="H1001" t="n">
        <v>0</v>
      </c>
      <c r="I1001" t="n">
        <v>0</v>
      </c>
      <c r="J1001" t="n">
        <v>0</v>
      </c>
      <c r="K1001" t="n">
        <v>0</v>
      </c>
      <c r="L1001" t="n">
        <v>0</v>
      </c>
      <c r="M1001" t="n">
        <v>0</v>
      </c>
      <c r="N1001" t="n">
        <v>0</v>
      </c>
      <c r="O1001" t="n">
        <v>0</v>
      </c>
      <c r="P1001" t="n">
        <v>0</v>
      </c>
      <c r="Q1001" t="n">
        <v>0</v>
      </c>
      <c r="R1001" s="2" t="inlineStr"/>
    </row>
    <row r="1002" ht="15" customHeight="1">
      <c r="A1002" t="inlineStr">
        <is>
          <t>A 15748-2020</t>
        </is>
      </c>
      <c r="B1002" s="1" t="n">
        <v>43915</v>
      </c>
      <c r="C1002" s="1" t="n">
        <v>45724</v>
      </c>
      <c r="D1002" t="inlineStr">
        <is>
          <t>VÄSTMANLANDS LÄN</t>
        </is>
      </c>
      <c r="E1002" t="inlineStr">
        <is>
          <t>SALA</t>
        </is>
      </c>
      <c r="G1002" t="n">
        <v>2.4</v>
      </c>
      <c r="H1002" t="n">
        <v>0</v>
      </c>
      <c r="I1002" t="n">
        <v>0</v>
      </c>
      <c r="J1002" t="n">
        <v>0</v>
      </c>
      <c r="K1002" t="n">
        <v>0</v>
      </c>
      <c r="L1002" t="n">
        <v>0</v>
      </c>
      <c r="M1002" t="n">
        <v>0</v>
      </c>
      <c r="N1002" t="n">
        <v>0</v>
      </c>
      <c r="O1002" t="n">
        <v>0</v>
      </c>
      <c r="P1002" t="n">
        <v>0</v>
      </c>
      <c r="Q1002" t="n">
        <v>0</v>
      </c>
      <c r="R1002" s="2" t="inlineStr"/>
    </row>
    <row r="1003" ht="15" customHeight="1">
      <c r="A1003" t="inlineStr">
        <is>
          <t>A 16093-2020</t>
        </is>
      </c>
      <c r="B1003" s="1" t="n">
        <v>43916</v>
      </c>
      <c r="C1003" s="1" t="n">
        <v>45724</v>
      </c>
      <c r="D1003" t="inlineStr">
        <is>
          <t>VÄSTMANLANDS LÄN</t>
        </is>
      </c>
      <c r="E1003" t="inlineStr">
        <is>
          <t>SALA</t>
        </is>
      </c>
      <c r="G1003" t="n">
        <v>1.6</v>
      </c>
      <c r="H1003" t="n">
        <v>0</v>
      </c>
      <c r="I1003" t="n">
        <v>0</v>
      </c>
      <c r="J1003" t="n">
        <v>0</v>
      </c>
      <c r="K1003" t="n">
        <v>0</v>
      </c>
      <c r="L1003" t="n">
        <v>0</v>
      </c>
      <c r="M1003" t="n">
        <v>0</v>
      </c>
      <c r="N1003" t="n">
        <v>0</v>
      </c>
      <c r="O1003" t="n">
        <v>0</v>
      </c>
      <c r="P1003" t="n">
        <v>0</v>
      </c>
      <c r="Q1003" t="n">
        <v>0</v>
      </c>
      <c r="R1003" s="2" t="inlineStr"/>
    </row>
    <row r="1004" ht="15" customHeight="1">
      <c r="A1004" t="inlineStr">
        <is>
          <t>A 17494-2020</t>
        </is>
      </c>
      <c r="B1004" s="1" t="n">
        <v>43916</v>
      </c>
      <c r="C1004" s="1" t="n">
        <v>45724</v>
      </c>
      <c r="D1004" t="inlineStr">
        <is>
          <t>VÄSTMANLANDS LÄN</t>
        </is>
      </c>
      <c r="E1004" t="inlineStr">
        <is>
          <t>VÄSTERÅS</t>
        </is>
      </c>
      <c r="G1004" t="n">
        <v>6.9</v>
      </c>
      <c r="H1004" t="n">
        <v>0</v>
      </c>
      <c r="I1004" t="n">
        <v>0</v>
      </c>
      <c r="J1004" t="n">
        <v>0</v>
      </c>
      <c r="K1004" t="n">
        <v>0</v>
      </c>
      <c r="L1004" t="n">
        <v>0</v>
      </c>
      <c r="M1004" t="n">
        <v>0</v>
      </c>
      <c r="N1004" t="n">
        <v>0</v>
      </c>
      <c r="O1004" t="n">
        <v>0</v>
      </c>
      <c r="P1004" t="n">
        <v>0</v>
      </c>
      <c r="Q1004" t="n">
        <v>0</v>
      </c>
      <c r="R1004" s="2" t="inlineStr"/>
    </row>
    <row r="1005" ht="15" customHeight="1">
      <c r="A1005" t="inlineStr">
        <is>
          <t>A 16713-2020</t>
        </is>
      </c>
      <c r="B1005" s="1" t="n">
        <v>43920</v>
      </c>
      <c r="C1005" s="1" t="n">
        <v>45724</v>
      </c>
      <c r="D1005" t="inlineStr">
        <is>
          <t>VÄSTMANLANDS LÄN</t>
        </is>
      </c>
      <c r="E1005" t="inlineStr">
        <is>
          <t>ARBOGA</t>
        </is>
      </c>
      <c r="F1005" t="inlineStr">
        <is>
          <t>Allmännings- och besparingsskogar</t>
        </is>
      </c>
      <c r="G1005" t="n">
        <v>5</v>
      </c>
      <c r="H1005" t="n">
        <v>0</v>
      </c>
      <c r="I1005" t="n">
        <v>0</v>
      </c>
      <c r="J1005" t="n">
        <v>0</v>
      </c>
      <c r="K1005" t="n">
        <v>0</v>
      </c>
      <c r="L1005" t="n">
        <v>0</v>
      </c>
      <c r="M1005" t="n">
        <v>0</v>
      </c>
      <c r="N1005" t="n">
        <v>0</v>
      </c>
      <c r="O1005" t="n">
        <v>0</v>
      </c>
      <c r="P1005" t="n">
        <v>0</v>
      </c>
      <c r="Q1005" t="n">
        <v>0</v>
      </c>
      <c r="R1005" s="2" t="inlineStr"/>
    </row>
    <row r="1006" ht="15" customHeight="1">
      <c r="A1006" t="inlineStr">
        <is>
          <t>A 17588-2020</t>
        </is>
      </c>
      <c r="B1006" s="1" t="n">
        <v>43920</v>
      </c>
      <c r="C1006" s="1" t="n">
        <v>45724</v>
      </c>
      <c r="D1006" t="inlineStr">
        <is>
          <t>VÄSTMANLANDS LÄN</t>
        </is>
      </c>
      <c r="E1006" t="inlineStr">
        <is>
          <t>VÄSTERÅS</t>
        </is>
      </c>
      <c r="G1006" t="n">
        <v>0.7</v>
      </c>
      <c r="H1006" t="n">
        <v>0</v>
      </c>
      <c r="I1006" t="n">
        <v>0</v>
      </c>
      <c r="J1006" t="n">
        <v>0</v>
      </c>
      <c r="K1006" t="n">
        <v>0</v>
      </c>
      <c r="L1006" t="n">
        <v>0</v>
      </c>
      <c r="M1006" t="n">
        <v>0</v>
      </c>
      <c r="N1006" t="n">
        <v>0</v>
      </c>
      <c r="O1006" t="n">
        <v>0</v>
      </c>
      <c r="P1006" t="n">
        <v>0</v>
      </c>
      <c r="Q1006" t="n">
        <v>0</v>
      </c>
      <c r="R1006" s="2" t="inlineStr"/>
    </row>
    <row r="1007" ht="15" customHeight="1">
      <c r="A1007" t="inlineStr">
        <is>
          <t>A 16989-2020</t>
        </is>
      </c>
      <c r="B1007" s="1" t="n">
        <v>43921</v>
      </c>
      <c r="C1007" s="1" t="n">
        <v>45724</v>
      </c>
      <c r="D1007" t="inlineStr">
        <is>
          <t>VÄSTMANLANDS LÄN</t>
        </is>
      </c>
      <c r="E1007" t="inlineStr">
        <is>
          <t>KÖPING</t>
        </is>
      </c>
      <c r="G1007" t="n">
        <v>11</v>
      </c>
      <c r="H1007" t="n">
        <v>0</v>
      </c>
      <c r="I1007" t="n">
        <v>0</v>
      </c>
      <c r="J1007" t="n">
        <v>0</v>
      </c>
      <c r="K1007" t="n">
        <v>0</v>
      </c>
      <c r="L1007" t="n">
        <v>0</v>
      </c>
      <c r="M1007" t="n">
        <v>0</v>
      </c>
      <c r="N1007" t="n">
        <v>0</v>
      </c>
      <c r="O1007" t="n">
        <v>0</v>
      </c>
      <c r="P1007" t="n">
        <v>0</v>
      </c>
      <c r="Q1007" t="n">
        <v>0</v>
      </c>
      <c r="R1007" s="2" t="inlineStr"/>
    </row>
    <row r="1008" ht="15" customHeight="1">
      <c r="A1008" t="inlineStr">
        <is>
          <t>A 16912-2020</t>
        </is>
      </c>
      <c r="B1008" s="1" t="n">
        <v>43921</v>
      </c>
      <c r="C1008" s="1" t="n">
        <v>45724</v>
      </c>
      <c r="D1008" t="inlineStr">
        <is>
          <t>VÄSTMANLANDS LÄN</t>
        </is>
      </c>
      <c r="E1008" t="inlineStr">
        <is>
          <t>KÖPING</t>
        </is>
      </c>
      <c r="G1008" t="n">
        <v>0.6</v>
      </c>
      <c r="H1008" t="n">
        <v>0</v>
      </c>
      <c r="I1008" t="n">
        <v>0</v>
      </c>
      <c r="J1008" t="n">
        <v>0</v>
      </c>
      <c r="K1008" t="n">
        <v>0</v>
      </c>
      <c r="L1008" t="n">
        <v>0</v>
      </c>
      <c r="M1008" t="n">
        <v>0</v>
      </c>
      <c r="N1008" t="n">
        <v>0</v>
      </c>
      <c r="O1008" t="n">
        <v>0</v>
      </c>
      <c r="P1008" t="n">
        <v>0</v>
      </c>
      <c r="Q1008" t="n">
        <v>0</v>
      </c>
      <c r="R1008" s="2" t="inlineStr"/>
    </row>
    <row r="1009" ht="15" customHeight="1">
      <c r="A1009" t="inlineStr">
        <is>
          <t>A 17139-2020</t>
        </is>
      </c>
      <c r="B1009" s="1" t="n">
        <v>43922</v>
      </c>
      <c r="C1009" s="1" t="n">
        <v>45724</v>
      </c>
      <c r="D1009" t="inlineStr">
        <is>
          <t>VÄSTMANLANDS LÄN</t>
        </is>
      </c>
      <c r="E1009" t="inlineStr">
        <is>
          <t>SALA</t>
        </is>
      </c>
      <c r="G1009" t="n">
        <v>0.5</v>
      </c>
      <c r="H1009" t="n">
        <v>0</v>
      </c>
      <c r="I1009" t="n">
        <v>0</v>
      </c>
      <c r="J1009" t="n">
        <v>0</v>
      </c>
      <c r="K1009" t="n">
        <v>0</v>
      </c>
      <c r="L1009" t="n">
        <v>0</v>
      </c>
      <c r="M1009" t="n">
        <v>0</v>
      </c>
      <c r="N1009" t="n">
        <v>0</v>
      </c>
      <c r="O1009" t="n">
        <v>0</v>
      </c>
      <c r="P1009" t="n">
        <v>0</v>
      </c>
      <c r="Q1009" t="n">
        <v>0</v>
      </c>
      <c r="R1009" s="2" t="inlineStr"/>
    </row>
    <row r="1010" ht="15" customHeight="1">
      <c r="A1010" t="inlineStr">
        <is>
          <t>A 17205-2020</t>
        </is>
      </c>
      <c r="B1010" s="1" t="n">
        <v>43922</v>
      </c>
      <c r="C1010" s="1" t="n">
        <v>45724</v>
      </c>
      <c r="D1010" t="inlineStr">
        <is>
          <t>VÄSTMANLANDS LÄN</t>
        </is>
      </c>
      <c r="E1010" t="inlineStr">
        <is>
          <t>SALA</t>
        </is>
      </c>
      <c r="G1010" t="n">
        <v>3.2</v>
      </c>
      <c r="H1010" t="n">
        <v>0</v>
      </c>
      <c r="I1010" t="n">
        <v>0</v>
      </c>
      <c r="J1010" t="n">
        <v>0</v>
      </c>
      <c r="K1010" t="n">
        <v>0</v>
      </c>
      <c r="L1010" t="n">
        <v>0</v>
      </c>
      <c r="M1010" t="n">
        <v>0</v>
      </c>
      <c r="N1010" t="n">
        <v>0</v>
      </c>
      <c r="O1010" t="n">
        <v>0</v>
      </c>
      <c r="P1010" t="n">
        <v>0</v>
      </c>
      <c r="Q1010" t="n">
        <v>0</v>
      </c>
      <c r="R1010" s="2" t="inlineStr"/>
    </row>
    <row r="1011" ht="15" customHeight="1">
      <c r="A1011" t="inlineStr">
        <is>
          <t>A 17298-2020</t>
        </is>
      </c>
      <c r="B1011" s="1" t="n">
        <v>43922</v>
      </c>
      <c r="C1011" s="1" t="n">
        <v>45724</v>
      </c>
      <c r="D1011" t="inlineStr">
        <is>
          <t>VÄSTMANLANDS LÄN</t>
        </is>
      </c>
      <c r="E1011" t="inlineStr">
        <is>
          <t>VÄSTERÅS</t>
        </is>
      </c>
      <c r="G1011" t="n">
        <v>2.3</v>
      </c>
      <c r="H1011" t="n">
        <v>0</v>
      </c>
      <c r="I1011" t="n">
        <v>0</v>
      </c>
      <c r="J1011" t="n">
        <v>0</v>
      </c>
      <c r="K1011" t="n">
        <v>0</v>
      </c>
      <c r="L1011" t="n">
        <v>0</v>
      </c>
      <c r="M1011" t="n">
        <v>0</v>
      </c>
      <c r="N1011" t="n">
        <v>0</v>
      </c>
      <c r="O1011" t="n">
        <v>0</v>
      </c>
      <c r="P1011" t="n">
        <v>0</v>
      </c>
      <c r="Q1011" t="n">
        <v>0</v>
      </c>
      <c r="R1011" s="2" t="inlineStr"/>
    </row>
    <row r="1012" ht="15" customHeight="1">
      <c r="A1012" t="inlineStr">
        <is>
          <t>A 17355-2020</t>
        </is>
      </c>
      <c r="B1012" s="1" t="n">
        <v>43923</v>
      </c>
      <c r="C1012" s="1" t="n">
        <v>45724</v>
      </c>
      <c r="D1012" t="inlineStr">
        <is>
          <t>VÄSTMANLANDS LÄN</t>
        </is>
      </c>
      <c r="E1012" t="inlineStr">
        <is>
          <t>SALA</t>
        </is>
      </c>
      <c r="G1012" t="n">
        <v>0.4</v>
      </c>
      <c r="H1012" t="n">
        <v>0</v>
      </c>
      <c r="I1012" t="n">
        <v>0</v>
      </c>
      <c r="J1012" t="n">
        <v>0</v>
      </c>
      <c r="K1012" t="n">
        <v>0</v>
      </c>
      <c r="L1012" t="n">
        <v>0</v>
      </c>
      <c r="M1012" t="n">
        <v>0</v>
      </c>
      <c r="N1012" t="n">
        <v>0</v>
      </c>
      <c r="O1012" t="n">
        <v>0</v>
      </c>
      <c r="P1012" t="n">
        <v>0</v>
      </c>
      <c r="Q1012" t="n">
        <v>0</v>
      </c>
      <c r="R1012" s="2" t="inlineStr"/>
    </row>
    <row r="1013" ht="15" customHeight="1">
      <c r="A1013" t="inlineStr">
        <is>
          <t>A 17492-2020</t>
        </is>
      </c>
      <c r="B1013" s="1" t="n">
        <v>43923</v>
      </c>
      <c r="C1013" s="1" t="n">
        <v>45724</v>
      </c>
      <c r="D1013" t="inlineStr">
        <is>
          <t>VÄSTMANLANDS LÄN</t>
        </is>
      </c>
      <c r="E1013" t="inlineStr">
        <is>
          <t>SALA</t>
        </is>
      </c>
      <c r="G1013" t="n">
        <v>0.8</v>
      </c>
      <c r="H1013" t="n">
        <v>0</v>
      </c>
      <c r="I1013" t="n">
        <v>0</v>
      </c>
      <c r="J1013" t="n">
        <v>0</v>
      </c>
      <c r="K1013" t="n">
        <v>0</v>
      </c>
      <c r="L1013" t="n">
        <v>0</v>
      </c>
      <c r="M1013" t="n">
        <v>0</v>
      </c>
      <c r="N1013" t="n">
        <v>0</v>
      </c>
      <c r="O1013" t="n">
        <v>0</v>
      </c>
      <c r="P1013" t="n">
        <v>0</v>
      </c>
      <c r="Q1013" t="n">
        <v>0</v>
      </c>
      <c r="R1013" s="2" t="inlineStr"/>
    </row>
    <row r="1014" ht="15" customHeight="1">
      <c r="A1014" t="inlineStr">
        <is>
          <t>A 18772-2020</t>
        </is>
      </c>
      <c r="B1014" s="1" t="n">
        <v>43930</v>
      </c>
      <c r="C1014" s="1" t="n">
        <v>45724</v>
      </c>
      <c r="D1014" t="inlineStr">
        <is>
          <t>VÄSTMANLANDS LÄN</t>
        </is>
      </c>
      <c r="E1014" t="inlineStr">
        <is>
          <t>SALA</t>
        </is>
      </c>
      <c r="G1014" t="n">
        <v>3.5</v>
      </c>
      <c r="H1014" t="n">
        <v>0</v>
      </c>
      <c r="I1014" t="n">
        <v>0</v>
      </c>
      <c r="J1014" t="n">
        <v>0</v>
      </c>
      <c r="K1014" t="n">
        <v>0</v>
      </c>
      <c r="L1014" t="n">
        <v>0</v>
      </c>
      <c r="M1014" t="n">
        <v>0</v>
      </c>
      <c r="N1014" t="n">
        <v>0</v>
      </c>
      <c r="O1014" t="n">
        <v>0</v>
      </c>
      <c r="P1014" t="n">
        <v>0</v>
      </c>
      <c r="Q1014" t="n">
        <v>0</v>
      </c>
      <c r="R1014" s="2" t="inlineStr"/>
    </row>
    <row r="1015" ht="15" customHeight="1">
      <c r="A1015" t="inlineStr">
        <is>
          <t>A 19071-2020</t>
        </is>
      </c>
      <c r="B1015" s="1" t="n">
        <v>43936</v>
      </c>
      <c r="C1015" s="1" t="n">
        <v>45724</v>
      </c>
      <c r="D1015" t="inlineStr">
        <is>
          <t>VÄSTMANLANDS LÄN</t>
        </is>
      </c>
      <c r="E1015" t="inlineStr">
        <is>
          <t>SALA</t>
        </is>
      </c>
      <c r="G1015" t="n">
        <v>1</v>
      </c>
      <c r="H1015" t="n">
        <v>0</v>
      </c>
      <c r="I1015" t="n">
        <v>0</v>
      </c>
      <c r="J1015" t="n">
        <v>0</v>
      </c>
      <c r="K1015" t="n">
        <v>0</v>
      </c>
      <c r="L1015" t="n">
        <v>0</v>
      </c>
      <c r="M1015" t="n">
        <v>0</v>
      </c>
      <c r="N1015" t="n">
        <v>0</v>
      </c>
      <c r="O1015" t="n">
        <v>0</v>
      </c>
      <c r="P1015" t="n">
        <v>0</v>
      </c>
      <c r="Q1015" t="n">
        <v>0</v>
      </c>
      <c r="R1015" s="2" t="inlineStr"/>
    </row>
    <row r="1016" ht="15" customHeight="1">
      <c r="A1016" t="inlineStr">
        <is>
          <t>A 19480-2020</t>
        </is>
      </c>
      <c r="B1016" s="1" t="n">
        <v>43936</v>
      </c>
      <c r="C1016" s="1" t="n">
        <v>45724</v>
      </c>
      <c r="D1016" t="inlineStr">
        <is>
          <t>VÄSTMANLANDS LÄN</t>
        </is>
      </c>
      <c r="E1016" t="inlineStr">
        <is>
          <t>SALA</t>
        </is>
      </c>
      <c r="G1016" t="n">
        <v>4.8</v>
      </c>
      <c r="H1016" t="n">
        <v>0</v>
      </c>
      <c r="I1016" t="n">
        <v>0</v>
      </c>
      <c r="J1016" t="n">
        <v>0</v>
      </c>
      <c r="K1016" t="n">
        <v>0</v>
      </c>
      <c r="L1016" t="n">
        <v>0</v>
      </c>
      <c r="M1016" t="n">
        <v>0</v>
      </c>
      <c r="N1016" t="n">
        <v>0</v>
      </c>
      <c r="O1016" t="n">
        <v>0</v>
      </c>
      <c r="P1016" t="n">
        <v>0</v>
      </c>
      <c r="Q1016" t="n">
        <v>0</v>
      </c>
      <c r="R1016" s="2" t="inlineStr"/>
    </row>
    <row r="1017" ht="15" customHeight="1">
      <c r="A1017" t="inlineStr">
        <is>
          <t>A 19573-2020</t>
        </is>
      </c>
      <c r="B1017" s="1" t="n">
        <v>43941</v>
      </c>
      <c r="C1017" s="1" t="n">
        <v>45724</v>
      </c>
      <c r="D1017" t="inlineStr">
        <is>
          <t>VÄSTMANLANDS LÄN</t>
        </is>
      </c>
      <c r="E1017" t="inlineStr">
        <is>
          <t>ARBOGA</t>
        </is>
      </c>
      <c r="G1017" t="n">
        <v>9.5</v>
      </c>
      <c r="H1017" t="n">
        <v>0</v>
      </c>
      <c r="I1017" t="n">
        <v>0</v>
      </c>
      <c r="J1017" t="n">
        <v>0</v>
      </c>
      <c r="K1017" t="n">
        <v>0</v>
      </c>
      <c r="L1017" t="n">
        <v>0</v>
      </c>
      <c r="M1017" t="n">
        <v>0</v>
      </c>
      <c r="N1017" t="n">
        <v>0</v>
      </c>
      <c r="O1017" t="n">
        <v>0</v>
      </c>
      <c r="P1017" t="n">
        <v>0</v>
      </c>
      <c r="Q1017" t="n">
        <v>0</v>
      </c>
      <c r="R1017" s="2" t="inlineStr"/>
    </row>
    <row r="1018" ht="15" customHeight="1">
      <c r="A1018" t="inlineStr">
        <is>
          <t>A 20480-2020</t>
        </is>
      </c>
      <c r="B1018" s="1" t="n">
        <v>43948</v>
      </c>
      <c r="C1018" s="1" t="n">
        <v>45724</v>
      </c>
      <c r="D1018" t="inlineStr">
        <is>
          <t>VÄSTMANLANDS LÄN</t>
        </is>
      </c>
      <c r="E1018" t="inlineStr">
        <is>
          <t>NORBERG</t>
        </is>
      </c>
      <c r="G1018" t="n">
        <v>0.7</v>
      </c>
      <c r="H1018" t="n">
        <v>0</v>
      </c>
      <c r="I1018" t="n">
        <v>0</v>
      </c>
      <c r="J1018" t="n">
        <v>0</v>
      </c>
      <c r="K1018" t="n">
        <v>0</v>
      </c>
      <c r="L1018" t="n">
        <v>0</v>
      </c>
      <c r="M1018" t="n">
        <v>0</v>
      </c>
      <c r="N1018" t="n">
        <v>0</v>
      </c>
      <c r="O1018" t="n">
        <v>0</v>
      </c>
      <c r="P1018" t="n">
        <v>0</v>
      </c>
      <c r="Q1018" t="n">
        <v>0</v>
      </c>
      <c r="R1018" s="2" t="inlineStr"/>
    </row>
    <row r="1019" ht="15" customHeight="1">
      <c r="A1019" t="inlineStr">
        <is>
          <t>A 20483-2020</t>
        </is>
      </c>
      <c r="B1019" s="1" t="n">
        <v>43948</v>
      </c>
      <c r="C1019" s="1" t="n">
        <v>45724</v>
      </c>
      <c r="D1019" t="inlineStr">
        <is>
          <t>VÄSTMANLANDS LÄN</t>
        </is>
      </c>
      <c r="E1019" t="inlineStr">
        <is>
          <t>NORBERG</t>
        </is>
      </c>
      <c r="G1019" t="n">
        <v>0.5</v>
      </c>
      <c r="H1019" t="n">
        <v>0</v>
      </c>
      <c r="I1019" t="n">
        <v>0</v>
      </c>
      <c r="J1019" t="n">
        <v>0</v>
      </c>
      <c r="K1019" t="n">
        <v>0</v>
      </c>
      <c r="L1019" t="n">
        <v>0</v>
      </c>
      <c r="M1019" t="n">
        <v>0</v>
      </c>
      <c r="N1019" t="n">
        <v>0</v>
      </c>
      <c r="O1019" t="n">
        <v>0</v>
      </c>
      <c r="P1019" t="n">
        <v>0</v>
      </c>
      <c r="Q1019" t="n">
        <v>0</v>
      </c>
      <c r="R1019" s="2" t="inlineStr"/>
    </row>
    <row r="1020" ht="15" customHeight="1">
      <c r="A1020" t="inlineStr">
        <is>
          <t>A 20740-2020</t>
        </is>
      </c>
      <c r="B1020" s="1" t="n">
        <v>43949</v>
      </c>
      <c r="C1020" s="1" t="n">
        <v>45724</v>
      </c>
      <c r="D1020" t="inlineStr">
        <is>
          <t>VÄSTMANLANDS LÄN</t>
        </is>
      </c>
      <c r="E1020" t="inlineStr">
        <is>
          <t>KÖPING</t>
        </is>
      </c>
      <c r="G1020" t="n">
        <v>2.4</v>
      </c>
      <c r="H1020" t="n">
        <v>0</v>
      </c>
      <c r="I1020" t="n">
        <v>0</v>
      </c>
      <c r="J1020" t="n">
        <v>0</v>
      </c>
      <c r="K1020" t="n">
        <v>0</v>
      </c>
      <c r="L1020" t="n">
        <v>0</v>
      </c>
      <c r="M1020" t="n">
        <v>0</v>
      </c>
      <c r="N1020" t="n">
        <v>0</v>
      </c>
      <c r="O1020" t="n">
        <v>0</v>
      </c>
      <c r="P1020" t="n">
        <v>0</v>
      </c>
      <c r="Q1020" t="n">
        <v>0</v>
      </c>
      <c r="R1020" s="2" t="inlineStr"/>
    </row>
    <row r="1021" ht="15" customHeight="1">
      <c r="A1021" t="inlineStr">
        <is>
          <t>A 21691-2020</t>
        </is>
      </c>
      <c r="B1021" s="1" t="n">
        <v>43957</v>
      </c>
      <c r="C1021" s="1" t="n">
        <v>45724</v>
      </c>
      <c r="D1021" t="inlineStr">
        <is>
          <t>VÄSTMANLANDS LÄN</t>
        </is>
      </c>
      <c r="E1021" t="inlineStr">
        <is>
          <t>KÖPING</t>
        </is>
      </c>
      <c r="F1021" t="inlineStr">
        <is>
          <t>Kommuner</t>
        </is>
      </c>
      <c r="G1021" t="n">
        <v>1.7</v>
      </c>
      <c r="H1021" t="n">
        <v>0</v>
      </c>
      <c r="I1021" t="n">
        <v>0</v>
      </c>
      <c r="J1021" t="n">
        <v>0</v>
      </c>
      <c r="K1021" t="n">
        <v>0</v>
      </c>
      <c r="L1021" t="n">
        <v>0</v>
      </c>
      <c r="M1021" t="n">
        <v>0</v>
      </c>
      <c r="N1021" t="n">
        <v>0</v>
      </c>
      <c r="O1021" t="n">
        <v>0</v>
      </c>
      <c r="P1021" t="n">
        <v>0</v>
      </c>
      <c r="Q1021" t="n">
        <v>0</v>
      </c>
      <c r="R1021" s="2" t="inlineStr"/>
    </row>
    <row r="1022" ht="15" customHeight="1">
      <c r="A1022" t="inlineStr">
        <is>
          <t>A 22305-2020</t>
        </is>
      </c>
      <c r="B1022" s="1" t="n">
        <v>43957</v>
      </c>
      <c r="C1022" s="1" t="n">
        <v>45724</v>
      </c>
      <c r="D1022" t="inlineStr">
        <is>
          <t>VÄSTMANLANDS LÄN</t>
        </is>
      </c>
      <c r="E1022" t="inlineStr">
        <is>
          <t>SALA</t>
        </is>
      </c>
      <c r="G1022" t="n">
        <v>2.9</v>
      </c>
      <c r="H1022" t="n">
        <v>0</v>
      </c>
      <c r="I1022" t="n">
        <v>0</v>
      </c>
      <c r="J1022" t="n">
        <v>0</v>
      </c>
      <c r="K1022" t="n">
        <v>0</v>
      </c>
      <c r="L1022" t="n">
        <v>0</v>
      </c>
      <c r="M1022" t="n">
        <v>0</v>
      </c>
      <c r="N1022" t="n">
        <v>0</v>
      </c>
      <c r="O1022" t="n">
        <v>0</v>
      </c>
      <c r="P1022" t="n">
        <v>0</v>
      </c>
      <c r="Q1022" t="n">
        <v>0</v>
      </c>
      <c r="R1022" s="2" t="inlineStr"/>
    </row>
    <row r="1023" ht="15" customHeight="1">
      <c r="A1023" t="inlineStr">
        <is>
          <t>A 22058-2020</t>
        </is>
      </c>
      <c r="B1023" s="1" t="n">
        <v>43959</v>
      </c>
      <c r="C1023" s="1" t="n">
        <v>45724</v>
      </c>
      <c r="D1023" t="inlineStr">
        <is>
          <t>VÄSTMANLANDS LÄN</t>
        </is>
      </c>
      <c r="E1023" t="inlineStr">
        <is>
          <t>SALA</t>
        </is>
      </c>
      <c r="G1023" t="n">
        <v>3.1</v>
      </c>
      <c r="H1023" t="n">
        <v>0</v>
      </c>
      <c r="I1023" t="n">
        <v>0</v>
      </c>
      <c r="J1023" t="n">
        <v>0</v>
      </c>
      <c r="K1023" t="n">
        <v>0</v>
      </c>
      <c r="L1023" t="n">
        <v>0</v>
      </c>
      <c r="M1023" t="n">
        <v>0</v>
      </c>
      <c r="N1023" t="n">
        <v>0</v>
      </c>
      <c r="O1023" t="n">
        <v>0</v>
      </c>
      <c r="P1023" t="n">
        <v>0</v>
      </c>
      <c r="Q1023" t="n">
        <v>0</v>
      </c>
      <c r="R1023" s="2" t="inlineStr"/>
    </row>
    <row r="1024" ht="15" customHeight="1">
      <c r="A1024" t="inlineStr">
        <is>
          <t>A 22455-2020</t>
        </is>
      </c>
      <c r="B1024" s="1" t="n">
        <v>43963</v>
      </c>
      <c r="C1024" s="1" t="n">
        <v>45724</v>
      </c>
      <c r="D1024" t="inlineStr">
        <is>
          <t>VÄSTMANLANDS LÄN</t>
        </is>
      </c>
      <c r="E1024" t="inlineStr">
        <is>
          <t>KUNGSÖR</t>
        </is>
      </c>
      <c r="G1024" t="n">
        <v>1.4</v>
      </c>
      <c r="H1024" t="n">
        <v>0</v>
      </c>
      <c r="I1024" t="n">
        <v>0</v>
      </c>
      <c r="J1024" t="n">
        <v>0</v>
      </c>
      <c r="K1024" t="n">
        <v>0</v>
      </c>
      <c r="L1024" t="n">
        <v>0</v>
      </c>
      <c r="M1024" t="n">
        <v>0</v>
      </c>
      <c r="N1024" t="n">
        <v>0</v>
      </c>
      <c r="O1024" t="n">
        <v>0</v>
      </c>
      <c r="P1024" t="n">
        <v>0</v>
      </c>
      <c r="Q1024" t="n">
        <v>0</v>
      </c>
      <c r="R1024" s="2" t="inlineStr"/>
    </row>
    <row r="1025" ht="15" customHeight="1">
      <c r="A1025" t="inlineStr">
        <is>
          <t>A 22523-2020</t>
        </is>
      </c>
      <c r="B1025" s="1" t="n">
        <v>43963</v>
      </c>
      <c r="C1025" s="1" t="n">
        <v>45724</v>
      </c>
      <c r="D1025" t="inlineStr">
        <is>
          <t>VÄSTMANLANDS LÄN</t>
        </is>
      </c>
      <c r="E1025" t="inlineStr">
        <is>
          <t>KÖPING</t>
        </is>
      </c>
      <c r="G1025" t="n">
        <v>1.3</v>
      </c>
      <c r="H1025" t="n">
        <v>0</v>
      </c>
      <c r="I1025" t="n">
        <v>0</v>
      </c>
      <c r="J1025" t="n">
        <v>0</v>
      </c>
      <c r="K1025" t="n">
        <v>0</v>
      </c>
      <c r="L1025" t="n">
        <v>0</v>
      </c>
      <c r="M1025" t="n">
        <v>0</v>
      </c>
      <c r="N1025" t="n">
        <v>0</v>
      </c>
      <c r="O1025" t="n">
        <v>0</v>
      </c>
      <c r="P1025" t="n">
        <v>0</v>
      </c>
      <c r="Q1025" t="n">
        <v>0</v>
      </c>
      <c r="R1025" s="2" t="inlineStr"/>
    </row>
    <row r="1026" ht="15" customHeight="1">
      <c r="A1026" t="inlineStr">
        <is>
          <t>A 22413-2020</t>
        </is>
      </c>
      <c r="B1026" s="1" t="n">
        <v>43963</v>
      </c>
      <c r="C1026" s="1" t="n">
        <v>45724</v>
      </c>
      <c r="D1026" t="inlineStr">
        <is>
          <t>VÄSTMANLANDS LÄN</t>
        </is>
      </c>
      <c r="E1026" t="inlineStr">
        <is>
          <t>NORBERG</t>
        </is>
      </c>
      <c r="G1026" t="n">
        <v>1.9</v>
      </c>
      <c r="H1026" t="n">
        <v>0</v>
      </c>
      <c r="I1026" t="n">
        <v>0</v>
      </c>
      <c r="J1026" t="n">
        <v>0</v>
      </c>
      <c r="K1026" t="n">
        <v>0</v>
      </c>
      <c r="L1026" t="n">
        <v>0</v>
      </c>
      <c r="M1026" t="n">
        <v>0</v>
      </c>
      <c r="N1026" t="n">
        <v>0</v>
      </c>
      <c r="O1026" t="n">
        <v>0</v>
      </c>
      <c r="P1026" t="n">
        <v>0</v>
      </c>
      <c r="Q1026" t="n">
        <v>0</v>
      </c>
      <c r="R1026" s="2" t="inlineStr"/>
    </row>
    <row r="1027" ht="15" customHeight="1">
      <c r="A1027" t="inlineStr">
        <is>
          <t>A 22770-2020</t>
        </is>
      </c>
      <c r="B1027" s="1" t="n">
        <v>43964</v>
      </c>
      <c r="C1027" s="1" t="n">
        <v>45724</v>
      </c>
      <c r="D1027" t="inlineStr">
        <is>
          <t>VÄSTMANLANDS LÄN</t>
        </is>
      </c>
      <c r="E1027" t="inlineStr">
        <is>
          <t>ARBOGA</t>
        </is>
      </c>
      <c r="G1027" t="n">
        <v>1.8</v>
      </c>
      <c r="H1027" t="n">
        <v>0</v>
      </c>
      <c r="I1027" t="n">
        <v>0</v>
      </c>
      <c r="J1027" t="n">
        <v>0</v>
      </c>
      <c r="K1027" t="n">
        <v>0</v>
      </c>
      <c r="L1027" t="n">
        <v>0</v>
      </c>
      <c r="M1027" t="n">
        <v>0</v>
      </c>
      <c r="N1027" t="n">
        <v>0</v>
      </c>
      <c r="O1027" t="n">
        <v>0</v>
      </c>
      <c r="P1027" t="n">
        <v>0</v>
      </c>
      <c r="Q1027" t="n">
        <v>0</v>
      </c>
      <c r="R1027" s="2" t="inlineStr"/>
    </row>
    <row r="1028" ht="15" customHeight="1">
      <c r="A1028" t="inlineStr">
        <is>
          <t>A 22783-2020</t>
        </is>
      </c>
      <c r="B1028" s="1" t="n">
        <v>43964</v>
      </c>
      <c r="C1028" s="1" t="n">
        <v>45724</v>
      </c>
      <c r="D1028" t="inlineStr">
        <is>
          <t>VÄSTMANLANDS LÄN</t>
        </is>
      </c>
      <c r="E1028" t="inlineStr">
        <is>
          <t>ARBOGA</t>
        </is>
      </c>
      <c r="G1028" t="n">
        <v>4.4</v>
      </c>
      <c r="H1028" t="n">
        <v>0</v>
      </c>
      <c r="I1028" t="n">
        <v>0</v>
      </c>
      <c r="J1028" t="n">
        <v>0</v>
      </c>
      <c r="K1028" t="n">
        <v>0</v>
      </c>
      <c r="L1028" t="n">
        <v>0</v>
      </c>
      <c r="M1028" t="n">
        <v>0</v>
      </c>
      <c r="N1028" t="n">
        <v>0</v>
      </c>
      <c r="O1028" t="n">
        <v>0</v>
      </c>
      <c r="P1028" t="n">
        <v>0</v>
      </c>
      <c r="Q1028" t="n">
        <v>0</v>
      </c>
      <c r="R1028" s="2" t="inlineStr"/>
    </row>
    <row r="1029" ht="15" customHeight="1">
      <c r="A1029" t="inlineStr">
        <is>
          <t>A 23108-2020</t>
        </is>
      </c>
      <c r="B1029" s="1" t="n">
        <v>43965</v>
      </c>
      <c r="C1029" s="1" t="n">
        <v>45724</v>
      </c>
      <c r="D1029" t="inlineStr">
        <is>
          <t>VÄSTMANLANDS LÄN</t>
        </is>
      </c>
      <c r="E1029" t="inlineStr">
        <is>
          <t>SKINNSKATTEBERG</t>
        </is>
      </c>
      <c r="F1029" t="inlineStr">
        <is>
          <t>Kyrkan</t>
        </is>
      </c>
      <c r="G1029" t="n">
        <v>2.1</v>
      </c>
      <c r="H1029" t="n">
        <v>0</v>
      </c>
      <c r="I1029" t="n">
        <v>0</v>
      </c>
      <c r="J1029" t="n">
        <v>0</v>
      </c>
      <c r="K1029" t="n">
        <v>0</v>
      </c>
      <c r="L1029" t="n">
        <v>0</v>
      </c>
      <c r="M1029" t="n">
        <v>0</v>
      </c>
      <c r="N1029" t="n">
        <v>0</v>
      </c>
      <c r="O1029" t="n">
        <v>0</v>
      </c>
      <c r="P1029" t="n">
        <v>0</v>
      </c>
      <c r="Q1029" t="n">
        <v>0</v>
      </c>
      <c r="R1029" s="2" t="inlineStr"/>
    </row>
    <row r="1030" ht="15" customHeight="1">
      <c r="A1030" t="inlineStr">
        <is>
          <t>A 23517-2020</t>
        </is>
      </c>
      <c r="B1030" s="1" t="n">
        <v>43969</v>
      </c>
      <c r="C1030" s="1" t="n">
        <v>45724</v>
      </c>
      <c r="D1030" t="inlineStr">
        <is>
          <t>VÄSTMANLANDS LÄN</t>
        </is>
      </c>
      <c r="E1030" t="inlineStr">
        <is>
          <t>NORBERG</t>
        </is>
      </c>
      <c r="G1030" t="n">
        <v>2</v>
      </c>
      <c r="H1030" t="n">
        <v>0</v>
      </c>
      <c r="I1030" t="n">
        <v>0</v>
      </c>
      <c r="J1030" t="n">
        <v>0</v>
      </c>
      <c r="K1030" t="n">
        <v>0</v>
      </c>
      <c r="L1030" t="n">
        <v>0</v>
      </c>
      <c r="M1030" t="n">
        <v>0</v>
      </c>
      <c r="N1030" t="n">
        <v>0</v>
      </c>
      <c r="O1030" t="n">
        <v>0</v>
      </c>
      <c r="P1030" t="n">
        <v>0</v>
      </c>
      <c r="Q1030" t="n">
        <v>0</v>
      </c>
      <c r="R1030" s="2" t="inlineStr"/>
    </row>
    <row r="1031" ht="15" customHeight="1">
      <c r="A1031" t="inlineStr">
        <is>
          <t>A 23556-2020</t>
        </is>
      </c>
      <c r="B1031" s="1" t="n">
        <v>43969</v>
      </c>
      <c r="C1031" s="1" t="n">
        <v>45724</v>
      </c>
      <c r="D1031" t="inlineStr">
        <is>
          <t>VÄSTMANLANDS LÄN</t>
        </is>
      </c>
      <c r="E1031" t="inlineStr">
        <is>
          <t>VÄSTERÅS</t>
        </is>
      </c>
      <c r="G1031" t="n">
        <v>5.6</v>
      </c>
      <c r="H1031" t="n">
        <v>0</v>
      </c>
      <c r="I1031" t="n">
        <v>0</v>
      </c>
      <c r="J1031" t="n">
        <v>0</v>
      </c>
      <c r="K1031" t="n">
        <v>0</v>
      </c>
      <c r="L1031" t="n">
        <v>0</v>
      </c>
      <c r="M1031" t="n">
        <v>0</v>
      </c>
      <c r="N1031" t="n">
        <v>0</v>
      </c>
      <c r="O1031" t="n">
        <v>0</v>
      </c>
      <c r="P1031" t="n">
        <v>0</v>
      </c>
      <c r="Q1031" t="n">
        <v>0</v>
      </c>
      <c r="R1031" s="2" t="inlineStr"/>
    </row>
    <row r="1032" ht="15" customHeight="1">
      <c r="A1032" t="inlineStr">
        <is>
          <t>A 23780-2020</t>
        </is>
      </c>
      <c r="B1032" s="1" t="n">
        <v>43970</v>
      </c>
      <c r="C1032" s="1" t="n">
        <v>45724</v>
      </c>
      <c r="D1032" t="inlineStr">
        <is>
          <t>VÄSTMANLANDS LÄN</t>
        </is>
      </c>
      <c r="E1032" t="inlineStr">
        <is>
          <t>KÖPING</t>
        </is>
      </c>
      <c r="G1032" t="n">
        <v>1.8</v>
      </c>
      <c r="H1032" t="n">
        <v>0</v>
      </c>
      <c r="I1032" t="n">
        <v>0</v>
      </c>
      <c r="J1032" t="n">
        <v>0</v>
      </c>
      <c r="K1032" t="n">
        <v>0</v>
      </c>
      <c r="L1032" t="n">
        <v>0</v>
      </c>
      <c r="M1032" t="n">
        <v>0</v>
      </c>
      <c r="N1032" t="n">
        <v>0</v>
      </c>
      <c r="O1032" t="n">
        <v>0</v>
      </c>
      <c r="P1032" t="n">
        <v>0</v>
      </c>
      <c r="Q1032" t="n">
        <v>0</v>
      </c>
      <c r="R1032" s="2" t="inlineStr"/>
    </row>
    <row r="1033" ht="15" customHeight="1">
      <c r="A1033" t="inlineStr">
        <is>
          <t>A 24235-2020</t>
        </is>
      </c>
      <c r="B1033" s="1" t="n">
        <v>43976</v>
      </c>
      <c r="C1033" s="1" t="n">
        <v>45724</v>
      </c>
      <c r="D1033" t="inlineStr">
        <is>
          <t>VÄSTMANLANDS LÄN</t>
        </is>
      </c>
      <c r="E1033" t="inlineStr">
        <is>
          <t>SALA</t>
        </is>
      </c>
      <c r="G1033" t="n">
        <v>1.3</v>
      </c>
      <c r="H1033" t="n">
        <v>0</v>
      </c>
      <c r="I1033" t="n">
        <v>0</v>
      </c>
      <c r="J1033" t="n">
        <v>0</v>
      </c>
      <c r="K1033" t="n">
        <v>0</v>
      </c>
      <c r="L1033" t="n">
        <v>0</v>
      </c>
      <c r="M1033" t="n">
        <v>0</v>
      </c>
      <c r="N1033" t="n">
        <v>0</v>
      </c>
      <c r="O1033" t="n">
        <v>0</v>
      </c>
      <c r="P1033" t="n">
        <v>0</v>
      </c>
      <c r="Q1033" t="n">
        <v>0</v>
      </c>
      <c r="R1033" s="2" t="inlineStr"/>
    </row>
    <row r="1034" ht="15" customHeight="1">
      <c r="A1034" t="inlineStr">
        <is>
          <t>A 24336-2020</t>
        </is>
      </c>
      <c r="B1034" s="1" t="n">
        <v>43976</v>
      </c>
      <c r="C1034" s="1" t="n">
        <v>45724</v>
      </c>
      <c r="D1034" t="inlineStr">
        <is>
          <t>VÄSTMANLANDS LÄN</t>
        </is>
      </c>
      <c r="E1034" t="inlineStr">
        <is>
          <t>VÄSTERÅS</t>
        </is>
      </c>
      <c r="G1034" t="n">
        <v>3.2</v>
      </c>
      <c r="H1034" t="n">
        <v>0</v>
      </c>
      <c r="I1034" t="n">
        <v>0</v>
      </c>
      <c r="J1034" t="n">
        <v>0</v>
      </c>
      <c r="K1034" t="n">
        <v>0</v>
      </c>
      <c r="L1034" t="n">
        <v>0</v>
      </c>
      <c r="M1034" t="n">
        <v>0</v>
      </c>
      <c r="N1034" t="n">
        <v>0</v>
      </c>
      <c r="O1034" t="n">
        <v>0</v>
      </c>
      <c r="P1034" t="n">
        <v>0</v>
      </c>
      <c r="Q1034" t="n">
        <v>0</v>
      </c>
      <c r="R1034" s="2" t="inlineStr"/>
    </row>
    <row r="1035" ht="15" customHeight="1">
      <c r="A1035" t="inlineStr">
        <is>
          <t>A 24271-2020</t>
        </is>
      </c>
      <c r="B1035" s="1" t="n">
        <v>43976</v>
      </c>
      <c r="C1035" s="1" t="n">
        <v>45724</v>
      </c>
      <c r="D1035" t="inlineStr">
        <is>
          <t>VÄSTMANLANDS LÄN</t>
        </is>
      </c>
      <c r="E1035" t="inlineStr">
        <is>
          <t>KÖPING</t>
        </is>
      </c>
      <c r="F1035" t="inlineStr">
        <is>
          <t>Sveaskog</t>
        </is>
      </c>
      <c r="G1035" t="n">
        <v>5.9</v>
      </c>
      <c r="H1035" t="n">
        <v>0</v>
      </c>
      <c r="I1035" t="n">
        <v>0</v>
      </c>
      <c r="J1035" t="n">
        <v>0</v>
      </c>
      <c r="K1035" t="n">
        <v>0</v>
      </c>
      <c r="L1035" t="n">
        <v>0</v>
      </c>
      <c r="M1035" t="n">
        <v>0</v>
      </c>
      <c r="N1035" t="n">
        <v>0</v>
      </c>
      <c r="O1035" t="n">
        <v>0</v>
      </c>
      <c r="P1035" t="n">
        <v>0</v>
      </c>
      <c r="Q1035" t="n">
        <v>0</v>
      </c>
      <c r="R1035" s="2" t="inlineStr"/>
    </row>
    <row r="1036" ht="15" customHeight="1">
      <c r="A1036" t="inlineStr">
        <is>
          <t>A 24309-2020</t>
        </is>
      </c>
      <c r="B1036" s="1" t="n">
        <v>43976</v>
      </c>
      <c r="C1036" s="1" t="n">
        <v>45724</v>
      </c>
      <c r="D1036" t="inlineStr">
        <is>
          <t>VÄSTMANLANDS LÄN</t>
        </is>
      </c>
      <c r="E1036" t="inlineStr">
        <is>
          <t>KÖPING</t>
        </is>
      </c>
      <c r="G1036" t="n">
        <v>0.8</v>
      </c>
      <c r="H1036" t="n">
        <v>0</v>
      </c>
      <c r="I1036" t="n">
        <v>0</v>
      </c>
      <c r="J1036" t="n">
        <v>0</v>
      </c>
      <c r="K1036" t="n">
        <v>0</v>
      </c>
      <c r="L1036" t="n">
        <v>0</v>
      </c>
      <c r="M1036" t="n">
        <v>0</v>
      </c>
      <c r="N1036" t="n">
        <v>0</v>
      </c>
      <c r="O1036" t="n">
        <v>0</v>
      </c>
      <c r="P1036" t="n">
        <v>0</v>
      </c>
      <c r="Q1036" t="n">
        <v>0</v>
      </c>
      <c r="R1036" s="2" t="inlineStr"/>
    </row>
    <row r="1037" ht="15" customHeight="1">
      <c r="A1037" t="inlineStr">
        <is>
          <t>A 24342-2020</t>
        </is>
      </c>
      <c r="B1037" s="1" t="n">
        <v>43976</v>
      </c>
      <c r="C1037" s="1" t="n">
        <v>45724</v>
      </c>
      <c r="D1037" t="inlineStr">
        <is>
          <t>VÄSTMANLANDS LÄN</t>
        </is>
      </c>
      <c r="E1037" t="inlineStr">
        <is>
          <t>VÄSTERÅS</t>
        </is>
      </c>
      <c r="G1037" t="n">
        <v>1.6</v>
      </c>
      <c r="H1037" t="n">
        <v>0</v>
      </c>
      <c r="I1037" t="n">
        <v>0</v>
      </c>
      <c r="J1037" t="n">
        <v>0</v>
      </c>
      <c r="K1037" t="n">
        <v>0</v>
      </c>
      <c r="L1037" t="n">
        <v>0</v>
      </c>
      <c r="M1037" t="n">
        <v>0</v>
      </c>
      <c r="N1037" t="n">
        <v>0</v>
      </c>
      <c r="O1037" t="n">
        <v>0</v>
      </c>
      <c r="P1037" t="n">
        <v>0</v>
      </c>
      <c r="Q1037" t="n">
        <v>0</v>
      </c>
      <c r="R1037" s="2" t="inlineStr"/>
    </row>
    <row r="1038" ht="15" customHeight="1">
      <c r="A1038" t="inlineStr">
        <is>
          <t>A 24387-2020</t>
        </is>
      </c>
      <c r="B1038" s="1" t="n">
        <v>43976</v>
      </c>
      <c r="C1038" s="1" t="n">
        <v>45724</v>
      </c>
      <c r="D1038" t="inlineStr">
        <is>
          <t>VÄSTMANLANDS LÄN</t>
        </is>
      </c>
      <c r="E1038" t="inlineStr">
        <is>
          <t>ARBOGA</t>
        </is>
      </c>
      <c r="G1038" t="n">
        <v>15.1</v>
      </c>
      <c r="H1038" t="n">
        <v>0</v>
      </c>
      <c r="I1038" t="n">
        <v>0</v>
      </c>
      <c r="J1038" t="n">
        <v>0</v>
      </c>
      <c r="K1038" t="n">
        <v>0</v>
      </c>
      <c r="L1038" t="n">
        <v>0</v>
      </c>
      <c r="M1038" t="n">
        <v>0</v>
      </c>
      <c r="N1038" t="n">
        <v>0</v>
      </c>
      <c r="O1038" t="n">
        <v>0</v>
      </c>
      <c r="P1038" t="n">
        <v>0</v>
      </c>
      <c r="Q1038" t="n">
        <v>0</v>
      </c>
      <c r="R1038" s="2" t="inlineStr"/>
    </row>
    <row r="1039" ht="15" customHeight="1">
      <c r="A1039" t="inlineStr">
        <is>
          <t>A 24466-2020</t>
        </is>
      </c>
      <c r="B1039" s="1" t="n">
        <v>43977</v>
      </c>
      <c r="C1039" s="1" t="n">
        <v>45724</v>
      </c>
      <c r="D1039" t="inlineStr">
        <is>
          <t>VÄSTMANLANDS LÄN</t>
        </is>
      </c>
      <c r="E1039" t="inlineStr">
        <is>
          <t>VÄSTERÅS</t>
        </is>
      </c>
      <c r="F1039" t="inlineStr">
        <is>
          <t>Kyrkan</t>
        </is>
      </c>
      <c r="G1039" t="n">
        <v>8.5</v>
      </c>
      <c r="H1039" t="n">
        <v>0</v>
      </c>
      <c r="I1039" t="n">
        <v>0</v>
      </c>
      <c r="J1039" t="n">
        <v>0</v>
      </c>
      <c r="K1039" t="n">
        <v>0</v>
      </c>
      <c r="L1039" t="n">
        <v>0</v>
      </c>
      <c r="M1039" t="n">
        <v>0</v>
      </c>
      <c r="N1039" t="n">
        <v>0</v>
      </c>
      <c r="O1039" t="n">
        <v>0</v>
      </c>
      <c r="P1039" t="n">
        <v>0</v>
      </c>
      <c r="Q1039" t="n">
        <v>0</v>
      </c>
      <c r="R1039" s="2" t="inlineStr"/>
    </row>
    <row r="1040" ht="15" customHeight="1">
      <c r="A1040" t="inlineStr">
        <is>
          <t>A 24478-2020</t>
        </is>
      </c>
      <c r="B1040" s="1" t="n">
        <v>43977</v>
      </c>
      <c r="C1040" s="1" t="n">
        <v>45724</v>
      </c>
      <c r="D1040" t="inlineStr">
        <is>
          <t>VÄSTMANLANDS LÄN</t>
        </is>
      </c>
      <c r="E1040" t="inlineStr">
        <is>
          <t>VÄSTERÅS</t>
        </is>
      </c>
      <c r="F1040" t="inlineStr">
        <is>
          <t>Kyrkan</t>
        </is>
      </c>
      <c r="G1040" t="n">
        <v>1.3</v>
      </c>
      <c r="H1040" t="n">
        <v>0</v>
      </c>
      <c r="I1040" t="n">
        <v>0</v>
      </c>
      <c r="J1040" t="n">
        <v>0</v>
      </c>
      <c r="K1040" t="n">
        <v>0</v>
      </c>
      <c r="L1040" t="n">
        <v>0</v>
      </c>
      <c r="M1040" t="n">
        <v>0</v>
      </c>
      <c r="N1040" t="n">
        <v>0</v>
      </c>
      <c r="O1040" t="n">
        <v>0</v>
      </c>
      <c r="P1040" t="n">
        <v>0</v>
      </c>
      <c r="Q1040" t="n">
        <v>0</v>
      </c>
      <c r="R1040" s="2" t="inlineStr"/>
    </row>
    <row r="1041" ht="15" customHeight="1">
      <c r="A1041" t="inlineStr">
        <is>
          <t>A 24763-2020</t>
        </is>
      </c>
      <c r="B1041" s="1" t="n">
        <v>43978</v>
      </c>
      <c r="C1041" s="1" t="n">
        <v>45724</v>
      </c>
      <c r="D1041" t="inlineStr">
        <is>
          <t>VÄSTMANLANDS LÄN</t>
        </is>
      </c>
      <c r="E1041" t="inlineStr">
        <is>
          <t>SALA</t>
        </is>
      </c>
      <c r="G1041" t="n">
        <v>3.6</v>
      </c>
      <c r="H1041" t="n">
        <v>0</v>
      </c>
      <c r="I1041" t="n">
        <v>0</v>
      </c>
      <c r="J1041" t="n">
        <v>0</v>
      </c>
      <c r="K1041" t="n">
        <v>0</v>
      </c>
      <c r="L1041" t="n">
        <v>0</v>
      </c>
      <c r="M1041" t="n">
        <v>0</v>
      </c>
      <c r="N1041" t="n">
        <v>0</v>
      </c>
      <c r="O1041" t="n">
        <v>0</v>
      </c>
      <c r="P1041" t="n">
        <v>0</v>
      </c>
      <c r="Q1041" t="n">
        <v>0</v>
      </c>
      <c r="R1041" s="2" t="inlineStr"/>
    </row>
    <row r="1042" ht="15" customHeight="1">
      <c r="A1042" t="inlineStr">
        <is>
          <t>A 24734-2020</t>
        </is>
      </c>
      <c r="B1042" s="1" t="n">
        <v>43978</v>
      </c>
      <c r="C1042" s="1" t="n">
        <v>45724</v>
      </c>
      <c r="D1042" t="inlineStr">
        <is>
          <t>VÄSTMANLANDS LÄN</t>
        </is>
      </c>
      <c r="E1042" t="inlineStr">
        <is>
          <t>VÄSTERÅS</t>
        </is>
      </c>
      <c r="G1042" t="n">
        <v>3.3</v>
      </c>
      <c r="H1042" t="n">
        <v>0</v>
      </c>
      <c r="I1042" t="n">
        <v>0</v>
      </c>
      <c r="J1042" t="n">
        <v>0</v>
      </c>
      <c r="K1042" t="n">
        <v>0</v>
      </c>
      <c r="L1042" t="n">
        <v>0</v>
      </c>
      <c r="M1042" t="n">
        <v>0</v>
      </c>
      <c r="N1042" t="n">
        <v>0</v>
      </c>
      <c r="O1042" t="n">
        <v>0</v>
      </c>
      <c r="P1042" t="n">
        <v>0</v>
      </c>
      <c r="Q1042" t="n">
        <v>0</v>
      </c>
      <c r="R1042" s="2" t="inlineStr"/>
    </row>
    <row r="1043" ht="15" customHeight="1">
      <c r="A1043" t="inlineStr">
        <is>
          <t>A 25416-2020</t>
        </is>
      </c>
      <c r="B1043" s="1" t="n">
        <v>43982</v>
      </c>
      <c r="C1043" s="1" t="n">
        <v>45724</v>
      </c>
      <c r="D1043" t="inlineStr">
        <is>
          <t>VÄSTMANLANDS LÄN</t>
        </is>
      </c>
      <c r="E1043" t="inlineStr">
        <is>
          <t>SKINNSKATTEBERG</t>
        </is>
      </c>
      <c r="F1043" t="inlineStr">
        <is>
          <t>Sveaskog</t>
        </is>
      </c>
      <c r="G1043" t="n">
        <v>2</v>
      </c>
      <c r="H1043" t="n">
        <v>0</v>
      </c>
      <c r="I1043" t="n">
        <v>0</v>
      </c>
      <c r="J1043" t="n">
        <v>0</v>
      </c>
      <c r="K1043" t="n">
        <v>0</v>
      </c>
      <c r="L1043" t="n">
        <v>0</v>
      </c>
      <c r="M1043" t="n">
        <v>0</v>
      </c>
      <c r="N1043" t="n">
        <v>0</v>
      </c>
      <c r="O1043" t="n">
        <v>0</v>
      </c>
      <c r="P1043" t="n">
        <v>0</v>
      </c>
      <c r="Q1043" t="n">
        <v>0</v>
      </c>
      <c r="R1043" s="2" t="inlineStr"/>
    </row>
    <row r="1044" ht="15" customHeight="1">
      <c r="A1044" t="inlineStr">
        <is>
          <t>A 25430-2020</t>
        </is>
      </c>
      <c r="B1044" s="1" t="n">
        <v>43982</v>
      </c>
      <c r="C1044" s="1" t="n">
        <v>45724</v>
      </c>
      <c r="D1044" t="inlineStr">
        <is>
          <t>VÄSTMANLANDS LÄN</t>
        </is>
      </c>
      <c r="E1044" t="inlineStr">
        <is>
          <t>ARBOGA</t>
        </is>
      </c>
      <c r="G1044" t="n">
        <v>11.2</v>
      </c>
      <c r="H1044" t="n">
        <v>0</v>
      </c>
      <c r="I1044" t="n">
        <v>0</v>
      </c>
      <c r="J1044" t="n">
        <v>0</v>
      </c>
      <c r="K1044" t="n">
        <v>0</v>
      </c>
      <c r="L1044" t="n">
        <v>0</v>
      </c>
      <c r="M1044" t="n">
        <v>0</v>
      </c>
      <c r="N1044" t="n">
        <v>0</v>
      </c>
      <c r="O1044" t="n">
        <v>0</v>
      </c>
      <c r="P1044" t="n">
        <v>0</v>
      </c>
      <c r="Q1044" t="n">
        <v>0</v>
      </c>
      <c r="R1044" s="2" t="inlineStr"/>
    </row>
    <row r="1045" ht="15" customHeight="1">
      <c r="A1045" t="inlineStr">
        <is>
          <t>A 25477-2020</t>
        </is>
      </c>
      <c r="B1045" s="1" t="n">
        <v>43983</v>
      </c>
      <c r="C1045" s="1" t="n">
        <v>45724</v>
      </c>
      <c r="D1045" t="inlineStr">
        <is>
          <t>VÄSTMANLANDS LÄN</t>
        </is>
      </c>
      <c r="E1045" t="inlineStr">
        <is>
          <t>SKINNSKATTEBERG</t>
        </is>
      </c>
      <c r="F1045" t="inlineStr">
        <is>
          <t>Sveaskog</t>
        </is>
      </c>
      <c r="G1045" t="n">
        <v>4.5</v>
      </c>
      <c r="H1045" t="n">
        <v>0</v>
      </c>
      <c r="I1045" t="n">
        <v>0</v>
      </c>
      <c r="J1045" t="n">
        <v>0</v>
      </c>
      <c r="K1045" t="n">
        <v>0</v>
      </c>
      <c r="L1045" t="n">
        <v>0</v>
      </c>
      <c r="M1045" t="n">
        <v>0</v>
      </c>
      <c r="N1045" t="n">
        <v>0</v>
      </c>
      <c r="O1045" t="n">
        <v>0</v>
      </c>
      <c r="P1045" t="n">
        <v>0</v>
      </c>
      <c r="Q1045" t="n">
        <v>0</v>
      </c>
      <c r="R1045" s="2" t="inlineStr"/>
    </row>
    <row r="1046" ht="15" customHeight="1">
      <c r="A1046" t="inlineStr">
        <is>
          <t>A 25480-2020</t>
        </is>
      </c>
      <c r="B1046" s="1" t="n">
        <v>43983</v>
      </c>
      <c r="C1046" s="1" t="n">
        <v>45724</v>
      </c>
      <c r="D1046" t="inlineStr">
        <is>
          <t>VÄSTMANLANDS LÄN</t>
        </is>
      </c>
      <c r="E1046" t="inlineStr">
        <is>
          <t>KÖPING</t>
        </is>
      </c>
      <c r="F1046" t="inlineStr">
        <is>
          <t>Sveaskog</t>
        </is>
      </c>
      <c r="G1046" t="n">
        <v>1.2</v>
      </c>
      <c r="H1046" t="n">
        <v>0</v>
      </c>
      <c r="I1046" t="n">
        <v>0</v>
      </c>
      <c r="J1046" t="n">
        <v>0</v>
      </c>
      <c r="K1046" t="n">
        <v>0</v>
      </c>
      <c r="L1046" t="n">
        <v>0</v>
      </c>
      <c r="M1046" t="n">
        <v>0</v>
      </c>
      <c r="N1046" t="n">
        <v>0</v>
      </c>
      <c r="O1046" t="n">
        <v>0</v>
      </c>
      <c r="P1046" t="n">
        <v>0</v>
      </c>
      <c r="Q1046" t="n">
        <v>0</v>
      </c>
      <c r="R1046" s="2" t="inlineStr"/>
    </row>
    <row r="1047" ht="15" customHeight="1">
      <c r="A1047" t="inlineStr">
        <is>
          <t>A 25639-2020</t>
        </is>
      </c>
      <c r="B1047" s="1" t="n">
        <v>43983</v>
      </c>
      <c r="C1047" s="1" t="n">
        <v>45724</v>
      </c>
      <c r="D1047" t="inlineStr">
        <is>
          <t>VÄSTMANLANDS LÄN</t>
        </is>
      </c>
      <c r="E1047" t="inlineStr">
        <is>
          <t>FAGERSTA</t>
        </is>
      </c>
      <c r="G1047" t="n">
        <v>2.8</v>
      </c>
      <c r="H1047" t="n">
        <v>0</v>
      </c>
      <c r="I1047" t="n">
        <v>0</v>
      </c>
      <c r="J1047" t="n">
        <v>0</v>
      </c>
      <c r="K1047" t="n">
        <v>0</v>
      </c>
      <c r="L1047" t="n">
        <v>0</v>
      </c>
      <c r="M1047" t="n">
        <v>0</v>
      </c>
      <c r="N1047" t="n">
        <v>0</v>
      </c>
      <c r="O1047" t="n">
        <v>0</v>
      </c>
      <c r="P1047" t="n">
        <v>0</v>
      </c>
      <c r="Q1047" t="n">
        <v>0</v>
      </c>
      <c r="R1047" s="2" t="inlineStr"/>
    </row>
    <row r="1048" ht="15" customHeight="1">
      <c r="A1048" t="inlineStr">
        <is>
          <t>A 26098-2020</t>
        </is>
      </c>
      <c r="B1048" s="1" t="n">
        <v>43985</v>
      </c>
      <c r="C1048" s="1" t="n">
        <v>45724</v>
      </c>
      <c r="D1048" t="inlineStr">
        <is>
          <t>VÄSTMANLANDS LÄN</t>
        </is>
      </c>
      <c r="E1048" t="inlineStr">
        <is>
          <t>SALA</t>
        </is>
      </c>
      <c r="G1048" t="n">
        <v>0.8</v>
      </c>
      <c r="H1048" t="n">
        <v>0</v>
      </c>
      <c r="I1048" t="n">
        <v>0</v>
      </c>
      <c r="J1048" t="n">
        <v>0</v>
      </c>
      <c r="K1048" t="n">
        <v>0</v>
      </c>
      <c r="L1048" t="n">
        <v>0</v>
      </c>
      <c r="M1048" t="n">
        <v>0</v>
      </c>
      <c r="N1048" t="n">
        <v>0</v>
      </c>
      <c r="O1048" t="n">
        <v>0</v>
      </c>
      <c r="P1048" t="n">
        <v>0</v>
      </c>
      <c r="Q1048" t="n">
        <v>0</v>
      </c>
      <c r="R1048" s="2" t="inlineStr"/>
    </row>
    <row r="1049" ht="15" customHeight="1">
      <c r="A1049" t="inlineStr">
        <is>
          <t>A 26013-2020</t>
        </is>
      </c>
      <c r="B1049" s="1" t="n">
        <v>43985</v>
      </c>
      <c r="C1049" s="1" t="n">
        <v>45724</v>
      </c>
      <c r="D1049" t="inlineStr">
        <is>
          <t>VÄSTMANLANDS LÄN</t>
        </is>
      </c>
      <c r="E1049" t="inlineStr">
        <is>
          <t>KÖPING</t>
        </is>
      </c>
      <c r="G1049" t="n">
        <v>0.4</v>
      </c>
      <c r="H1049" t="n">
        <v>0</v>
      </c>
      <c r="I1049" t="n">
        <v>0</v>
      </c>
      <c r="J1049" t="n">
        <v>0</v>
      </c>
      <c r="K1049" t="n">
        <v>0</v>
      </c>
      <c r="L1049" t="n">
        <v>0</v>
      </c>
      <c r="M1049" t="n">
        <v>0</v>
      </c>
      <c r="N1049" t="n">
        <v>0</v>
      </c>
      <c r="O1049" t="n">
        <v>0</v>
      </c>
      <c r="P1049" t="n">
        <v>0</v>
      </c>
      <c r="Q1049" t="n">
        <v>0</v>
      </c>
      <c r="R1049" s="2" t="inlineStr"/>
    </row>
    <row r="1050" ht="15" customHeight="1">
      <c r="A1050" t="inlineStr">
        <is>
          <t>A 26215-2020</t>
        </is>
      </c>
      <c r="B1050" s="1" t="n">
        <v>43986</v>
      </c>
      <c r="C1050" s="1" t="n">
        <v>45724</v>
      </c>
      <c r="D1050" t="inlineStr">
        <is>
          <t>VÄSTMANLANDS LÄN</t>
        </is>
      </c>
      <c r="E1050" t="inlineStr">
        <is>
          <t>VÄSTERÅS</t>
        </is>
      </c>
      <c r="F1050" t="inlineStr">
        <is>
          <t>Kyrkan</t>
        </is>
      </c>
      <c r="G1050" t="n">
        <v>2.2</v>
      </c>
      <c r="H1050" t="n">
        <v>0</v>
      </c>
      <c r="I1050" t="n">
        <v>0</v>
      </c>
      <c r="J1050" t="n">
        <v>0</v>
      </c>
      <c r="K1050" t="n">
        <v>0</v>
      </c>
      <c r="L1050" t="n">
        <v>0</v>
      </c>
      <c r="M1050" t="n">
        <v>0</v>
      </c>
      <c r="N1050" t="n">
        <v>0</v>
      </c>
      <c r="O1050" t="n">
        <v>0</v>
      </c>
      <c r="P1050" t="n">
        <v>0</v>
      </c>
      <c r="Q1050" t="n">
        <v>0</v>
      </c>
      <c r="R1050" s="2" t="inlineStr"/>
    </row>
    <row r="1051" ht="15" customHeight="1">
      <c r="A1051" t="inlineStr">
        <is>
          <t>A 26221-2020</t>
        </is>
      </c>
      <c r="B1051" s="1" t="n">
        <v>43986</v>
      </c>
      <c r="C1051" s="1" t="n">
        <v>45724</v>
      </c>
      <c r="D1051" t="inlineStr">
        <is>
          <t>VÄSTMANLANDS LÄN</t>
        </is>
      </c>
      <c r="E1051" t="inlineStr">
        <is>
          <t>SKINNSKATTEBERG</t>
        </is>
      </c>
      <c r="F1051" t="inlineStr">
        <is>
          <t>Kyrkan</t>
        </is>
      </c>
      <c r="G1051" t="n">
        <v>2.2</v>
      </c>
      <c r="H1051" t="n">
        <v>0</v>
      </c>
      <c r="I1051" t="n">
        <v>0</v>
      </c>
      <c r="J1051" t="n">
        <v>0</v>
      </c>
      <c r="K1051" t="n">
        <v>0</v>
      </c>
      <c r="L1051" t="n">
        <v>0</v>
      </c>
      <c r="M1051" t="n">
        <v>0</v>
      </c>
      <c r="N1051" t="n">
        <v>0</v>
      </c>
      <c r="O1051" t="n">
        <v>0</v>
      </c>
      <c r="P1051" t="n">
        <v>0</v>
      </c>
      <c r="Q1051" t="n">
        <v>0</v>
      </c>
      <c r="R1051" s="2" t="inlineStr"/>
    </row>
    <row r="1052" ht="15" customHeight="1">
      <c r="A1052" t="inlineStr">
        <is>
          <t>A 26343-2020</t>
        </is>
      </c>
      <c r="B1052" s="1" t="n">
        <v>43986</v>
      </c>
      <c r="C1052" s="1" t="n">
        <v>45724</v>
      </c>
      <c r="D1052" t="inlineStr">
        <is>
          <t>VÄSTMANLANDS LÄN</t>
        </is>
      </c>
      <c r="E1052" t="inlineStr">
        <is>
          <t>KÖPING</t>
        </is>
      </c>
      <c r="F1052" t="inlineStr">
        <is>
          <t>Sveaskog</t>
        </is>
      </c>
      <c r="G1052" t="n">
        <v>2.6</v>
      </c>
      <c r="H1052" t="n">
        <v>0</v>
      </c>
      <c r="I1052" t="n">
        <v>0</v>
      </c>
      <c r="J1052" t="n">
        <v>0</v>
      </c>
      <c r="K1052" t="n">
        <v>0</v>
      </c>
      <c r="L1052" t="n">
        <v>0</v>
      </c>
      <c r="M1052" t="n">
        <v>0</v>
      </c>
      <c r="N1052" t="n">
        <v>0</v>
      </c>
      <c r="O1052" t="n">
        <v>0</v>
      </c>
      <c r="P1052" t="n">
        <v>0</v>
      </c>
      <c r="Q1052" t="n">
        <v>0</v>
      </c>
      <c r="R1052" s="2" t="inlineStr"/>
    </row>
    <row r="1053" ht="15" customHeight="1">
      <c r="A1053" t="inlineStr">
        <is>
          <t>A 26455-2020</t>
        </is>
      </c>
      <c r="B1053" s="1" t="n">
        <v>43987</v>
      </c>
      <c r="C1053" s="1" t="n">
        <v>45724</v>
      </c>
      <c r="D1053" t="inlineStr">
        <is>
          <t>VÄSTMANLANDS LÄN</t>
        </is>
      </c>
      <c r="E1053" t="inlineStr">
        <is>
          <t>SKINNSKATTEBERG</t>
        </is>
      </c>
      <c r="G1053" t="n">
        <v>3.5</v>
      </c>
      <c r="H1053" t="n">
        <v>0</v>
      </c>
      <c r="I1053" t="n">
        <v>0</v>
      </c>
      <c r="J1053" t="n">
        <v>0</v>
      </c>
      <c r="K1053" t="n">
        <v>0</v>
      </c>
      <c r="L1053" t="n">
        <v>0</v>
      </c>
      <c r="M1053" t="n">
        <v>0</v>
      </c>
      <c r="N1053" t="n">
        <v>0</v>
      </c>
      <c r="O1053" t="n">
        <v>0</v>
      </c>
      <c r="P1053" t="n">
        <v>0</v>
      </c>
      <c r="Q1053" t="n">
        <v>0</v>
      </c>
      <c r="R1053" s="2" t="inlineStr"/>
    </row>
    <row r="1054" ht="15" customHeight="1">
      <c r="A1054" t="inlineStr">
        <is>
          <t>A 26425-2020</t>
        </is>
      </c>
      <c r="B1054" s="1" t="n">
        <v>43987</v>
      </c>
      <c r="C1054" s="1" t="n">
        <v>45724</v>
      </c>
      <c r="D1054" t="inlineStr">
        <is>
          <t>VÄSTMANLANDS LÄN</t>
        </is>
      </c>
      <c r="E1054" t="inlineStr">
        <is>
          <t>SALA</t>
        </is>
      </c>
      <c r="G1054" t="n">
        <v>6.3</v>
      </c>
      <c r="H1054" t="n">
        <v>0</v>
      </c>
      <c r="I1054" t="n">
        <v>0</v>
      </c>
      <c r="J1054" t="n">
        <v>0</v>
      </c>
      <c r="K1054" t="n">
        <v>0</v>
      </c>
      <c r="L1054" t="n">
        <v>0</v>
      </c>
      <c r="M1054" t="n">
        <v>0</v>
      </c>
      <c r="N1054" t="n">
        <v>0</v>
      </c>
      <c r="O1054" t="n">
        <v>0</v>
      </c>
      <c r="P1054" t="n">
        <v>0</v>
      </c>
      <c r="Q1054" t="n">
        <v>0</v>
      </c>
      <c r="R1054" s="2" t="inlineStr"/>
    </row>
    <row r="1055" ht="15" customHeight="1">
      <c r="A1055" t="inlineStr">
        <is>
          <t>A 26743-2020</t>
        </is>
      </c>
      <c r="B1055" s="1" t="n">
        <v>43990</v>
      </c>
      <c r="C1055" s="1" t="n">
        <v>45724</v>
      </c>
      <c r="D1055" t="inlineStr">
        <is>
          <t>VÄSTMANLANDS LÄN</t>
        </is>
      </c>
      <c r="E1055" t="inlineStr">
        <is>
          <t>KÖPING</t>
        </is>
      </c>
      <c r="F1055" t="inlineStr">
        <is>
          <t>Sveaskog</t>
        </is>
      </c>
      <c r="G1055" t="n">
        <v>2.4</v>
      </c>
      <c r="H1055" t="n">
        <v>0</v>
      </c>
      <c r="I1055" t="n">
        <v>0</v>
      </c>
      <c r="J1055" t="n">
        <v>0</v>
      </c>
      <c r="K1055" t="n">
        <v>0</v>
      </c>
      <c r="L1055" t="n">
        <v>0</v>
      </c>
      <c r="M1055" t="n">
        <v>0</v>
      </c>
      <c r="N1055" t="n">
        <v>0</v>
      </c>
      <c r="O1055" t="n">
        <v>0</v>
      </c>
      <c r="P1055" t="n">
        <v>0</v>
      </c>
      <c r="Q1055" t="n">
        <v>0</v>
      </c>
      <c r="R1055" s="2" t="inlineStr"/>
    </row>
    <row r="1056" ht="15" customHeight="1">
      <c r="A1056" t="inlineStr">
        <is>
          <t>A 26754-2020</t>
        </is>
      </c>
      <c r="B1056" s="1" t="n">
        <v>43990</v>
      </c>
      <c r="C1056" s="1" t="n">
        <v>45724</v>
      </c>
      <c r="D1056" t="inlineStr">
        <is>
          <t>VÄSTMANLANDS LÄN</t>
        </is>
      </c>
      <c r="E1056" t="inlineStr">
        <is>
          <t>KÖPING</t>
        </is>
      </c>
      <c r="F1056" t="inlineStr">
        <is>
          <t>Sveaskog</t>
        </is>
      </c>
      <c r="G1056" t="n">
        <v>1.1</v>
      </c>
      <c r="H1056" t="n">
        <v>0</v>
      </c>
      <c r="I1056" t="n">
        <v>0</v>
      </c>
      <c r="J1056" t="n">
        <v>0</v>
      </c>
      <c r="K1056" t="n">
        <v>0</v>
      </c>
      <c r="L1056" t="n">
        <v>0</v>
      </c>
      <c r="M1056" t="n">
        <v>0</v>
      </c>
      <c r="N1056" t="n">
        <v>0</v>
      </c>
      <c r="O1056" t="n">
        <v>0</v>
      </c>
      <c r="P1056" t="n">
        <v>0</v>
      </c>
      <c r="Q1056" t="n">
        <v>0</v>
      </c>
      <c r="R1056" s="2" t="inlineStr"/>
    </row>
    <row r="1057" ht="15" customHeight="1">
      <c r="A1057" t="inlineStr">
        <is>
          <t>A 26771-2020</t>
        </is>
      </c>
      <c r="B1057" s="1" t="n">
        <v>43990</v>
      </c>
      <c r="C1057" s="1" t="n">
        <v>45724</v>
      </c>
      <c r="D1057" t="inlineStr">
        <is>
          <t>VÄSTMANLANDS LÄN</t>
        </is>
      </c>
      <c r="E1057" t="inlineStr">
        <is>
          <t>KÖPING</t>
        </is>
      </c>
      <c r="F1057" t="inlineStr">
        <is>
          <t>Sveaskog</t>
        </is>
      </c>
      <c r="G1057" t="n">
        <v>0.9</v>
      </c>
      <c r="H1057" t="n">
        <v>0</v>
      </c>
      <c r="I1057" t="n">
        <v>0</v>
      </c>
      <c r="J1057" t="n">
        <v>0</v>
      </c>
      <c r="K1057" t="n">
        <v>0</v>
      </c>
      <c r="L1057" t="n">
        <v>0</v>
      </c>
      <c r="M1057" t="n">
        <v>0</v>
      </c>
      <c r="N1057" t="n">
        <v>0</v>
      </c>
      <c r="O1057" t="n">
        <v>0</v>
      </c>
      <c r="P1057" t="n">
        <v>0</v>
      </c>
      <c r="Q1057" t="n">
        <v>0</v>
      </c>
      <c r="R1057" s="2" t="inlineStr"/>
    </row>
    <row r="1058" ht="15" customHeight="1">
      <c r="A1058" t="inlineStr">
        <is>
          <t>A 26749-2020</t>
        </is>
      </c>
      <c r="B1058" s="1" t="n">
        <v>43990</v>
      </c>
      <c r="C1058" s="1" t="n">
        <v>45724</v>
      </c>
      <c r="D1058" t="inlineStr">
        <is>
          <t>VÄSTMANLANDS LÄN</t>
        </is>
      </c>
      <c r="E1058" t="inlineStr">
        <is>
          <t>KÖPING</t>
        </is>
      </c>
      <c r="F1058" t="inlineStr">
        <is>
          <t>Sveaskog</t>
        </is>
      </c>
      <c r="G1058" t="n">
        <v>1.4</v>
      </c>
      <c r="H1058" t="n">
        <v>0</v>
      </c>
      <c r="I1058" t="n">
        <v>0</v>
      </c>
      <c r="J1058" t="n">
        <v>0</v>
      </c>
      <c r="K1058" t="n">
        <v>0</v>
      </c>
      <c r="L1058" t="n">
        <v>0</v>
      </c>
      <c r="M1058" t="n">
        <v>0</v>
      </c>
      <c r="N1058" t="n">
        <v>0</v>
      </c>
      <c r="O1058" t="n">
        <v>0</v>
      </c>
      <c r="P1058" t="n">
        <v>0</v>
      </c>
      <c r="Q1058" t="n">
        <v>0</v>
      </c>
      <c r="R1058" s="2" t="inlineStr"/>
    </row>
    <row r="1059" ht="15" customHeight="1">
      <c r="A1059" t="inlineStr">
        <is>
          <t>A 26759-2020</t>
        </is>
      </c>
      <c r="B1059" s="1" t="n">
        <v>43990</v>
      </c>
      <c r="C1059" s="1" t="n">
        <v>45724</v>
      </c>
      <c r="D1059" t="inlineStr">
        <is>
          <t>VÄSTMANLANDS LÄN</t>
        </is>
      </c>
      <c r="E1059" t="inlineStr">
        <is>
          <t>KÖPING</t>
        </is>
      </c>
      <c r="F1059" t="inlineStr">
        <is>
          <t>Sveaskog</t>
        </is>
      </c>
      <c r="G1059" t="n">
        <v>0.9</v>
      </c>
      <c r="H1059" t="n">
        <v>0</v>
      </c>
      <c r="I1059" t="n">
        <v>0</v>
      </c>
      <c r="J1059" t="n">
        <v>0</v>
      </c>
      <c r="K1059" t="n">
        <v>0</v>
      </c>
      <c r="L1059" t="n">
        <v>0</v>
      </c>
      <c r="M1059" t="n">
        <v>0</v>
      </c>
      <c r="N1059" t="n">
        <v>0</v>
      </c>
      <c r="O1059" t="n">
        <v>0</v>
      </c>
      <c r="P1059" t="n">
        <v>0</v>
      </c>
      <c r="Q1059" t="n">
        <v>0</v>
      </c>
      <c r="R1059" s="2" t="inlineStr"/>
    </row>
    <row r="1060" ht="15" customHeight="1">
      <c r="A1060" t="inlineStr">
        <is>
          <t>A 26765-2020</t>
        </is>
      </c>
      <c r="B1060" s="1" t="n">
        <v>43990</v>
      </c>
      <c r="C1060" s="1" t="n">
        <v>45724</v>
      </c>
      <c r="D1060" t="inlineStr">
        <is>
          <t>VÄSTMANLANDS LÄN</t>
        </is>
      </c>
      <c r="E1060" t="inlineStr">
        <is>
          <t>KÖPING</t>
        </is>
      </c>
      <c r="F1060" t="inlineStr">
        <is>
          <t>Sveaskog</t>
        </is>
      </c>
      <c r="G1060" t="n">
        <v>3.7</v>
      </c>
      <c r="H1060" t="n">
        <v>0</v>
      </c>
      <c r="I1060" t="n">
        <v>0</v>
      </c>
      <c r="J1060" t="n">
        <v>0</v>
      </c>
      <c r="K1060" t="n">
        <v>0</v>
      </c>
      <c r="L1060" t="n">
        <v>0</v>
      </c>
      <c r="M1060" t="n">
        <v>0</v>
      </c>
      <c r="N1060" t="n">
        <v>0</v>
      </c>
      <c r="O1060" t="n">
        <v>0</v>
      </c>
      <c r="P1060" t="n">
        <v>0</v>
      </c>
      <c r="Q1060" t="n">
        <v>0</v>
      </c>
      <c r="R1060" s="2" t="inlineStr"/>
    </row>
    <row r="1061" ht="15" customHeight="1">
      <c r="A1061" t="inlineStr">
        <is>
          <t>A 26740-2020</t>
        </is>
      </c>
      <c r="B1061" s="1" t="n">
        <v>43990</v>
      </c>
      <c r="C1061" s="1" t="n">
        <v>45724</v>
      </c>
      <c r="D1061" t="inlineStr">
        <is>
          <t>VÄSTMANLANDS LÄN</t>
        </is>
      </c>
      <c r="E1061" t="inlineStr">
        <is>
          <t>KÖPING</t>
        </is>
      </c>
      <c r="F1061" t="inlineStr">
        <is>
          <t>Sveaskog</t>
        </is>
      </c>
      <c r="G1061" t="n">
        <v>2</v>
      </c>
      <c r="H1061" t="n">
        <v>0</v>
      </c>
      <c r="I1061" t="n">
        <v>0</v>
      </c>
      <c r="J1061" t="n">
        <v>0</v>
      </c>
      <c r="K1061" t="n">
        <v>0</v>
      </c>
      <c r="L1061" t="n">
        <v>0</v>
      </c>
      <c r="M1061" t="n">
        <v>0</v>
      </c>
      <c r="N1061" t="n">
        <v>0</v>
      </c>
      <c r="O1061" t="n">
        <v>0</v>
      </c>
      <c r="P1061" t="n">
        <v>0</v>
      </c>
      <c r="Q1061" t="n">
        <v>0</v>
      </c>
      <c r="R1061" s="2" t="inlineStr"/>
    </row>
    <row r="1062" ht="15" customHeight="1">
      <c r="A1062" t="inlineStr">
        <is>
          <t>A 26769-2020</t>
        </is>
      </c>
      <c r="B1062" s="1" t="n">
        <v>43990</v>
      </c>
      <c r="C1062" s="1" t="n">
        <v>45724</v>
      </c>
      <c r="D1062" t="inlineStr">
        <is>
          <t>VÄSTMANLANDS LÄN</t>
        </is>
      </c>
      <c r="E1062" t="inlineStr">
        <is>
          <t>KÖPING</t>
        </is>
      </c>
      <c r="F1062" t="inlineStr">
        <is>
          <t>Sveaskog</t>
        </is>
      </c>
      <c r="G1062" t="n">
        <v>1</v>
      </c>
      <c r="H1062" t="n">
        <v>0</v>
      </c>
      <c r="I1062" t="n">
        <v>0</v>
      </c>
      <c r="J1062" t="n">
        <v>0</v>
      </c>
      <c r="K1062" t="n">
        <v>0</v>
      </c>
      <c r="L1062" t="n">
        <v>0</v>
      </c>
      <c r="M1062" t="n">
        <v>0</v>
      </c>
      <c r="N1062" t="n">
        <v>0</v>
      </c>
      <c r="O1062" t="n">
        <v>0</v>
      </c>
      <c r="P1062" t="n">
        <v>0</v>
      </c>
      <c r="Q1062" t="n">
        <v>0</v>
      </c>
      <c r="R1062" s="2" t="inlineStr"/>
    </row>
    <row r="1063" ht="15" customHeight="1">
      <c r="A1063" t="inlineStr">
        <is>
          <t>A 26937-2020</t>
        </is>
      </c>
      <c r="B1063" s="1" t="n">
        <v>43990</v>
      </c>
      <c r="C1063" s="1" t="n">
        <v>45724</v>
      </c>
      <c r="D1063" t="inlineStr">
        <is>
          <t>VÄSTMANLANDS LÄN</t>
        </is>
      </c>
      <c r="E1063" t="inlineStr">
        <is>
          <t>SALA</t>
        </is>
      </c>
      <c r="F1063" t="inlineStr">
        <is>
          <t>Bergvik skog öst AB</t>
        </is>
      </c>
      <c r="G1063" t="n">
        <v>9.199999999999999</v>
      </c>
      <c r="H1063" t="n">
        <v>0</v>
      </c>
      <c r="I1063" t="n">
        <v>0</v>
      </c>
      <c r="J1063" t="n">
        <v>0</v>
      </c>
      <c r="K1063" t="n">
        <v>0</v>
      </c>
      <c r="L1063" t="n">
        <v>0</v>
      </c>
      <c r="M1063" t="n">
        <v>0</v>
      </c>
      <c r="N1063" t="n">
        <v>0</v>
      </c>
      <c r="O1063" t="n">
        <v>0</v>
      </c>
      <c r="P1063" t="n">
        <v>0</v>
      </c>
      <c r="Q1063" t="n">
        <v>0</v>
      </c>
      <c r="R1063" s="2" t="inlineStr"/>
    </row>
    <row r="1064" ht="15" customHeight="1">
      <c r="A1064" t="inlineStr">
        <is>
          <t>A 26782-2020</t>
        </is>
      </c>
      <c r="B1064" s="1" t="n">
        <v>43990</v>
      </c>
      <c r="C1064" s="1" t="n">
        <v>45724</v>
      </c>
      <c r="D1064" t="inlineStr">
        <is>
          <t>VÄSTMANLANDS LÄN</t>
        </is>
      </c>
      <c r="E1064" t="inlineStr">
        <is>
          <t>KÖPING</t>
        </is>
      </c>
      <c r="F1064" t="inlineStr">
        <is>
          <t>Sveaskog</t>
        </is>
      </c>
      <c r="G1064" t="n">
        <v>0.8</v>
      </c>
      <c r="H1064" t="n">
        <v>0</v>
      </c>
      <c r="I1064" t="n">
        <v>0</v>
      </c>
      <c r="J1064" t="n">
        <v>0</v>
      </c>
      <c r="K1064" t="n">
        <v>0</v>
      </c>
      <c r="L1064" t="n">
        <v>0</v>
      </c>
      <c r="M1064" t="n">
        <v>0</v>
      </c>
      <c r="N1064" t="n">
        <v>0</v>
      </c>
      <c r="O1064" t="n">
        <v>0</v>
      </c>
      <c r="P1064" t="n">
        <v>0</v>
      </c>
      <c r="Q1064" t="n">
        <v>0</v>
      </c>
      <c r="R1064" s="2" t="inlineStr"/>
    </row>
    <row r="1065" ht="15" customHeight="1">
      <c r="A1065" t="inlineStr">
        <is>
          <t>A 27325-2020</t>
        </is>
      </c>
      <c r="B1065" s="1" t="n">
        <v>43992</v>
      </c>
      <c r="C1065" s="1" t="n">
        <v>45724</v>
      </c>
      <c r="D1065" t="inlineStr">
        <is>
          <t>VÄSTMANLANDS LÄN</t>
        </is>
      </c>
      <c r="E1065" t="inlineStr">
        <is>
          <t>HALLSTAHAMMAR</t>
        </is>
      </c>
      <c r="F1065" t="inlineStr">
        <is>
          <t>Kommuner</t>
        </is>
      </c>
      <c r="G1065" t="n">
        <v>0.7</v>
      </c>
      <c r="H1065" t="n">
        <v>0</v>
      </c>
      <c r="I1065" t="n">
        <v>0</v>
      </c>
      <c r="J1065" t="n">
        <v>0</v>
      </c>
      <c r="K1065" t="n">
        <v>0</v>
      </c>
      <c r="L1065" t="n">
        <v>0</v>
      </c>
      <c r="M1065" t="n">
        <v>0</v>
      </c>
      <c r="N1065" t="n">
        <v>0</v>
      </c>
      <c r="O1065" t="n">
        <v>0</v>
      </c>
      <c r="P1065" t="n">
        <v>0</v>
      </c>
      <c r="Q1065" t="n">
        <v>0</v>
      </c>
      <c r="R1065" s="2" t="inlineStr"/>
    </row>
    <row r="1066" ht="15" customHeight="1">
      <c r="A1066" t="inlineStr">
        <is>
          <t>A 27359-2020</t>
        </is>
      </c>
      <c r="B1066" s="1" t="n">
        <v>43992</v>
      </c>
      <c r="C1066" s="1" t="n">
        <v>45724</v>
      </c>
      <c r="D1066" t="inlineStr">
        <is>
          <t>VÄSTMANLANDS LÄN</t>
        </is>
      </c>
      <c r="E1066" t="inlineStr">
        <is>
          <t>HALLSTAHAMMAR</t>
        </is>
      </c>
      <c r="F1066" t="inlineStr">
        <is>
          <t>Kommuner</t>
        </is>
      </c>
      <c r="G1066" t="n">
        <v>1.2</v>
      </c>
      <c r="H1066" t="n">
        <v>0</v>
      </c>
      <c r="I1066" t="n">
        <v>0</v>
      </c>
      <c r="J1066" t="n">
        <v>0</v>
      </c>
      <c r="K1066" t="n">
        <v>0</v>
      </c>
      <c r="L1066" t="n">
        <v>0</v>
      </c>
      <c r="M1066" t="n">
        <v>0</v>
      </c>
      <c r="N1066" t="n">
        <v>0</v>
      </c>
      <c r="O1066" t="n">
        <v>0</v>
      </c>
      <c r="P1066" t="n">
        <v>0</v>
      </c>
      <c r="Q1066" t="n">
        <v>0</v>
      </c>
      <c r="R1066" s="2" t="inlineStr"/>
    </row>
    <row r="1067" ht="15" customHeight="1">
      <c r="A1067" t="inlineStr">
        <is>
          <t>A 27332-2020</t>
        </is>
      </c>
      <c r="B1067" s="1" t="n">
        <v>43992</v>
      </c>
      <c r="C1067" s="1" t="n">
        <v>45724</v>
      </c>
      <c r="D1067" t="inlineStr">
        <is>
          <t>VÄSTMANLANDS LÄN</t>
        </is>
      </c>
      <c r="E1067" t="inlineStr">
        <is>
          <t>HALLSTAHAMMAR</t>
        </is>
      </c>
      <c r="F1067" t="inlineStr">
        <is>
          <t>Kommuner</t>
        </is>
      </c>
      <c r="G1067" t="n">
        <v>1.4</v>
      </c>
      <c r="H1067" t="n">
        <v>0</v>
      </c>
      <c r="I1067" t="n">
        <v>0</v>
      </c>
      <c r="J1067" t="n">
        <v>0</v>
      </c>
      <c r="K1067" t="n">
        <v>0</v>
      </c>
      <c r="L1067" t="n">
        <v>0</v>
      </c>
      <c r="M1067" t="n">
        <v>0</v>
      </c>
      <c r="N1067" t="n">
        <v>0</v>
      </c>
      <c r="O1067" t="n">
        <v>0</v>
      </c>
      <c r="P1067" t="n">
        <v>0</v>
      </c>
      <c r="Q1067" t="n">
        <v>0</v>
      </c>
      <c r="R1067" s="2" t="inlineStr"/>
    </row>
    <row r="1068" ht="15" customHeight="1">
      <c r="A1068" t="inlineStr">
        <is>
          <t>A 27328-2020</t>
        </is>
      </c>
      <c r="B1068" s="1" t="n">
        <v>43992</v>
      </c>
      <c r="C1068" s="1" t="n">
        <v>45724</v>
      </c>
      <c r="D1068" t="inlineStr">
        <is>
          <t>VÄSTMANLANDS LÄN</t>
        </is>
      </c>
      <c r="E1068" t="inlineStr">
        <is>
          <t>HALLSTAHAMMAR</t>
        </is>
      </c>
      <c r="F1068" t="inlineStr">
        <is>
          <t>Kommuner</t>
        </is>
      </c>
      <c r="G1068" t="n">
        <v>0.7</v>
      </c>
      <c r="H1068" t="n">
        <v>0</v>
      </c>
      <c r="I1068" t="n">
        <v>0</v>
      </c>
      <c r="J1068" t="n">
        <v>0</v>
      </c>
      <c r="K1068" t="n">
        <v>0</v>
      </c>
      <c r="L1068" t="n">
        <v>0</v>
      </c>
      <c r="M1068" t="n">
        <v>0</v>
      </c>
      <c r="N1068" t="n">
        <v>0</v>
      </c>
      <c r="O1068" t="n">
        <v>0</v>
      </c>
      <c r="P1068" t="n">
        <v>0</v>
      </c>
      <c r="Q1068" t="n">
        <v>0</v>
      </c>
      <c r="R1068" s="2" t="inlineStr"/>
    </row>
    <row r="1069" ht="15" customHeight="1">
      <c r="A1069" t="inlineStr">
        <is>
          <t>A 27637-2020</t>
        </is>
      </c>
      <c r="B1069" s="1" t="n">
        <v>43993</v>
      </c>
      <c r="C1069" s="1" t="n">
        <v>45724</v>
      </c>
      <c r="D1069" t="inlineStr">
        <is>
          <t>VÄSTMANLANDS LÄN</t>
        </is>
      </c>
      <c r="E1069" t="inlineStr">
        <is>
          <t>VÄSTERÅS</t>
        </is>
      </c>
      <c r="G1069" t="n">
        <v>3.5</v>
      </c>
      <c r="H1069" t="n">
        <v>0</v>
      </c>
      <c r="I1069" t="n">
        <v>0</v>
      </c>
      <c r="J1069" t="n">
        <v>0</v>
      </c>
      <c r="K1069" t="n">
        <v>0</v>
      </c>
      <c r="L1069" t="n">
        <v>0</v>
      </c>
      <c r="M1069" t="n">
        <v>0</v>
      </c>
      <c r="N1069" t="n">
        <v>0</v>
      </c>
      <c r="O1069" t="n">
        <v>0</v>
      </c>
      <c r="P1069" t="n">
        <v>0</v>
      </c>
      <c r="Q1069" t="n">
        <v>0</v>
      </c>
      <c r="R1069" s="2" t="inlineStr"/>
    </row>
    <row r="1070" ht="15" customHeight="1">
      <c r="A1070" t="inlineStr">
        <is>
          <t>A 27730-2020</t>
        </is>
      </c>
      <c r="B1070" s="1" t="n">
        <v>43994</v>
      </c>
      <c r="C1070" s="1" t="n">
        <v>45724</v>
      </c>
      <c r="D1070" t="inlineStr">
        <is>
          <t>VÄSTMANLANDS LÄN</t>
        </is>
      </c>
      <c r="E1070" t="inlineStr">
        <is>
          <t>SALA</t>
        </is>
      </c>
      <c r="G1070" t="n">
        <v>2.1</v>
      </c>
      <c r="H1070" t="n">
        <v>0</v>
      </c>
      <c r="I1070" t="n">
        <v>0</v>
      </c>
      <c r="J1070" t="n">
        <v>0</v>
      </c>
      <c r="K1070" t="n">
        <v>0</v>
      </c>
      <c r="L1070" t="n">
        <v>0</v>
      </c>
      <c r="M1070" t="n">
        <v>0</v>
      </c>
      <c r="N1070" t="n">
        <v>0</v>
      </c>
      <c r="O1070" t="n">
        <v>0</v>
      </c>
      <c r="P1070" t="n">
        <v>0</v>
      </c>
      <c r="Q1070" t="n">
        <v>0</v>
      </c>
      <c r="R1070" s="2" t="inlineStr"/>
    </row>
    <row r="1071" ht="15" customHeight="1">
      <c r="A1071" t="inlineStr">
        <is>
          <t>A 28071-2020</t>
        </is>
      </c>
      <c r="B1071" s="1" t="n">
        <v>43997</v>
      </c>
      <c r="C1071" s="1" t="n">
        <v>45724</v>
      </c>
      <c r="D1071" t="inlineStr">
        <is>
          <t>VÄSTMANLANDS LÄN</t>
        </is>
      </c>
      <c r="E1071" t="inlineStr">
        <is>
          <t>ARBOGA</t>
        </is>
      </c>
      <c r="G1071" t="n">
        <v>1.5</v>
      </c>
      <c r="H1071" t="n">
        <v>0</v>
      </c>
      <c r="I1071" t="n">
        <v>0</v>
      </c>
      <c r="J1071" t="n">
        <v>0</v>
      </c>
      <c r="K1071" t="n">
        <v>0</v>
      </c>
      <c r="L1071" t="n">
        <v>0</v>
      </c>
      <c r="M1071" t="n">
        <v>0</v>
      </c>
      <c r="N1071" t="n">
        <v>0</v>
      </c>
      <c r="O1071" t="n">
        <v>0</v>
      </c>
      <c r="P1071" t="n">
        <v>0</v>
      </c>
      <c r="Q1071" t="n">
        <v>0</v>
      </c>
      <c r="R1071" s="2" t="inlineStr"/>
    </row>
    <row r="1072" ht="15" customHeight="1">
      <c r="A1072" t="inlineStr">
        <is>
          <t>A 28536-2020</t>
        </is>
      </c>
      <c r="B1072" s="1" t="n">
        <v>43999</v>
      </c>
      <c r="C1072" s="1" t="n">
        <v>45724</v>
      </c>
      <c r="D1072" t="inlineStr">
        <is>
          <t>VÄSTMANLANDS LÄN</t>
        </is>
      </c>
      <c r="E1072" t="inlineStr">
        <is>
          <t>VÄSTERÅS</t>
        </is>
      </c>
      <c r="G1072" t="n">
        <v>0.5</v>
      </c>
      <c r="H1072" t="n">
        <v>0</v>
      </c>
      <c r="I1072" t="n">
        <v>0</v>
      </c>
      <c r="J1072" t="n">
        <v>0</v>
      </c>
      <c r="K1072" t="n">
        <v>0</v>
      </c>
      <c r="L1072" t="n">
        <v>0</v>
      </c>
      <c r="M1072" t="n">
        <v>0</v>
      </c>
      <c r="N1072" t="n">
        <v>0</v>
      </c>
      <c r="O1072" t="n">
        <v>0</v>
      </c>
      <c r="P1072" t="n">
        <v>0</v>
      </c>
      <c r="Q1072" t="n">
        <v>0</v>
      </c>
      <c r="R1072" s="2" t="inlineStr"/>
    </row>
    <row r="1073" ht="15" customHeight="1">
      <c r="A1073" t="inlineStr">
        <is>
          <t>A 28555-2020</t>
        </is>
      </c>
      <c r="B1073" s="1" t="n">
        <v>43999</v>
      </c>
      <c r="C1073" s="1" t="n">
        <v>45724</v>
      </c>
      <c r="D1073" t="inlineStr">
        <is>
          <t>VÄSTMANLANDS LÄN</t>
        </is>
      </c>
      <c r="E1073" t="inlineStr">
        <is>
          <t>KÖPING</t>
        </is>
      </c>
      <c r="F1073" t="inlineStr">
        <is>
          <t>Sveaskog</t>
        </is>
      </c>
      <c r="G1073" t="n">
        <v>2.7</v>
      </c>
      <c r="H1073" t="n">
        <v>0</v>
      </c>
      <c r="I1073" t="n">
        <v>0</v>
      </c>
      <c r="J1073" t="n">
        <v>0</v>
      </c>
      <c r="K1073" t="n">
        <v>0</v>
      </c>
      <c r="L1073" t="n">
        <v>0</v>
      </c>
      <c r="M1073" t="n">
        <v>0</v>
      </c>
      <c r="N1073" t="n">
        <v>0</v>
      </c>
      <c r="O1073" t="n">
        <v>0</v>
      </c>
      <c r="P1073" t="n">
        <v>0</v>
      </c>
      <c r="Q1073" t="n">
        <v>0</v>
      </c>
      <c r="R1073" s="2" t="inlineStr"/>
    </row>
    <row r="1074" ht="15" customHeight="1">
      <c r="A1074" t="inlineStr">
        <is>
          <t>A 28533-2020</t>
        </is>
      </c>
      <c r="B1074" s="1" t="n">
        <v>43999</v>
      </c>
      <c r="C1074" s="1" t="n">
        <v>45724</v>
      </c>
      <c r="D1074" t="inlineStr">
        <is>
          <t>VÄSTMANLANDS LÄN</t>
        </is>
      </c>
      <c r="E1074" t="inlineStr">
        <is>
          <t>VÄSTERÅS</t>
        </is>
      </c>
      <c r="G1074" t="n">
        <v>1.5</v>
      </c>
      <c r="H1074" t="n">
        <v>0</v>
      </c>
      <c r="I1074" t="n">
        <v>0</v>
      </c>
      <c r="J1074" t="n">
        <v>0</v>
      </c>
      <c r="K1074" t="n">
        <v>0</v>
      </c>
      <c r="L1074" t="n">
        <v>0</v>
      </c>
      <c r="M1074" t="n">
        <v>0</v>
      </c>
      <c r="N1074" t="n">
        <v>0</v>
      </c>
      <c r="O1074" t="n">
        <v>0</v>
      </c>
      <c r="P1074" t="n">
        <v>0</v>
      </c>
      <c r="Q1074" t="n">
        <v>0</v>
      </c>
      <c r="R1074" s="2" t="inlineStr"/>
    </row>
    <row r="1075" ht="15" customHeight="1">
      <c r="A1075" t="inlineStr">
        <is>
          <t>A 28947-2020</t>
        </is>
      </c>
      <c r="B1075" s="1" t="n">
        <v>44000</v>
      </c>
      <c r="C1075" s="1" t="n">
        <v>45724</v>
      </c>
      <c r="D1075" t="inlineStr">
        <is>
          <t>VÄSTMANLANDS LÄN</t>
        </is>
      </c>
      <c r="E1075" t="inlineStr">
        <is>
          <t>KUNGSÖR</t>
        </is>
      </c>
      <c r="G1075" t="n">
        <v>4.6</v>
      </c>
      <c r="H1075" t="n">
        <v>0</v>
      </c>
      <c r="I1075" t="n">
        <v>0</v>
      </c>
      <c r="J1075" t="n">
        <v>0</v>
      </c>
      <c r="K1075" t="n">
        <v>0</v>
      </c>
      <c r="L1075" t="n">
        <v>0</v>
      </c>
      <c r="M1075" t="n">
        <v>0</v>
      </c>
      <c r="N1075" t="n">
        <v>0</v>
      </c>
      <c r="O1075" t="n">
        <v>0</v>
      </c>
      <c r="P1075" t="n">
        <v>0</v>
      </c>
      <c r="Q1075" t="n">
        <v>0</v>
      </c>
      <c r="R1075" s="2" t="inlineStr"/>
    </row>
    <row r="1076" ht="15" customHeight="1">
      <c r="A1076" t="inlineStr">
        <is>
          <t>A 29197-2020</t>
        </is>
      </c>
      <c r="B1076" s="1" t="n">
        <v>44004</v>
      </c>
      <c r="C1076" s="1" t="n">
        <v>45724</v>
      </c>
      <c r="D1076" t="inlineStr">
        <is>
          <t>VÄSTMANLANDS LÄN</t>
        </is>
      </c>
      <c r="E1076" t="inlineStr">
        <is>
          <t>VÄSTERÅS</t>
        </is>
      </c>
      <c r="G1076" t="n">
        <v>1.4</v>
      </c>
      <c r="H1076" t="n">
        <v>0</v>
      </c>
      <c r="I1076" t="n">
        <v>0</v>
      </c>
      <c r="J1076" t="n">
        <v>0</v>
      </c>
      <c r="K1076" t="n">
        <v>0</v>
      </c>
      <c r="L1076" t="n">
        <v>0</v>
      </c>
      <c r="M1076" t="n">
        <v>0</v>
      </c>
      <c r="N1076" t="n">
        <v>0</v>
      </c>
      <c r="O1076" t="n">
        <v>0</v>
      </c>
      <c r="P1076" t="n">
        <v>0</v>
      </c>
      <c r="Q1076" t="n">
        <v>0</v>
      </c>
      <c r="R1076" s="2" t="inlineStr"/>
    </row>
    <row r="1077" ht="15" customHeight="1">
      <c r="A1077" t="inlineStr">
        <is>
          <t>A 29606-2020</t>
        </is>
      </c>
      <c r="B1077" s="1" t="n">
        <v>44005</v>
      </c>
      <c r="C1077" s="1" t="n">
        <v>45724</v>
      </c>
      <c r="D1077" t="inlineStr">
        <is>
          <t>VÄSTMANLANDS LÄN</t>
        </is>
      </c>
      <c r="E1077" t="inlineStr">
        <is>
          <t>NORBERG</t>
        </is>
      </c>
      <c r="F1077" t="inlineStr">
        <is>
          <t>Sveaskog</t>
        </is>
      </c>
      <c r="G1077" t="n">
        <v>0.8</v>
      </c>
      <c r="H1077" t="n">
        <v>0</v>
      </c>
      <c r="I1077" t="n">
        <v>0</v>
      </c>
      <c r="J1077" t="n">
        <v>0</v>
      </c>
      <c r="K1077" t="n">
        <v>0</v>
      </c>
      <c r="L1077" t="n">
        <v>0</v>
      </c>
      <c r="M1077" t="n">
        <v>0</v>
      </c>
      <c r="N1077" t="n">
        <v>0</v>
      </c>
      <c r="O1077" t="n">
        <v>0</v>
      </c>
      <c r="P1077" t="n">
        <v>0</v>
      </c>
      <c r="Q1077" t="n">
        <v>0</v>
      </c>
      <c r="R1077" s="2" t="inlineStr"/>
    </row>
    <row r="1078" ht="15" customHeight="1">
      <c r="A1078" t="inlineStr">
        <is>
          <t>A 29726-2020</t>
        </is>
      </c>
      <c r="B1078" s="1" t="n">
        <v>44005</v>
      </c>
      <c r="C1078" s="1" t="n">
        <v>45724</v>
      </c>
      <c r="D1078" t="inlineStr">
        <is>
          <t>VÄSTMANLANDS LÄN</t>
        </is>
      </c>
      <c r="E1078" t="inlineStr">
        <is>
          <t>VÄSTERÅS</t>
        </is>
      </c>
      <c r="G1078" t="n">
        <v>2.7</v>
      </c>
      <c r="H1078" t="n">
        <v>0</v>
      </c>
      <c r="I1078" t="n">
        <v>0</v>
      </c>
      <c r="J1078" t="n">
        <v>0</v>
      </c>
      <c r="K1078" t="n">
        <v>0</v>
      </c>
      <c r="L1078" t="n">
        <v>0</v>
      </c>
      <c r="M1078" t="n">
        <v>0</v>
      </c>
      <c r="N1078" t="n">
        <v>0</v>
      </c>
      <c r="O1078" t="n">
        <v>0</v>
      </c>
      <c r="P1078" t="n">
        <v>0</v>
      </c>
      <c r="Q1078" t="n">
        <v>0</v>
      </c>
      <c r="R1078" s="2" t="inlineStr"/>
    </row>
    <row r="1079" ht="15" customHeight="1">
      <c r="A1079" t="inlineStr">
        <is>
          <t>A 29845-2020</t>
        </is>
      </c>
      <c r="B1079" s="1" t="n">
        <v>44005</v>
      </c>
      <c r="C1079" s="1" t="n">
        <v>45724</v>
      </c>
      <c r="D1079" t="inlineStr">
        <is>
          <t>VÄSTMANLANDS LÄN</t>
        </is>
      </c>
      <c r="E1079" t="inlineStr">
        <is>
          <t>SALA</t>
        </is>
      </c>
      <c r="G1079" t="n">
        <v>2.4</v>
      </c>
      <c r="H1079" t="n">
        <v>0</v>
      </c>
      <c r="I1079" t="n">
        <v>0</v>
      </c>
      <c r="J1079" t="n">
        <v>0</v>
      </c>
      <c r="K1079" t="n">
        <v>0</v>
      </c>
      <c r="L1079" t="n">
        <v>0</v>
      </c>
      <c r="M1079" t="n">
        <v>0</v>
      </c>
      <c r="N1079" t="n">
        <v>0</v>
      </c>
      <c r="O1079" t="n">
        <v>0</v>
      </c>
      <c r="P1079" t="n">
        <v>0</v>
      </c>
      <c r="Q1079" t="n">
        <v>0</v>
      </c>
      <c r="R1079" s="2" t="inlineStr"/>
    </row>
    <row r="1080" ht="15" customHeight="1">
      <c r="A1080" t="inlineStr">
        <is>
          <t>A 29821-2020</t>
        </is>
      </c>
      <c r="B1080" s="1" t="n">
        <v>44005</v>
      </c>
      <c r="C1080" s="1" t="n">
        <v>45724</v>
      </c>
      <c r="D1080" t="inlineStr">
        <is>
          <t>VÄSTMANLANDS LÄN</t>
        </is>
      </c>
      <c r="E1080" t="inlineStr">
        <is>
          <t>SALA</t>
        </is>
      </c>
      <c r="G1080" t="n">
        <v>1</v>
      </c>
      <c r="H1080" t="n">
        <v>0</v>
      </c>
      <c r="I1080" t="n">
        <v>0</v>
      </c>
      <c r="J1080" t="n">
        <v>0</v>
      </c>
      <c r="K1080" t="n">
        <v>0</v>
      </c>
      <c r="L1080" t="n">
        <v>0</v>
      </c>
      <c r="M1080" t="n">
        <v>0</v>
      </c>
      <c r="N1080" t="n">
        <v>0</v>
      </c>
      <c r="O1080" t="n">
        <v>0</v>
      </c>
      <c r="P1080" t="n">
        <v>0</v>
      </c>
      <c r="Q1080" t="n">
        <v>0</v>
      </c>
      <c r="R1080" s="2" t="inlineStr"/>
    </row>
    <row r="1081" ht="15" customHeight="1">
      <c r="A1081" t="inlineStr">
        <is>
          <t>A 29925-2020</t>
        </is>
      </c>
      <c r="B1081" s="1" t="n">
        <v>44006</v>
      </c>
      <c r="C1081" s="1" t="n">
        <v>45724</v>
      </c>
      <c r="D1081" t="inlineStr">
        <is>
          <t>VÄSTMANLANDS LÄN</t>
        </is>
      </c>
      <c r="E1081" t="inlineStr">
        <is>
          <t>SALA</t>
        </is>
      </c>
      <c r="G1081" t="n">
        <v>1</v>
      </c>
      <c r="H1081" t="n">
        <v>0</v>
      </c>
      <c r="I1081" t="n">
        <v>0</v>
      </c>
      <c r="J1081" t="n">
        <v>0</v>
      </c>
      <c r="K1081" t="n">
        <v>0</v>
      </c>
      <c r="L1081" t="n">
        <v>0</v>
      </c>
      <c r="M1081" t="n">
        <v>0</v>
      </c>
      <c r="N1081" t="n">
        <v>0</v>
      </c>
      <c r="O1081" t="n">
        <v>0</v>
      </c>
      <c r="P1081" t="n">
        <v>0</v>
      </c>
      <c r="Q1081" t="n">
        <v>0</v>
      </c>
      <c r="R1081" s="2" t="inlineStr"/>
    </row>
    <row r="1082" ht="15" customHeight="1">
      <c r="A1082" t="inlineStr">
        <is>
          <t>A 30327-2020</t>
        </is>
      </c>
      <c r="B1082" s="1" t="n">
        <v>44007</v>
      </c>
      <c r="C1082" s="1" t="n">
        <v>45724</v>
      </c>
      <c r="D1082" t="inlineStr">
        <is>
          <t>VÄSTMANLANDS LÄN</t>
        </is>
      </c>
      <c r="E1082" t="inlineStr">
        <is>
          <t>SALA</t>
        </is>
      </c>
      <c r="G1082" t="n">
        <v>1</v>
      </c>
      <c r="H1082" t="n">
        <v>0</v>
      </c>
      <c r="I1082" t="n">
        <v>0</v>
      </c>
      <c r="J1082" t="n">
        <v>0</v>
      </c>
      <c r="K1082" t="n">
        <v>0</v>
      </c>
      <c r="L1082" t="n">
        <v>0</v>
      </c>
      <c r="M1082" t="n">
        <v>0</v>
      </c>
      <c r="N1082" t="n">
        <v>0</v>
      </c>
      <c r="O1082" t="n">
        <v>0</v>
      </c>
      <c r="P1082" t="n">
        <v>0</v>
      </c>
      <c r="Q1082" t="n">
        <v>0</v>
      </c>
      <c r="R1082" s="2" t="inlineStr"/>
    </row>
    <row r="1083" ht="15" customHeight="1">
      <c r="A1083" t="inlineStr">
        <is>
          <t>A 30362-2020</t>
        </is>
      </c>
      <c r="B1083" s="1" t="n">
        <v>44007</v>
      </c>
      <c r="C1083" s="1" t="n">
        <v>45724</v>
      </c>
      <c r="D1083" t="inlineStr">
        <is>
          <t>VÄSTMANLANDS LÄN</t>
        </is>
      </c>
      <c r="E1083" t="inlineStr">
        <is>
          <t>VÄSTERÅS</t>
        </is>
      </c>
      <c r="G1083" t="n">
        <v>2.9</v>
      </c>
      <c r="H1083" t="n">
        <v>0</v>
      </c>
      <c r="I1083" t="n">
        <v>0</v>
      </c>
      <c r="J1083" t="n">
        <v>0</v>
      </c>
      <c r="K1083" t="n">
        <v>0</v>
      </c>
      <c r="L1083" t="n">
        <v>0</v>
      </c>
      <c r="M1083" t="n">
        <v>0</v>
      </c>
      <c r="N1083" t="n">
        <v>0</v>
      </c>
      <c r="O1083" t="n">
        <v>0</v>
      </c>
      <c r="P1083" t="n">
        <v>0</v>
      </c>
      <c r="Q1083" t="n">
        <v>0</v>
      </c>
      <c r="R1083" s="2" t="inlineStr"/>
    </row>
    <row r="1084" ht="15" customHeight="1">
      <c r="A1084" t="inlineStr">
        <is>
          <t>A 30365-2020</t>
        </is>
      </c>
      <c r="B1084" s="1" t="n">
        <v>44007</v>
      </c>
      <c r="C1084" s="1" t="n">
        <v>45724</v>
      </c>
      <c r="D1084" t="inlineStr">
        <is>
          <t>VÄSTMANLANDS LÄN</t>
        </is>
      </c>
      <c r="E1084" t="inlineStr">
        <is>
          <t>VÄSTERÅS</t>
        </is>
      </c>
      <c r="G1084" t="n">
        <v>2</v>
      </c>
      <c r="H1084" t="n">
        <v>0</v>
      </c>
      <c r="I1084" t="n">
        <v>0</v>
      </c>
      <c r="J1084" t="n">
        <v>0</v>
      </c>
      <c r="K1084" t="n">
        <v>0</v>
      </c>
      <c r="L1084" t="n">
        <v>0</v>
      </c>
      <c r="M1084" t="n">
        <v>0</v>
      </c>
      <c r="N1084" t="n">
        <v>0</v>
      </c>
      <c r="O1084" t="n">
        <v>0</v>
      </c>
      <c r="P1084" t="n">
        <v>0</v>
      </c>
      <c r="Q1084" t="n">
        <v>0</v>
      </c>
      <c r="R1084" s="2" t="inlineStr"/>
    </row>
    <row r="1085" ht="15" customHeight="1">
      <c r="A1085" t="inlineStr">
        <is>
          <t>A 30793-2020</t>
        </is>
      </c>
      <c r="B1085" s="1" t="n">
        <v>44010</v>
      </c>
      <c r="C1085" s="1" t="n">
        <v>45724</v>
      </c>
      <c r="D1085" t="inlineStr">
        <is>
          <t>VÄSTMANLANDS LÄN</t>
        </is>
      </c>
      <c r="E1085" t="inlineStr">
        <is>
          <t>VÄSTERÅS</t>
        </is>
      </c>
      <c r="G1085" t="n">
        <v>0.8</v>
      </c>
      <c r="H1085" t="n">
        <v>0</v>
      </c>
      <c r="I1085" t="n">
        <v>0</v>
      </c>
      <c r="J1085" t="n">
        <v>0</v>
      </c>
      <c r="K1085" t="n">
        <v>0</v>
      </c>
      <c r="L1085" t="n">
        <v>0</v>
      </c>
      <c r="M1085" t="n">
        <v>0</v>
      </c>
      <c r="N1085" t="n">
        <v>0</v>
      </c>
      <c r="O1085" t="n">
        <v>0</v>
      </c>
      <c r="P1085" t="n">
        <v>0</v>
      </c>
      <c r="Q1085" t="n">
        <v>0</v>
      </c>
      <c r="R1085" s="2" t="inlineStr"/>
    </row>
    <row r="1086" ht="15" customHeight="1">
      <c r="A1086" t="inlineStr">
        <is>
          <t>A 30928-2020</t>
        </is>
      </c>
      <c r="B1086" s="1" t="n">
        <v>44011</v>
      </c>
      <c r="C1086" s="1" t="n">
        <v>45724</v>
      </c>
      <c r="D1086" t="inlineStr">
        <is>
          <t>VÄSTMANLANDS LÄN</t>
        </is>
      </c>
      <c r="E1086" t="inlineStr">
        <is>
          <t>KÖPING</t>
        </is>
      </c>
      <c r="G1086" t="n">
        <v>2.3</v>
      </c>
      <c r="H1086" t="n">
        <v>0</v>
      </c>
      <c r="I1086" t="n">
        <v>0</v>
      </c>
      <c r="J1086" t="n">
        <v>0</v>
      </c>
      <c r="K1086" t="n">
        <v>0</v>
      </c>
      <c r="L1086" t="n">
        <v>0</v>
      </c>
      <c r="M1086" t="n">
        <v>0</v>
      </c>
      <c r="N1086" t="n">
        <v>0</v>
      </c>
      <c r="O1086" t="n">
        <v>0</v>
      </c>
      <c r="P1086" t="n">
        <v>0</v>
      </c>
      <c r="Q1086" t="n">
        <v>0</v>
      </c>
      <c r="R1086" s="2" t="inlineStr"/>
    </row>
    <row r="1087" ht="15" customHeight="1">
      <c r="A1087" t="inlineStr">
        <is>
          <t>A 30985-2020</t>
        </is>
      </c>
      <c r="B1087" s="1" t="n">
        <v>44011</v>
      </c>
      <c r="C1087" s="1" t="n">
        <v>45724</v>
      </c>
      <c r="D1087" t="inlineStr">
        <is>
          <t>VÄSTMANLANDS LÄN</t>
        </is>
      </c>
      <c r="E1087" t="inlineStr">
        <is>
          <t>KÖPING</t>
        </is>
      </c>
      <c r="G1087" t="n">
        <v>1.7</v>
      </c>
      <c r="H1087" t="n">
        <v>0</v>
      </c>
      <c r="I1087" t="n">
        <v>0</v>
      </c>
      <c r="J1087" t="n">
        <v>0</v>
      </c>
      <c r="K1087" t="n">
        <v>0</v>
      </c>
      <c r="L1087" t="n">
        <v>0</v>
      </c>
      <c r="M1087" t="n">
        <v>0</v>
      </c>
      <c r="N1087" t="n">
        <v>0</v>
      </c>
      <c r="O1087" t="n">
        <v>0</v>
      </c>
      <c r="P1087" t="n">
        <v>0</v>
      </c>
      <c r="Q1087" t="n">
        <v>0</v>
      </c>
      <c r="R1087" s="2" t="inlineStr"/>
    </row>
    <row r="1088" ht="15" customHeight="1">
      <c r="A1088" t="inlineStr">
        <is>
          <t>A 31151-2020</t>
        </is>
      </c>
      <c r="B1088" s="1" t="n">
        <v>44012</v>
      </c>
      <c r="C1088" s="1" t="n">
        <v>45724</v>
      </c>
      <c r="D1088" t="inlineStr">
        <is>
          <t>VÄSTMANLANDS LÄN</t>
        </is>
      </c>
      <c r="E1088" t="inlineStr">
        <is>
          <t>SKINNSKATTEBERG</t>
        </is>
      </c>
      <c r="F1088" t="inlineStr">
        <is>
          <t>Sveaskog</t>
        </is>
      </c>
      <c r="G1088" t="n">
        <v>1</v>
      </c>
      <c r="H1088" t="n">
        <v>0</v>
      </c>
      <c r="I1088" t="n">
        <v>0</v>
      </c>
      <c r="J1088" t="n">
        <v>0</v>
      </c>
      <c r="K1088" t="n">
        <v>0</v>
      </c>
      <c r="L1088" t="n">
        <v>0</v>
      </c>
      <c r="M1088" t="n">
        <v>0</v>
      </c>
      <c r="N1088" t="n">
        <v>0</v>
      </c>
      <c r="O1088" t="n">
        <v>0</v>
      </c>
      <c r="P1088" t="n">
        <v>0</v>
      </c>
      <c r="Q1088" t="n">
        <v>0</v>
      </c>
      <c r="R1088" s="2" t="inlineStr"/>
    </row>
    <row r="1089" ht="15" customHeight="1">
      <c r="A1089" t="inlineStr">
        <is>
          <t>A 31552-2020</t>
        </is>
      </c>
      <c r="B1089" s="1" t="n">
        <v>44013</v>
      </c>
      <c r="C1089" s="1" t="n">
        <v>45724</v>
      </c>
      <c r="D1089" t="inlineStr">
        <is>
          <t>VÄSTMANLANDS LÄN</t>
        </is>
      </c>
      <c r="E1089" t="inlineStr">
        <is>
          <t>VÄSTERÅS</t>
        </is>
      </c>
      <c r="G1089" t="n">
        <v>3.4</v>
      </c>
      <c r="H1089" t="n">
        <v>0</v>
      </c>
      <c r="I1089" t="n">
        <v>0</v>
      </c>
      <c r="J1089" t="n">
        <v>0</v>
      </c>
      <c r="K1089" t="n">
        <v>0</v>
      </c>
      <c r="L1089" t="n">
        <v>0</v>
      </c>
      <c r="M1089" t="n">
        <v>0</v>
      </c>
      <c r="N1089" t="n">
        <v>0</v>
      </c>
      <c r="O1089" t="n">
        <v>0</v>
      </c>
      <c r="P1089" t="n">
        <v>0</v>
      </c>
      <c r="Q1089" t="n">
        <v>0</v>
      </c>
      <c r="R1089" s="2" t="inlineStr"/>
    </row>
    <row r="1090" ht="15" customHeight="1">
      <c r="A1090" t="inlineStr">
        <is>
          <t>A 31719-2020</t>
        </is>
      </c>
      <c r="B1090" s="1" t="n">
        <v>44014</v>
      </c>
      <c r="C1090" s="1" t="n">
        <v>45724</v>
      </c>
      <c r="D1090" t="inlineStr">
        <is>
          <t>VÄSTMANLANDS LÄN</t>
        </is>
      </c>
      <c r="E1090" t="inlineStr">
        <is>
          <t>NORBERG</t>
        </is>
      </c>
      <c r="F1090" t="inlineStr">
        <is>
          <t>Sveaskog</t>
        </is>
      </c>
      <c r="G1090" t="n">
        <v>1.8</v>
      </c>
      <c r="H1090" t="n">
        <v>0</v>
      </c>
      <c r="I1090" t="n">
        <v>0</v>
      </c>
      <c r="J1090" t="n">
        <v>0</v>
      </c>
      <c r="K1090" t="n">
        <v>0</v>
      </c>
      <c r="L1090" t="n">
        <v>0</v>
      </c>
      <c r="M1090" t="n">
        <v>0</v>
      </c>
      <c r="N1090" t="n">
        <v>0</v>
      </c>
      <c r="O1090" t="n">
        <v>0</v>
      </c>
      <c r="P1090" t="n">
        <v>0</v>
      </c>
      <c r="Q1090" t="n">
        <v>0</v>
      </c>
      <c r="R1090" s="2" t="inlineStr"/>
    </row>
    <row r="1091" ht="15" customHeight="1">
      <c r="A1091" t="inlineStr">
        <is>
          <t>A 31671-2020</t>
        </is>
      </c>
      <c r="B1091" s="1" t="n">
        <v>44014</v>
      </c>
      <c r="C1091" s="1" t="n">
        <v>45724</v>
      </c>
      <c r="D1091" t="inlineStr">
        <is>
          <t>VÄSTMANLANDS LÄN</t>
        </is>
      </c>
      <c r="E1091" t="inlineStr">
        <is>
          <t>SKINNSKATTEBERG</t>
        </is>
      </c>
      <c r="G1091" t="n">
        <v>3.7</v>
      </c>
      <c r="H1091" t="n">
        <v>0</v>
      </c>
      <c r="I1091" t="n">
        <v>0</v>
      </c>
      <c r="J1091" t="n">
        <v>0</v>
      </c>
      <c r="K1091" t="n">
        <v>0</v>
      </c>
      <c r="L1091" t="n">
        <v>0</v>
      </c>
      <c r="M1091" t="n">
        <v>0</v>
      </c>
      <c r="N1091" t="n">
        <v>0</v>
      </c>
      <c r="O1091" t="n">
        <v>0</v>
      </c>
      <c r="P1091" t="n">
        <v>0</v>
      </c>
      <c r="Q1091" t="n">
        <v>0</v>
      </c>
      <c r="R1091" s="2" t="inlineStr"/>
    </row>
    <row r="1092" ht="15" customHeight="1">
      <c r="A1092" t="inlineStr">
        <is>
          <t>A 32265-2020</t>
        </is>
      </c>
      <c r="B1092" s="1" t="n">
        <v>44015</v>
      </c>
      <c r="C1092" s="1" t="n">
        <v>45724</v>
      </c>
      <c r="D1092" t="inlineStr">
        <is>
          <t>VÄSTMANLANDS LÄN</t>
        </is>
      </c>
      <c r="E1092" t="inlineStr">
        <is>
          <t>KÖPING</t>
        </is>
      </c>
      <c r="G1092" t="n">
        <v>1.3</v>
      </c>
      <c r="H1092" t="n">
        <v>0</v>
      </c>
      <c r="I1092" t="n">
        <v>0</v>
      </c>
      <c r="J1092" t="n">
        <v>0</v>
      </c>
      <c r="K1092" t="n">
        <v>0</v>
      </c>
      <c r="L1092" t="n">
        <v>0</v>
      </c>
      <c r="M1092" t="n">
        <v>0</v>
      </c>
      <c r="N1092" t="n">
        <v>0</v>
      </c>
      <c r="O1092" t="n">
        <v>0</v>
      </c>
      <c r="P1092" t="n">
        <v>0</v>
      </c>
      <c r="Q1092" t="n">
        <v>0</v>
      </c>
      <c r="R1092" s="2" t="inlineStr"/>
    </row>
    <row r="1093" ht="15" customHeight="1">
      <c r="A1093" t="inlineStr">
        <is>
          <t>A 32361-2020</t>
        </is>
      </c>
      <c r="B1093" s="1" t="n">
        <v>44017</v>
      </c>
      <c r="C1093" s="1" t="n">
        <v>45724</v>
      </c>
      <c r="D1093" t="inlineStr">
        <is>
          <t>VÄSTMANLANDS LÄN</t>
        </is>
      </c>
      <c r="E1093" t="inlineStr">
        <is>
          <t>SKINNSKATTEBERG</t>
        </is>
      </c>
      <c r="F1093" t="inlineStr">
        <is>
          <t>Sveaskog</t>
        </is>
      </c>
      <c r="G1093" t="n">
        <v>0.6</v>
      </c>
      <c r="H1093" t="n">
        <v>0</v>
      </c>
      <c r="I1093" t="n">
        <v>0</v>
      </c>
      <c r="J1093" t="n">
        <v>0</v>
      </c>
      <c r="K1093" t="n">
        <v>0</v>
      </c>
      <c r="L1093" t="n">
        <v>0</v>
      </c>
      <c r="M1093" t="n">
        <v>0</v>
      </c>
      <c r="N1093" t="n">
        <v>0</v>
      </c>
      <c r="O1093" t="n">
        <v>0</v>
      </c>
      <c r="P1093" t="n">
        <v>0</v>
      </c>
      <c r="Q1093" t="n">
        <v>0</v>
      </c>
      <c r="R1093" s="2" t="inlineStr"/>
    </row>
    <row r="1094" ht="15" customHeight="1">
      <c r="A1094" t="inlineStr">
        <is>
          <t>A 32371-2020</t>
        </is>
      </c>
      <c r="B1094" s="1" t="n">
        <v>44018</v>
      </c>
      <c r="C1094" s="1" t="n">
        <v>45724</v>
      </c>
      <c r="D1094" t="inlineStr">
        <is>
          <t>VÄSTMANLANDS LÄN</t>
        </is>
      </c>
      <c r="E1094" t="inlineStr">
        <is>
          <t>SALA</t>
        </is>
      </c>
      <c r="G1094" t="n">
        <v>0.7</v>
      </c>
      <c r="H1094" t="n">
        <v>0</v>
      </c>
      <c r="I1094" t="n">
        <v>0</v>
      </c>
      <c r="J1094" t="n">
        <v>0</v>
      </c>
      <c r="K1094" t="n">
        <v>0</v>
      </c>
      <c r="L1094" t="n">
        <v>0</v>
      </c>
      <c r="M1094" t="n">
        <v>0</v>
      </c>
      <c r="N1094" t="n">
        <v>0</v>
      </c>
      <c r="O1094" t="n">
        <v>0</v>
      </c>
      <c r="P1094" t="n">
        <v>0</v>
      </c>
      <c r="Q1094" t="n">
        <v>0</v>
      </c>
      <c r="R1094" s="2" t="inlineStr"/>
    </row>
    <row r="1095" ht="15" customHeight="1">
      <c r="A1095" t="inlineStr">
        <is>
          <t>A 32367-2020</t>
        </is>
      </c>
      <c r="B1095" s="1" t="n">
        <v>44018</v>
      </c>
      <c r="C1095" s="1" t="n">
        <v>45724</v>
      </c>
      <c r="D1095" t="inlineStr">
        <is>
          <t>VÄSTMANLANDS LÄN</t>
        </is>
      </c>
      <c r="E1095" t="inlineStr">
        <is>
          <t>SALA</t>
        </is>
      </c>
      <c r="G1095" t="n">
        <v>1.5</v>
      </c>
      <c r="H1095" t="n">
        <v>0</v>
      </c>
      <c r="I1095" t="n">
        <v>0</v>
      </c>
      <c r="J1095" t="n">
        <v>0</v>
      </c>
      <c r="K1095" t="n">
        <v>0</v>
      </c>
      <c r="L1095" t="n">
        <v>0</v>
      </c>
      <c r="M1095" t="n">
        <v>0</v>
      </c>
      <c r="N1095" t="n">
        <v>0</v>
      </c>
      <c r="O1095" t="n">
        <v>0</v>
      </c>
      <c r="P1095" t="n">
        <v>0</v>
      </c>
      <c r="Q1095" t="n">
        <v>0</v>
      </c>
      <c r="R1095" s="2" t="inlineStr"/>
    </row>
    <row r="1096" ht="15" customHeight="1">
      <c r="A1096" t="inlineStr">
        <is>
          <t>A 32368-2020</t>
        </is>
      </c>
      <c r="B1096" s="1" t="n">
        <v>44018</v>
      </c>
      <c r="C1096" s="1" t="n">
        <v>45724</v>
      </c>
      <c r="D1096" t="inlineStr">
        <is>
          <t>VÄSTMANLANDS LÄN</t>
        </is>
      </c>
      <c r="E1096" t="inlineStr">
        <is>
          <t>SALA</t>
        </is>
      </c>
      <c r="G1096" t="n">
        <v>3.4</v>
      </c>
      <c r="H1096" t="n">
        <v>0</v>
      </c>
      <c r="I1096" t="n">
        <v>0</v>
      </c>
      <c r="J1096" t="n">
        <v>0</v>
      </c>
      <c r="K1096" t="n">
        <v>0</v>
      </c>
      <c r="L1096" t="n">
        <v>0</v>
      </c>
      <c r="M1096" t="n">
        <v>0</v>
      </c>
      <c r="N1096" t="n">
        <v>0</v>
      </c>
      <c r="O1096" t="n">
        <v>0</v>
      </c>
      <c r="P1096" t="n">
        <v>0</v>
      </c>
      <c r="Q1096" t="n">
        <v>0</v>
      </c>
      <c r="R1096" s="2" t="inlineStr"/>
    </row>
    <row r="1097" ht="15" customHeight="1">
      <c r="A1097" t="inlineStr">
        <is>
          <t>A 32377-2020</t>
        </is>
      </c>
      <c r="B1097" s="1" t="n">
        <v>44018</v>
      </c>
      <c r="C1097" s="1" t="n">
        <v>45724</v>
      </c>
      <c r="D1097" t="inlineStr">
        <is>
          <t>VÄSTMANLANDS LÄN</t>
        </is>
      </c>
      <c r="E1097" t="inlineStr">
        <is>
          <t>SALA</t>
        </is>
      </c>
      <c r="G1097" t="n">
        <v>1.3</v>
      </c>
      <c r="H1097" t="n">
        <v>0</v>
      </c>
      <c r="I1097" t="n">
        <v>0</v>
      </c>
      <c r="J1097" t="n">
        <v>0</v>
      </c>
      <c r="K1097" t="n">
        <v>0</v>
      </c>
      <c r="L1097" t="n">
        <v>0</v>
      </c>
      <c r="M1097" t="n">
        <v>0</v>
      </c>
      <c r="N1097" t="n">
        <v>0</v>
      </c>
      <c r="O1097" t="n">
        <v>0</v>
      </c>
      <c r="P1097" t="n">
        <v>0</v>
      </c>
      <c r="Q1097" t="n">
        <v>0</v>
      </c>
      <c r="R1097" s="2" t="inlineStr"/>
    </row>
    <row r="1098" ht="15" customHeight="1">
      <c r="A1098" t="inlineStr">
        <is>
          <t>A 32605-2020</t>
        </is>
      </c>
      <c r="B1098" s="1" t="n">
        <v>44019</v>
      </c>
      <c r="C1098" s="1" t="n">
        <v>45724</v>
      </c>
      <c r="D1098" t="inlineStr">
        <is>
          <t>VÄSTMANLANDS LÄN</t>
        </is>
      </c>
      <c r="E1098" t="inlineStr">
        <is>
          <t>KÖPING</t>
        </is>
      </c>
      <c r="F1098" t="inlineStr">
        <is>
          <t>Sveaskog</t>
        </is>
      </c>
      <c r="G1098" t="n">
        <v>1</v>
      </c>
      <c r="H1098" t="n">
        <v>0</v>
      </c>
      <c r="I1098" t="n">
        <v>0</v>
      </c>
      <c r="J1098" t="n">
        <v>0</v>
      </c>
      <c r="K1098" t="n">
        <v>0</v>
      </c>
      <c r="L1098" t="n">
        <v>0</v>
      </c>
      <c r="M1098" t="n">
        <v>0</v>
      </c>
      <c r="N1098" t="n">
        <v>0</v>
      </c>
      <c r="O1098" t="n">
        <v>0</v>
      </c>
      <c r="P1098" t="n">
        <v>0</v>
      </c>
      <c r="Q1098" t="n">
        <v>0</v>
      </c>
      <c r="R1098" s="2" t="inlineStr"/>
    </row>
    <row r="1099" ht="15" customHeight="1">
      <c r="A1099" t="inlineStr">
        <is>
          <t>A 32935-2020</t>
        </is>
      </c>
      <c r="B1099" s="1" t="n">
        <v>44020</v>
      </c>
      <c r="C1099" s="1" t="n">
        <v>45724</v>
      </c>
      <c r="D1099" t="inlineStr">
        <is>
          <t>VÄSTMANLANDS LÄN</t>
        </is>
      </c>
      <c r="E1099" t="inlineStr">
        <is>
          <t>ARBOGA</t>
        </is>
      </c>
      <c r="G1099" t="n">
        <v>2.6</v>
      </c>
      <c r="H1099" t="n">
        <v>0</v>
      </c>
      <c r="I1099" t="n">
        <v>0</v>
      </c>
      <c r="J1099" t="n">
        <v>0</v>
      </c>
      <c r="K1099" t="n">
        <v>0</v>
      </c>
      <c r="L1099" t="n">
        <v>0</v>
      </c>
      <c r="M1099" t="n">
        <v>0</v>
      </c>
      <c r="N1099" t="n">
        <v>0</v>
      </c>
      <c r="O1099" t="n">
        <v>0</v>
      </c>
      <c r="P1099" t="n">
        <v>0</v>
      </c>
      <c r="Q1099" t="n">
        <v>0</v>
      </c>
      <c r="R1099" s="2" t="inlineStr"/>
    </row>
    <row r="1100" ht="15" customHeight="1">
      <c r="A1100" t="inlineStr">
        <is>
          <t>A 33181-2020</t>
        </is>
      </c>
      <c r="B1100" s="1" t="n">
        <v>44021</v>
      </c>
      <c r="C1100" s="1" t="n">
        <v>45724</v>
      </c>
      <c r="D1100" t="inlineStr">
        <is>
          <t>VÄSTMANLANDS LÄN</t>
        </is>
      </c>
      <c r="E1100" t="inlineStr">
        <is>
          <t>SALA</t>
        </is>
      </c>
      <c r="G1100" t="n">
        <v>2.8</v>
      </c>
      <c r="H1100" t="n">
        <v>0</v>
      </c>
      <c r="I1100" t="n">
        <v>0</v>
      </c>
      <c r="J1100" t="n">
        <v>0</v>
      </c>
      <c r="K1100" t="n">
        <v>0</v>
      </c>
      <c r="L1100" t="n">
        <v>0</v>
      </c>
      <c r="M1100" t="n">
        <v>0</v>
      </c>
      <c r="N1100" t="n">
        <v>0</v>
      </c>
      <c r="O1100" t="n">
        <v>0</v>
      </c>
      <c r="P1100" t="n">
        <v>0</v>
      </c>
      <c r="Q1100" t="n">
        <v>0</v>
      </c>
      <c r="R1100" s="2" t="inlineStr"/>
    </row>
    <row r="1101" ht="15" customHeight="1">
      <c r="A1101" t="inlineStr">
        <is>
          <t>A 33183-2020</t>
        </is>
      </c>
      <c r="B1101" s="1" t="n">
        <v>44021</v>
      </c>
      <c r="C1101" s="1" t="n">
        <v>45724</v>
      </c>
      <c r="D1101" t="inlineStr">
        <is>
          <t>VÄSTMANLANDS LÄN</t>
        </is>
      </c>
      <c r="E1101" t="inlineStr">
        <is>
          <t>VÄSTERÅS</t>
        </is>
      </c>
      <c r="G1101" t="n">
        <v>0.7</v>
      </c>
      <c r="H1101" t="n">
        <v>0</v>
      </c>
      <c r="I1101" t="n">
        <v>0</v>
      </c>
      <c r="J1101" t="n">
        <v>0</v>
      </c>
      <c r="K1101" t="n">
        <v>0</v>
      </c>
      <c r="L1101" t="n">
        <v>0</v>
      </c>
      <c r="M1101" t="n">
        <v>0</v>
      </c>
      <c r="N1101" t="n">
        <v>0</v>
      </c>
      <c r="O1101" t="n">
        <v>0</v>
      </c>
      <c r="P1101" t="n">
        <v>0</v>
      </c>
      <c r="Q1101" t="n">
        <v>0</v>
      </c>
      <c r="R1101" s="2" t="inlineStr"/>
    </row>
    <row r="1102" ht="15" customHeight="1">
      <c r="A1102" t="inlineStr">
        <is>
          <t>A 33358-2020</t>
        </is>
      </c>
      <c r="B1102" s="1" t="n">
        <v>44022</v>
      </c>
      <c r="C1102" s="1" t="n">
        <v>45724</v>
      </c>
      <c r="D1102" t="inlineStr">
        <is>
          <t>VÄSTMANLANDS LÄN</t>
        </is>
      </c>
      <c r="E1102" t="inlineStr">
        <is>
          <t>SKINNSKATTEBERG</t>
        </is>
      </c>
      <c r="G1102" t="n">
        <v>4.2</v>
      </c>
      <c r="H1102" t="n">
        <v>0</v>
      </c>
      <c r="I1102" t="n">
        <v>0</v>
      </c>
      <c r="J1102" t="n">
        <v>0</v>
      </c>
      <c r="K1102" t="n">
        <v>0</v>
      </c>
      <c r="L1102" t="n">
        <v>0</v>
      </c>
      <c r="M1102" t="n">
        <v>0</v>
      </c>
      <c r="N1102" t="n">
        <v>0</v>
      </c>
      <c r="O1102" t="n">
        <v>0</v>
      </c>
      <c r="P1102" t="n">
        <v>0</v>
      </c>
      <c r="Q1102" t="n">
        <v>0</v>
      </c>
      <c r="R1102" s="2" t="inlineStr"/>
    </row>
    <row r="1103" ht="15" customHeight="1">
      <c r="A1103" t="inlineStr">
        <is>
          <t>A 33363-2020</t>
        </is>
      </c>
      <c r="B1103" s="1" t="n">
        <v>44022</v>
      </c>
      <c r="C1103" s="1" t="n">
        <v>45724</v>
      </c>
      <c r="D1103" t="inlineStr">
        <is>
          <t>VÄSTMANLANDS LÄN</t>
        </is>
      </c>
      <c r="E1103" t="inlineStr">
        <is>
          <t>SKINNSKATTEBERG</t>
        </is>
      </c>
      <c r="G1103" t="n">
        <v>10.4</v>
      </c>
      <c r="H1103" t="n">
        <v>0</v>
      </c>
      <c r="I1103" t="n">
        <v>0</v>
      </c>
      <c r="J1103" t="n">
        <v>0</v>
      </c>
      <c r="K1103" t="n">
        <v>0</v>
      </c>
      <c r="L1103" t="n">
        <v>0</v>
      </c>
      <c r="M1103" t="n">
        <v>0</v>
      </c>
      <c r="N1103" t="n">
        <v>0</v>
      </c>
      <c r="O1103" t="n">
        <v>0</v>
      </c>
      <c r="P1103" t="n">
        <v>0</v>
      </c>
      <c r="Q1103" t="n">
        <v>0</v>
      </c>
      <c r="R1103" s="2" t="inlineStr"/>
    </row>
    <row r="1104" ht="15" customHeight="1">
      <c r="A1104" t="inlineStr">
        <is>
          <t>A 33417-2020</t>
        </is>
      </c>
      <c r="B1104" s="1" t="n">
        <v>44022</v>
      </c>
      <c r="C1104" s="1" t="n">
        <v>45724</v>
      </c>
      <c r="D1104" t="inlineStr">
        <is>
          <t>VÄSTMANLANDS LÄN</t>
        </is>
      </c>
      <c r="E1104" t="inlineStr">
        <is>
          <t>KÖPING</t>
        </is>
      </c>
      <c r="G1104" t="n">
        <v>3.2</v>
      </c>
      <c r="H1104" t="n">
        <v>0</v>
      </c>
      <c r="I1104" t="n">
        <v>0</v>
      </c>
      <c r="J1104" t="n">
        <v>0</v>
      </c>
      <c r="K1104" t="n">
        <v>0</v>
      </c>
      <c r="L1104" t="n">
        <v>0</v>
      </c>
      <c r="M1104" t="n">
        <v>0</v>
      </c>
      <c r="N1104" t="n">
        <v>0</v>
      </c>
      <c r="O1104" t="n">
        <v>0</v>
      </c>
      <c r="P1104" t="n">
        <v>0</v>
      </c>
      <c r="Q1104" t="n">
        <v>0</v>
      </c>
      <c r="R1104" s="2" t="inlineStr"/>
    </row>
    <row r="1105" ht="15" customHeight="1">
      <c r="A1105" t="inlineStr">
        <is>
          <t>A 33750-2020</t>
        </is>
      </c>
      <c r="B1105" s="1" t="n">
        <v>44026</v>
      </c>
      <c r="C1105" s="1" t="n">
        <v>45724</v>
      </c>
      <c r="D1105" t="inlineStr">
        <is>
          <t>VÄSTMANLANDS LÄN</t>
        </is>
      </c>
      <c r="E1105" t="inlineStr">
        <is>
          <t>ARBOGA</t>
        </is>
      </c>
      <c r="G1105" t="n">
        <v>13.9</v>
      </c>
      <c r="H1105" t="n">
        <v>0</v>
      </c>
      <c r="I1105" t="n">
        <v>0</v>
      </c>
      <c r="J1105" t="n">
        <v>0</v>
      </c>
      <c r="K1105" t="n">
        <v>0</v>
      </c>
      <c r="L1105" t="n">
        <v>0</v>
      </c>
      <c r="M1105" t="n">
        <v>0</v>
      </c>
      <c r="N1105" t="n">
        <v>0</v>
      </c>
      <c r="O1105" t="n">
        <v>0</v>
      </c>
      <c r="P1105" t="n">
        <v>0</v>
      </c>
      <c r="Q1105" t="n">
        <v>0</v>
      </c>
      <c r="R1105" s="2" t="inlineStr"/>
    </row>
    <row r="1106" ht="15" customHeight="1">
      <c r="A1106" t="inlineStr">
        <is>
          <t>A 33867-2020</t>
        </is>
      </c>
      <c r="B1106" s="1" t="n">
        <v>44027</v>
      </c>
      <c r="C1106" s="1" t="n">
        <v>45724</v>
      </c>
      <c r="D1106" t="inlineStr">
        <is>
          <t>VÄSTMANLANDS LÄN</t>
        </is>
      </c>
      <c r="E1106" t="inlineStr">
        <is>
          <t>VÄSTERÅS</t>
        </is>
      </c>
      <c r="G1106" t="n">
        <v>15.2</v>
      </c>
      <c r="H1106" t="n">
        <v>0</v>
      </c>
      <c r="I1106" t="n">
        <v>0</v>
      </c>
      <c r="J1106" t="n">
        <v>0</v>
      </c>
      <c r="K1106" t="n">
        <v>0</v>
      </c>
      <c r="L1106" t="n">
        <v>0</v>
      </c>
      <c r="M1106" t="n">
        <v>0</v>
      </c>
      <c r="N1106" t="n">
        <v>0</v>
      </c>
      <c r="O1106" t="n">
        <v>0</v>
      </c>
      <c r="P1106" t="n">
        <v>0</v>
      </c>
      <c r="Q1106" t="n">
        <v>0</v>
      </c>
      <c r="R1106" s="2" t="inlineStr"/>
    </row>
    <row r="1107" ht="15" customHeight="1">
      <c r="A1107" t="inlineStr">
        <is>
          <t>A 33865-2020</t>
        </is>
      </c>
      <c r="B1107" s="1" t="n">
        <v>44027</v>
      </c>
      <c r="C1107" s="1" t="n">
        <v>45724</v>
      </c>
      <c r="D1107" t="inlineStr">
        <is>
          <t>VÄSTMANLANDS LÄN</t>
        </is>
      </c>
      <c r="E1107" t="inlineStr">
        <is>
          <t>KÖPING</t>
        </is>
      </c>
      <c r="G1107" t="n">
        <v>8.800000000000001</v>
      </c>
      <c r="H1107" t="n">
        <v>0</v>
      </c>
      <c r="I1107" t="n">
        <v>0</v>
      </c>
      <c r="J1107" t="n">
        <v>0</v>
      </c>
      <c r="K1107" t="n">
        <v>0</v>
      </c>
      <c r="L1107" t="n">
        <v>0</v>
      </c>
      <c r="M1107" t="n">
        <v>0</v>
      </c>
      <c r="N1107" t="n">
        <v>0</v>
      </c>
      <c r="O1107" t="n">
        <v>0</v>
      </c>
      <c r="P1107" t="n">
        <v>0</v>
      </c>
      <c r="Q1107" t="n">
        <v>0</v>
      </c>
      <c r="R1107" s="2" t="inlineStr"/>
    </row>
    <row r="1108" ht="15" customHeight="1">
      <c r="A1108" t="inlineStr">
        <is>
          <t>A 33916-2020</t>
        </is>
      </c>
      <c r="B1108" s="1" t="n">
        <v>44027</v>
      </c>
      <c r="C1108" s="1" t="n">
        <v>45724</v>
      </c>
      <c r="D1108" t="inlineStr">
        <is>
          <t>VÄSTMANLANDS LÄN</t>
        </is>
      </c>
      <c r="E1108" t="inlineStr">
        <is>
          <t>KÖPING</t>
        </is>
      </c>
      <c r="G1108" t="n">
        <v>2.1</v>
      </c>
      <c r="H1108" t="n">
        <v>0</v>
      </c>
      <c r="I1108" t="n">
        <v>0</v>
      </c>
      <c r="J1108" t="n">
        <v>0</v>
      </c>
      <c r="K1108" t="n">
        <v>0</v>
      </c>
      <c r="L1108" t="n">
        <v>0</v>
      </c>
      <c r="M1108" t="n">
        <v>0</v>
      </c>
      <c r="N1108" t="n">
        <v>0</v>
      </c>
      <c r="O1108" t="n">
        <v>0</v>
      </c>
      <c r="P1108" t="n">
        <v>0</v>
      </c>
      <c r="Q1108" t="n">
        <v>0</v>
      </c>
      <c r="R1108" s="2" t="inlineStr"/>
    </row>
    <row r="1109" ht="15" customHeight="1">
      <c r="A1109" t="inlineStr">
        <is>
          <t>A 33919-2020</t>
        </is>
      </c>
      <c r="B1109" s="1" t="n">
        <v>44027</v>
      </c>
      <c r="C1109" s="1" t="n">
        <v>45724</v>
      </c>
      <c r="D1109" t="inlineStr">
        <is>
          <t>VÄSTMANLANDS LÄN</t>
        </is>
      </c>
      <c r="E1109" t="inlineStr">
        <is>
          <t>KÖPING</t>
        </is>
      </c>
      <c r="G1109" t="n">
        <v>0.5</v>
      </c>
      <c r="H1109" t="n">
        <v>0</v>
      </c>
      <c r="I1109" t="n">
        <v>0</v>
      </c>
      <c r="J1109" t="n">
        <v>0</v>
      </c>
      <c r="K1109" t="n">
        <v>0</v>
      </c>
      <c r="L1109" t="n">
        <v>0</v>
      </c>
      <c r="M1109" t="n">
        <v>0</v>
      </c>
      <c r="N1109" t="n">
        <v>0</v>
      </c>
      <c r="O1109" t="n">
        <v>0</v>
      </c>
      <c r="P1109" t="n">
        <v>0</v>
      </c>
      <c r="Q1109" t="n">
        <v>0</v>
      </c>
      <c r="R1109" s="2" t="inlineStr"/>
    </row>
    <row r="1110" ht="15" customHeight="1">
      <c r="A1110" t="inlineStr">
        <is>
          <t>A 34065-2020</t>
        </is>
      </c>
      <c r="B1110" s="1" t="n">
        <v>44028</v>
      </c>
      <c r="C1110" s="1" t="n">
        <v>45724</v>
      </c>
      <c r="D1110" t="inlineStr">
        <is>
          <t>VÄSTMANLANDS LÄN</t>
        </is>
      </c>
      <c r="E1110" t="inlineStr">
        <is>
          <t>KÖPING</t>
        </is>
      </c>
      <c r="F1110" t="inlineStr">
        <is>
          <t>Sveaskog</t>
        </is>
      </c>
      <c r="G1110" t="n">
        <v>2.4</v>
      </c>
      <c r="H1110" t="n">
        <v>0</v>
      </c>
      <c r="I1110" t="n">
        <v>0</v>
      </c>
      <c r="J1110" t="n">
        <v>0</v>
      </c>
      <c r="K1110" t="n">
        <v>0</v>
      </c>
      <c r="L1110" t="n">
        <v>0</v>
      </c>
      <c r="M1110" t="n">
        <v>0</v>
      </c>
      <c r="N1110" t="n">
        <v>0</v>
      </c>
      <c r="O1110" t="n">
        <v>0</v>
      </c>
      <c r="P1110" t="n">
        <v>0</v>
      </c>
      <c r="Q1110" t="n">
        <v>0</v>
      </c>
      <c r="R1110" s="2" t="inlineStr"/>
    </row>
    <row r="1111" ht="15" customHeight="1">
      <c r="A1111" t="inlineStr">
        <is>
          <t>A 34011-2020</t>
        </is>
      </c>
      <c r="B1111" s="1" t="n">
        <v>44028</v>
      </c>
      <c r="C1111" s="1" t="n">
        <v>45724</v>
      </c>
      <c r="D1111" t="inlineStr">
        <is>
          <t>VÄSTMANLANDS LÄN</t>
        </is>
      </c>
      <c r="E1111" t="inlineStr">
        <is>
          <t>KÖPING</t>
        </is>
      </c>
      <c r="F1111" t="inlineStr">
        <is>
          <t>Sveaskog</t>
        </is>
      </c>
      <c r="G1111" t="n">
        <v>0.9</v>
      </c>
      <c r="H1111" t="n">
        <v>0</v>
      </c>
      <c r="I1111" t="n">
        <v>0</v>
      </c>
      <c r="J1111" t="n">
        <v>0</v>
      </c>
      <c r="K1111" t="n">
        <v>0</v>
      </c>
      <c r="L1111" t="n">
        <v>0</v>
      </c>
      <c r="M1111" t="n">
        <v>0</v>
      </c>
      <c r="N1111" t="n">
        <v>0</v>
      </c>
      <c r="O1111" t="n">
        <v>0</v>
      </c>
      <c r="P1111" t="n">
        <v>0</v>
      </c>
      <c r="Q1111" t="n">
        <v>0</v>
      </c>
      <c r="R1111" s="2" t="inlineStr"/>
    </row>
    <row r="1112" ht="15" customHeight="1">
      <c r="A1112" t="inlineStr">
        <is>
          <t>A 34181-2020</t>
        </is>
      </c>
      <c r="B1112" s="1" t="n">
        <v>44029</v>
      </c>
      <c r="C1112" s="1" t="n">
        <v>45724</v>
      </c>
      <c r="D1112" t="inlineStr">
        <is>
          <t>VÄSTMANLANDS LÄN</t>
        </is>
      </c>
      <c r="E1112" t="inlineStr">
        <is>
          <t>VÄSTERÅS</t>
        </is>
      </c>
      <c r="G1112" t="n">
        <v>1.5</v>
      </c>
      <c r="H1112" t="n">
        <v>0</v>
      </c>
      <c r="I1112" t="n">
        <v>0</v>
      </c>
      <c r="J1112" t="n">
        <v>0</v>
      </c>
      <c r="K1112" t="n">
        <v>0</v>
      </c>
      <c r="L1112" t="n">
        <v>0</v>
      </c>
      <c r="M1112" t="n">
        <v>0</v>
      </c>
      <c r="N1112" t="n">
        <v>0</v>
      </c>
      <c r="O1112" t="n">
        <v>0</v>
      </c>
      <c r="P1112" t="n">
        <v>0</v>
      </c>
      <c r="Q1112" t="n">
        <v>0</v>
      </c>
      <c r="R1112" s="2" t="inlineStr"/>
    </row>
    <row r="1113" ht="15" customHeight="1">
      <c r="A1113" t="inlineStr">
        <is>
          <t>A 34402-2020</t>
        </is>
      </c>
      <c r="B1113" s="1" t="n">
        <v>44029</v>
      </c>
      <c r="C1113" s="1" t="n">
        <v>45724</v>
      </c>
      <c r="D1113" t="inlineStr">
        <is>
          <t>VÄSTMANLANDS LÄN</t>
        </is>
      </c>
      <c r="E1113" t="inlineStr">
        <is>
          <t>SKINNSKATTEBERG</t>
        </is>
      </c>
      <c r="G1113" t="n">
        <v>0.5</v>
      </c>
      <c r="H1113" t="n">
        <v>0</v>
      </c>
      <c r="I1113" t="n">
        <v>0</v>
      </c>
      <c r="J1113" t="n">
        <v>0</v>
      </c>
      <c r="K1113" t="n">
        <v>0</v>
      </c>
      <c r="L1113" t="n">
        <v>0</v>
      </c>
      <c r="M1113" t="n">
        <v>0</v>
      </c>
      <c r="N1113" t="n">
        <v>0</v>
      </c>
      <c r="O1113" t="n">
        <v>0</v>
      </c>
      <c r="P1113" t="n">
        <v>0</v>
      </c>
      <c r="Q1113" t="n">
        <v>0</v>
      </c>
      <c r="R1113" s="2" t="inlineStr"/>
    </row>
    <row r="1114" ht="15" customHeight="1">
      <c r="A1114" t="inlineStr">
        <is>
          <t>A 34460-2020</t>
        </is>
      </c>
      <c r="B1114" s="1" t="n">
        <v>44032</v>
      </c>
      <c r="C1114" s="1" t="n">
        <v>45724</v>
      </c>
      <c r="D1114" t="inlineStr">
        <is>
          <t>VÄSTMANLANDS LÄN</t>
        </is>
      </c>
      <c r="E1114" t="inlineStr">
        <is>
          <t>ARBOGA</t>
        </is>
      </c>
      <c r="G1114" t="n">
        <v>1.3</v>
      </c>
      <c r="H1114" t="n">
        <v>0</v>
      </c>
      <c r="I1114" t="n">
        <v>0</v>
      </c>
      <c r="J1114" t="n">
        <v>0</v>
      </c>
      <c r="K1114" t="n">
        <v>0</v>
      </c>
      <c r="L1114" t="n">
        <v>0</v>
      </c>
      <c r="M1114" t="n">
        <v>0</v>
      </c>
      <c r="N1114" t="n">
        <v>0</v>
      </c>
      <c r="O1114" t="n">
        <v>0</v>
      </c>
      <c r="P1114" t="n">
        <v>0</v>
      </c>
      <c r="Q1114" t="n">
        <v>0</v>
      </c>
      <c r="R1114" s="2" t="inlineStr"/>
    </row>
    <row r="1115" ht="15" customHeight="1">
      <c r="A1115" t="inlineStr">
        <is>
          <t>A 34430-2020</t>
        </is>
      </c>
      <c r="B1115" s="1" t="n">
        <v>44032</v>
      </c>
      <c r="C1115" s="1" t="n">
        <v>45724</v>
      </c>
      <c r="D1115" t="inlineStr">
        <is>
          <t>VÄSTMANLANDS LÄN</t>
        </is>
      </c>
      <c r="E1115" t="inlineStr">
        <is>
          <t>SALA</t>
        </is>
      </c>
      <c r="G1115" t="n">
        <v>4.7</v>
      </c>
      <c r="H1115" t="n">
        <v>0</v>
      </c>
      <c r="I1115" t="n">
        <v>0</v>
      </c>
      <c r="J1115" t="n">
        <v>0</v>
      </c>
      <c r="K1115" t="n">
        <v>0</v>
      </c>
      <c r="L1115" t="n">
        <v>0</v>
      </c>
      <c r="M1115" t="n">
        <v>0</v>
      </c>
      <c r="N1115" t="n">
        <v>0</v>
      </c>
      <c r="O1115" t="n">
        <v>0</v>
      </c>
      <c r="P1115" t="n">
        <v>0</v>
      </c>
      <c r="Q1115" t="n">
        <v>0</v>
      </c>
      <c r="R1115" s="2" t="inlineStr"/>
    </row>
    <row r="1116" ht="15" customHeight="1">
      <c r="A1116" t="inlineStr">
        <is>
          <t>A 34528-2020</t>
        </is>
      </c>
      <c r="B1116" s="1" t="n">
        <v>44032</v>
      </c>
      <c r="C1116" s="1" t="n">
        <v>45724</v>
      </c>
      <c r="D1116" t="inlineStr">
        <is>
          <t>VÄSTMANLANDS LÄN</t>
        </is>
      </c>
      <c r="E1116" t="inlineStr">
        <is>
          <t>VÄSTERÅS</t>
        </is>
      </c>
      <c r="G1116" t="n">
        <v>3.2</v>
      </c>
      <c r="H1116" t="n">
        <v>0</v>
      </c>
      <c r="I1116" t="n">
        <v>0</v>
      </c>
      <c r="J1116" t="n">
        <v>0</v>
      </c>
      <c r="K1116" t="n">
        <v>0</v>
      </c>
      <c r="L1116" t="n">
        <v>0</v>
      </c>
      <c r="M1116" t="n">
        <v>0</v>
      </c>
      <c r="N1116" t="n">
        <v>0</v>
      </c>
      <c r="O1116" t="n">
        <v>0</v>
      </c>
      <c r="P1116" t="n">
        <v>0</v>
      </c>
      <c r="Q1116" t="n">
        <v>0</v>
      </c>
      <c r="R1116" s="2" t="inlineStr"/>
    </row>
    <row r="1117" ht="15" customHeight="1">
      <c r="A1117" t="inlineStr">
        <is>
          <t>A 34429-2020</t>
        </is>
      </c>
      <c r="B1117" s="1" t="n">
        <v>44032</v>
      </c>
      <c r="C1117" s="1" t="n">
        <v>45724</v>
      </c>
      <c r="D1117" t="inlineStr">
        <is>
          <t>VÄSTMANLANDS LÄN</t>
        </is>
      </c>
      <c r="E1117" t="inlineStr">
        <is>
          <t>SALA</t>
        </is>
      </c>
      <c r="G1117" t="n">
        <v>3.6</v>
      </c>
      <c r="H1117" t="n">
        <v>0</v>
      </c>
      <c r="I1117" t="n">
        <v>0</v>
      </c>
      <c r="J1117" t="n">
        <v>0</v>
      </c>
      <c r="K1117" t="n">
        <v>0</v>
      </c>
      <c r="L1117" t="n">
        <v>0</v>
      </c>
      <c r="M1117" t="n">
        <v>0</v>
      </c>
      <c r="N1117" t="n">
        <v>0</v>
      </c>
      <c r="O1117" t="n">
        <v>0</v>
      </c>
      <c r="P1117" t="n">
        <v>0</v>
      </c>
      <c r="Q1117" t="n">
        <v>0</v>
      </c>
      <c r="R1117" s="2" t="inlineStr"/>
    </row>
    <row r="1118" ht="15" customHeight="1">
      <c r="A1118" t="inlineStr">
        <is>
          <t>A 35713-2020</t>
        </is>
      </c>
      <c r="B1118" s="1" t="n">
        <v>44032</v>
      </c>
      <c r="C1118" s="1" t="n">
        <v>45724</v>
      </c>
      <c r="D1118" t="inlineStr">
        <is>
          <t>VÄSTMANLANDS LÄN</t>
        </is>
      </c>
      <c r="E1118" t="inlineStr">
        <is>
          <t>VÄSTERÅS</t>
        </is>
      </c>
      <c r="G1118" t="n">
        <v>1</v>
      </c>
      <c r="H1118" t="n">
        <v>0</v>
      </c>
      <c r="I1118" t="n">
        <v>0</v>
      </c>
      <c r="J1118" t="n">
        <v>0</v>
      </c>
      <c r="K1118" t="n">
        <v>0</v>
      </c>
      <c r="L1118" t="n">
        <v>0</v>
      </c>
      <c r="M1118" t="n">
        <v>0</v>
      </c>
      <c r="N1118" t="n">
        <v>0</v>
      </c>
      <c r="O1118" t="n">
        <v>0</v>
      </c>
      <c r="P1118" t="n">
        <v>0</v>
      </c>
      <c r="Q1118" t="n">
        <v>0</v>
      </c>
      <c r="R1118" s="2" t="inlineStr"/>
    </row>
    <row r="1119" ht="15" customHeight="1">
      <c r="A1119" t="inlineStr">
        <is>
          <t>A 34602-2020</t>
        </is>
      </c>
      <c r="B1119" s="1" t="n">
        <v>44034</v>
      </c>
      <c r="C1119" s="1" t="n">
        <v>45724</v>
      </c>
      <c r="D1119" t="inlineStr">
        <is>
          <t>VÄSTMANLANDS LÄN</t>
        </is>
      </c>
      <c r="E1119" t="inlineStr">
        <is>
          <t>SKINNSKATTEBERG</t>
        </is>
      </c>
      <c r="G1119" t="n">
        <v>2.8</v>
      </c>
      <c r="H1119" t="n">
        <v>0</v>
      </c>
      <c r="I1119" t="n">
        <v>0</v>
      </c>
      <c r="J1119" t="n">
        <v>0</v>
      </c>
      <c r="K1119" t="n">
        <v>0</v>
      </c>
      <c r="L1119" t="n">
        <v>0</v>
      </c>
      <c r="M1119" t="n">
        <v>0</v>
      </c>
      <c r="N1119" t="n">
        <v>0</v>
      </c>
      <c r="O1119" t="n">
        <v>0</v>
      </c>
      <c r="P1119" t="n">
        <v>0</v>
      </c>
      <c r="Q1119" t="n">
        <v>0</v>
      </c>
      <c r="R1119" s="2" t="inlineStr"/>
    </row>
    <row r="1120" ht="15" customHeight="1">
      <c r="A1120" t="inlineStr">
        <is>
          <t>A 34864-2020</t>
        </is>
      </c>
      <c r="B1120" s="1" t="n">
        <v>44036</v>
      </c>
      <c r="C1120" s="1" t="n">
        <v>45724</v>
      </c>
      <c r="D1120" t="inlineStr">
        <is>
          <t>VÄSTMANLANDS LÄN</t>
        </is>
      </c>
      <c r="E1120" t="inlineStr">
        <is>
          <t>KÖPING</t>
        </is>
      </c>
      <c r="G1120" t="n">
        <v>2.4</v>
      </c>
      <c r="H1120" t="n">
        <v>0</v>
      </c>
      <c r="I1120" t="n">
        <v>0</v>
      </c>
      <c r="J1120" t="n">
        <v>0</v>
      </c>
      <c r="K1120" t="n">
        <v>0</v>
      </c>
      <c r="L1120" t="n">
        <v>0</v>
      </c>
      <c r="M1120" t="n">
        <v>0</v>
      </c>
      <c r="N1120" t="n">
        <v>0</v>
      </c>
      <c r="O1120" t="n">
        <v>0</v>
      </c>
      <c r="P1120" t="n">
        <v>0</v>
      </c>
      <c r="Q1120" t="n">
        <v>0</v>
      </c>
      <c r="R1120" s="2" t="inlineStr"/>
    </row>
    <row r="1121" ht="15" customHeight="1">
      <c r="A1121" t="inlineStr">
        <is>
          <t>A 34984-2020</t>
        </is>
      </c>
      <c r="B1121" s="1" t="n">
        <v>44039</v>
      </c>
      <c r="C1121" s="1" t="n">
        <v>45724</v>
      </c>
      <c r="D1121" t="inlineStr">
        <is>
          <t>VÄSTMANLANDS LÄN</t>
        </is>
      </c>
      <c r="E1121" t="inlineStr">
        <is>
          <t>FAGERSTA</t>
        </is>
      </c>
      <c r="F1121" t="inlineStr">
        <is>
          <t>Sveaskog</t>
        </is>
      </c>
      <c r="G1121" t="n">
        <v>2</v>
      </c>
      <c r="H1121" t="n">
        <v>0</v>
      </c>
      <c r="I1121" t="n">
        <v>0</v>
      </c>
      <c r="J1121" t="n">
        <v>0</v>
      </c>
      <c r="K1121" t="n">
        <v>0</v>
      </c>
      <c r="L1121" t="n">
        <v>0</v>
      </c>
      <c r="M1121" t="n">
        <v>0</v>
      </c>
      <c r="N1121" t="n">
        <v>0</v>
      </c>
      <c r="O1121" t="n">
        <v>0</v>
      </c>
      <c r="P1121" t="n">
        <v>0</v>
      </c>
      <c r="Q1121" t="n">
        <v>0</v>
      </c>
      <c r="R1121" s="2" t="inlineStr"/>
    </row>
    <row r="1122" ht="15" customHeight="1">
      <c r="A1122" t="inlineStr">
        <is>
          <t>A 35199-2020</t>
        </is>
      </c>
      <c r="B1122" s="1" t="n">
        <v>44040</v>
      </c>
      <c r="C1122" s="1" t="n">
        <v>45724</v>
      </c>
      <c r="D1122" t="inlineStr">
        <is>
          <t>VÄSTMANLANDS LÄN</t>
        </is>
      </c>
      <c r="E1122" t="inlineStr">
        <is>
          <t>VÄSTERÅS</t>
        </is>
      </c>
      <c r="G1122" t="n">
        <v>3.1</v>
      </c>
      <c r="H1122" t="n">
        <v>0</v>
      </c>
      <c r="I1122" t="n">
        <v>0</v>
      </c>
      <c r="J1122" t="n">
        <v>0</v>
      </c>
      <c r="K1122" t="n">
        <v>0</v>
      </c>
      <c r="L1122" t="n">
        <v>0</v>
      </c>
      <c r="M1122" t="n">
        <v>0</v>
      </c>
      <c r="N1122" t="n">
        <v>0</v>
      </c>
      <c r="O1122" t="n">
        <v>0</v>
      </c>
      <c r="P1122" t="n">
        <v>0</v>
      </c>
      <c r="Q1122" t="n">
        <v>0</v>
      </c>
      <c r="R1122" s="2" t="inlineStr"/>
    </row>
    <row r="1123" ht="15" customHeight="1">
      <c r="A1123" t="inlineStr">
        <is>
          <t>A 35532-2020</t>
        </is>
      </c>
      <c r="B1123" s="1" t="n">
        <v>44043</v>
      </c>
      <c r="C1123" s="1" t="n">
        <v>45724</v>
      </c>
      <c r="D1123" t="inlineStr">
        <is>
          <t>VÄSTMANLANDS LÄN</t>
        </is>
      </c>
      <c r="E1123" t="inlineStr">
        <is>
          <t>KÖPING</t>
        </is>
      </c>
      <c r="G1123" t="n">
        <v>3.9</v>
      </c>
      <c r="H1123" t="n">
        <v>0</v>
      </c>
      <c r="I1123" t="n">
        <v>0</v>
      </c>
      <c r="J1123" t="n">
        <v>0</v>
      </c>
      <c r="K1123" t="n">
        <v>0</v>
      </c>
      <c r="L1123" t="n">
        <v>0</v>
      </c>
      <c r="M1123" t="n">
        <v>0</v>
      </c>
      <c r="N1123" t="n">
        <v>0</v>
      </c>
      <c r="O1123" t="n">
        <v>0</v>
      </c>
      <c r="P1123" t="n">
        <v>0</v>
      </c>
      <c r="Q1123" t="n">
        <v>0</v>
      </c>
      <c r="R1123" s="2" t="inlineStr"/>
    </row>
    <row r="1124" ht="15" customHeight="1">
      <c r="A1124" t="inlineStr">
        <is>
          <t>A 35694-2020</t>
        </is>
      </c>
      <c r="B1124" s="1" t="n">
        <v>44046</v>
      </c>
      <c r="C1124" s="1" t="n">
        <v>45724</v>
      </c>
      <c r="D1124" t="inlineStr">
        <is>
          <t>VÄSTMANLANDS LÄN</t>
        </is>
      </c>
      <c r="E1124" t="inlineStr">
        <is>
          <t>FAGERSTA</t>
        </is>
      </c>
      <c r="F1124" t="inlineStr">
        <is>
          <t>Sveaskog</t>
        </is>
      </c>
      <c r="G1124" t="n">
        <v>2.2</v>
      </c>
      <c r="H1124" t="n">
        <v>0</v>
      </c>
      <c r="I1124" t="n">
        <v>0</v>
      </c>
      <c r="J1124" t="n">
        <v>0</v>
      </c>
      <c r="K1124" t="n">
        <v>0</v>
      </c>
      <c r="L1124" t="n">
        <v>0</v>
      </c>
      <c r="M1124" t="n">
        <v>0</v>
      </c>
      <c r="N1124" t="n">
        <v>0</v>
      </c>
      <c r="O1124" t="n">
        <v>0</v>
      </c>
      <c r="P1124" t="n">
        <v>0</v>
      </c>
      <c r="Q1124" t="n">
        <v>0</v>
      </c>
      <c r="R1124" s="2" t="inlineStr"/>
    </row>
    <row r="1125" ht="15" customHeight="1">
      <c r="A1125" t="inlineStr">
        <is>
          <t>A 35730-2020</t>
        </is>
      </c>
      <c r="B1125" s="1" t="n">
        <v>44046</v>
      </c>
      <c r="C1125" s="1" t="n">
        <v>45724</v>
      </c>
      <c r="D1125" t="inlineStr">
        <is>
          <t>VÄSTMANLANDS LÄN</t>
        </is>
      </c>
      <c r="E1125" t="inlineStr">
        <is>
          <t>VÄSTERÅS</t>
        </is>
      </c>
      <c r="G1125" t="n">
        <v>2.8</v>
      </c>
      <c r="H1125" t="n">
        <v>0</v>
      </c>
      <c r="I1125" t="n">
        <v>0</v>
      </c>
      <c r="J1125" t="n">
        <v>0</v>
      </c>
      <c r="K1125" t="n">
        <v>0</v>
      </c>
      <c r="L1125" t="n">
        <v>0</v>
      </c>
      <c r="M1125" t="n">
        <v>0</v>
      </c>
      <c r="N1125" t="n">
        <v>0</v>
      </c>
      <c r="O1125" t="n">
        <v>0</v>
      </c>
      <c r="P1125" t="n">
        <v>0</v>
      </c>
      <c r="Q1125" t="n">
        <v>0</v>
      </c>
      <c r="R1125" s="2" t="inlineStr"/>
    </row>
    <row r="1126" ht="15" customHeight="1">
      <c r="A1126" t="inlineStr">
        <is>
          <t>A 35734-2020</t>
        </is>
      </c>
      <c r="B1126" s="1" t="n">
        <v>44046</v>
      </c>
      <c r="C1126" s="1" t="n">
        <v>45724</v>
      </c>
      <c r="D1126" t="inlineStr">
        <is>
          <t>VÄSTMANLANDS LÄN</t>
        </is>
      </c>
      <c r="E1126" t="inlineStr">
        <is>
          <t>VÄSTERÅS</t>
        </is>
      </c>
      <c r="G1126" t="n">
        <v>10.4</v>
      </c>
      <c r="H1126" t="n">
        <v>0</v>
      </c>
      <c r="I1126" t="n">
        <v>0</v>
      </c>
      <c r="J1126" t="n">
        <v>0</v>
      </c>
      <c r="K1126" t="n">
        <v>0</v>
      </c>
      <c r="L1126" t="n">
        <v>0</v>
      </c>
      <c r="M1126" t="n">
        <v>0</v>
      </c>
      <c r="N1126" t="n">
        <v>0</v>
      </c>
      <c r="O1126" t="n">
        <v>0</v>
      </c>
      <c r="P1126" t="n">
        <v>0</v>
      </c>
      <c r="Q1126" t="n">
        <v>0</v>
      </c>
      <c r="R1126" s="2" t="inlineStr"/>
    </row>
    <row r="1127" ht="15" customHeight="1">
      <c r="A1127" t="inlineStr">
        <is>
          <t>A 35765-2020</t>
        </is>
      </c>
      <c r="B1127" s="1" t="n">
        <v>44046</v>
      </c>
      <c r="C1127" s="1" t="n">
        <v>45724</v>
      </c>
      <c r="D1127" t="inlineStr">
        <is>
          <t>VÄSTMANLANDS LÄN</t>
        </is>
      </c>
      <c r="E1127" t="inlineStr">
        <is>
          <t>SKINNSKATTEBERG</t>
        </is>
      </c>
      <c r="G1127" t="n">
        <v>1.9</v>
      </c>
      <c r="H1127" t="n">
        <v>0</v>
      </c>
      <c r="I1127" t="n">
        <v>0</v>
      </c>
      <c r="J1127" t="n">
        <v>0</v>
      </c>
      <c r="K1127" t="n">
        <v>0</v>
      </c>
      <c r="L1127" t="n">
        <v>0</v>
      </c>
      <c r="M1127" t="n">
        <v>0</v>
      </c>
      <c r="N1127" t="n">
        <v>0</v>
      </c>
      <c r="O1127" t="n">
        <v>0</v>
      </c>
      <c r="P1127" t="n">
        <v>0</v>
      </c>
      <c r="Q1127" t="n">
        <v>0</v>
      </c>
      <c r="R1127" s="2" t="inlineStr"/>
    </row>
    <row r="1128" ht="15" customHeight="1">
      <c r="A1128" t="inlineStr">
        <is>
          <t>A 35776-2020</t>
        </is>
      </c>
      <c r="B1128" s="1" t="n">
        <v>44046</v>
      </c>
      <c r="C1128" s="1" t="n">
        <v>45724</v>
      </c>
      <c r="D1128" t="inlineStr">
        <is>
          <t>VÄSTMANLANDS LÄN</t>
        </is>
      </c>
      <c r="E1128" t="inlineStr">
        <is>
          <t>ARBOGA</t>
        </is>
      </c>
      <c r="G1128" t="n">
        <v>4.6</v>
      </c>
      <c r="H1128" t="n">
        <v>0</v>
      </c>
      <c r="I1128" t="n">
        <v>0</v>
      </c>
      <c r="J1128" t="n">
        <v>0</v>
      </c>
      <c r="K1128" t="n">
        <v>0</v>
      </c>
      <c r="L1128" t="n">
        <v>0</v>
      </c>
      <c r="M1128" t="n">
        <v>0</v>
      </c>
      <c r="N1128" t="n">
        <v>0</v>
      </c>
      <c r="O1128" t="n">
        <v>0</v>
      </c>
      <c r="P1128" t="n">
        <v>0</v>
      </c>
      <c r="Q1128" t="n">
        <v>0</v>
      </c>
      <c r="R1128" s="2" t="inlineStr"/>
    </row>
    <row r="1129" ht="15" customHeight="1">
      <c r="A1129" t="inlineStr">
        <is>
          <t>A 36173-2020</t>
        </is>
      </c>
      <c r="B1129" s="1" t="n">
        <v>44048</v>
      </c>
      <c r="C1129" s="1" t="n">
        <v>45724</v>
      </c>
      <c r="D1129" t="inlineStr">
        <is>
          <t>VÄSTMANLANDS LÄN</t>
        </is>
      </c>
      <c r="E1129" t="inlineStr">
        <is>
          <t>NORBERG</t>
        </is>
      </c>
      <c r="G1129" t="n">
        <v>1.9</v>
      </c>
      <c r="H1129" t="n">
        <v>0</v>
      </c>
      <c r="I1129" t="n">
        <v>0</v>
      </c>
      <c r="J1129" t="n">
        <v>0</v>
      </c>
      <c r="K1129" t="n">
        <v>0</v>
      </c>
      <c r="L1129" t="n">
        <v>0</v>
      </c>
      <c r="M1129" t="n">
        <v>0</v>
      </c>
      <c r="N1129" t="n">
        <v>0</v>
      </c>
      <c r="O1129" t="n">
        <v>0</v>
      </c>
      <c r="P1129" t="n">
        <v>0</v>
      </c>
      <c r="Q1129" t="n">
        <v>0</v>
      </c>
      <c r="R1129" s="2" t="inlineStr"/>
    </row>
    <row r="1130" ht="15" customHeight="1">
      <c r="A1130" t="inlineStr">
        <is>
          <t>A 36170-2020</t>
        </is>
      </c>
      <c r="B1130" s="1" t="n">
        <v>44048</v>
      </c>
      <c r="C1130" s="1" t="n">
        <v>45724</v>
      </c>
      <c r="D1130" t="inlineStr">
        <is>
          <t>VÄSTMANLANDS LÄN</t>
        </is>
      </c>
      <c r="E1130" t="inlineStr">
        <is>
          <t>KUNGSÖR</t>
        </is>
      </c>
      <c r="G1130" t="n">
        <v>1.3</v>
      </c>
      <c r="H1130" t="n">
        <v>0</v>
      </c>
      <c r="I1130" t="n">
        <v>0</v>
      </c>
      <c r="J1130" t="n">
        <v>0</v>
      </c>
      <c r="K1130" t="n">
        <v>0</v>
      </c>
      <c r="L1130" t="n">
        <v>0</v>
      </c>
      <c r="M1130" t="n">
        <v>0</v>
      </c>
      <c r="N1130" t="n">
        <v>0</v>
      </c>
      <c r="O1130" t="n">
        <v>0</v>
      </c>
      <c r="P1130" t="n">
        <v>0</v>
      </c>
      <c r="Q1130" t="n">
        <v>0</v>
      </c>
      <c r="R1130" s="2" t="inlineStr"/>
    </row>
    <row r="1131" ht="15" customHeight="1">
      <c r="A1131" t="inlineStr">
        <is>
          <t>A 36196-2020</t>
        </is>
      </c>
      <c r="B1131" s="1" t="n">
        <v>44048</v>
      </c>
      <c r="C1131" s="1" t="n">
        <v>45724</v>
      </c>
      <c r="D1131" t="inlineStr">
        <is>
          <t>VÄSTMANLANDS LÄN</t>
        </is>
      </c>
      <c r="E1131" t="inlineStr">
        <is>
          <t>ARBOGA</t>
        </is>
      </c>
      <c r="G1131" t="n">
        <v>1.7</v>
      </c>
      <c r="H1131" t="n">
        <v>0</v>
      </c>
      <c r="I1131" t="n">
        <v>0</v>
      </c>
      <c r="J1131" t="n">
        <v>0</v>
      </c>
      <c r="K1131" t="n">
        <v>0</v>
      </c>
      <c r="L1131" t="n">
        <v>0</v>
      </c>
      <c r="M1131" t="n">
        <v>0</v>
      </c>
      <c r="N1131" t="n">
        <v>0</v>
      </c>
      <c r="O1131" t="n">
        <v>0</v>
      </c>
      <c r="P1131" t="n">
        <v>0</v>
      </c>
      <c r="Q1131" t="n">
        <v>0</v>
      </c>
      <c r="R1131" s="2" t="inlineStr"/>
    </row>
    <row r="1132" ht="15" customHeight="1">
      <c r="A1132" t="inlineStr">
        <is>
          <t>A 36408-2020</t>
        </is>
      </c>
      <c r="B1132" s="1" t="n">
        <v>44049</v>
      </c>
      <c r="C1132" s="1" t="n">
        <v>45724</v>
      </c>
      <c r="D1132" t="inlineStr">
        <is>
          <t>VÄSTMANLANDS LÄN</t>
        </is>
      </c>
      <c r="E1132" t="inlineStr">
        <is>
          <t>ARBOGA</t>
        </is>
      </c>
      <c r="G1132" t="n">
        <v>4.6</v>
      </c>
      <c r="H1132" t="n">
        <v>0</v>
      </c>
      <c r="I1132" t="n">
        <v>0</v>
      </c>
      <c r="J1132" t="n">
        <v>0</v>
      </c>
      <c r="K1132" t="n">
        <v>0</v>
      </c>
      <c r="L1132" t="n">
        <v>0</v>
      </c>
      <c r="M1132" t="n">
        <v>0</v>
      </c>
      <c r="N1132" t="n">
        <v>0</v>
      </c>
      <c r="O1132" t="n">
        <v>0</v>
      </c>
      <c r="P1132" t="n">
        <v>0</v>
      </c>
      <c r="Q1132" t="n">
        <v>0</v>
      </c>
      <c r="R1132" s="2" t="inlineStr"/>
    </row>
    <row r="1133" ht="15" customHeight="1">
      <c r="A1133" t="inlineStr">
        <is>
          <t>A 36598-2020</t>
        </is>
      </c>
      <c r="B1133" s="1" t="n">
        <v>44050</v>
      </c>
      <c r="C1133" s="1" t="n">
        <v>45724</v>
      </c>
      <c r="D1133" t="inlineStr">
        <is>
          <t>VÄSTMANLANDS LÄN</t>
        </is>
      </c>
      <c r="E1133" t="inlineStr">
        <is>
          <t>SKINNSKATTEBERG</t>
        </is>
      </c>
      <c r="G1133" t="n">
        <v>1.7</v>
      </c>
      <c r="H1133" t="n">
        <v>0</v>
      </c>
      <c r="I1133" t="n">
        <v>0</v>
      </c>
      <c r="J1133" t="n">
        <v>0</v>
      </c>
      <c r="K1133" t="n">
        <v>0</v>
      </c>
      <c r="L1133" t="n">
        <v>0</v>
      </c>
      <c r="M1133" t="n">
        <v>0</v>
      </c>
      <c r="N1133" t="n">
        <v>0</v>
      </c>
      <c r="O1133" t="n">
        <v>0</v>
      </c>
      <c r="P1133" t="n">
        <v>0</v>
      </c>
      <c r="Q1133" t="n">
        <v>0</v>
      </c>
      <c r="R1133" s="2" t="inlineStr"/>
    </row>
    <row r="1134" ht="15" customHeight="1">
      <c r="A1134" t="inlineStr">
        <is>
          <t>A 36921-2020</t>
        </is>
      </c>
      <c r="B1134" s="1" t="n">
        <v>44053</v>
      </c>
      <c r="C1134" s="1" t="n">
        <v>45724</v>
      </c>
      <c r="D1134" t="inlineStr">
        <is>
          <t>VÄSTMANLANDS LÄN</t>
        </is>
      </c>
      <c r="E1134" t="inlineStr">
        <is>
          <t>VÄSTERÅS</t>
        </is>
      </c>
      <c r="G1134" t="n">
        <v>5.1</v>
      </c>
      <c r="H1134" t="n">
        <v>0</v>
      </c>
      <c r="I1134" t="n">
        <v>0</v>
      </c>
      <c r="J1134" t="n">
        <v>0</v>
      </c>
      <c r="K1134" t="n">
        <v>0</v>
      </c>
      <c r="L1134" t="n">
        <v>0</v>
      </c>
      <c r="M1134" t="n">
        <v>0</v>
      </c>
      <c r="N1134" t="n">
        <v>0</v>
      </c>
      <c r="O1134" t="n">
        <v>0</v>
      </c>
      <c r="P1134" t="n">
        <v>0</v>
      </c>
      <c r="Q1134" t="n">
        <v>0</v>
      </c>
      <c r="R1134" s="2" t="inlineStr"/>
    </row>
    <row r="1135" ht="15" customHeight="1">
      <c r="A1135" t="inlineStr">
        <is>
          <t>A 37008-2020</t>
        </is>
      </c>
      <c r="B1135" s="1" t="n">
        <v>44054</v>
      </c>
      <c r="C1135" s="1" t="n">
        <v>45724</v>
      </c>
      <c r="D1135" t="inlineStr">
        <is>
          <t>VÄSTMANLANDS LÄN</t>
        </is>
      </c>
      <c r="E1135" t="inlineStr">
        <is>
          <t>SALA</t>
        </is>
      </c>
      <c r="F1135" t="inlineStr">
        <is>
          <t>Kommuner</t>
        </is>
      </c>
      <c r="G1135" t="n">
        <v>5.5</v>
      </c>
      <c r="H1135" t="n">
        <v>0</v>
      </c>
      <c r="I1135" t="n">
        <v>0</v>
      </c>
      <c r="J1135" t="n">
        <v>0</v>
      </c>
      <c r="K1135" t="n">
        <v>0</v>
      </c>
      <c r="L1135" t="n">
        <v>0</v>
      </c>
      <c r="M1135" t="n">
        <v>0</v>
      </c>
      <c r="N1135" t="n">
        <v>0</v>
      </c>
      <c r="O1135" t="n">
        <v>0</v>
      </c>
      <c r="P1135" t="n">
        <v>0</v>
      </c>
      <c r="Q1135" t="n">
        <v>0</v>
      </c>
      <c r="R1135" s="2" t="inlineStr"/>
    </row>
    <row r="1136" ht="15" customHeight="1">
      <c r="A1136" t="inlineStr">
        <is>
          <t>A 37098-2020</t>
        </is>
      </c>
      <c r="B1136" s="1" t="n">
        <v>44054</v>
      </c>
      <c r="C1136" s="1" t="n">
        <v>45724</v>
      </c>
      <c r="D1136" t="inlineStr">
        <is>
          <t>VÄSTMANLANDS LÄN</t>
        </is>
      </c>
      <c r="E1136" t="inlineStr">
        <is>
          <t>SALA</t>
        </is>
      </c>
      <c r="F1136" t="inlineStr">
        <is>
          <t>Kommuner</t>
        </is>
      </c>
      <c r="G1136" t="n">
        <v>3.8</v>
      </c>
      <c r="H1136" t="n">
        <v>0</v>
      </c>
      <c r="I1136" t="n">
        <v>0</v>
      </c>
      <c r="J1136" t="n">
        <v>0</v>
      </c>
      <c r="K1136" t="n">
        <v>0</v>
      </c>
      <c r="L1136" t="n">
        <v>0</v>
      </c>
      <c r="M1136" t="n">
        <v>0</v>
      </c>
      <c r="N1136" t="n">
        <v>0</v>
      </c>
      <c r="O1136" t="n">
        <v>0</v>
      </c>
      <c r="P1136" t="n">
        <v>0</v>
      </c>
      <c r="Q1136" t="n">
        <v>0</v>
      </c>
      <c r="R1136" s="2" t="inlineStr"/>
    </row>
    <row r="1137" ht="15" customHeight="1">
      <c r="A1137" t="inlineStr">
        <is>
          <t>A 37150-2020</t>
        </is>
      </c>
      <c r="B1137" s="1" t="n">
        <v>44054</v>
      </c>
      <c r="C1137" s="1" t="n">
        <v>45724</v>
      </c>
      <c r="D1137" t="inlineStr">
        <is>
          <t>VÄSTMANLANDS LÄN</t>
        </is>
      </c>
      <c r="E1137" t="inlineStr">
        <is>
          <t>SALA</t>
        </is>
      </c>
      <c r="F1137" t="inlineStr">
        <is>
          <t>Kommuner</t>
        </is>
      </c>
      <c r="G1137" t="n">
        <v>8.199999999999999</v>
      </c>
      <c r="H1137" t="n">
        <v>0</v>
      </c>
      <c r="I1137" t="n">
        <v>0</v>
      </c>
      <c r="J1137" t="n">
        <v>0</v>
      </c>
      <c r="K1137" t="n">
        <v>0</v>
      </c>
      <c r="L1137" t="n">
        <v>0</v>
      </c>
      <c r="M1137" t="n">
        <v>0</v>
      </c>
      <c r="N1137" t="n">
        <v>0</v>
      </c>
      <c r="O1137" t="n">
        <v>0</v>
      </c>
      <c r="P1137" t="n">
        <v>0</v>
      </c>
      <c r="Q1137" t="n">
        <v>0</v>
      </c>
      <c r="R1137" s="2" t="inlineStr"/>
    </row>
    <row r="1138" ht="15" customHeight="1">
      <c r="A1138" t="inlineStr">
        <is>
          <t>A 37161-2020</t>
        </is>
      </c>
      <c r="B1138" s="1" t="n">
        <v>44054</v>
      </c>
      <c r="C1138" s="1" t="n">
        <v>45724</v>
      </c>
      <c r="D1138" t="inlineStr">
        <is>
          <t>VÄSTMANLANDS LÄN</t>
        </is>
      </c>
      <c r="E1138" t="inlineStr">
        <is>
          <t>ARBOGA</t>
        </is>
      </c>
      <c r="G1138" t="n">
        <v>3.1</v>
      </c>
      <c r="H1138" t="n">
        <v>0</v>
      </c>
      <c r="I1138" t="n">
        <v>0</v>
      </c>
      <c r="J1138" t="n">
        <v>0</v>
      </c>
      <c r="K1138" t="n">
        <v>0</v>
      </c>
      <c r="L1138" t="n">
        <v>0</v>
      </c>
      <c r="M1138" t="n">
        <v>0</v>
      </c>
      <c r="N1138" t="n">
        <v>0</v>
      </c>
      <c r="O1138" t="n">
        <v>0</v>
      </c>
      <c r="P1138" t="n">
        <v>0</v>
      </c>
      <c r="Q1138" t="n">
        <v>0</v>
      </c>
      <c r="R1138" s="2" t="inlineStr"/>
    </row>
    <row r="1139" ht="15" customHeight="1">
      <c r="A1139" t="inlineStr">
        <is>
          <t>A 37467-2020</t>
        </is>
      </c>
      <c r="B1139" s="1" t="n">
        <v>44055</v>
      </c>
      <c r="C1139" s="1" t="n">
        <v>45724</v>
      </c>
      <c r="D1139" t="inlineStr">
        <is>
          <t>VÄSTMANLANDS LÄN</t>
        </is>
      </c>
      <c r="E1139" t="inlineStr">
        <is>
          <t>KÖPING</t>
        </is>
      </c>
      <c r="F1139" t="inlineStr">
        <is>
          <t>Kyrkan</t>
        </is>
      </c>
      <c r="G1139" t="n">
        <v>1.1</v>
      </c>
      <c r="H1139" t="n">
        <v>0</v>
      </c>
      <c r="I1139" t="n">
        <v>0</v>
      </c>
      <c r="J1139" t="n">
        <v>0</v>
      </c>
      <c r="K1139" t="n">
        <v>0</v>
      </c>
      <c r="L1139" t="n">
        <v>0</v>
      </c>
      <c r="M1139" t="n">
        <v>0</v>
      </c>
      <c r="N1139" t="n">
        <v>0</v>
      </c>
      <c r="O1139" t="n">
        <v>0</v>
      </c>
      <c r="P1139" t="n">
        <v>0</v>
      </c>
      <c r="Q1139" t="n">
        <v>0</v>
      </c>
      <c r="R1139" s="2" t="inlineStr"/>
    </row>
    <row r="1140" ht="15" customHeight="1">
      <c r="A1140" t="inlineStr">
        <is>
          <t>A 38373-2020</t>
        </is>
      </c>
      <c r="B1140" s="1" t="n">
        <v>44060</v>
      </c>
      <c r="C1140" s="1" t="n">
        <v>45724</v>
      </c>
      <c r="D1140" t="inlineStr">
        <is>
          <t>VÄSTMANLANDS LÄN</t>
        </is>
      </c>
      <c r="E1140" t="inlineStr">
        <is>
          <t>VÄSTERÅS</t>
        </is>
      </c>
      <c r="F1140" t="inlineStr">
        <is>
          <t>Övriga Aktiebolag</t>
        </is>
      </c>
      <c r="G1140" t="n">
        <v>36.2</v>
      </c>
      <c r="H1140" t="n">
        <v>0</v>
      </c>
      <c r="I1140" t="n">
        <v>0</v>
      </c>
      <c r="J1140" t="n">
        <v>0</v>
      </c>
      <c r="K1140" t="n">
        <v>0</v>
      </c>
      <c r="L1140" t="n">
        <v>0</v>
      </c>
      <c r="M1140" t="n">
        <v>0</v>
      </c>
      <c r="N1140" t="n">
        <v>0</v>
      </c>
      <c r="O1140" t="n">
        <v>0</v>
      </c>
      <c r="P1140" t="n">
        <v>0</v>
      </c>
      <c r="Q1140" t="n">
        <v>0</v>
      </c>
      <c r="R1140" s="2" t="inlineStr"/>
    </row>
    <row r="1141" ht="15" customHeight="1">
      <c r="A1141" t="inlineStr">
        <is>
          <t>A 38556-2020</t>
        </is>
      </c>
      <c r="B1141" s="1" t="n">
        <v>44061</v>
      </c>
      <c r="C1141" s="1" t="n">
        <v>45724</v>
      </c>
      <c r="D1141" t="inlineStr">
        <is>
          <t>VÄSTMANLANDS LÄN</t>
        </is>
      </c>
      <c r="E1141" t="inlineStr">
        <is>
          <t>FAGERSTA</t>
        </is>
      </c>
      <c r="F1141" t="inlineStr">
        <is>
          <t>Sveaskog</t>
        </is>
      </c>
      <c r="G1141" t="n">
        <v>0.7</v>
      </c>
      <c r="H1141" t="n">
        <v>0</v>
      </c>
      <c r="I1141" t="n">
        <v>0</v>
      </c>
      <c r="J1141" t="n">
        <v>0</v>
      </c>
      <c r="K1141" t="n">
        <v>0</v>
      </c>
      <c r="L1141" t="n">
        <v>0</v>
      </c>
      <c r="M1141" t="n">
        <v>0</v>
      </c>
      <c r="N1141" t="n">
        <v>0</v>
      </c>
      <c r="O1141" t="n">
        <v>0</v>
      </c>
      <c r="P1141" t="n">
        <v>0</v>
      </c>
      <c r="Q1141" t="n">
        <v>0</v>
      </c>
      <c r="R1141" s="2" t="inlineStr"/>
    </row>
    <row r="1142" ht="15" customHeight="1">
      <c r="A1142" t="inlineStr">
        <is>
          <t>A 38547-2020</t>
        </is>
      </c>
      <c r="B1142" s="1" t="n">
        <v>44061</v>
      </c>
      <c r="C1142" s="1" t="n">
        <v>45724</v>
      </c>
      <c r="D1142" t="inlineStr">
        <is>
          <t>VÄSTMANLANDS LÄN</t>
        </is>
      </c>
      <c r="E1142" t="inlineStr">
        <is>
          <t>FAGERSTA</t>
        </is>
      </c>
      <c r="F1142" t="inlineStr">
        <is>
          <t>Sveaskog</t>
        </is>
      </c>
      <c r="G1142" t="n">
        <v>1.8</v>
      </c>
      <c r="H1142" t="n">
        <v>0</v>
      </c>
      <c r="I1142" t="n">
        <v>0</v>
      </c>
      <c r="J1142" t="n">
        <v>0</v>
      </c>
      <c r="K1142" t="n">
        <v>0</v>
      </c>
      <c r="L1142" t="n">
        <v>0</v>
      </c>
      <c r="M1142" t="n">
        <v>0</v>
      </c>
      <c r="N1142" t="n">
        <v>0</v>
      </c>
      <c r="O1142" t="n">
        <v>0</v>
      </c>
      <c r="P1142" t="n">
        <v>0</v>
      </c>
      <c r="Q1142" t="n">
        <v>0</v>
      </c>
      <c r="R1142" s="2" t="inlineStr"/>
    </row>
    <row r="1143" ht="15" customHeight="1">
      <c r="A1143" t="inlineStr">
        <is>
          <t>A 38579-2020</t>
        </is>
      </c>
      <c r="B1143" s="1" t="n">
        <v>44061</v>
      </c>
      <c r="C1143" s="1" t="n">
        <v>45724</v>
      </c>
      <c r="D1143" t="inlineStr">
        <is>
          <t>VÄSTMANLANDS LÄN</t>
        </is>
      </c>
      <c r="E1143" t="inlineStr">
        <is>
          <t>SALA</t>
        </is>
      </c>
      <c r="G1143" t="n">
        <v>1</v>
      </c>
      <c r="H1143" t="n">
        <v>0</v>
      </c>
      <c r="I1143" t="n">
        <v>0</v>
      </c>
      <c r="J1143" t="n">
        <v>0</v>
      </c>
      <c r="K1143" t="n">
        <v>0</v>
      </c>
      <c r="L1143" t="n">
        <v>0</v>
      </c>
      <c r="M1143" t="n">
        <v>0</v>
      </c>
      <c r="N1143" t="n">
        <v>0</v>
      </c>
      <c r="O1143" t="n">
        <v>0</v>
      </c>
      <c r="P1143" t="n">
        <v>0</v>
      </c>
      <c r="Q1143" t="n">
        <v>0</v>
      </c>
      <c r="R1143" s="2" t="inlineStr"/>
    </row>
    <row r="1144" ht="15" customHeight="1">
      <c r="A1144" t="inlineStr">
        <is>
          <t>A 38713-2020</t>
        </is>
      </c>
      <c r="B1144" s="1" t="n">
        <v>44061</v>
      </c>
      <c r="C1144" s="1" t="n">
        <v>45724</v>
      </c>
      <c r="D1144" t="inlineStr">
        <is>
          <t>VÄSTMANLANDS LÄN</t>
        </is>
      </c>
      <c r="E1144" t="inlineStr">
        <is>
          <t>SALA</t>
        </is>
      </c>
      <c r="G1144" t="n">
        <v>1.4</v>
      </c>
      <c r="H1144" t="n">
        <v>0</v>
      </c>
      <c r="I1144" t="n">
        <v>0</v>
      </c>
      <c r="J1144" t="n">
        <v>0</v>
      </c>
      <c r="K1144" t="n">
        <v>0</v>
      </c>
      <c r="L1144" t="n">
        <v>0</v>
      </c>
      <c r="M1144" t="n">
        <v>0</v>
      </c>
      <c r="N1144" t="n">
        <v>0</v>
      </c>
      <c r="O1144" t="n">
        <v>0</v>
      </c>
      <c r="P1144" t="n">
        <v>0</v>
      </c>
      <c r="Q1144" t="n">
        <v>0</v>
      </c>
      <c r="R1144" s="2" t="inlineStr"/>
    </row>
    <row r="1145" ht="15" customHeight="1">
      <c r="A1145" t="inlineStr">
        <is>
          <t>A 39328-2020</t>
        </is>
      </c>
      <c r="B1145" s="1" t="n">
        <v>44063</v>
      </c>
      <c r="C1145" s="1" t="n">
        <v>45724</v>
      </c>
      <c r="D1145" t="inlineStr">
        <is>
          <t>VÄSTMANLANDS LÄN</t>
        </is>
      </c>
      <c r="E1145" t="inlineStr">
        <is>
          <t>FAGERSTA</t>
        </is>
      </c>
      <c r="G1145" t="n">
        <v>1.2</v>
      </c>
      <c r="H1145" t="n">
        <v>0</v>
      </c>
      <c r="I1145" t="n">
        <v>0</v>
      </c>
      <c r="J1145" t="n">
        <v>0</v>
      </c>
      <c r="K1145" t="n">
        <v>0</v>
      </c>
      <c r="L1145" t="n">
        <v>0</v>
      </c>
      <c r="M1145" t="n">
        <v>0</v>
      </c>
      <c r="N1145" t="n">
        <v>0</v>
      </c>
      <c r="O1145" t="n">
        <v>0</v>
      </c>
      <c r="P1145" t="n">
        <v>0</v>
      </c>
      <c r="Q1145" t="n">
        <v>0</v>
      </c>
      <c r="R1145" s="2" t="inlineStr"/>
    </row>
    <row r="1146" ht="15" customHeight="1">
      <c r="A1146" t="inlineStr">
        <is>
          <t>A 39519-2020</t>
        </is>
      </c>
      <c r="B1146" s="1" t="n">
        <v>44064</v>
      </c>
      <c r="C1146" s="1" t="n">
        <v>45724</v>
      </c>
      <c r="D1146" t="inlineStr">
        <is>
          <t>VÄSTMANLANDS LÄN</t>
        </is>
      </c>
      <c r="E1146" t="inlineStr">
        <is>
          <t>SALA</t>
        </is>
      </c>
      <c r="G1146" t="n">
        <v>0.8</v>
      </c>
      <c r="H1146" t="n">
        <v>0</v>
      </c>
      <c r="I1146" t="n">
        <v>0</v>
      </c>
      <c r="J1146" t="n">
        <v>0</v>
      </c>
      <c r="K1146" t="n">
        <v>0</v>
      </c>
      <c r="L1146" t="n">
        <v>0</v>
      </c>
      <c r="M1146" t="n">
        <v>0</v>
      </c>
      <c r="N1146" t="n">
        <v>0</v>
      </c>
      <c r="O1146" t="n">
        <v>0</v>
      </c>
      <c r="P1146" t="n">
        <v>0</v>
      </c>
      <c r="Q1146" t="n">
        <v>0</v>
      </c>
      <c r="R1146" s="2" t="inlineStr"/>
    </row>
    <row r="1147" ht="15" customHeight="1">
      <c r="A1147" t="inlineStr">
        <is>
          <t>A 39406-2020</t>
        </is>
      </c>
      <c r="B1147" s="1" t="n">
        <v>44064</v>
      </c>
      <c r="C1147" s="1" t="n">
        <v>45724</v>
      </c>
      <c r="D1147" t="inlineStr">
        <is>
          <t>VÄSTMANLANDS LÄN</t>
        </is>
      </c>
      <c r="E1147" t="inlineStr">
        <is>
          <t>ARBOGA</t>
        </is>
      </c>
      <c r="G1147" t="n">
        <v>0.7</v>
      </c>
      <c r="H1147" t="n">
        <v>0</v>
      </c>
      <c r="I1147" t="n">
        <v>0</v>
      </c>
      <c r="J1147" t="n">
        <v>0</v>
      </c>
      <c r="K1147" t="n">
        <v>0</v>
      </c>
      <c r="L1147" t="n">
        <v>0</v>
      </c>
      <c r="M1147" t="n">
        <v>0</v>
      </c>
      <c r="N1147" t="n">
        <v>0</v>
      </c>
      <c r="O1147" t="n">
        <v>0</v>
      </c>
      <c r="P1147" t="n">
        <v>0</v>
      </c>
      <c r="Q1147" t="n">
        <v>0</v>
      </c>
      <c r="R1147" s="2" t="inlineStr"/>
    </row>
    <row r="1148" ht="15" customHeight="1">
      <c r="A1148" t="inlineStr">
        <is>
          <t>A 39619-2020</t>
        </is>
      </c>
      <c r="B1148" s="1" t="n">
        <v>44064</v>
      </c>
      <c r="C1148" s="1" t="n">
        <v>45724</v>
      </c>
      <c r="D1148" t="inlineStr">
        <is>
          <t>VÄSTMANLANDS LÄN</t>
        </is>
      </c>
      <c r="E1148" t="inlineStr">
        <is>
          <t>VÄSTERÅS</t>
        </is>
      </c>
      <c r="G1148" t="n">
        <v>2.9</v>
      </c>
      <c r="H1148" t="n">
        <v>0</v>
      </c>
      <c r="I1148" t="n">
        <v>0</v>
      </c>
      <c r="J1148" t="n">
        <v>0</v>
      </c>
      <c r="K1148" t="n">
        <v>0</v>
      </c>
      <c r="L1148" t="n">
        <v>0</v>
      </c>
      <c r="M1148" t="n">
        <v>0</v>
      </c>
      <c r="N1148" t="n">
        <v>0</v>
      </c>
      <c r="O1148" t="n">
        <v>0</v>
      </c>
      <c r="P1148" t="n">
        <v>0</v>
      </c>
      <c r="Q1148" t="n">
        <v>0</v>
      </c>
      <c r="R1148" s="2" t="inlineStr"/>
    </row>
    <row r="1149" ht="15" customHeight="1">
      <c r="A1149" t="inlineStr">
        <is>
          <t>A 39707-2020</t>
        </is>
      </c>
      <c r="B1149" s="1" t="n">
        <v>44066</v>
      </c>
      <c r="C1149" s="1" t="n">
        <v>45724</v>
      </c>
      <c r="D1149" t="inlineStr">
        <is>
          <t>VÄSTMANLANDS LÄN</t>
        </is>
      </c>
      <c r="E1149" t="inlineStr">
        <is>
          <t>SKINNSKATTEBERG</t>
        </is>
      </c>
      <c r="F1149" t="inlineStr">
        <is>
          <t>Sveaskog</t>
        </is>
      </c>
      <c r="G1149" t="n">
        <v>3.1</v>
      </c>
      <c r="H1149" t="n">
        <v>0</v>
      </c>
      <c r="I1149" t="n">
        <v>0</v>
      </c>
      <c r="J1149" t="n">
        <v>0</v>
      </c>
      <c r="K1149" t="n">
        <v>0</v>
      </c>
      <c r="L1149" t="n">
        <v>0</v>
      </c>
      <c r="M1149" t="n">
        <v>0</v>
      </c>
      <c r="N1149" t="n">
        <v>0</v>
      </c>
      <c r="O1149" t="n">
        <v>0</v>
      </c>
      <c r="P1149" t="n">
        <v>0</v>
      </c>
      <c r="Q1149" t="n">
        <v>0</v>
      </c>
      <c r="R1149" s="2" t="inlineStr"/>
    </row>
    <row r="1150" ht="15" customHeight="1">
      <c r="A1150" t="inlineStr">
        <is>
          <t>A 39705-2020</t>
        </is>
      </c>
      <c r="B1150" s="1" t="n">
        <v>44066</v>
      </c>
      <c r="C1150" s="1" t="n">
        <v>45724</v>
      </c>
      <c r="D1150" t="inlineStr">
        <is>
          <t>VÄSTMANLANDS LÄN</t>
        </is>
      </c>
      <c r="E1150" t="inlineStr">
        <is>
          <t>SKINNSKATTEBERG</t>
        </is>
      </c>
      <c r="F1150" t="inlineStr">
        <is>
          <t>Sveaskog</t>
        </is>
      </c>
      <c r="G1150" t="n">
        <v>1.8</v>
      </c>
      <c r="H1150" t="n">
        <v>0</v>
      </c>
      <c r="I1150" t="n">
        <v>0</v>
      </c>
      <c r="J1150" t="n">
        <v>0</v>
      </c>
      <c r="K1150" t="n">
        <v>0</v>
      </c>
      <c r="L1150" t="n">
        <v>0</v>
      </c>
      <c r="M1150" t="n">
        <v>0</v>
      </c>
      <c r="N1150" t="n">
        <v>0</v>
      </c>
      <c r="O1150" t="n">
        <v>0</v>
      </c>
      <c r="P1150" t="n">
        <v>0</v>
      </c>
      <c r="Q1150" t="n">
        <v>0</v>
      </c>
      <c r="R1150" s="2" t="inlineStr"/>
    </row>
    <row r="1151" ht="15" customHeight="1">
      <c r="A1151" t="inlineStr">
        <is>
          <t>A 39706-2020</t>
        </is>
      </c>
      <c r="B1151" s="1" t="n">
        <v>44066</v>
      </c>
      <c r="C1151" s="1" t="n">
        <v>45724</v>
      </c>
      <c r="D1151" t="inlineStr">
        <is>
          <t>VÄSTMANLANDS LÄN</t>
        </is>
      </c>
      <c r="E1151" t="inlineStr">
        <is>
          <t>SKINNSKATTEBERG</t>
        </is>
      </c>
      <c r="F1151" t="inlineStr">
        <is>
          <t>Sveaskog</t>
        </is>
      </c>
      <c r="G1151" t="n">
        <v>4.8</v>
      </c>
      <c r="H1151" t="n">
        <v>0</v>
      </c>
      <c r="I1151" t="n">
        <v>0</v>
      </c>
      <c r="J1151" t="n">
        <v>0</v>
      </c>
      <c r="K1151" t="n">
        <v>0</v>
      </c>
      <c r="L1151" t="n">
        <v>0</v>
      </c>
      <c r="M1151" t="n">
        <v>0</v>
      </c>
      <c r="N1151" t="n">
        <v>0</v>
      </c>
      <c r="O1151" t="n">
        <v>0</v>
      </c>
      <c r="P1151" t="n">
        <v>0</v>
      </c>
      <c r="Q1151" t="n">
        <v>0</v>
      </c>
      <c r="R1151" s="2" t="inlineStr"/>
    </row>
    <row r="1152" ht="15" customHeight="1">
      <c r="A1152" t="inlineStr">
        <is>
          <t>A 39709-2020</t>
        </is>
      </c>
      <c r="B1152" s="1" t="n">
        <v>44066</v>
      </c>
      <c r="C1152" s="1" t="n">
        <v>45724</v>
      </c>
      <c r="D1152" t="inlineStr">
        <is>
          <t>VÄSTMANLANDS LÄN</t>
        </is>
      </c>
      <c r="E1152" t="inlineStr">
        <is>
          <t>SKINNSKATTEBERG</t>
        </is>
      </c>
      <c r="F1152" t="inlineStr">
        <is>
          <t>Sveaskog</t>
        </is>
      </c>
      <c r="G1152" t="n">
        <v>1.5</v>
      </c>
      <c r="H1152" t="n">
        <v>0</v>
      </c>
      <c r="I1152" t="n">
        <v>0</v>
      </c>
      <c r="J1152" t="n">
        <v>0</v>
      </c>
      <c r="K1152" t="n">
        <v>0</v>
      </c>
      <c r="L1152" t="n">
        <v>0</v>
      </c>
      <c r="M1152" t="n">
        <v>0</v>
      </c>
      <c r="N1152" t="n">
        <v>0</v>
      </c>
      <c r="O1152" t="n">
        <v>0</v>
      </c>
      <c r="P1152" t="n">
        <v>0</v>
      </c>
      <c r="Q1152" t="n">
        <v>0</v>
      </c>
      <c r="R1152" s="2" t="inlineStr"/>
    </row>
    <row r="1153" ht="15" customHeight="1">
      <c r="A1153" t="inlineStr">
        <is>
          <t>A 39773-2020</t>
        </is>
      </c>
      <c r="B1153" s="1" t="n">
        <v>44067</v>
      </c>
      <c r="C1153" s="1" t="n">
        <v>45724</v>
      </c>
      <c r="D1153" t="inlineStr">
        <is>
          <t>VÄSTMANLANDS LÄN</t>
        </is>
      </c>
      <c r="E1153" t="inlineStr">
        <is>
          <t>VÄSTERÅS</t>
        </is>
      </c>
      <c r="G1153" t="n">
        <v>2.2</v>
      </c>
      <c r="H1153" t="n">
        <v>0</v>
      </c>
      <c r="I1153" t="n">
        <v>0</v>
      </c>
      <c r="J1153" t="n">
        <v>0</v>
      </c>
      <c r="K1153" t="n">
        <v>0</v>
      </c>
      <c r="L1153" t="n">
        <v>0</v>
      </c>
      <c r="M1153" t="n">
        <v>0</v>
      </c>
      <c r="N1153" t="n">
        <v>0</v>
      </c>
      <c r="O1153" t="n">
        <v>0</v>
      </c>
      <c r="P1153" t="n">
        <v>0</v>
      </c>
      <c r="Q1153" t="n">
        <v>0</v>
      </c>
      <c r="R1153" s="2" t="inlineStr"/>
    </row>
    <row r="1154" ht="15" customHeight="1">
      <c r="A1154" t="inlineStr">
        <is>
          <t>A 39818-2020</t>
        </is>
      </c>
      <c r="B1154" s="1" t="n">
        <v>44067</v>
      </c>
      <c r="C1154" s="1" t="n">
        <v>45724</v>
      </c>
      <c r="D1154" t="inlineStr">
        <is>
          <t>VÄSTMANLANDS LÄN</t>
        </is>
      </c>
      <c r="E1154" t="inlineStr">
        <is>
          <t>SALA</t>
        </is>
      </c>
      <c r="F1154" t="inlineStr">
        <is>
          <t>Sveaskog</t>
        </is>
      </c>
      <c r="G1154" t="n">
        <v>1.9</v>
      </c>
      <c r="H1154" t="n">
        <v>0</v>
      </c>
      <c r="I1154" t="n">
        <v>0</v>
      </c>
      <c r="J1154" t="n">
        <v>0</v>
      </c>
      <c r="K1154" t="n">
        <v>0</v>
      </c>
      <c r="L1154" t="n">
        <v>0</v>
      </c>
      <c r="M1154" t="n">
        <v>0</v>
      </c>
      <c r="N1154" t="n">
        <v>0</v>
      </c>
      <c r="O1154" t="n">
        <v>0</v>
      </c>
      <c r="P1154" t="n">
        <v>0</v>
      </c>
      <c r="Q1154" t="n">
        <v>0</v>
      </c>
      <c r="R1154" s="2" t="inlineStr"/>
    </row>
    <row r="1155" ht="15" customHeight="1">
      <c r="A1155" t="inlineStr">
        <is>
          <t>A 39876-2020</t>
        </is>
      </c>
      <c r="B1155" s="1" t="n">
        <v>44067</v>
      </c>
      <c r="C1155" s="1" t="n">
        <v>45724</v>
      </c>
      <c r="D1155" t="inlineStr">
        <is>
          <t>VÄSTMANLANDS LÄN</t>
        </is>
      </c>
      <c r="E1155" t="inlineStr">
        <is>
          <t>SKINNSKATTEBERG</t>
        </is>
      </c>
      <c r="G1155" t="n">
        <v>1.1</v>
      </c>
      <c r="H1155" t="n">
        <v>0</v>
      </c>
      <c r="I1155" t="n">
        <v>0</v>
      </c>
      <c r="J1155" t="n">
        <v>0</v>
      </c>
      <c r="K1155" t="n">
        <v>0</v>
      </c>
      <c r="L1155" t="n">
        <v>0</v>
      </c>
      <c r="M1155" t="n">
        <v>0</v>
      </c>
      <c r="N1155" t="n">
        <v>0</v>
      </c>
      <c r="O1155" t="n">
        <v>0</v>
      </c>
      <c r="P1155" t="n">
        <v>0</v>
      </c>
      <c r="Q1155" t="n">
        <v>0</v>
      </c>
      <c r="R1155" s="2" t="inlineStr"/>
    </row>
    <row r="1156" ht="15" customHeight="1">
      <c r="A1156" t="inlineStr">
        <is>
          <t>A 39936-2020</t>
        </is>
      </c>
      <c r="B1156" s="1" t="n">
        <v>44067</v>
      </c>
      <c r="C1156" s="1" t="n">
        <v>45724</v>
      </c>
      <c r="D1156" t="inlineStr">
        <is>
          <t>VÄSTMANLANDS LÄN</t>
        </is>
      </c>
      <c r="E1156" t="inlineStr">
        <is>
          <t>KÖPING</t>
        </is>
      </c>
      <c r="G1156" t="n">
        <v>1.1</v>
      </c>
      <c r="H1156" t="n">
        <v>0</v>
      </c>
      <c r="I1156" t="n">
        <v>0</v>
      </c>
      <c r="J1156" t="n">
        <v>0</v>
      </c>
      <c r="K1156" t="n">
        <v>0</v>
      </c>
      <c r="L1156" t="n">
        <v>0</v>
      </c>
      <c r="M1156" t="n">
        <v>0</v>
      </c>
      <c r="N1156" t="n">
        <v>0</v>
      </c>
      <c r="O1156" t="n">
        <v>0</v>
      </c>
      <c r="P1156" t="n">
        <v>0</v>
      </c>
      <c r="Q1156" t="n">
        <v>0</v>
      </c>
      <c r="R1156" s="2" t="inlineStr"/>
    </row>
    <row r="1157" ht="15" customHeight="1">
      <c r="A1157" t="inlineStr">
        <is>
          <t>A 39982-2020</t>
        </is>
      </c>
      <c r="B1157" s="1" t="n">
        <v>44067</v>
      </c>
      <c r="C1157" s="1" t="n">
        <v>45724</v>
      </c>
      <c r="D1157" t="inlineStr">
        <is>
          <t>VÄSTMANLANDS LÄN</t>
        </is>
      </c>
      <c r="E1157" t="inlineStr">
        <is>
          <t>KÖPING</t>
        </is>
      </c>
      <c r="G1157" t="n">
        <v>1.3</v>
      </c>
      <c r="H1157" t="n">
        <v>0</v>
      </c>
      <c r="I1157" t="n">
        <v>0</v>
      </c>
      <c r="J1157" t="n">
        <v>0</v>
      </c>
      <c r="K1157" t="n">
        <v>0</v>
      </c>
      <c r="L1157" t="n">
        <v>0</v>
      </c>
      <c r="M1157" t="n">
        <v>0</v>
      </c>
      <c r="N1157" t="n">
        <v>0</v>
      </c>
      <c r="O1157" t="n">
        <v>0</v>
      </c>
      <c r="P1157" t="n">
        <v>0</v>
      </c>
      <c r="Q1157" t="n">
        <v>0</v>
      </c>
      <c r="R1157" s="2" t="inlineStr"/>
    </row>
    <row r="1158" ht="15" customHeight="1">
      <c r="A1158" t="inlineStr">
        <is>
          <t>A 40185-2020</t>
        </is>
      </c>
      <c r="B1158" s="1" t="n">
        <v>44068</v>
      </c>
      <c r="C1158" s="1" t="n">
        <v>45724</v>
      </c>
      <c r="D1158" t="inlineStr">
        <is>
          <t>VÄSTMANLANDS LÄN</t>
        </is>
      </c>
      <c r="E1158" t="inlineStr">
        <is>
          <t>FAGERSTA</t>
        </is>
      </c>
      <c r="F1158" t="inlineStr">
        <is>
          <t>Sveaskog</t>
        </is>
      </c>
      <c r="G1158" t="n">
        <v>1.8</v>
      </c>
      <c r="H1158" t="n">
        <v>0</v>
      </c>
      <c r="I1158" t="n">
        <v>0</v>
      </c>
      <c r="J1158" t="n">
        <v>0</v>
      </c>
      <c r="K1158" t="n">
        <v>0</v>
      </c>
      <c r="L1158" t="n">
        <v>0</v>
      </c>
      <c r="M1158" t="n">
        <v>0</v>
      </c>
      <c r="N1158" t="n">
        <v>0</v>
      </c>
      <c r="O1158" t="n">
        <v>0</v>
      </c>
      <c r="P1158" t="n">
        <v>0</v>
      </c>
      <c r="Q1158" t="n">
        <v>0</v>
      </c>
      <c r="R1158" s="2" t="inlineStr"/>
    </row>
    <row r="1159" ht="15" customHeight="1">
      <c r="A1159" t="inlineStr">
        <is>
          <t>A 40179-2020</t>
        </is>
      </c>
      <c r="B1159" s="1" t="n">
        <v>44068</v>
      </c>
      <c r="C1159" s="1" t="n">
        <v>45724</v>
      </c>
      <c r="D1159" t="inlineStr">
        <is>
          <t>VÄSTMANLANDS LÄN</t>
        </is>
      </c>
      <c r="E1159" t="inlineStr">
        <is>
          <t>FAGERSTA</t>
        </is>
      </c>
      <c r="F1159" t="inlineStr">
        <is>
          <t>Sveaskog</t>
        </is>
      </c>
      <c r="G1159" t="n">
        <v>1.6</v>
      </c>
      <c r="H1159" t="n">
        <v>0</v>
      </c>
      <c r="I1159" t="n">
        <v>0</v>
      </c>
      <c r="J1159" t="n">
        <v>0</v>
      </c>
      <c r="K1159" t="n">
        <v>0</v>
      </c>
      <c r="L1159" t="n">
        <v>0</v>
      </c>
      <c r="M1159" t="n">
        <v>0</v>
      </c>
      <c r="N1159" t="n">
        <v>0</v>
      </c>
      <c r="O1159" t="n">
        <v>0</v>
      </c>
      <c r="P1159" t="n">
        <v>0</v>
      </c>
      <c r="Q1159" t="n">
        <v>0</v>
      </c>
      <c r="R1159" s="2" t="inlineStr"/>
    </row>
    <row r="1160" ht="15" customHeight="1">
      <c r="A1160" t="inlineStr">
        <is>
          <t>A 40170-2020</t>
        </is>
      </c>
      <c r="B1160" s="1" t="n">
        <v>44068</v>
      </c>
      <c r="C1160" s="1" t="n">
        <v>45724</v>
      </c>
      <c r="D1160" t="inlineStr">
        <is>
          <t>VÄSTMANLANDS LÄN</t>
        </is>
      </c>
      <c r="E1160" t="inlineStr">
        <is>
          <t>FAGERSTA</t>
        </is>
      </c>
      <c r="F1160" t="inlineStr">
        <is>
          <t>Sveaskog</t>
        </is>
      </c>
      <c r="G1160" t="n">
        <v>1.7</v>
      </c>
      <c r="H1160" t="n">
        <v>0</v>
      </c>
      <c r="I1160" t="n">
        <v>0</v>
      </c>
      <c r="J1160" t="n">
        <v>0</v>
      </c>
      <c r="K1160" t="n">
        <v>0</v>
      </c>
      <c r="L1160" t="n">
        <v>0</v>
      </c>
      <c r="M1160" t="n">
        <v>0</v>
      </c>
      <c r="N1160" t="n">
        <v>0</v>
      </c>
      <c r="O1160" t="n">
        <v>0</v>
      </c>
      <c r="P1160" t="n">
        <v>0</v>
      </c>
      <c r="Q1160" t="n">
        <v>0</v>
      </c>
      <c r="R1160" s="2" t="inlineStr"/>
    </row>
    <row r="1161" ht="15" customHeight="1">
      <c r="A1161" t="inlineStr">
        <is>
          <t>A 40183-2020</t>
        </is>
      </c>
      <c r="B1161" s="1" t="n">
        <v>44068</v>
      </c>
      <c r="C1161" s="1" t="n">
        <v>45724</v>
      </c>
      <c r="D1161" t="inlineStr">
        <is>
          <t>VÄSTMANLANDS LÄN</t>
        </is>
      </c>
      <c r="E1161" t="inlineStr">
        <is>
          <t>FAGERSTA</t>
        </is>
      </c>
      <c r="F1161" t="inlineStr">
        <is>
          <t>Sveaskog</t>
        </is>
      </c>
      <c r="G1161" t="n">
        <v>2</v>
      </c>
      <c r="H1161" t="n">
        <v>0</v>
      </c>
      <c r="I1161" t="n">
        <v>0</v>
      </c>
      <c r="J1161" t="n">
        <v>0</v>
      </c>
      <c r="K1161" t="n">
        <v>0</v>
      </c>
      <c r="L1161" t="n">
        <v>0</v>
      </c>
      <c r="M1161" t="n">
        <v>0</v>
      </c>
      <c r="N1161" t="n">
        <v>0</v>
      </c>
      <c r="O1161" t="n">
        <v>0</v>
      </c>
      <c r="P1161" t="n">
        <v>0</v>
      </c>
      <c r="Q1161" t="n">
        <v>0</v>
      </c>
      <c r="R1161" s="2" t="inlineStr"/>
    </row>
    <row r="1162" ht="15" customHeight="1">
      <c r="A1162" t="inlineStr">
        <is>
          <t>A 40182-2020</t>
        </is>
      </c>
      <c r="B1162" s="1" t="n">
        <v>44068</v>
      </c>
      <c r="C1162" s="1" t="n">
        <v>45724</v>
      </c>
      <c r="D1162" t="inlineStr">
        <is>
          <t>VÄSTMANLANDS LÄN</t>
        </is>
      </c>
      <c r="E1162" t="inlineStr">
        <is>
          <t>FAGERSTA</t>
        </is>
      </c>
      <c r="F1162" t="inlineStr">
        <is>
          <t>Sveaskog</t>
        </is>
      </c>
      <c r="G1162" t="n">
        <v>2</v>
      </c>
      <c r="H1162" t="n">
        <v>0</v>
      </c>
      <c r="I1162" t="n">
        <v>0</v>
      </c>
      <c r="J1162" t="n">
        <v>0</v>
      </c>
      <c r="K1162" t="n">
        <v>0</v>
      </c>
      <c r="L1162" t="n">
        <v>0</v>
      </c>
      <c r="M1162" t="n">
        <v>0</v>
      </c>
      <c r="N1162" t="n">
        <v>0</v>
      </c>
      <c r="O1162" t="n">
        <v>0</v>
      </c>
      <c r="P1162" t="n">
        <v>0</v>
      </c>
      <c r="Q1162" t="n">
        <v>0</v>
      </c>
      <c r="R1162" s="2" t="inlineStr"/>
    </row>
    <row r="1163" ht="15" customHeight="1">
      <c r="A1163" t="inlineStr">
        <is>
          <t>A 40986-2020</t>
        </is>
      </c>
      <c r="B1163" s="1" t="n">
        <v>44068</v>
      </c>
      <c r="C1163" s="1" t="n">
        <v>45724</v>
      </c>
      <c r="D1163" t="inlineStr">
        <is>
          <t>VÄSTMANLANDS LÄN</t>
        </is>
      </c>
      <c r="E1163" t="inlineStr">
        <is>
          <t>VÄSTERÅS</t>
        </is>
      </c>
      <c r="G1163" t="n">
        <v>1.7</v>
      </c>
      <c r="H1163" t="n">
        <v>0</v>
      </c>
      <c r="I1163" t="n">
        <v>0</v>
      </c>
      <c r="J1163" t="n">
        <v>0</v>
      </c>
      <c r="K1163" t="n">
        <v>0</v>
      </c>
      <c r="L1163" t="n">
        <v>0</v>
      </c>
      <c r="M1163" t="n">
        <v>0</v>
      </c>
      <c r="N1163" t="n">
        <v>0</v>
      </c>
      <c r="O1163" t="n">
        <v>0</v>
      </c>
      <c r="P1163" t="n">
        <v>0</v>
      </c>
      <c r="Q1163" t="n">
        <v>0</v>
      </c>
      <c r="R1163" s="2" t="inlineStr"/>
    </row>
    <row r="1164" ht="15" customHeight="1">
      <c r="A1164" t="inlineStr">
        <is>
          <t>A 40999-2020</t>
        </is>
      </c>
      <c r="B1164" s="1" t="n">
        <v>44068</v>
      </c>
      <c r="C1164" s="1" t="n">
        <v>45724</v>
      </c>
      <c r="D1164" t="inlineStr">
        <is>
          <t>VÄSTMANLANDS LÄN</t>
        </is>
      </c>
      <c r="E1164" t="inlineStr">
        <is>
          <t>VÄSTERÅS</t>
        </is>
      </c>
      <c r="G1164" t="n">
        <v>4.8</v>
      </c>
      <c r="H1164" t="n">
        <v>0</v>
      </c>
      <c r="I1164" t="n">
        <v>0</v>
      </c>
      <c r="J1164" t="n">
        <v>0</v>
      </c>
      <c r="K1164" t="n">
        <v>0</v>
      </c>
      <c r="L1164" t="n">
        <v>0</v>
      </c>
      <c r="M1164" t="n">
        <v>0</v>
      </c>
      <c r="N1164" t="n">
        <v>0</v>
      </c>
      <c r="O1164" t="n">
        <v>0</v>
      </c>
      <c r="P1164" t="n">
        <v>0</v>
      </c>
      <c r="Q1164" t="n">
        <v>0</v>
      </c>
      <c r="R1164" s="2" t="inlineStr"/>
    </row>
    <row r="1165" ht="15" customHeight="1">
      <c r="A1165" t="inlineStr">
        <is>
          <t>A 40992-2020</t>
        </is>
      </c>
      <c r="B1165" s="1" t="n">
        <v>44068</v>
      </c>
      <c r="C1165" s="1" t="n">
        <v>45724</v>
      </c>
      <c r="D1165" t="inlineStr">
        <is>
          <t>VÄSTMANLANDS LÄN</t>
        </is>
      </c>
      <c r="E1165" t="inlineStr">
        <is>
          <t>VÄSTERÅS</t>
        </is>
      </c>
      <c r="G1165" t="n">
        <v>0.7</v>
      </c>
      <c r="H1165" t="n">
        <v>0</v>
      </c>
      <c r="I1165" t="n">
        <v>0</v>
      </c>
      <c r="J1165" t="n">
        <v>0</v>
      </c>
      <c r="K1165" t="n">
        <v>0</v>
      </c>
      <c r="L1165" t="n">
        <v>0</v>
      </c>
      <c r="M1165" t="n">
        <v>0</v>
      </c>
      <c r="N1165" t="n">
        <v>0</v>
      </c>
      <c r="O1165" t="n">
        <v>0</v>
      </c>
      <c r="P1165" t="n">
        <v>0</v>
      </c>
      <c r="Q1165" t="n">
        <v>0</v>
      </c>
      <c r="R1165" s="2" t="inlineStr"/>
    </row>
    <row r="1166" ht="15" customHeight="1">
      <c r="A1166" t="inlineStr">
        <is>
          <t>A 40486-2020</t>
        </is>
      </c>
      <c r="B1166" s="1" t="n">
        <v>44069</v>
      </c>
      <c r="C1166" s="1" t="n">
        <v>45724</v>
      </c>
      <c r="D1166" t="inlineStr">
        <is>
          <t>VÄSTMANLANDS LÄN</t>
        </is>
      </c>
      <c r="E1166" t="inlineStr">
        <is>
          <t>KÖPING</t>
        </is>
      </c>
      <c r="G1166" t="n">
        <v>1.1</v>
      </c>
      <c r="H1166" t="n">
        <v>0</v>
      </c>
      <c r="I1166" t="n">
        <v>0</v>
      </c>
      <c r="J1166" t="n">
        <v>0</v>
      </c>
      <c r="K1166" t="n">
        <v>0</v>
      </c>
      <c r="L1166" t="n">
        <v>0</v>
      </c>
      <c r="M1166" t="n">
        <v>0</v>
      </c>
      <c r="N1166" t="n">
        <v>0</v>
      </c>
      <c r="O1166" t="n">
        <v>0</v>
      </c>
      <c r="P1166" t="n">
        <v>0</v>
      </c>
      <c r="Q1166" t="n">
        <v>0</v>
      </c>
      <c r="R1166" s="2" t="inlineStr"/>
    </row>
    <row r="1167" ht="15" customHeight="1">
      <c r="A1167" t="inlineStr">
        <is>
          <t>A 40660-2020</t>
        </is>
      </c>
      <c r="B1167" s="1" t="n">
        <v>44069</v>
      </c>
      <c r="C1167" s="1" t="n">
        <v>45724</v>
      </c>
      <c r="D1167" t="inlineStr">
        <is>
          <t>VÄSTMANLANDS LÄN</t>
        </is>
      </c>
      <c r="E1167" t="inlineStr">
        <is>
          <t>SURAHAMMAR</t>
        </is>
      </c>
      <c r="F1167" t="inlineStr">
        <is>
          <t>Övriga Aktiebolag</t>
        </is>
      </c>
      <c r="G1167" t="n">
        <v>1.9</v>
      </c>
      <c r="H1167" t="n">
        <v>0</v>
      </c>
      <c r="I1167" t="n">
        <v>0</v>
      </c>
      <c r="J1167" t="n">
        <v>0</v>
      </c>
      <c r="K1167" t="n">
        <v>0</v>
      </c>
      <c r="L1167" t="n">
        <v>0</v>
      </c>
      <c r="M1167" t="n">
        <v>0</v>
      </c>
      <c r="N1167" t="n">
        <v>0</v>
      </c>
      <c r="O1167" t="n">
        <v>0</v>
      </c>
      <c r="P1167" t="n">
        <v>0</v>
      </c>
      <c r="Q1167" t="n">
        <v>0</v>
      </c>
      <c r="R1167" s="2" t="inlineStr"/>
    </row>
    <row r="1168" ht="15" customHeight="1">
      <c r="A1168" t="inlineStr">
        <is>
          <t>A 40547-2020</t>
        </is>
      </c>
      <c r="B1168" s="1" t="n">
        <v>44069</v>
      </c>
      <c r="C1168" s="1" t="n">
        <v>45724</v>
      </c>
      <c r="D1168" t="inlineStr">
        <is>
          <t>VÄSTMANLANDS LÄN</t>
        </is>
      </c>
      <c r="E1168" t="inlineStr">
        <is>
          <t>KÖPING</t>
        </is>
      </c>
      <c r="G1168" t="n">
        <v>1.9</v>
      </c>
      <c r="H1168" t="n">
        <v>0</v>
      </c>
      <c r="I1168" t="n">
        <v>0</v>
      </c>
      <c r="J1168" t="n">
        <v>0</v>
      </c>
      <c r="K1168" t="n">
        <v>0</v>
      </c>
      <c r="L1168" t="n">
        <v>0</v>
      </c>
      <c r="M1168" t="n">
        <v>0</v>
      </c>
      <c r="N1168" t="n">
        <v>0</v>
      </c>
      <c r="O1168" t="n">
        <v>0</v>
      </c>
      <c r="P1168" t="n">
        <v>0</v>
      </c>
      <c r="Q1168" t="n">
        <v>0</v>
      </c>
      <c r="R1168" s="2" t="inlineStr"/>
    </row>
    <row r="1169" ht="15" customHeight="1">
      <c r="A1169" t="inlineStr">
        <is>
          <t>A 40671-2020</t>
        </is>
      </c>
      <c r="B1169" s="1" t="n">
        <v>44069</v>
      </c>
      <c r="C1169" s="1" t="n">
        <v>45724</v>
      </c>
      <c r="D1169" t="inlineStr">
        <is>
          <t>VÄSTMANLANDS LÄN</t>
        </is>
      </c>
      <c r="E1169" t="inlineStr">
        <is>
          <t>KÖPING</t>
        </is>
      </c>
      <c r="G1169" t="n">
        <v>5.6</v>
      </c>
      <c r="H1169" t="n">
        <v>0</v>
      </c>
      <c r="I1169" t="n">
        <v>0</v>
      </c>
      <c r="J1169" t="n">
        <v>0</v>
      </c>
      <c r="K1169" t="n">
        <v>0</v>
      </c>
      <c r="L1169" t="n">
        <v>0</v>
      </c>
      <c r="M1169" t="n">
        <v>0</v>
      </c>
      <c r="N1169" t="n">
        <v>0</v>
      </c>
      <c r="O1169" t="n">
        <v>0</v>
      </c>
      <c r="P1169" t="n">
        <v>0</v>
      </c>
      <c r="Q1169" t="n">
        <v>0</v>
      </c>
      <c r="R1169" s="2" t="inlineStr"/>
    </row>
    <row r="1170" ht="15" customHeight="1">
      <c r="A1170" t="inlineStr">
        <is>
          <t>A 41464-2020</t>
        </is>
      </c>
      <c r="B1170" s="1" t="n">
        <v>44069</v>
      </c>
      <c r="C1170" s="1" t="n">
        <v>45724</v>
      </c>
      <c r="D1170" t="inlineStr">
        <is>
          <t>VÄSTMANLANDS LÄN</t>
        </is>
      </c>
      <c r="E1170" t="inlineStr">
        <is>
          <t>KÖPING</t>
        </is>
      </c>
      <c r="G1170" t="n">
        <v>8.1</v>
      </c>
      <c r="H1170" t="n">
        <v>0</v>
      </c>
      <c r="I1170" t="n">
        <v>0</v>
      </c>
      <c r="J1170" t="n">
        <v>0</v>
      </c>
      <c r="K1170" t="n">
        <v>0</v>
      </c>
      <c r="L1170" t="n">
        <v>0</v>
      </c>
      <c r="M1170" t="n">
        <v>0</v>
      </c>
      <c r="N1170" t="n">
        <v>0</v>
      </c>
      <c r="O1170" t="n">
        <v>0</v>
      </c>
      <c r="P1170" t="n">
        <v>0</v>
      </c>
      <c r="Q1170" t="n">
        <v>0</v>
      </c>
      <c r="R1170" s="2" t="inlineStr"/>
    </row>
    <row r="1171" ht="15" customHeight="1">
      <c r="A1171" t="inlineStr">
        <is>
          <t>A 41568-2020</t>
        </is>
      </c>
      <c r="B1171" s="1" t="n">
        <v>44069</v>
      </c>
      <c r="C1171" s="1" t="n">
        <v>45724</v>
      </c>
      <c r="D1171" t="inlineStr">
        <is>
          <t>VÄSTMANLANDS LÄN</t>
        </is>
      </c>
      <c r="E1171" t="inlineStr">
        <is>
          <t>KÖPING</t>
        </is>
      </c>
      <c r="G1171" t="n">
        <v>4.2</v>
      </c>
      <c r="H1171" t="n">
        <v>0</v>
      </c>
      <c r="I1171" t="n">
        <v>0</v>
      </c>
      <c r="J1171" t="n">
        <v>0</v>
      </c>
      <c r="K1171" t="n">
        <v>0</v>
      </c>
      <c r="L1171" t="n">
        <v>0</v>
      </c>
      <c r="M1171" t="n">
        <v>0</v>
      </c>
      <c r="N1171" t="n">
        <v>0</v>
      </c>
      <c r="O1171" t="n">
        <v>0</v>
      </c>
      <c r="P1171" t="n">
        <v>0</v>
      </c>
      <c r="Q1171" t="n">
        <v>0</v>
      </c>
      <c r="R1171" s="2" t="inlineStr"/>
    </row>
    <row r="1172" ht="15" customHeight="1">
      <c r="A1172" t="inlineStr">
        <is>
          <t>A 41074-2020</t>
        </is>
      </c>
      <c r="B1172" s="1" t="n">
        <v>44071</v>
      </c>
      <c r="C1172" s="1" t="n">
        <v>45724</v>
      </c>
      <c r="D1172" t="inlineStr">
        <is>
          <t>VÄSTMANLANDS LÄN</t>
        </is>
      </c>
      <c r="E1172" t="inlineStr">
        <is>
          <t>KÖPING</t>
        </is>
      </c>
      <c r="F1172" t="inlineStr">
        <is>
          <t>Sveaskog</t>
        </is>
      </c>
      <c r="G1172" t="n">
        <v>0.7</v>
      </c>
      <c r="H1172" t="n">
        <v>0</v>
      </c>
      <c r="I1172" t="n">
        <v>0</v>
      </c>
      <c r="J1172" t="n">
        <v>0</v>
      </c>
      <c r="K1172" t="n">
        <v>0</v>
      </c>
      <c r="L1172" t="n">
        <v>0</v>
      </c>
      <c r="M1172" t="n">
        <v>0</v>
      </c>
      <c r="N1172" t="n">
        <v>0</v>
      </c>
      <c r="O1172" t="n">
        <v>0</v>
      </c>
      <c r="P1172" t="n">
        <v>0</v>
      </c>
      <c r="Q1172" t="n">
        <v>0</v>
      </c>
      <c r="R1172" s="2" t="inlineStr"/>
    </row>
    <row r="1173" ht="15" customHeight="1">
      <c r="A1173" t="inlineStr">
        <is>
          <t>A 41441-2020</t>
        </is>
      </c>
      <c r="B1173" s="1" t="n">
        <v>44073</v>
      </c>
      <c r="C1173" s="1" t="n">
        <v>45724</v>
      </c>
      <c r="D1173" t="inlineStr">
        <is>
          <t>VÄSTMANLANDS LÄN</t>
        </is>
      </c>
      <c r="E1173" t="inlineStr">
        <is>
          <t>SKINNSKATTEBERG</t>
        </is>
      </c>
      <c r="F1173" t="inlineStr">
        <is>
          <t>Sveaskog</t>
        </is>
      </c>
      <c r="G1173" t="n">
        <v>1.8</v>
      </c>
      <c r="H1173" t="n">
        <v>0</v>
      </c>
      <c r="I1173" t="n">
        <v>0</v>
      </c>
      <c r="J1173" t="n">
        <v>0</v>
      </c>
      <c r="K1173" t="n">
        <v>0</v>
      </c>
      <c r="L1173" t="n">
        <v>0</v>
      </c>
      <c r="M1173" t="n">
        <v>0</v>
      </c>
      <c r="N1173" t="n">
        <v>0</v>
      </c>
      <c r="O1173" t="n">
        <v>0</v>
      </c>
      <c r="P1173" t="n">
        <v>0</v>
      </c>
      <c r="Q1173" t="n">
        <v>0</v>
      </c>
      <c r="R1173" s="2" t="inlineStr"/>
    </row>
    <row r="1174" ht="15" customHeight="1">
      <c r="A1174" t="inlineStr">
        <is>
          <t>A 41420-2020</t>
        </is>
      </c>
      <c r="B1174" s="1" t="n">
        <v>44073</v>
      </c>
      <c r="C1174" s="1" t="n">
        <v>45724</v>
      </c>
      <c r="D1174" t="inlineStr">
        <is>
          <t>VÄSTMANLANDS LÄN</t>
        </is>
      </c>
      <c r="E1174" t="inlineStr">
        <is>
          <t>SKINNSKATTEBERG</t>
        </is>
      </c>
      <c r="G1174" t="n">
        <v>1.6</v>
      </c>
      <c r="H1174" t="n">
        <v>0</v>
      </c>
      <c r="I1174" t="n">
        <v>0</v>
      </c>
      <c r="J1174" t="n">
        <v>0</v>
      </c>
      <c r="K1174" t="n">
        <v>0</v>
      </c>
      <c r="L1174" t="n">
        <v>0</v>
      </c>
      <c r="M1174" t="n">
        <v>0</v>
      </c>
      <c r="N1174" t="n">
        <v>0</v>
      </c>
      <c r="O1174" t="n">
        <v>0</v>
      </c>
      <c r="P1174" t="n">
        <v>0</v>
      </c>
      <c r="Q1174" t="n">
        <v>0</v>
      </c>
      <c r="R1174" s="2" t="inlineStr"/>
    </row>
    <row r="1175" ht="15" customHeight="1">
      <c r="A1175" t="inlineStr">
        <is>
          <t>A 41493-2020</t>
        </is>
      </c>
      <c r="B1175" s="1" t="n">
        <v>44074</v>
      </c>
      <c r="C1175" s="1" t="n">
        <v>45724</v>
      </c>
      <c r="D1175" t="inlineStr">
        <is>
          <t>VÄSTMANLANDS LÄN</t>
        </is>
      </c>
      <c r="E1175" t="inlineStr">
        <is>
          <t>SALA</t>
        </is>
      </c>
      <c r="G1175" t="n">
        <v>2.4</v>
      </c>
      <c r="H1175" t="n">
        <v>0</v>
      </c>
      <c r="I1175" t="n">
        <v>0</v>
      </c>
      <c r="J1175" t="n">
        <v>0</v>
      </c>
      <c r="K1175" t="n">
        <v>0</v>
      </c>
      <c r="L1175" t="n">
        <v>0</v>
      </c>
      <c r="M1175" t="n">
        <v>0</v>
      </c>
      <c r="N1175" t="n">
        <v>0</v>
      </c>
      <c r="O1175" t="n">
        <v>0</v>
      </c>
      <c r="P1175" t="n">
        <v>0</v>
      </c>
      <c r="Q1175" t="n">
        <v>0</v>
      </c>
      <c r="R1175" s="2" t="inlineStr"/>
    </row>
    <row r="1176" ht="15" customHeight="1">
      <c r="A1176" t="inlineStr">
        <is>
          <t>A 41640-2020</t>
        </is>
      </c>
      <c r="B1176" s="1" t="n">
        <v>44074</v>
      </c>
      <c r="C1176" s="1" t="n">
        <v>45724</v>
      </c>
      <c r="D1176" t="inlineStr">
        <is>
          <t>VÄSTMANLANDS LÄN</t>
        </is>
      </c>
      <c r="E1176" t="inlineStr">
        <is>
          <t>ARBOGA</t>
        </is>
      </c>
      <c r="F1176" t="inlineStr">
        <is>
          <t>Allmännings- och besparingsskogar</t>
        </is>
      </c>
      <c r="G1176" t="n">
        <v>13</v>
      </c>
      <c r="H1176" t="n">
        <v>0</v>
      </c>
      <c r="I1176" t="n">
        <v>0</v>
      </c>
      <c r="J1176" t="n">
        <v>0</v>
      </c>
      <c r="K1176" t="n">
        <v>0</v>
      </c>
      <c r="L1176" t="n">
        <v>0</v>
      </c>
      <c r="M1176" t="n">
        <v>0</v>
      </c>
      <c r="N1176" t="n">
        <v>0</v>
      </c>
      <c r="O1176" t="n">
        <v>0</v>
      </c>
      <c r="P1176" t="n">
        <v>0</v>
      </c>
      <c r="Q1176" t="n">
        <v>0</v>
      </c>
      <c r="R1176" s="2" t="inlineStr"/>
    </row>
    <row r="1177" ht="15" customHeight="1">
      <c r="A1177" t="inlineStr">
        <is>
          <t>A 41654-2020</t>
        </is>
      </c>
      <c r="B1177" s="1" t="n">
        <v>44074</v>
      </c>
      <c r="C1177" s="1" t="n">
        <v>45724</v>
      </c>
      <c r="D1177" t="inlineStr">
        <is>
          <t>VÄSTMANLANDS LÄN</t>
        </is>
      </c>
      <c r="E1177" t="inlineStr">
        <is>
          <t>KUNGSÖR</t>
        </is>
      </c>
      <c r="F1177" t="inlineStr">
        <is>
          <t>Allmännings- och besparingsskogar</t>
        </is>
      </c>
      <c r="G1177" t="n">
        <v>14.1</v>
      </c>
      <c r="H1177" t="n">
        <v>0</v>
      </c>
      <c r="I1177" t="n">
        <v>0</v>
      </c>
      <c r="J1177" t="n">
        <v>0</v>
      </c>
      <c r="K1177" t="n">
        <v>0</v>
      </c>
      <c r="L1177" t="n">
        <v>0</v>
      </c>
      <c r="M1177" t="n">
        <v>0</v>
      </c>
      <c r="N1177" t="n">
        <v>0</v>
      </c>
      <c r="O1177" t="n">
        <v>0</v>
      </c>
      <c r="P1177" t="n">
        <v>0</v>
      </c>
      <c r="Q1177" t="n">
        <v>0</v>
      </c>
      <c r="R1177" s="2" t="inlineStr"/>
    </row>
    <row r="1178" ht="15" customHeight="1">
      <c r="A1178" t="inlineStr">
        <is>
          <t>A 41485-2020</t>
        </is>
      </c>
      <c r="B1178" s="1" t="n">
        <v>44074</v>
      </c>
      <c r="C1178" s="1" t="n">
        <v>45724</v>
      </c>
      <c r="D1178" t="inlineStr">
        <is>
          <t>VÄSTMANLANDS LÄN</t>
        </is>
      </c>
      <c r="E1178" t="inlineStr">
        <is>
          <t>SALA</t>
        </is>
      </c>
      <c r="G1178" t="n">
        <v>4.7</v>
      </c>
      <c r="H1178" t="n">
        <v>0</v>
      </c>
      <c r="I1178" t="n">
        <v>0</v>
      </c>
      <c r="J1178" t="n">
        <v>0</v>
      </c>
      <c r="K1178" t="n">
        <v>0</v>
      </c>
      <c r="L1178" t="n">
        <v>0</v>
      </c>
      <c r="M1178" t="n">
        <v>0</v>
      </c>
      <c r="N1178" t="n">
        <v>0</v>
      </c>
      <c r="O1178" t="n">
        <v>0</v>
      </c>
      <c r="P1178" t="n">
        <v>0</v>
      </c>
      <c r="Q1178" t="n">
        <v>0</v>
      </c>
      <c r="R1178" s="2" t="inlineStr"/>
    </row>
    <row r="1179" ht="15" customHeight="1">
      <c r="A1179" t="inlineStr">
        <is>
          <t>A 41980-2020</t>
        </is>
      </c>
      <c r="B1179" s="1" t="n">
        <v>44075</v>
      </c>
      <c r="C1179" s="1" t="n">
        <v>45724</v>
      </c>
      <c r="D1179" t="inlineStr">
        <is>
          <t>VÄSTMANLANDS LÄN</t>
        </is>
      </c>
      <c r="E1179" t="inlineStr">
        <is>
          <t>VÄSTERÅS</t>
        </is>
      </c>
      <c r="F1179" t="inlineStr">
        <is>
          <t>Sveaskog</t>
        </is>
      </c>
      <c r="G1179" t="n">
        <v>2.4</v>
      </c>
      <c r="H1179" t="n">
        <v>0</v>
      </c>
      <c r="I1179" t="n">
        <v>0</v>
      </c>
      <c r="J1179" t="n">
        <v>0</v>
      </c>
      <c r="K1179" t="n">
        <v>0</v>
      </c>
      <c r="L1179" t="n">
        <v>0</v>
      </c>
      <c r="M1179" t="n">
        <v>0</v>
      </c>
      <c r="N1179" t="n">
        <v>0</v>
      </c>
      <c r="O1179" t="n">
        <v>0</v>
      </c>
      <c r="P1179" t="n">
        <v>0</v>
      </c>
      <c r="Q1179" t="n">
        <v>0</v>
      </c>
      <c r="R1179" s="2" t="inlineStr"/>
    </row>
    <row r="1180" ht="15" customHeight="1">
      <c r="A1180" t="inlineStr">
        <is>
          <t>A 41969-2020</t>
        </is>
      </c>
      <c r="B1180" s="1" t="n">
        <v>44075</v>
      </c>
      <c r="C1180" s="1" t="n">
        <v>45724</v>
      </c>
      <c r="D1180" t="inlineStr">
        <is>
          <t>VÄSTMANLANDS LÄN</t>
        </is>
      </c>
      <c r="E1180" t="inlineStr">
        <is>
          <t>FAGERSTA</t>
        </is>
      </c>
      <c r="F1180" t="inlineStr">
        <is>
          <t>Sveaskog</t>
        </is>
      </c>
      <c r="G1180" t="n">
        <v>2.1</v>
      </c>
      <c r="H1180" t="n">
        <v>0</v>
      </c>
      <c r="I1180" t="n">
        <v>0</v>
      </c>
      <c r="J1180" t="n">
        <v>0</v>
      </c>
      <c r="K1180" t="n">
        <v>0</v>
      </c>
      <c r="L1180" t="n">
        <v>0</v>
      </c>
      <c r="M1180" t="n">
        <v>0</v>
      </c>
      <c r="N1180" t="n">
        <v>0</v>
      </c>
      <c r="O1180" t="n">
        <v>0</v>
      </c>
      <c r="P1180" t="n">
        <v>0</v>
      </c>
      <c r="Q1180" t="n">
        <v>0</v>
      </c>
      <c r="R1180" s="2" t="inlineStr"/>
    </row>
    <row r="1181" ht="15" customHeight="1">
      <c r="A1181" t="inlineStr">
        <is>
          <t>A 41971-2020</t>
        </is>
      </c>
      <c r="B1181" s="1" t="n">
        <v>44075</v>
      </c>
      <c r="C1181" s="1" t="n">
        <v>45724</v>
      </c>
      <c r="D1181" t="inlineStr">
        <is>
          <t>VÄSTMANLANDS LÄN</t>
        </is>
      </c>
      <c r="E1181" t="inlineStr">
        <is>
          <t>FAGERSTA</t>
        </is>
      </c>
      <c r="F1181" t="inlineStr">
        <is>
          <t>Sveaskog</t>
        </is>
      </c>
      <c r="G1181" t="n">
        <v>1.1</v>
      </c>
      <c r="H1181" t="n">
        <v>0</v>
      </c>
      <c r="I1181" t="n">
        <v>0</v>
      </c>
      <c r="J1181" t="n">
        <v>0</v>
      </c>
      <c r="K1181" t="n">
        <v>0</v>
      </c>
      <c r="L1181" t="n">
        <v>0</v>
      </c>
      <c r="M1181" t="n">
        <v>0</v>
      </c>
      <c r="N1181" t="n">
        <v>0</v>
      </c>
      <c r="O1181" t="n">
        <v>0</v>
      </c>
      <c r="P1181" t="n">
        <v>0</v>
      </c>
      <c r="Q1181" t="n">
        <v>0</v>
      </c>
      <c r="R1181" s="2" t="inlineStr"/>
    </row>
    <row r="1182" ht="15" customHeight="1">
      <c r="A1182" t="inlineStr">
        <is>
          <t>A 41987-2020</t>
        </is>
      </c>
      <c r="B1182" s="1" t="n">
        <v>44075</v>
      </c>
      <c r="C1182" s="1" t="n">
        <v>45724</v>
      </c>
      <c r="D1182" t="inlineStr">
        <is>
          <t>VÄSTMANLANDS LÄN</t>
        </is>
      </c>
      <c r="E1182" t="inlineStr">
        <is>
          <t>SKINNSKATTEBERG</t>
        </is>
      </c>
      <c r="F1182" t="inlineStr">
        <is>
          <t>Sveaskog</t>
        </is>
      </c>
      <c r="G1182" t="n">
        <v>1.9</v>
      </c>
      <c r="H1182" t="n">
        <v>0</v>
      </c>
      <c r="I1182" t="n">
        <v>0</v>
      </c>
      <c r="J1182" t="n">
        <v>0</v>
      </c>
      <c r="K1182" t="n">
        <v>0</v>
      </c>
      <c r="L1182" t="n">
        <v>0</v>
      </c>
      <c r="M1182" t="n">
        <v>0</v>
      </c>
      <c r="N1182" t="n">
        <v>0</v>
      </c>
      <c r="O1182" t="n">
        <v>0</v>
      </c>
      <c r="P1182" t="n">
        <v>0</v>
      </c>
      <c r="Q1182" t="n">
        <v>0</v>
      </c>
      <c r="R1182" s="2" t="inlineStr"/>
    </row>
    <row r="1183" ht="15" customHeight="1">
      <c r="A1183" t="inlineStr">
        <is>
          <t>A 42344-2020</t>
        </is>
      </c>
      <c r="B1183" s="1" t="n">
        <v>44076</v>
      </c>
      <c r="C1183" s="1" t="n">
        <v>45724</v>
      </c>
      <c r="D1183" t="inlineStr">
        <is>
          <t>VÄSTMANLANDS LÄN</t>
        </is>
      </c>
      <c r="E1183" t="inlineStr">
        <is>
          <t>SALA</t>
        </is>
      </c>
      <c r="G1183" t="n">
        <v>5.1</v>
      </c>
      <c r="H1183" t="n">
        <v>0</v>
      </c>
      <c r="I1183" t="n">
        <v>0</v>
      </c>
      <c r="J1183" t="n">
        <v>0</v>
      </c>
      <c r="K1183" t="n">
        <v>0</v>
      </c>
      <c r="L1183" t="n">
        <v>0</v>
      </c>
      <c r="M1183" t="n">
        <v>0</v>
      </c>
      <c r="N1183" t="n">
        <v>0</v>
      </c>
      <c r="O1183" t="n">
        <v>0</v>
      </c>
      <c r="P1183" t="n">
        <v>0</v>
      </c>
      <c r="Q1183" t="n">
        <v>0</v>
      </c>
      <c r="R1183" s="2" t="inlineStr"/>
    </row>
    <row r="1184" ht="15" customHeight="1">
      <c r="A1184" t="inlineStr">
        <is>
          <t>A 42309-2020</t>
        </is>
      </c>
      <c r="B1184" s="1" t="n">
        <v>44076</v>
      </c>
      <c r="C1184" s="1" t="n">
        <v>45724</v>
      </c>
      <c r="D1184" t="inlineStr">
        <is>
          <t>VÄSTMANLANDS LÄN</t>
        </is>
      </c>
      <c r="E1184" t="inlineStr">
        <is>
          <t>KÖPING</t>
        </is>
      </c>
      <c r="F1184" t="inlineStr">
        <is>
          <t>Allmännings- och besparingsskogar</t>
        </is>
      </c>
      <c r="G1184" t="n">
        <v>5.4</v>
      </c>
      <c r="H1184" t="n">
        <v>0</v>
      </c>
      <c r="I1184" t="n">
        <v>0</v>
      </c>
      <c r="J1184" t="n">
        <v>0</v>
      </c>
      <c r="K1184" t="n">
        <v>0</v>
      </c>
      <c r="L1184" t="n">
        <v>0</v>
      </c>
      <c r="M1184" t="n">
        <v>0</v>
      </c>
      <c r="N1184" t="n">
        <v>0</v>
      </c>
      <c r="O1184" t="n">
        <v>0</v>
      </c>
      <c r="P1184" t="n">
        <v>0</v>
      </c>
      <c r="Q1184" t="n">
        <v>0</v>
      </c>
      <c r="R1184" s="2" t="inlineStr"/>
    </row>
    <row r="1185" ht="15" customHeight="1">
      <c r="A1185" t="inlineStr">
        <is>
          <t>A 42345-2020</t>
        </is>
      </c>
      <c r="B1185" s="1" t="n">
        <v>44076</v>
      </c>
      <c r="C1185" s="1" t="n">
        <v>45724</v>
      </c>
      <c r="D1185" t="inlineStr">
        <is>
          <t>VÄSTMANLANDS LÄN</t>
        </is>
      </c>
      <c r="E1185" t="inlineStr">
        <is>
          <t>SALA</t>
        </is>
      </c>
      <c r="G1185" t="n">
        <v>1.3</v>
      </c>
      <c r="H1185" t="n">
        <v>0</v>
      </c>
      <c r="I1185" t="n">
        <v>0</v>
      </c>
      <c r="J1185" t="n">
        <v>0</v>
      </c>
      <c r="K1185" t="n">
        <v>0</v>
      </c>
      <c r="L1185" t="n">
        <v>0</v>
      </c>
      <c r="M1185" t="n">
        <v>0</v>
      </c>
      <c r="N1185" t="n">
        <v>0</v>
      </c>
      <c r="O1185" t="n">
        <v>0</v>
      </c>
      <c r="P1185" t="n">
        <v>0</v>
      </c>
      <c r="Q1185" t="n">
        <v>0</v>
      </c>
      <c r="R1185" s="2" t="inlineStr"/>
    </row>
    <row r="1186" ht="15" customHeight="1">
      <c r="A1186" t="inlineStr">
        <is>
          <t>A 42346-2020</t>
        </is>
      </c>
      <c r="B1186" s="1" t="n">
        <v>44076</v>
      </c>
      <c r="C1186" s="1" t="n">
        <v>45724</v>
      </c>
      <c r="D1186" t="inlineStr">
        <is>
          <t>VÄSTMANLANDS LÄN</t>
        </is>
      </c>
      <c r="E1186" t="inlineStr">
        <is>
          <t>SALA</t>
        </is>
      </c>
      <c r="G1186" t="n">
        <v>1.7</v>
      </c>
      <c r="H1186" t="n">
        <v>0</v>
      </c>
      <c r="I1186" t="n">
        <v>0</v>
      </c>
      <c r="J1186" t="n">
        <v>0</v>
      </c>
      <c r="K1186" t="n">
        <v>0</v>
      </c>
      <c r="L1186" t="n">
        <v>0</v>
      </c>
      <c r="M1186" t="n">
        <v>0</v>
      </c>
      <c r="N1186" t="n">
        <v>0</v>
      </c>
      <c r="O1186" t="n">
        <v>0</v>
      </c>
      <c r="P1186" t="n">
        <v>0</v>
      </c>
      <c r="Q1186" t="n">
        <v>0</v>
      </c>
      <c r="R1186" s="2" t="inlineStr"/>
    </row>
    <row r="1187" ht="15" customHeight="1">
      <c r="A1187" t="inlineStr">
        <is>
          <t>A 42915-2020</t>
        </is>
      </c>
      <c r="B1187" s="1" t="n">
        <v>44078</v>
      </c>
      <c r="C1187" s="1" t="n">
        <v>45724</v>
      </c>
      <c r="D1187" t="inlineStr">
        <is>
          <t>VÄSTMANLANDS LÄN</t>
        </is>
      </c>
      <c r="E1187" t="inlineStr">
        <is>
          <t>VÄSTERÅS</t>
        </is>
      </c>
      <c r="G1187" t="n">
        <v>5.3</v>
      </c>
      <c r="H1187" t="n">
        <v>0</v>
      </c>
      <c r="I1187" t="n">
        <v>0</v>
      </c>
      <c r="J1187" t="n">
        <v>0</v>
      </c>
      <c r="K1187" t="n">
        <v>0</v>
      </c>
      <c r="L1187" t="n">
        <v>0</v>
      </c>
      <c r="M1187" t="n">
        <v>0</v>
      </c>
      <c r="N1187" t="n">
        <v>0</v>
      </c>
      <c r="O1187" t="n">
        <v>0</v>
      </c>
      <c r="P1187" t="n">
        <v>0</v>
      </c>
      <c r="Q1187" t="n">
        <v>0</v>
      </c>
      <c r="R1187" s="2" t="inlineStr"/>
    </row>
    <row r="1188" ht="15" customHeight="1">
      <c r="A1188" t="inlineStr">
        <is>
          <t>A 42875-2020</t>
        </is>
      </c>
      <c r="B1188" s="1" t="n">
        <v>44078</v>
      </c>
      <c r="C1188" s="1" t="n">
        <v>45724</v>
      </c>
      <c r="D1188" t="inlineStr">
        <is>
          <t>VÄSTMANLANDS LÄN</t>
        </is>
      </c>
      <c r="E1188" t="inlineStr">
        <is>
          <t>VÄSTERÅS</t>
        </is>
      </c>
      <c r="G1188" t="n">
        <v>7.7</v>
      </c>
      <c r="H1188" t="n">
        <v>0</v>
      </c>
      <c r="I1188" t="n">
        <v>0</v>
      </c>
      <c r="J1188" t="n">
        <v>0</v>
      </c>
      <c r="K1188" t="n">
        <v>0</v>
      </c>
      <c r="L1188" t="n">
        <v>0</v>
      </c>
      <c r="M1188" t="n">
        <v>0</v>
      </c>
      <c r="N1188" t="n">
        <v>0</v>
      </c>
      <c r="O1188" t="n">
        <v>0</v>
      </c>
      <c r="P1188" t="n">
        <v>0</v>
      </c>
      <c r="Q1188" t="n">
        <v>0</v>
      </c>
      <c r="R1188" s="2" t="inlineStr"/>
    </row>
    <row r="1189" ht="15" customHeight="1">
      <c r="A1189" t="inlineStr">
        <is>
          <t>A 43171-2020</t>
        </is>
      </c>
      <c r="B1189" s="1" t="n">
        <v>44081</v>
      </c>
      <c r="C1189" s="1" t="n">
        <v>45724</v>
      </c>
      <c r="D1189" t="inlineStr">
        <is>
          <t>VÄSTMANLANDS LÄN</t>
        </is>
      </c>
      <c r="E1189" t="inlineStr">
        <is>
          <t>SURAHAMMAR</t>
        </is>
      </c>
      <c r="F1189" t="inlineStr">
        <is>
          <t>Sveaskog</t>
        </is>
      </c>
      <c r="G1189" t="n">
        <v>2.6</v>
      </c>
      <c r="H1189" t="n">
        <v>0</v>
      </c>
      <c r="I1189" t="n">
        <v>0</v>
      </c>
      <c r="J1189" t="n">
        <v>0</v>
      </c>
      <c r="K1189" t="n">
        <v>0</v>
      </c>
      <c r="L1189" t="n">
        <v>0</v>
      </c>
      <c r="M1189" t="n">
        <v>0</v>
      </c>
      <c r="N1189" t="n">
        <v>0</v>
      </c>
      <c r="O1189" t="n">
        <v>0</v>
      </c>
      <c r="P1189" t="n">
        <v>0</v>
      </c>
      <c r="Q1189" t="n">
        <v>0</v>
      </c>
      <c r="R1189" s="2" t="inlineStr"/>
    </row>
    <row r="1190" ht="15" customHeight="1">
      <c r="A1190" t="inlineStr">
        <is>
          <t>A 43244-2020</t>
        </is>
      </c>
      <c r="B1190" s="1" t="n">
        <v>44081</v>
      </c>
      <c r="C1190" s="1" t="n">
        <v>45724</v>
      </c>
      <c r="D1190" t="inlineStr">
        <is>
          <t>VÄSTMANLANDS LÄN</t>
        </is>
      </c>
      <c r="E1190" t="inlineStr">
        <is>
          <t>KÖPING</t>
        </is>
      </c>
      <c r="F1190" t="inlineStr">
        <is>
          <t>Sveaskog</t>
        </is>
      </c>
      <c r="G1190" t="n">
        <v>0.5</v>
      </c>
      <c r="H1190" t="n">
        <v>0</v>
      </c>
      <c r="I1190" t="n">
        <v>0</v>
      </c>
      <c r="J1190" t="n">
        <v>0</v>
      </c>
      <c r="K1190" t="n">
        <v>0</v>
      </c>
      <c r="L1190" t="n">
        <v>0</v>
      </c>
      <c r="M1190" t="n">
        <v>0</v>
      </c>
      <c r="N1190" t="n">
        <v>0</v>
      </c>
      <c r="O1190" t="n">
        <v>0</v>
      </c>
      <c r="P1190" t="n">
        <v>0</v>
      </c>
      <c r="Q1190" t="n">
        <v>0</v>
      </c>
      <c r="R1190" s="2" t="inlineStr"/>
    </row>
    <row r="1191" ht="15" customHeight="1">
      <c r="A1191" t="inlineStr">
        <is>
          <t>A 43174-2020</t>
        </is>
      </c>
      <c r="B1191" s="1" t="n">
        <v>44081</v>
      </c>
      <c r="C1191" s="1" t="n">
        <v>45724</v>
      </c>
      <c r="D1191" t="inlineStr">
        <is>
          <t>VÄSTMANLANDS LÄN</t>
        </is>
      </c>
      <c r="E1191" t="inlineStr">
        <is>
          <t>SURAHAMMAR</t>
        </is>
      </c>
      <c r="F1191" t="inlineStr">
        <is>
          <t>Sveaskog</t>
        </is>
      </c>
      <c r="G1191" t="n">
        <v>0.8</v>
      </c>
      <c r="H1191" t="n">
        <v>0</v>
      </c>
      <c r="I1191" t="n">
        <v>0</v>
      </c>
      <c r="J1191" t="n">
        <v>0</v>
      </c>
      <c r="K1191" t="n">
        <v>0</v>
      </c>
      <c r="L1191" t="n">
        <v>0</v>
      </c>
      <c r="M1191" t="n">
        <v>0</v>
      </c>
      <c r="N1191" t="n">
        <v>0</v>
      </c>
      <c r="O1191" t="n">
        <v>0</v>
      </c>
      <c r="P1191" t="n">
        <v>0</v>
      </c>
      <c r="Q1191" t="n">
        <v>0</v>
      </c>
      <c r="R1191" s="2" t="inlineStr"/>
    </row>
    <row r="1192" ht="15" customHeight="1">
      <c r="A1192" t="inlineStr">
        <is>
          <t>A 43349-2020</t>
        </is>
      </c>
      <c r="B1192" s="1" t="n">
        <v>44081</v>
      </c>
      <c r="C1192" s="1" t="n">
        <v>45724</v>
      </c>
      <c r="D1192" t="inlineStr">
        <is>
          <t>VÄSTMANLANDS LÄN</t>
        </is>
      </c>
      <c r="E1192" t="inlineStr">
        <is>
          <t>SALA</t>
        </is>
      </c>
      <c r="G1192" t="n">
        <v>1.8</v>
      </c>
      <c r="H1192" t="n">
        <v>0</v>
      </c>
      <c r="I1192" t="n">
        <v>0</v>
      </c>
      <c r="J1192" t="n">
        <v>0</v>
      </c>
      <c r="K1192" t="n">
        <v>0</v>
      </c>
      <c r="L1192" t="n">
        <v>0</v>
      </c>
      <c r="M1192" t="n">
        <v>0</v>
      </c>
      <c r="N1192" t="n">
        <v>0</v>
      </c>
      <c r="O1192" t="n">
        <v>0</v>
      </c>
      <c r="P1192" t="n">
        <v>0</v>
      </c>
      <c r="Q1192" t="n">
        <v>0</v>
      </c>
      <c r="R1192" s="2" t="inlineStr"/>
    </row>
    <row r="1193" ht="15" customHeight="1">
      <c r="A1193" t="inlineStr">
        <is>
          <t>A 43177-2020</t>
        </is>
      </c>
      <c r="B1193" s="1" t="n">
        <v>44081</v>
      </c>
      <c r="C1193" s="1" t="n">
        <v>45724</v>
      </c>
      <c r="D1193" t="inlineStr">
        <is>
          <t>VÄSTMANLANDS LÄN</t>
        </is>
      </c>
      <c r="E1193" t="inlineStr">
        <is>
          <t>SURAHAMMAR</t>
        </is>
      </c>
      <c r="F1193" t="inlineStr">
        <is>
          <t>Sveaskog</t>
        </is>
      </c>
      <c r="G1193" t="n">
        <v>2.3</v>
      </c>
      <c r="H1193" t="n">
        <v>0</v>
      </c>
      <c r="I1193" t="n">
        <v>0</v>
      </c>
      <c r="J1193" t="n">
        <v>0</v>
      </c>
      <c r="K1193" t="n">
        <v>0</v>
      </c>
      <c r="L1193" t="n">
        <v>0</v>
      </c>
      <c r="M1193" t="n">
        <v>0</v>
      </c>
      <c r="N1193" t="n">
        <v>0</v>
      </c>
      <c r="O1193" t="n">
        <v>0</v>
      </c>
      <c r="P1193" t="n">
        <v>0</v>
      </c>
      <c r="Q1193" t="n">
        <v>0</v>
      </c>
      <c r="R1193" s="2" t="inlineStr"/>
    </row>
    <row r="1194" ht="15" customHeight="1">
      <c r="A1194" t="inlineStr">
        <is>
          <t>A 43590-2020</t>
        </is>
      </c>
      <c r="B1194" s="1" t="n">
        <v>44082</v>
      </c>
      <c r="C1194" s="1" t="n">
        <v>45724</v>
      </c>
      <c r="D1194" t="inlineStr">
        <is>
          <t>VÄSTMANLANDS LÄN</t>
        </is>
      </c>
      <c r="E1194" t="inlineStr">
        <is>
          <t>SURAHAMMAR</t>
        </is>
      </c>
      <c r="F1194" t="inlineStr">
        <is>
          <t>Sveaskog</t>
        </is>
      </c>
      <c r="G1194" t="n">
        <v>2.1</v>
      </c>
      <c r="H1194" t="n">
        <v>0</v>
      </c>
      <c r="I1194" t="n">
        <v>0</v>
      </c>
      <c r="J1194" t="n">
        <v>0</v>
      </c>
      <c r="K1194" t="n">
        <v>0</v>
      </c>
      <c r="L1194" t="n">
        <v>0</v>
      </c>
      <c r="M1194" t="n">
        <v>0</v>
      </c>
      <c r="N1194" t="n">
        <v>0</v>
      </c>
      <c r="O1194" t="n">
        <v>0</v>
      </c>
      <c r="P1194" t="n">
        <v>0</v>
      </c>
      <c r="Q1194" t="n">
        <v>0</v>
      </c>
      <c r="R1194" s="2" t="inlineStr"/>
    </row>
    <row r="1195" ht="15" customHeight="1">
      <c r="A1195" t="inlineStr">
        <is>
          <t>A 43614-2020</t>
        </is>
      </c>
      <c r="B1195" s="1" t="n">
        <v>44082</v>
      </c>
      <c r="C1195" s="1" t="n">
        <v>45724</v>
      </c>
      <c r="D1195" t="inlineStr">
        <is>
          <t>VÄSTMANLANDS LÄN</t>
        </is>
      </c>
      <c r="E1195" t="inlineStr">
        <is>
          <t>VÄSTERÅS</t>
        </is>
      </c>
      <c r="G1195" t="n">
        <v>2.6</v>
      </c>
      <c r="H1195" t="n">
        <v>0</v>
      </c>
      <c r="I1195" t="n">
        <v>0</v>
      </c>
      <c r="J1195" t="n">
        <v>0</v>
      </c>
      <c r="K1195" t="n">
        <v>0</v>
      </c>
      <c r="L1195" t="n">
        <v>0</v>
      </c>
      <c r="M1195" t="n">
        <v>0</v>
      </c>
      <c r="N1195" t="n">
        <v>0</v>
      </c>
      <c r="O1195" t="n">
        <v>0</v>
      </c>
      <c r="P1195" t="n">
        <v>0</v>
      </c>
      <c r="Q1195" t="n">
        <v>0</v>
      </c>
      <c r="R1195" s="2" t="inlineStr"/>
    </row>
    <row r="1196" ht="15" customHeight="1">
      <c r="A1196" t="inlineStr">
        <is>
          <t>A 44008-2020</t>
        </is>
      </c>
      <c r="B1196" s="1" t="n">
        <v>44083</v>
      </c>
      <c r="C1196" s="1" t="n">
        <v>45724</v>
      </c>
      <c r="D1196" t="inlineStr">
        <is>
          <t>VÄSTMANLANDS LÄN</t>
        </is>
      </c>
      <c r="E1196" t="inlineStr">
        <is>
          <t>VÄSTERÅS</t>
        </is>
      </c>
      <c r="G1196" t="n">
        <v>1.1</v>
      </c>
      <c r="H1196" t="n">
        <v>0</v>
      </c>
      <c r="I1196" t="n">
        <v>0</v>
      </c>
      <c r="J1196" t="n">
        <v>0</v>
      </c>
      <c r="K1196" t="n">
        <v>0</v>
      </c>
      <c r="L1196" t="n">
        <v>0</v>
      </c>
      <c r="M1196" t="n">
        <v>0</v>
      </c>
      <c r="N1196" t="n">
        <v>0</v>
      </c>
      <c r="O1196" t="n">
        <v>0</v>
      </c>
      <c r="P1196" t="n">
        <v>0</v>
      </c>
      <c r="Q1196" t="n">
        <v>0</v>
      </c>
      <c r="R1196" s="2" t="inlineStr"/>
    </row>
    <row r="1197" ht="15" customHeight="1">
      <c r="A1197" t="inlineStr">
        <is>
          <t>A 44091-2020</t>
        </is>
      </c>
      <c r="B1197" s="1" t="n">
        <v>44083</v>
      </c>
      <c r="C1197" s="1" t="n">
        <v>45724</v>
      </c>
      <c r="D1197" t="inlineStr">
        <is>
          <t>VÄSTMANLANDS LÄN</t>
        </is>
      </c>
      <c r="E1197" t="inlineStr">
        <is>
          <t>ARBOGA</t>
        </is>
      </c>
      <c r="G1197" t="n">
        <v>1.7</v>
      </c>
      <c r="H1197" t="n">
        <v>0</v>
      </c>
      <c r="I1197" t="n">
        <v>0</v>
      </c>
      <c r="J1197" t="n">
        <v>0</v>
      </c>
      <c r="K1197" t="n">
        <v>0</v>
      </c>
      <c r="L1197" t="n">
        <v>0</v>
      </c>
      <c r="M1197" t="n">
        <v>0</v>
      </c>
      <c r="N1197" t="n">
        <v>0</v>
      </c>
      <c r="O1197" t="n">
        <v>0</v>
      </c>
      <c r="P1197" t="n">
        <v>0</v>
      </c>
      <c r="Q1197" t="n">
        <v>0</v>
      </c>
      <c r="R1197" s="2" t="inlineStr"/>
    </row>
    <row r="1198" ht="15" customHeight="1">
      <c r="A1198" t="inlineStr">
        <is>
          <t>A 44143-2020</t>
        </is>
      </c>
      <c r="B1198" s="1" t="n">
        <v>44083</v>
      </c>
      <c r="C1198" s="1" t="n">
        <v>45724</v>
      </c>
      <c r="D1198" t="inlineStr">
        <is>
          <t>VÄSTMANLANDS LÄN</t>
        </is>
      </c>
      <c r="E1198" t="inlineStr">
        <is>
          <t>VÄSTERÅS</t>
        </is>
      </c>
      <c r="G1198" t="n">
        <v>6.2</v>
      </c>
      <c r="H1198" t="n">
        <v>0</v>
      </c>
      <c r="I1198" t="n">
        <v>0</v>
      </c>
      <c r="J1198" t="n">
        <v>0</v>
      </c>
      <c r="K1198" t="n">
        <v>0</v>
      </c>
      <c r="L1198" t="n">
        <v>0</v>
      </c>
      <c r="M1198" t="n">
        <v>0</v>
      </c>
      <c r="N1198" t="n">
        <v>0</v>
      </c>
      <c r="O1198" t="n">
        <v>0</v>
      </c>
      <c r="P1198" t="n">
        <v>0</v>
      </c>
      <c r="Q1198" t="n">
        <v>0</v>
      </c>
      <c r="R1198" s="2" t="inlineStr"/>
    </row>
    <row r="1199" ht="15" customHeight="1">
      <c r="A1199" t="inlineStr">
        <is>
          <t>A 44145-2020</t>
        </is>
      </c>
      <c r="B1199" s="1" t="n">
        <v>44083</v>
      </c>
      <c r="C1199" s="1" t="n">
        <v>45724</v>
      </c>
      <c r="D1199" t="inlineStr">
        <is>
          <t>VÄSTMANLANDS LÄN</t>
        </is>
      </c>
      <c r="E1199" t="inlineStr">
        <is>
          <t>HALLSTAHAMMAR</t>
        </is>
      </c>
      <c r="F1199" t="inlineStr">
        <is>
          <t>Kyrkan</t>
        </is>
      </c>
      <c r="G1199" t="n">
        <v>0.9</v>
      </c>
      <c r="H1199" t="n">
        <v>0</v>
      </c>
      <c r="I1199" t="n">
        <v>0</v>
      </c>
      <c r="J1199" t="n">
        <v>0</v>
      </c>
      <c r="K1199" t="n">
        <v>0</v>
      </c>
      <c r="L1199" t="n">
        <v>0</v>
      </c>
      <c r="M1199" t="n">
        <v>0</v>
      </c>
      <c r="N1199" t="n">
        <v>0</v>
      </c>
      <c r="O1199" t="n">
        <v>0</v>
      </c>
      <c r="P1199" t="n">
        <v>0</v>
      </c>
      <c r="Q1199" t="n">
        <v>0</v>
      </c>
      <c r="R1199" s="2" t="inlineStr"/>
    </row>
    <row r="1200" ht="15" customHeight="1">
      <c r="A1200" t="inlineStr">
        <is>
          <t>A 44152-2020</t>
        </is>
      </c>
      <c r="B1200" s="1" t="n">
        <v>44083</v>
      </c>
      <c r="C1200" s="1" t="n">
        <v>45724</v>
      </c>
      <c r="D1200" t="inlineStr">
        <is>
          <t>VÄSTMANLANDS LÄN</t>
        </is>
      </c>
      <c r="E1200" t="inlineStr">
        <is>
          <t>SKINNSKATTEBERG</t>
        </is>
      </c>
      <c r="G1200" t="n">
        <v>1.3</v>
      </c>
      <c r="H1200" t="n">
        <v>0</v>
      </c>
      <c r="I1200" t="n">
        <v>0</v>
      </c>
      <c r="J1200" t="n">
        <v>0</v>
      </c>
      <c r="K1200" t="n">
        <v>0</v>
      </c>
      <c r="L1200" t="n">
        <v>0</v>
      </c>
      <c r="M1200" t="n">
        <v>0</v>
      </c>
      <c r="N1200" t="n">
        <v>0</v>
      </c>
      <c r="O1200" t="n">
        <v>0</v>
      </c>
      <c r="P1200" t="n">
        <v>0</v>
      </c>
      <c r="Q1200" t="n">
        <v>0</v>
      </c>
      <c r="R1200" s="2" t="inlineStr"/>
    </row>
    <row r="1201" ht="15" customHeight="1">
      <c r="A1201" t="inlineStr">
        <is>
          <t>A 44363-2020</t>
        </is>
      </c>
      <c r="B1201" s="1" t="n">
        <v>44084</v>
      </c>
      <c r="C1201" s="1" t="n">
        <v>45724</v>
      </c>
      <c r="D1201" t="inlineStr">
        <is>
          <t>VÄSTMANLANDS LÄN</t>
        </is>
      </c>
      <c r="E1201" t="inlineStr">
        <is>
          <t>NORBERG</t>
        </is>
      </c>
      <c r="F1201" t="inlineStr">
        <is>
          <t>Bergvik skog väst AB</t>
        </is>
      </c>
      <c r="G1201" t="n">
        <v>3.9</v>
      </c>
      <c r="H1201" t="n">
        <v>0</v>
      </c>
      <c r="I1201" t="n">
        <v>0</v>
      </c>
      <c r="J1201" t="n">
        <v>0</v>
      </c>
      <c r="K1201" t="n">
        <v>0</v>
      </c>
      <c r="L1201" t="n">
        <v>0</v>
      </c>
      <c r="M1201" t="n">
        <v>0</v>
      </c>
      <c r="N1201" t="n">
        <v>0</v>
      </c>
      <c r="O1201" t="n">
        <v>0</v>
      </c>
      <c r="P1201" t="n">
        <v>0</v>
      </c>
      <c r="Q1201" t="n">
        <v>0</v>
      </c>
      <c r="R1201" s="2" t="inlineStr"/>
    </row>
    <row r="1202" ht="15" customHeight="1">
      <c r="A1202" t="inlineStr">
        <is>
          <t>A 44443-2020</t>
        </is>
      </c>
      <c r="B1202" s="1" t="n">
        <v>44084</v>
      </c>
      <c r="C1202" s="1" t="n">
        <v>45724</v>
      </c>
      <c r="D1202" t="inlineStr">
        <is>
          <t>VÄSTMANLANDS LÄN</t>
        </is>
      </c>
      <c r="E1202" t="inlineStr">
        <is>
          <t>HALLSTAHAMMAR</t>
        </is>
      </c>
      <c r="G1202" t="n">
        <v>0.9</v>
      </c>
      <c r="H1202" t="n">
        <v>0</v>
      </c>
      <c r="I1202" t="n">
        <v>0</v>
      </c>
      <c r="J1202" t="n">
        <v>0</v>
      </c>
      <c r="K1202" t="n">
        <v>0</v>
      </c>
      <c r="L1202" t="n">
        <v>0</v>
      </c>
      <c r="M1202" t="n">
        <v>0</v>
      </c>
      <c r="N1202" t="n">
        <v>0</v>
      </c>
      <c r="O1202" t="n">
        <v>0</v>
      </c>
      <c r="P1202" t="n">
        <v>0</v>
      </c>
      <c r="Q1202" t="n">
        <v>0</v>
      </c>
      <c r="R1202" s="2" t="inlineStr"/>
    </row>
    <row r="1203" ht="15" customHeight="1">
      <c r="A1203" t="inlineStr">
        <is>
          <t>A 44474-2020</t>
        </is>
      </c>
      <c r="B1203" s="1" t="n">
        <v>44084</v>
      </c>
      <c r="C1203" s="1" t="n">
        <v>45724</v>
      </c>
      <c r="D1203" t="inlineStr">
        <is>
          <t>VÄSTMANLANDS LÄN</t>
        </is>
      </c>
      <c r="E1203" t="inlineStr">
        <is>
          <t>KUNGSÖR</t>
        </is>
      </c>
      <c r="G1203" t="n">
        <v>3.9</v>
      </c>
      <c r="H1203" t="n">
        <v>0</v>
      </c>
      <c r="I1203" t="n">
        <v>0</v>
      </c>
      <c r="J1203" t="n">
        <v>0</v>
      </c>
      <c r="K1203" t="n">
        <v>0</v>
      </c>
      <c r="L1203" t="n">
        <v>0</v>
      </c>
      <c r="M1203" t="n">
        <v>0</v>
      </c>
      <c r="N1203" t="n">
        <v>0</v>
      </c>
      <c r="O1203" t="n">
        <v>0</v>
      </c>
      <c r="P1203" t="n">
        <v>0</v>
      </c>
      <c r="Q1203" t="n">
        <v>0</v>
      </c>
      <c r="R1203" s="2" t="inlineStr"/>
    </row>
    <row r="1204" ht="15" customHeight="1">
      <c r="A1204" t="inlineStr">
        <is>
          <t>A 44440-2020</t>
        </is>
      </c>
      <c r="B1204" s="1" t="n">
        <v>44084</v>
      </c>
      <c r="C1204" s="1" t="n">
        <v>45724</v>
      </c>
      <c r="D1204" t="inlineStr">
        <is>
          <t>VÄSTMANLANDS LÄN</t>
        </is>
      </c>
      <c r="E1204" t="inlineStr">
        <is>
          <t>HALLSTAHAMMAR</t>
        </is>
      </c>
      <c r="G1204" t="n">
        <v>1</v>
      </c>
      <c r="H1204" t="n">
        <v>0</v>
      </c>
      <c r="I1204" t="n">
        <v>0</v>
      </c>
      <c r="J1204" t="n">
        <v>0</v>
      </c>
      <c r="K1204" t="n">
        <v>0</v>
      </c>
      <c r="L1204" t="n">
        <v>0</v>
      </c>
      <c r="M1204" t="n">
        <v>0</v>
      </c>
      <c r="N1204" t="n">
        <v>0</v>
      </c>
      <c r="O1204" t="n">
        <v>0</v>
      </c>
      <c r="P1204" t="n">
        <v>0</v>
      </c>
      <c r="Q1204" t="n">
        <v>0</v>
      </c>
      <c r="R1204" s="2" t="inlineStr"/>
    </row>
    <row r="1205" ht="15" customHeight="1">
      <c r="A1205" t="inlineStr">
        <is>
          <t>A 44446-2020</t>
        </is>
      </c>
      <c r="B1205" s="1" t="n">
        <v>44084</v>
      </c>
      <c r="C1205" s="1" t="n">
        <v>45724</v>
      </c>
      <c r="D1205" t="inlineStr">
        <is>
          <t>VÄSTMANLANDS LÄN</t>
        </is>
      </c>
      <c r="E1205" t="inlineStr">
        <is>
          <t>HALLSTAHAMMAR</t>
        </is>
      </c>
      <c r="G1205" t="n">
        <v>1.9</v>
      </c>
      <c r="H1205" t="n">
        <v>0</v>
      </c>
      <c r="I1205" t="n">
        <v>0</v>
      </c>
      <c r="J1205" t="n">
        <v>0</v>
      </c>
      <c r="K1205" t="n">
        <v>0</v>
      </c>
      <c r="L1205" t="n">
        <v>0</v>
      </c>
      <c r="M1205" t="n">
        <v>0</v>
      </c>
      <c r="N1205" t="n">
        <v>0</v>
      </c>
      <c r="O1205" t="n">
        <v>0</v>
      </c>
      <c r="P1205" t="n">
        <v>0</v>
      </c>
      <c r="Q1205" t="n">
        <v>0</v>
      </c>
      <c r="R1205" s="2" t="inlineStr"/>
    </row>
    <row r="1206" ht="15" customHeight="1">
      <c r="A1206" t="inlineStr">
        <is>
          <t>A 44532-2020</t>
        </is>
      </c>
      <c r="B1206" s="1" t="n">
        <v>44085</v>
      </c>
      <c r="C1206" s="1" t="n">
        <v>45724</v>
      </c>
      <c r="D1206" t="inlineStr">
        <is>
          <t>VÄSTMANLANDS LÄN</t>
        </is>
      </c>
      <c r="E1206" t="inlineStr">
        <is>
          <t>FAGERSTA</t>
        </is>
      </c>
      <c r="G1206" t="n">
        <v>1.8</v>
      </c>
      <c r="H1206" t="n">
        <v>0</v>
      </c>
      <c r="I1206" t="n">
        <v>0</v>
      </c>
      <c r="J1206" t="n">
        <v>0</v>
      </c>
      <c r="K1206" t="n">
        <v>0</v>
      </c>
      <c r="L1206" t="n">
        <v>0</v>
      </c>
      <c r="M1206" t="n">
        <v>0</v>
      </c>
      <c r="N1206" t="n">
        <v>0</v>
      </c>
      <c r="O1206" t="n">
        <v>0</v>
      </c>
      <c r="P1206" t="n">
        <v>0</v>
      </c>
      <c r="Q1206" t="n">
        <v>0</v>
      </c>
      <c r="R1206" s="2" t="inlineStr"/>
    </row>
    <row r="1207" ht="15" customHeight="1">
      <c r="A1207" t="inlineStr">
        <is>
          <t>A 44652-2020</t>
        </is>
      </c>
      <c r="B1207" s="1" t="n">
        <v>44085</v>
      </c>
      <c r="C1207" s="1" t="n">
        <v>45724</v>
      </c>
      <c r="D1207" t="inlineStr">
        <is>
          <t>VÄSTMANLANDS LÄN</t>
        </is>
      </c>
      <c r="E1207" t="inlineStr">
        <is>
          <t>SALA</t>
        </is>
      </c>
      <c r="G1207" t="n">
        <v>1.8</v>
      </c>
      <c r="H1207" t="n">
        <v>0</v>
      </c>
      <c r="I1207" t="n">
        <v>0</v>
      </c>
      <c r="J1207" t="n">
        <v>0</v>
      </c>
      <c r="K1207" t="n">
        <v>0</v>
      </c>
      <c r="L1207" t="n">
        <v>0</v>
      </c>
      <c r="M1207" t="n">
        <v>0</v>
      </c>
      <c r="N1207" t="n">
        <v>0</v>
      </c>
      <c r="O1207" t="n">
        <v>0</v>
      </c>
      <c r="P1207" t="n">
        <v>0</v>
      </c>
      <c r="Q1207" t="n">
        <v>0</v>
      </c>
      <c r="R1207" s="2" t="inlineStr"/>
    </row>
    <row r="1208" ht="15" customHeight="1">
      <c r="A1208" t="inlineStr">
        <is>
          <t>A 44950-2020</t>
        </is>
      </c>
      <c r="B1208" s="1" t="n">
        <v>44088</v>
      </c>
      <c r="C1208" s="1" t="n">
        <v>45724</v>
      </c>
      <c r="D1208" t="inlineStr">
        <is>
          <t>VÄSTMANLANDS LÄN</t>
        </is>
      </c>
      <c r="E1208" t="inlineStr">
        <is>
          <t>SALA</t>
        </is>
      </c>
      <c r="G1208" t="n">
        <v>9</v>
      </c>
      <c r="H1208" t="n">
        <v>0</v>
      </c>
      <c r="I1208" t="n">
        <v>0</v>
      </c>
      <c r="J1208" t="n">
        <v>0</v>
      </c>
      <c r="K1208" t="n">
        <v>0</v>
      </c>
      <c r="L1208" t="n">
        <v>0</v>
      </c>
      <c r="M1208" t="n">
        <v>0</v>
      </c>
      <c r="N1208" t="n">
        <v>0</v>
      </c>
      <c r="O1208" t="n">
        <v>0</v>
      </c>
      <c r="P1208" t="n">
        <v>0</v>
      </c>
      <c r="Q1208" t="n">
        <v>0</v>
      </c>
      <c r="R1208" s="2" t="inlineStr"/>
    </row>
    <row r="1209" ht="15" customHeight="1">
      <c r="A1209" t="inlineStr">
        <is>
          <t>A 44969-2020</t>
        </is>
      </c>
      <c r="B1209" s="1" t="n">
        <v>44088</v>
      </c>
      <c r="C1209" s="1" t="n">
        <v>45724</v>
      </c>
      <c r="D1209" t="inlineStr">
        <is>
          <t>VÄSTMANLANDS LÄN</t>
        </is>
      </c>
      <c r="E1209" t="inlineStr">
        <is>
          <t>KÖPING</t>
        </is>
      </c>
      <c r="G1209" t="n">
        <v>2.1</v>
      </c>
      <c r="H1209" t="n">
        <v>0</v>
      </c>
      <c r="I1209" t="n">
        <v>0</v>
      </c>
      <c r="J1209" t="n">
        <v>0</v>
      </c>
      <c r="K1209" t="n">
        <v>0</v>
      </c>
      <c r="L1209" t="n">
        <v>0</v>
      </c>
      <c r="M1209" t="n">
        <v>0</v>
      </c>
      <c r="N1209" t="n">
        <v>0</v>
      </c>
      <c r="O1209" t="n">
        <v>0</v>
      </c>
      <c r="P1209" t="n">
        <v>0</v>
      </c>
      <c r="Q1209" t="n">
        <v>0</v>
      </c>
      <c r="R1209" s="2" t="inlineStr"/>
    </row>
    <row r="1210" ht="15" customHeight="1">
      <c r="A1210" t="inlineStr">
        <is>
          <t>A 45800-2020</t>
        </is>
      </c>
      <c r="B1210" s="1" t="n">
        <v>44090</v>
      </c>
      <c r="C1210" s="1" t="n">
        <v>45724</v>
      </c>
      <c r="D1210" t="inlineStr">
        <is>
          <t>VÄSTMANLANDS LÄN</t>
        </is>
      </c>
      <c r="E1210" t="inlineStr">
        <is>
          <t>NORBERG</t>
        </is>
      </c>
      <c r="G1210" t="n">
        <v>2.6</v>
      </c>
      <c r="H1210" t="n">
        <v>0</v>
      </c>
      <c r="I1210" t="n">
        <v>0</v>
      </c>
      <c r="J1210" t="n">
        <v>0</v>
      </c>
      <c r="K1210" t="n">
        <v>0</v>
      </c>
      <c r="L1210" t="n">
        <v>0</v>
      </c>
      <c r="M1210" t="n">
        <v>0</v>
      </c>
      <c r="N1210" t="n">
        <v>0</v>
      </c>
      <c r="O1210" t="n">
        <v>0</v>
      </c>
      <c r="P1210" t="n">
        <v>0</v>
      </c>
      <c r="Q1210" t="n">
        <v>0</v>
      </c>
      <c r="R1210" s="2" t="inlineStr"/>
    </row>
    <row r="1211" ht="15" customHeight="1">
      <c r="A1211" t="inlineStr">
        <is>
          <t>A 45802-2020</t>
        </is>
      </c>
      <c r="B1211" s="1" t="n">
        <v>44090</v>
      </c>
      <c r="C1211" s="1" t="n">
        <v>45724</v>
      </c>
      <c r="D1211" t="inlineStr">
        <is>
          <t>VÄSTMANLANDS LÄN</t>
        </is>
      </c>
      <c r="E1211" t="inlineStr">
        <is>
          <t>NORBERG</t>
        </is>
      </c>
      <c r="G1211" t="n">
        <v>1.6</v>
      </c>
      <c r="H1211" t="n">
        <v>0</v>
      </c>
      <c r="I1211" t="n">
        <v>0</v>
      </c>
      <c r="J1211" t="n">
        <v>0</v>
      </c>
      <c r="K1211" t="n">
        <v>0</v>
      </c>
      <c r="L1211" t="n">
        <v>0</v>
      </c>
      <c r="M1211" t="n">
        <v>0</v>
      </c>
      <c r="N1211" t="n">
        <v>0</v>
      </c>
      <c r="O1211" t="n">
        <v>0</v>
      </c>
      <c r="P1211" t="n">
        <v>0</v>
      </c>
      <c r="Q1211" t="n">
        <v>0</v>
      </c>
      <c r="R1211" s="2" t="inlineStr"/>
    </row>
    <row r="1212" ht="15" customHeight="1">
      <c r="A1212" t="inlineStr">
        <is>
          <t>A 45878-2020</t>
        </is>
      </c>
      <c r="B1212" s="1" t="n">
        <v>44090</v>
      </c>
      <c r="C1212" s="1" t="n">
        <v>45724</v>
      </c>
      <c r="D1212" t="inlineStr">
        <is>
          <t>VÄSTMANLANDS LÄN</t>
        </is>
      </c>
      <c r="E1212" t="inlineStr">
        <is>
          <t>ARBOGA</t>
        </is>
      </c>
      <c r="G1212" t="n">
        <v>0.8</v>
      </c>
      <c r="H1212" t="n">
        <v>0</v>
      </c>
      <c r="I1212" t="n">
        <v>0</v>
      </c>
      <c r="J1212" t="n">
        <v>0</v>
      </c>
      <c r="K1212" t="n">
        <v>0</v>
      </c>
      <c r="L1212" t="n">
        <v>0</v>
      </c>
      <c r="M1212" t="n">
        <v>0</v>
      </c>
      <c r="N1212" t="n">
        <v>0</v>
      </c>
      <c r="O1212" t="n">
        <v>0</v>
      </c>
      <c r="P1212" t="n">
        <v>0</v>
      </c>
      <c r="Q1212" t="n">
        <v>0</v>
      </c>
      <c r="R1212" s="2" t="inlineStr"/>
    </row>
    <row r="1213" ht="15" customHeight="1">
      <c r="A1213" t="inlineStr">
        <is>
          <t>A 47003-2020</t>
        </is>
      </c>
      <c r="B1213" s="1" t="n">
        <v>44090</v>
      </c>
      <c r="C1213" s="1" t="n">
        <v>45724</v>
      </c>
      <c r="D1213" t="inlineStr">
        <is>
          <t>VÄSTMANLANDS LÄN</t>
        </is>
      </c>
      <c r="E1213" t="inlineStr">
        <is>
          <t>ARBOGA</t>
        </is>
      </c>
      <c r="G1213" t="n">
        <v>1.7</v>
      </c>
      <c r="H1213" t="n">
        <v>0</v>
      </c>
      <c r="I1213" t="n">
        <v>0</v>
      </c>
      <c r="J1213" t="n">
        <v>0</v>
      </c>
      <c r="K1213" t="n">
        <v>0</v>
      </c>
      <c r="L1213" t="n">
        <v>0</v>
      </c>
      <c r="M1213" t="n">
        <v>0</v>
      </c>
      <c r="N1213" t="n">
        <v>0</v>
      </c>
      <c r="O1213" t="n">
        <v>0</v>
      </c>
      <c r="P1213" t="n">
        <v>0</v>
      </c>
      <c r="Q1213" t="n">
        <v>0</v>
      </c>
      <c r="R1213" s="2" t="inlineStr"/>
    </row>
    <row r="1214" ht="15" customHeight="1">
      <c r="A1214" t="inlineStr">
        <is>
          <t>A 45923-2020</t>
        </is>
      </c>
      <c r="B1214" s="1" t="n">
        <v>44091</v>
      </c>
      <c r="C1214" s="1" t="n">
        <v>45724</v>
      </c>
      <c r="D1214" t="inlineStr">
        <is>
          <t>VÄSTMANLANDS LÄN</t>
        </is>
      </c>
      <c r="E1214" t="inlineStr">
        <is>
          <t>KUNGSÖR</t>
        </is>
      </c>
      <c r="F1214" t="inlineStr">
        <is>
          <t>Allmännings- och besparingsskogar</t>
        </is>
      </c>
      <c r="G1214" t="n">
        <v>15.2</v>
      </c>
      <c r="H1214" t="n">
        <v>0</v>
      </c>
      <c r="I1214" t="n">
        <v>0</v>
      </c>
      <c r="J1214" t="n">
        <v>0</v>
      </c>
      <c r="K1214" t="n">
        <v>0</v>
      </c>
      <c r="L1214" t="n">
        <v>0</v>
      </c>
      <c r="M1214" t="n">
        <v>0</v>
      </c>
      <c r="N1214" t="n">
        <v>0</v>
      </c>
      <c r="O1214" t="n">
        <v>0</v>
      </c>
      <c r="P1214" t="n">
        <v>0</v>
      </c>
      <c r="Q1214" t="n">
        <v>0</v>
      </c>
      <c r="R1214" s="2" t="inlineStr"/>
    </row>
    <row r="1215" ht="15" customHeight="1">
      <c r="A1215" t="inlineStr">
        <is>
          <t>A 45931-2020</t>
        </is>
      </c>
      <c r="B1215" s="1" t="n">
        <v>44091</v>
      </c>
      <c r="C1215" s="1" t="n">
        <v>45724</v>
      </c>
      <c r="D1215" t="inlineStr">
        <is>
          <t>VÄSTMANLANDS LÄN</t>
        </is>
      </c>
      <c r="E1215" t="inlineStr">
        <is>
          <t>VÄSTERÅS</t>
        </is>
      </c>
      <c r="G1215" t="n">
        <v>4.2</v>
      </c>
      <c r="H1215" t="n">
        <v>0</v>
      </c>
      <c r="I1215" t="n">
        <v>0</v>
      </c>
      <c r="J1215" t="n">
        <v>0</v>
      </c>
      <c r="K1215" t="n">
        <v>0</v>
      </c>
      <c r="L1215" t="n">
        <v>0</v>
      </c>
      <c r="M1215" t="n">
        <v>0</v>
      </c>
      <c r="N1215" t="n">
        <v>0</v>
      </c>
      <c r="O1215" t="n">
        <v>0</v>
      </c>
      <c r="P1215" t="n">
        <v>0</v>
      </c>
      <c r="Q1215" t="n">
        <v>0</v>
      </c>
      <c r="R1215" s="2" t="inlineStr"/>
    </row>
    <row r="1216" ht="15" customHeight="1">
      <c r="A1216" t="inlineStr">
        <is>
          <t>A 46014-2020</t>
        </is>
      </c>
      <c r="B1216" s="1" t="n">
        <v>44091</v>
      </c>
      <c r="C1216" s="1" t="n">
        <v>45724</v>
      </c>
      <c r="D1216" t="inlineStr">
        <is>
          <t>VÄSTMANLANDS LÄN</t>
        </is>
      </c>
      <c r="E1216" t="inlineStr">
        <is>
          <t>KUNGSÖR</t>
        </is>
      </c>
      <c r="F1216" t="inlineStr">
        <is>
          <t>Allmännings- och besparingsskogar</t>
        </is>
      </c>
      <c r="G1216" t="n">
        <v>6.8</v>
      </c>
      <c r="H1216" t="n">
        <v>0</v>
      </c>
      <c r="I1216" t="n">
        <v>0</v>
      </c>
      <c r="J1216" t="n">
        <v>0</v>
      </c>
      <c r="K1216" t="n">
        <v>0</v>
      </c>
      <c r="L1216" t="n">
        <v>0</v>
      </c>
      <c r="M1216" t="n">
        <v>0</v>
      </c>
      <c r="N1216" t="n">
        <v>0</v>
      </c>
      <c r="O1216" t="n">
        <v>0</v>
      </c>
      <c r="P1216" t="n">
        <v>0</v>
      </c>
      <c r="Q1216" t="n">
        <v>0</v>
      </c>
      <c r="R1216" s="2" t="inlineStr"/>
    </row>
    <row r="1217" ht="15" customHeight="1">
      <c r="A1217" t="inlineStr">
        <is>
          <t>A 45935-2020</t>
        </is>
      </c>
      <c r="B1217" s="1" t="n">
        <v>44091</v>
      </c>
      <c r="C1217" s="1" t="n">
        <v>45724</v>
      </c>
      <c r="D1217" t="inlineStr">
        <is>
          <t>VÄSTMANLANDS LÄN</t>
        </is>
      </c>
      <c r="E1217" t="inlineStr">
        <is>
          <t>VÄSTERÅS</t>
        </is>
      </c>
      <c r="G1217" t="n">
        <v>3</v>
      </c>
      <c r="H1217" t="n">
        <v>0</v>
      </c>
      <c r="I1217" t="n">
        <v>0</v>
      </c>
      <c r="J1217" t="n">
        <v>0</v>
      </c>
      <c r="K1217" t="n">
        <v>0</v>
      </c>
      <c r="L1217" t="n">
        <v>0</v>
      </c>
      <c r="M1217" t="n">
        <v>0</v>
      </c>
      <c r="N1217" t="n">
        <v>0</v>
      </c>
      <c r="O1217" t="n">
        <v>0</v>
      </c>
      <c r="P1217" t="n">
        <v>0</v>
      </c>
      <c r="Q1217" t="n">
        <v>0</v>
      </c>
      <c r="R1217" s="2" t="inlineStr"/>
    </row>
    <row r="1218" ht="15" customHeight="1">
      <c r="A1218" t="inlineStr">
        <is>
          <t>A 46415-2020</t>
        </is>
      </c>
      <c r="B1218" s="1" t="n">
        <v>44094</v>
      </c>
      <c r="C1218" s="1" t="n">
        <v>45724</v>
      </c>
      <c r="D1218" t="inlineStr">
        <is>
          <t>VÄSTMANLANDS LÄN</t>
        </is>
      </c>
      <c r="E1218" t="inlineStr">
        <is>
          <t>SKINNSKATTEBERG</t>
        </is>
      </c>
      <c r="F1218" t="inlineStr">
        <is>
          <t>Sveaskog</t>
        </is>
      </c>
      <c r="G1218" t="n">
        <v>1</v>
      </c>
      <c r="H1218" t="n">
        <v>0</v>
      </c>
      <c r="I1218" t="n">
        <v>0</v>
      </c>
      <c r="J1218" t="n">
        <v>0</v>
      </c>
      <c r="K1218" t="n">
        <v>0</v>
      </c>
      <c r="L1218" t="n">
        <v>0</v>
      </c>
      <c r="M1218" t="n">
        <v>0</v>
      </c>
      <c r="N1218" t="n">
        <v>0</v>
      </c>
      <c r="O1218" t="n">
        <v>0</v>
      </c>
      <c r="P1218" t="n">
        <v>0</v>
      </c>
      <c r="Q1218" t="n">
        <v>0</v>
      </c>
      <c r="R1218" s="2" t="inlineStr"/>
    </row>
    <row r="1219" ht="15" customHeight="1">
      <c r="A1219" t="inlineStr">
        <is>
          <t>A 46416-2020</t>
        </is>
      </c>
      <c r="B1219" s="1" t="n">
        <v>44094</v>
      </c>
      <c r="C1219" s="1" t="n">
        <v>45724</v>
      </c>
      <c r="D1219" t="inlineStr">
        <is>
          <t>VÄSTMANLANDS LÄN</t>
        </is>
      </c>
      <c r="E1219" t="inlineStr">
        <is>
          <t>SKINNSKATTEBERG</t>
        </is>
      </c>
      <c r="F1219" t="inlineStr">
        <is>
          <t>Sveaskog</t>
        </is>
      </c>
      <c r="G1219" t="n">
        <v>1</v>
      </c>
      <c r="H1219" t="n">
        <v>0</v>
      </c>
      <c r="I1219" t="n">
        <v>0</v>
      </c>
      <c r="J1219" t="n">
        <v>0</v>
      </c>
      <c r="K1219" t="n">
        <v>0</v>
      </c>
      <c r="L1219" t="n">
        <v>0</v>
      </c>
      <c r="M1219" t="n">
        <v>0</v>
      </c>
      <c r="N1219" t="n">
        <v>0</v>
      </c>
      <c r="O1219" t="n">
        <v>0</v>
      </c>
      <c r="P1219" t="n">
        <v>0</v>
      </c>
      <c r="Q1219" t="n">
        <v>0</v>
      </c>
      <c r="R1219" s="2" t="inlineStr"/>
    </row>
    <row r="1220" ht="15" customHeight="1">
      <c r="A1220" t="inlineStr">
        <is>
          <t>A 46417-2020</t>
        </is>
      </c>
      <c r="B1220" s="1" t="n">
        <v>44094</v>
      </c>
      <c r="C1220" s="1" t="n">
        <v>45724</v>
      </c>
      <c r="D1220" t="inlineStr">
        <is>
          <t>VÄSTMANLANDS LÄN</t>
        </is>
      </c>
      <c r="E1220" t="inlineStr">
        <is>
          <t>SKINNSKATTEBERG</t>
        </is>
      </c>
      <c r="F1220" t="inlineStr">
        <is>
          <t>Sveaskog</t>
        </is>
      </c>
      <c r="G1220" t="n">
        <v>0.9</v>
      </c>
      <c r="H1220" t="n">
        <v>0</v>
      </c>
      <c r="I1220" t="n">
        <v>0</v>
      </c>
      <c r="J1220" t="n">
        <v>0</v>
      </c>
      <c r="K1220" t="n">
        <v>0</v>
      </c>
      <c r="L1220" t="n">
        <v>0</v>
      </c>
      <c r="M1220" t="n">
        <v>0</v>
      </c>
      <c r="N1220" t="n">
        <v>0</v>
      </c>
      <c r="O1220" t="n">
        <v>0</v>
      </c>
      <c r="P1220" t="n">
        <v>0</v>
      </c>
      <c r="Q1220" t="n">
        <v>0</v>
      </c>
      <c r="R1220" s="2" t="inlineStr"/>
    </row>
    <row r="1221" ht="15" customHeight="1">
      <c r="A1221" t="inlineStr">
        <is>
          <t>A 46412-2020</t>
        </is>
      </c>
      <c r="B1221" s="1" t="n">
        <v>44094</v>
      </c>
      <c r="C1221" s="1" t="n">
        <v>45724</v>
      </c>
      <c r="D1221" t="inlineStr">
        <is>
          <t>VÄSTMANLANDS LÄN</t>
        </is>
      </c>
      <c r="E1221" t="inlineStr">
        <is>
          <t>SKINNSKATTEBERG</t>
        </is>
      </c>
      <c r="F1221" t="inlineStr">
        <is>
          <t>Sveaskog</t>
        </is>
      </c>
      <c r="G1221" t="n">
        <v>6.6</v>
      </c>
      <c r="H1221" t="n">
        <v>0</v>
      </c>
      <c r="I1221" t="n">
        <v>0</v>
      </c>
      <c r="J1221" t="n">
        <v>0</v>
      </c>
      <c r="K1221" t="n">
        <v>0</v>
      </c>
      <c r="L1221" t="n">
        <v>0</v>
      </c>
      <c r="M1221" t="n">
        <v>0</v>
      </c>
      <c r="N1221" t="n">
        <v>0</v>
      </c>
      <c r="O1221" t="n">
        <v>0</v>
      </c>
      <c r="P1221" t="n">
        <v>0</v>
      </c>
      <c r="Q1221" t="n">
        <v>0</v>
      </c>
      <c r="R1221" s="2" t="inlineStr"/>
    </row>
    <row r="1222" ht="15" customHeight="1">
      <c r="A1222" t="inlineStr">
        <is>
          <t>A 46810-2020</t>
        </is>
      </c>
      <c r="B1222" s="1" t="n">
        <v>44096</v>
      </c>
      <c r="C1222" s="1" t="n">
        <v>45724</v>
      </c>
      <c r="D1222" t="inlineStr">
        <is>
          <t>VÄSTMANLANDS LÄN</t>
        </is>
      </c>
      <c r="E1222" t="inlineStr">
        <is>
          <t>VÄSTERÅS</t>
        </is>
      </c>
      <c r="F1222" t="inlineStr">
        <is>
          <t>Sveaskog</t>
        </is>
      </c>
      <c r="G1222" t="n">
        <v>0.8</v>
      </c>
      <c r="H1222" t="n">
        <v>0</v>
      </c>
      <c r="I1222" t="n">
        <v>0</v>
      </c>
      <c r="J1222" t="n">
        <v>0</v>
      </c>
      <c r="K1222" t="n">
        <v>0</v>
      </c>
      <c r="L1222" t="n">
        <v>0</v>
      </c>
      <c r="M1222" t="n">
        <v>0</v>
      </c>
      <c r="N1222" t="n">
        <v>0</v>
      </c>
      <c r="O1222" t="n">
        <v>0</v>
      </c>
      <c r="P1222" t="n">
        <v>0</v>
      </c>
      <c r="Q1222" t="n">
        <v>0</v>
      </c>
      <c r="R1222" s="2" t="inlineStr"/>
    </row>
    <row r="1223" ht="15" customHeight="1">
      <c r="A1223" t="inlineStr">
        <is>
          <t>A 47048-2020</t>
        </is>
      </c>
      <c r="B1223" s="1" t="n">
        <v>44096</v>
      </c>
      <c r="C1223" s="1" t="n">
        <v>45724</v>
      </c>
      <c r="D1223" t="inlineStr">
        <is>
          <t>VÄSTMANLANDS LÄN</t>
        </is>
      </c>
      <c r="E1223" t="inlineStr">
        <is>
          <t>KÖPING</t>
        </is>
      </c>
      <c r="G1223" t="n">
        <v>2.3</v>
      </c>
      <c r="H1223" t="n">
        <v>0</v>
      </c>
      <c r="I1223" t="n">
        <v>0</v>
      </c>
      <c r="J1223" t="n">
        <v>0</v>
      </c>
      <c r="K1223" t="n">
        <v>0</v>
      </c>
      <c r="L1223" t="n">
        <v>0</v>
      </c>
      <c r="M1223" t="n">
        <v>0</v>
      </c>
      <c r="N1223" t="n">
        <v>0</v>
      </c>
      <c r="O1223" t="n">
        <v>0</v>
      </c>
      <c r="P1223" t="n">
        <v>0</v>
      </c>
      <c r="Q1223" t="n">
        <v>0</v>
      </c>
      <c r="R1223" s="2" t="inlineStr"/>
    </row>
    <row r="1224" ht="15" customHeight="1">
      <c r="A1224" t="inlineStr">
        <is>
          <t>A 46965-2020</t>
        </is>
      </c>
      <c r="B1224" s="1" t="n">
        <v>44096</v>
      </c>
      <c r="C1224" s="1" t="n">
        <v>45724</v>
      </c>
      <c r="D1224" t="inlineStr">
        <is>
          <t>VÄSTMANLANDS LÄN</t>
        </is>
      </c>
      <c r="E1224" t="inlineStr">
        <is>
          <t>SALA</t>
        </is>
      </c>
      <c r="G1224" t="n">
        <v>0.4</v>
      </c>
      <c r="H1224" t="n">
        <v>0</v>
      </c>
      <c r="I1224" t="n">
        <v>0</v>
      </c>
      <c r="J1224" t="n">
        <v>0</v>
      </c>
      <c r="K1224" t="n">
        <v>0</v>
      </c>
      <c r="L1224" t="n">
        <v>0</v>
      </c>
      <c r="M1224" t="n">
        <v>0</v>
      </c>
      <c r="N1224" t="n">
        <v>0</v>
      </c>
      <c r="O1224" t="n">
        <v>0</v>
      </c>
      <c r="P1224" t="n">
        <v>0</v>
      </c>
      <c r="Q1224" t="n">
        <v>0</v>
      </c>
      <c r="R1224" s="2" t="inlineStr"/>
    </row>
    <row r="1225" ht="15" customHeight="1">
      <c r="A1225" t="inlineStr">
        <is>
          <t>A 46962-2020</t>
        </is>
      </c>
      <c r="B1225" s="1" t="n">
        <v>44096</v>
      </c>
      <c r="C1225" s="1" t="n">
        <v>45724</v>
      </c>
      <c r="D1225" t="inlineStr">
        <is>
          <t>VÄSTMANLANDS LÄN</t>
        </is>
      </c>
      <c r="E1225" t="inlineStr">
        <is>
          <t>VÄSTERÅS</t>
        </is>
      </c>
      <c r="G1225" t="n">
        <v>1.1</v>
      </c>
      <c r="H1225" t="n">
        <v>0</v>
      </c>
      <c r="I1225" t="n">
        <v>0</v>
      </c>
      <c r="J1225" t="n">
        <v>0</v>
      </c>
      <c r="K1225" t="n">
        <v>0</v>
      </c>
      <c r="L1225" t="n">
        <v>0</v>
      </c>
      <c r="M1225" t="n">
        <v>0</v>
      </c>
      <c r="N1225" t="n">
        <v>0</v>
      </c>
      <c r="O1225" t="n">
        <v>0</v>
      </c>
      <c r="P1225" t="n">
        <v>0</v>
      </c>
      <c r="Q1225" t="n">
        <v>0</v>
      </c>
      <c r="R1225" s="2" t="inlineStr"/>
    </row>
    <row r="1226" ht="15" customHeight="1">
      <c r="A1226" t="inlineStr">
        <is>
          <t>A 46814-2020</t>
        </is>
      </c>
      <c r="B1226" s="1" t="n">
        <v>44096</v>
      </c>
      <c r="C1226" s="1" t="n">
        <v>45724</v>
      </c>
      <c r="D1226" t="inlineStr">
        <is>
          <t>VÄSTMANLANDS LÄN</t>
        </is>
      </c>
      <c r="E1226" t="inlineStr">
        <is>
          <t>VÄSTERÅS</t>
        </is>
      </c>
      <c r="F1226" t="inlineStr">
        <is>
          <t>Sveaskog</t>
        </is>
      </c>
      <c r="G1226" t="n">
        <v>1</v>
      </c>
      <c r="H1226" t="n">
        <v>0</v>
      </c>
      <c r="I1226" t="n">
        <v>0</v>
      </c>
      <c r="J1226" t="n">
        <v>0</v>
      </c>
      <c r="K1226" t="n">
        <v>0</v>
      </c>
      <c r="L1226" t="n">
        <v>0</v>
      </c>
      <c r="M1226" t="n">
        <v>0</v>
      </c>
      <c r="N1226" t="n">
        <v>0</v>
      </c>
      <c r="O1226" t="n">
        <v>0</v>
      </c>
      <c r="P1226" t="n">
        <v>0</v>
      </c>
      <c r="Q1226" t="n">
        <v>0</v>
      </c>
      <c r="R1226" s="2" t="inlineStr"/>
    </row>
    <row r="1227" ht="15" customHeight="1">
      <c r="A1227" t="inlineStr">
        <is>
          <t>A 46870-2020</t>
        </is>
      </c>
      <c r="B1227" s="1" t="n">
        <v>44096</v>
      </c>
      <c r="C1227" s="1" t="n">
        <v>45724</v>
      </c>
      <c r="D1227" t="inlineStr">
        <is>
          <t>VÄSTMANLANDS LÄN</t>
        </is>
      </c>
      <c r="E1227" t="inlineStr">
        <is>
          <t>VÄSTERÅS</t>
        </is>
      </c>
      <c r="F1227" t="inlineStr">
        <is>
          <t>Sveaskog</t>
        </is>
      </c>
      <c r="G1227" t="n">
        <v>1.4</v>
      </c>
      <c r="H1227" t="n">
        <v>0</v>
      </c>
      <c r="I1227" t="n">
        <v>0</v>
      </c>
      <c r="J1227" t="n">
        <v>0</v>
      </c>
      <c r="K1227" t="n">
        <v>0</v>
      </c>
      <c r="L1227" t="n">
        <v>0</v>
      </c>
      <c r="M1227" t="n">
        <v>0</v>
      </c>
      <c r="N1227" t="n">
        <v>0</v>
      </c>
      <c r="O1227" t="n">
        <v>0</v>
      </c>
      <c r="P1227" t="n">
        <v>0</v>
      </c>
      <c r="Q1227" t="n">
        <v>0</v>
      </c>
      <c r="R1227" s="2" t="inlineStr"/>
    </row>
    <row r="1228" ht="15" customHeight="1">
      <c r="A1228" t="inlineStr">
        <is>
          <t>A 47054-2020</t>
        </is>
      </c>
      <c r="B1228" s="1" t="n">
        <v>44096</v>
      </c>
      <c r="C1228" s="1" t="n">
        <v>45724</v>
      </c>
      <c r="D1228" t="inlineStr">
        <is>
          <t>VÄSTMANLANDS LÄN</t>
        </is>
      </c>
      <c r="E1228" t="inlineStr">
        <is>
          <t>SALA</t>
        </is>
      </c>
      <c r="F1228" t="inlineStr">
        <is>
          <t>Kommuner</t>
        </is>
      </c>
      <c r="G1228" t="n">
        <v>1.1</v>
      </c>
      <c r="H1228" t="n">
        <v>0</v>
      </c>
      <c r="I1228" t="n">
        <v>0</v>
      </c>
      <c r="J1228" t="n">
        <v>0</v>
      </c>
      <c r="K1228" t="n">
        <v>0</v>
      </c>
      <c r="L1228" t="n">
        <v>0</v>
      </c>
      <c r="M1228" t="n">
        <v>0</v>
      </c>
      <c r="N1228" t="n">
        <v>0</v>
      </c>
      <c r="O1228" t="n">
        <v>0</v>
      </c>
      <c r="P1228" t="n">
        <v>0</v>
      </c>
      <c r="Q1228" t="n">
        <v>0</v>
      </c>
      <c r="R1228" s="2" t="inlineStr"/>
    </row>
    <row r="1229" ht="15" customHeight="1">
      <c r="A1229" t="inlineStr">
        <is>
          <t>A 47772-2020</t>
        </is>
      </c>
      <c r="B1229" s="1" t="n">
        <v>44096</v>
      </c>
      <c r="C1229" s="1" t="n">
        <v>45724</v>
      </c>
      <c r="D1229" t="inlineStr">
        <is>
          <t>VÄSTMANLANDS LÄN</t>
        </is>
      </c>
      <c r="E1229" t="inlineStr">
        <is>
          <t>SKINNSKATTEBERG</t>
        </is>
      </c>
      <c r="G1229" t="n">
        <v>2.9</v>
      </c>
      <c r="H1229" t="n">
        <v>0</v>
      </c>
      <c r="I1229" t="n">
        <v>0</v>
      </c>
      <c r="J1229" t="n">
        <v>0</v>
      </c>
      <c r="K1229" t="n">
        <v>0</v>
      </c>
      <c r="L1229" t="n">
        <v>0</v>
      </c>
      <c r="M1229" t="n">
        <v>0</v>
      </c>
      <c r="N1229" t="n">
        <v>0</v>
      </c>
      <c r="O1229" t="n">
        <v>0</v>
      </c>
      <c r="P1229" t="n">
        <v>0</v>
      </c>
      <c r="Q1229" t="n">
        <v>0</v>
      </c>
      <c r="R1229" s="2" t="inlineStr"/>
    </row>
    <row r="1230" ht="15" customHeight="1">
      <c r="A1230" t="inlineStr">
        <is>
          <t>A 46817-2020</t>
        </is>
      </c>
      <c r="B1230" s="1" t="n">
        <v>44096</v>
      </c>
      <c r="C1230" s="1" t="n">
        <v>45724</v>
      </c>
      <c r="D1230" t="inlineStr">
        <is>
          <t>VÄSTMANLANDS LÄN</t>
        </is>
      </c>
      <c r="E1230" t="inlineStr">
        <is>
          <t>VÄSTERÅS</t>
        </is>
      </c>
      <c r="F1230" t="inlineStr">
        <is>
          <t>Sveaskog</t>
        </is>
      </c>
      <c r="G1230" t="n">
        <v>0.8</v>
      </c>
      <c r="H1230" t="n">
        <v>0</v>
      </c>
      <c r="I1230" t="n">
        <v>0</v>
      </c>
      <c r="J1230" t="n">
        <v>0</v>
      </c>
      <c r="K1230" t="n">
        <v>0</v>
      </c>
      <c r="L1230" t="n">
        <v>0</v>
      </c>
      <c r="M1230" t="n">
        <v>0</v>
      </c>
      <c r="N1230" t="n">
        <v>0</v>
      </c>
      <c r="O1230" t="n">
        <v>0</v>
      </c>
      <c r="P1230" t="n">
        <v>0</v>
      </c>
      <c r="Q1230" t="n">
        <v>0</v>
      </c>
      <c r="R1230" s="2" t="inlineStr"/>
    </row>
    <row r="1231" ht="15" customHeight="1">
      <c r="A1231" t="inlineStr">
        <is>
          <t>A 47168-2020</t>
        </is>
      </c>
      <c r="B1231" s="1" t="n">
        <v>44097</v>
      </c>
      <c r="C1231" s="1" t="n">
        <v>45724</v>
      </c>
      <c r="D1231" t="inlineStr">
        <is>
          <t>VÄSTMANLANDS LÄN</t>
        </is>
      </c>
      <c r="E1231" t="inlineStr">
        <is>
          <t>FAGERSTA</t>
        </is>
      </c>
      <c r="F1231" t="inlineStr">
        <is>
          <t>Sveaskog</t>
        </is>
      </c>
      <c r="G1231" t="n">
        <v>3.5</v>
      </c>
      <c r="H1231" t="n">
        <v>0</v>
      </c>
      <c r="I1231" t="n">
        <v>0</v>
      </c>
      <c r="J1231" t="n">
        <v>0</v>
      </c>
      <c r="K1231" t="n">
        <v>0</v>
      </c>
      <c r="L1231" t="n">
        <v>0</v>
      </c>
      <c r="M1231" t="n">
        <v>0</v>
      </c>
      <c r="N1231" t="n">
        <v>0</v>
      </c>
      <c r="O1231" t="n">
        <v>0</v>
      </c>
      <c r="P1231" t="n">
        <v>0</v>
      </c>
      <c r="Q1231" t="n">
        <v>0</v>
      </c>
      <c r="R1231" s="2" t="inlineStr"/>
    </row>
    <row r="1232" ht="15" customHeight="1">
      <c r="A1232" t="inlineStr">
        <is>
          <t>A 47208-2020</t>
        </is>
      </c>
      <c r="B1232" s="1" t="n">
        <v>44097</v>
      </c>
      <c r="C1232" s="1" t="n">
        <v>45724</v>
      </c>
      <c r="D1232" t="inlineStr">
        <is>
          <t>VÄSTMANLANDS LÄN</t>
        </is>
      </c>
      <c r="E1232" t="inlineStr">
        <is>
          <t>SALA</t>
        </is>
      </c>
      <c r="G1232" t="n">
        <v>0.5</v>
      </c>
      <c r="H1232" t="n">
        <v>0</v>
      </c>
      <c r="I1232" t="n">
        <v>0</v>
      </c>
      <c r="J1232" t="n">
        <v>0</v>
      </c>
      <c r="K1232" t="n">
        <v>0</v>
      </c>
      <c r="L1232" t="n">
        <v>0</v>
      </c>
      <c r="M1232" t="n">
        <v>0</v>
      </c>
      <c r="N1232" t="n">
        <v>0</v>
      </c>
      <c r="O1232" t="n">
        <v>0</v>
      </c>
      <c r="P1232" t="n">
        <v>0</v>
      </c>
      <c r="Q1232" t="n">
        <v>0</v>
      </c>
      <c r="R1232" s="2" t="inlineStr"/>
    </row>
    <row r="1233" ht="15" customHeight="1">
      <c r="A1233" t="inlineStr">
        <is>
          <t>A 47161-2020</t>
        </is>
      </c>
      <c r="B1233" s="1" t="n">
        <v>44097</v>
      </c>
      <c r="C1233" s="1" t="n">
        <v>45724</v>
      </c>
      <c r="D1233" t="inlineStr">
        <is>
          <t>VÄSTMANLANDS LÄN</t>
        </is>
      </c>
      <c r="E1233" t="inlineStr">
        <is>
          <t>FAGERSTA</t>
        </is>
      </c>
      <c r="F1233" t="inlineStr">
        <is>
          <t>Sveaskog</t>
        </is>
      </c>
      <c r="G1233" t="n">
        <v>3.4</v>
      </c>
      <c r="H1233" t="n">
        <v>0</v>
      </c>
      <c r="I1233" t="n">
        <v>0</v>
      </c>
      <c r="J1233" t="n">
        <v>0</v>
      </c>
      <c r="K1233" t="n">
        <v>0</v>
      </c>
      <c r="L1233" t="n">
        <v>0</v>
      </c>
      <c r="M1233" t="n">
        <v>0</v>
      </c>
      <c r="N1233" t="n">
        <v>0</v>
      </c>
      <c r="O1233" t="n">
        <v>0</v>
      </c>
      <c r="P1233" t="n">
        <v>0</v>
      </c>
      <c r="Q1233" t="n">
        <v>0</v>
      </c>
      <c r="R1233" s="2" t="inlineStr"/>
    </row>
    <row r="1234" ht="15" customHeight="1">
      <c r="A1234" t="inlineStr">
        <is>
          <t>A 47163-2020</t>
        </is>
      </c>
      <c r="B1234" s="1" t="n">
        <v>44097</v>
      </c>
      <c r="C1234" s="1" t="n">
        <v>45724</v>
      </c>
      <c r="D1234" t="inlineStr">
        <is>
          <t>VÄSTMANLANDS LÄN</t>
        </is>
      </c>
      <c r="E1234" t="inlineStr">
        <is>
          <t>FAGERSTA</t>
        </is>
      </c>
      <c r="F1234" t="inlineStr">
        <is>
          <t>Sveaskog</t>
        </is>
      </c>
      <c r="G1234" t="n">
        <v>3</v>
      </c>
      <c r="H1234" t="n">
        <v>0</v>
      </c>
      <c r="I1234" t="n">
        <v>0</v>
      </c>
      <c r="J1234" t="n">
        <v>0</v>
      </c>
      <c r="K1234" t="n">
        <v>0</v>
      </c>
      <c r="L1234" t="n">
        <v>0</v>
      </c>
      <c r="M1234" t="n">
        <v>0</v>
      </c>
      <c r="N1234" t="n">
        <v>0</v>
      </c>
      <c r="O1234" t="n">
        <v>0</v>
      </c>
      <c r="P1234" t="n">
        <v>0</v>
      </c>
      <c r="Q1234" t="n">
        <v>0</v>
      </c>
      <c r="R1234" s="2" t="inlineStr"/>
    </row>
    <row r="1235" ht="15" customHeight="1">
      <c r="A1235" t="inlineStr">
        <is>
          <t>A 47165-2020</t>
        </is>
      </c>
      <c r="B1235" s="1" t="n">
        <v>44097</v>
      </c>
      <c r="C1235" s="1" t="n">
        <v>45724</v>
      </c>
      <c r="D1235" t="inlineStr">
        <is>
          <t>VÄSTMANLANDS LÄN</t>
        </is>
      </c>
      <c r="E1235" t="inlineStr">
        <is>
          <t>FAGERSTA</t>
        </is>
      </c>
      <c r="F1235" t="inlineStr">
        <is>
          <t>Sveaskog</t>
        </is>
      </c>
      <c r="G1235" t="n">
        <v>0.6</v>
      </c>
      <c r="H1235" t="n">
        <v>0</v>
      </c>
      <c r="I1235" t="n">
        <v>0</v>
      </c>
      <c r="J1235" t="n">
        <v>0</v>
      </c>
      <c r="K1235" t="n">
        <v>0</v>
      </c>
      <c r="L1235" t="n">
        <v>0</v>
      </c>
      <c r="M1235" t="n">
        <v>0</v>
      </c>
      <c r="N1235" t="n">
        <v>0</v>
      </c>
      <c r="O1235" t="n">
        <v>0</v>
      </c>
      <c r="P1235" t="n">
        <v>0</v>
      </c>
      <c r="Q1235" t="n">
        <v>0</v>
      </c>
      <c r="R1235" s="2" t="inlineStr"/>
    </row>
    <row r="1236" ht="15" customHeight="1">
      <c r="A1236" t="inlineStr">
        <is>
          <t>A 48286-2020</t>
        </is>
      </c>
      <c r="B1236" s="1" t="n">
        <v>44097</v>
      </c>
      <c r="C1236" s="1" t="n">
        <v>45724</v>
      </c>
      <c r="D1236" t="inlineStr">
        <is>
          <t>VÄSTMANLANDS LÄN</t>
        </is>
      </c>
      <c r="E1236" t="inlineStr">
        <is>
          <t>FAGERSTA</t>
        </is>
      </c>
      <c r="F1236" t="inlineStr">
        <is>
          <t>Sveaskog</t>
        </is>
      </c>
      <c r="G1236" t="n">
        <v>2.3</v>
      </c>
      <c r="H1236" t="n">
        <v>0</v>
      </c>
      <c r="I1236" t="n">
        <v>0</v>
      </c>
      <c r="J1236" t="n">
        <v>0</v>
      </c>
      <c r="K1236" t="n">
        <v>0</v>
      </c>
      <c r="L1236" t="n">
        <v>0</v>
      </c>
      <c r="M1236" t="n">
        <v>0</v>
      </c>
      <c r="N1236" t="n">
        <v>0</v>
      </c>
      <c r="O1236" t="n">
        <v>0</v>
      </c>
      <c r="P1236" t="n">
        <v>0</v>
      </c>
      <c r="Q1236" t="n">
        <v>0</v>
      </c>
      <c r="R1236" s="2" t="inlineStr"/>
    </row>
    <row r="1237" ht="15" customHeight="1">
      <c r="A1237" t="inlineStr">
        <is>
          <t>A 48313-2020</t>
        </is>
      </c>
      <c r="B1237" s="1" t="n">
        <v>44097</v>
      </c>
      <c r="C1237" s="1" t="n">
        <v>45724</v>
      </c>
      <c r="D1237" t="inlineStr">
        <is>
          <t>VÄSTMANLANDS LÄN</t>
        </is>
      </c>
      <c r="E1237" t="inlineStr">
        <is>
          <t>FAGERSTA</t>
        </is>
      </c>
      <c r="F1237" t="inlineStr">
        <is>
          <t>Sveaskog</t>
        </is>
      </c>
      <c r="G1237" t="n">
        <v>1.7</v>
      </c>
      <c r="H1237" t="n">
        <v>0</v>
      </c>
      <c r="I1237" t="n">
        <v>0</v>
      </c>
      <c r="J1237" t="n">
        <v>0</v>
      </c>
      <c r="K1237" t="n">
        <v>0</v>
      </c>
      <c r="L1237" t="n">
        <v>0</v>
      </c>
      <c r="M1237" t="n">
        <v>0</v>
      </c>
      <c r="N1237" t="n">
        <v>0</v>
      </c>
      <c r="O1237" t="n">
        <v>0</v>
      </c>
      <c r="P1237" t="n">
        <v>0</v>
      </c>
      <c r="Q1237" t="n">
        <v>0</v>
      </c>
      <c r="R1237" s="2" t="inlineStr"/>
    </row>
    <row r="1238" ht="15" customHeight="1">
      <c r="A1238" t="inlineStr">
        <is>
          <t>A 47221-2020</t>
        </is>
      </c>
      <c r="B1238" s="1" t="n">
        <v>44097</v>
      </c>
      <c r="C1238" s="1" t="n">
        <v>45724</v>
      </c>
      <c r="D1238" t="inlineStr">
        <is>
          <t>VÄSTMANLANDS LÄN</t>
        </is>
      </c>
      <c r="E1238" t="inlineStr">
        <is>
          <t>ARBOGA</t>
        </is>
      </c>
      <c r="G1238" t="n">
        <v>21.6</v>
      </c>
      <c r="H1238" t="n">
        <v>0</v>
      </c>
      <c r="I1238" t="n">
        <v>0</v>
      </c>
      <c r="J1238" t="n">
        <v>0</v>
      </c>
      <c r="K1238" t="n">
        <v>0</v>
      </c>
      <c r="L1238" t="n">
        <v>0</v>
      </c>
      <c r="M1238" t="n">
        <v>0</v>
      </c>
      <c r="N1238" t="n">
        <v>0</v>
      </c>
      <c r="O1238" t="n">
        <v>0</v>
      </c>
      <c r="P1238" t="n">
        <v>0</v>
      </c>
      <c r="Q1238" t="n">
        <v>0</v>
      </c>
      <c r="R1238" s="2" t="inlineStr"/>
    </row>
    <row r="1239" ht="15" customHeight="1">
      <c r="A1239" t="inlineStr">
        <is>
          <t>A 47514-2020</t>
        </is>
      </c>
      <c r="B1239" s="1" t="n">
        <v>44098</v>
      </c>
      <c r="C1239" s="1" t="n">
        <v>45724</v>
      </c>
      <c r="D1239" t="inlineStr">
        <is>
          <t>VÄSTMANLANDS LÄN</t>
        </is>
      </c>
      <c r="E1239" t="inlineStr">
        <is>
          <t>NORBERG</t>
        </is>
      </c>
      <c r="G1239" t="n">
        <v>0.6</v>
      </c>
      <c r="H1239" t="n">
        <v>0</v>
      </c>
      <c r="I1239" t="n">
        <v>0</v>
      </c>
      <c r="J1239" t="n">
        <v>0</v>
      </c>
      <c r="K1239" t="n">
        <v>0</v>
      </c>
      <c r="L1239" t="n">
        <v>0</v>
      </c>
      <c r="M1239" t="n">
        <v>0</v>
      </c>
      <c r="N1239" t="n">
        <v>0</v>
      </c>
      <c r="O1239" t="n">
        <v>0</v>
      </c>
      <c r="P1239" t="n">
        <v>0</v>
      </c>
      <c r="Q1239" t="n">
        <v>0</v>
      </c>
      <c r="R1239" s="2" t="inlineStr"/>
    </row>
    <row r="1240" ht="15" customHeight="1">
      <c r="A1240" t="inlineStr">
        <is>
          <t>A 47801-2020</t>
        </is>
      </c>
      <c r="B1240" s="1" t="n">
        <v>44098</v>
      </c>
      <c r="C1240" s="1" t="n">
        <v>45724</v>
      </c>
      <c r="D1240" t="inlineStr">
        <is>
          <t>VÄSTMANLANDS LÄN</t>
        </is>
      </c>
      <c r="E1240" t="inlineStr">
        <is>
          <t>SKINNSKATTEBERG</t>
        </is>
      </c>
      <c r="F1240" t="inlineStr">
        <is>
          <t>Sveaskog</t>
        </is>
      </c>
      <c r="G1240" t="n">
        <v>3.2</v>
      </c>
      <c r="H1240" t="n">
        <v>0</v>
      </c>
      <c r="I1240" t="n">
        <v>0</v>
      </c>
      <c r="J1240" t="n">
        <v>0</v>
      </c>
      <c r="K1240" t="n">
        <v>0</v>
      </c>
      <c r="L1240" t="n">
        <v>0</v>
      </c>
      <c r="M1240" t="n">
        <v>0</v>
      </c>
      <c r="N1240" t="n">
        <v>0</v>
      </c>
      <c r="O1240" t="n">
        <v>0</v>
      </c>
      <c r="P1240" t="n">
        <v>0</v>
      </c>
      <c r="Q1240" t="n">
        <v>0</v>
      </c>
      <c r="R1240" s="2" t="inlineStr"/>
    </row>
    <row r="1241" ht="15" customHeight="1">
      <c r="A1241" t="inlineStr">
        <is>
          <t>A 47806-2020</t>
        </is>
      </c>
      <c r="B1241" s="1" t="n">
        <v>44098</v>
      </c>
      <c r="C1241" s="1" t="n">
        <v>45724</v>
      </c>
      <c r="D1241" t="inlineStr">
        <is>
          <t>VÄSTMANLANDS LÄN</t>
        </is>
      </c>
      <c r="E1241" t="inlineStr">
        <is>
          <t>SKINNSKATTEBERG</t>
        </is>
      </c>
      <c r="F1241" t="inlineStr">
        <is>
          <t>Sveaskog</t>
        </is>
      </c>
      <c r="G1241" t="n">
        <v>0.8</v>
      </c>
      <c r="H1241" t="n">
        <v>0</v>
      </c>
      <c r="I1241" t="n">
        <v>0</v>
      </c>
      <c r="J1241" t="n">
        <v>0</v>
      </c>
      <c r="K1241" t="n">
        <v>0</v>
      </c>
      <c r="L1241" t="n">
        <v>0</v>
      </c>
      <c r="M1241" t="n">
        <v>0</v>
      </c>
      <c r="N1241" t="n">
        <v>0</v>
      </c>
      <c r="O1241" t="n">
        <v>0</v>
      </c>
      <c r="P1241" t="n">
        <v>0</v>
      </c>
      <c r="Q1241" t="n">
        <v>0</v>
      </c>
      <c r="R1241" s="2" t="inlineStr"/>
    </row>
    <row r="1242" ht="15" customHeight="1">
      <c r="A1242" t="inlineStr">
        <is>
          <t>A 47803-2020</t>
        </is>
      </c>
      <c r="B1242" s="1" t="n">
        <v>44098</v>
      </c>
      <c r="C1242" s="1" t="n">
        <v>45724</v>
      </c>
      <c r="D1242" t="inlineStr">
        <is>
          <t>VÄSTMANLANDS LÄN</t>
        </is>
      </c>
      <c r="E1242" t="inlineStr">
        <is>
          <t>SKINNSKATTEBERG</t>
        </is>
      </c>
      <c r="F1242" t="inlineStr">
        <is>
          <t>Sveaskog</t>
        </is>
      </c>
      <c r="G1242" t="n">
        <v>2.2</v>
      </c>
      <c r="H1242" t="n">
        <v>0</v>
      </c>
      <c r="I1242" t="n">
        <v>0</v>
      </c>
      <c r="J1242" t="n">
        <v>0</v>
      </c>
      <c r="K1242" t="n">
        <v>0</v>
      </c>
      <c r="L1242" t="n">
        <v>0</v>
      </c>
      <c r="M1242" t="n">
        <v>0</v>
      </c>
      <c r="N1242" t="n">
        <v>0</v>
      </c>
      <c r="O1242" t="n">
        <v>0</v>
      </c>
      <c r="P1242" t="n">
        <v>0</v>
      </c>
      <c r="Q1242" t="n">
        <v>0</v>
      </c>
      <c r="R1242" s="2" t="inlineStr"/>
    </row>
    <row r="1243" ht="15" customHeight="1">
      <c r="A1243" t="inlineStr">
        <is>
          <t>A 47795-2020</t>
        </is>
      </c>
      <c r="B1243" s="1" t="n">
        <v>44098</v>
      </c>
      <c r="C1243" s="1" t="n">
        <v>45724</v>
      </c>
      <c r="D1243" t="inlineStr">
        <is>
          <t>VÄSTMANLANDS LÄN</t>
        </is>
      </c>
      <c r="E1243" t="inlineStr">
        <is>
          <t>SKINNSKATTEBERG</t>
        </is>
      </c>
      <c r="F1243" t="inlineStr">
        <is>
          <t>Sveaskog</t>
        </is>
      </c>
      <c r="G1243" t="n">
        <v>0.5</v>
      </c>
      <c r="H1243" t="n">
        <v>0</v>
      </c>
      <c r="I1243" t="n">
        <v>0</v>
      </c>
      <c r="J1243" t="n">
        <v>0</v>
      </c>
      <c r="K1243" t="n">
        <v>0</v>
      </c>
      <c r="L1243" t="n">
        <v>0</v>
      </c>
      <c r="M1243" t="n">
        <v>0</v>
      </c>
      <c r="N1243" t="n">
        <v>0</v>
      </c>
      <c r="O1243" t="n">
        <v>0</v>
      </c>
      <c r="P1243" t="n">
        <v>0</v>
      </c>
      <c r="Q1243" t="n">
        <v>0</v>
      </c>
      <c r="R1243" s="2" t="inlineStr"/>
    </row>
    <row r="1244" ht="15" customHeight="1">
      <c r="A1244" t="inlineStr">
        <is>
          <t>A 47805-2020</t>
        </is>
      </c>
      <c r="B1244" s="1" t="n">
        <v>44098</v>
      </c>
      <c r="C1244" s="1" t="n">
        <v>45724</v>
      </c>
      <c r="D1244" t="inlineStr">
        <is>
          <t>VÄSTMANLANDS LÄN</t>
        </is>
      </c>
      <c r="E1244" t="inlineStr">
        <is>
          <t>SKINNSKATTEBERG</t>
        </is>
      </c>
      <c r="F1244" t="inlineStr">
        <is>
          <t>Sveaskog</t>
        </is>
      </c>
      <c r="G1244" t="n">
        <v>0.8</v>
      </c>
      <c r="H1244" t="n">
        <v>0</v>
      </c>
      <c r="I1244" t="n">
        <v>0</v>
      </c>
      <c r="J1244" t="n">
        <v>0</v>
      </c>
      <c r="K1244" t="n">
        <v>0</v>
      </c>
      <c r="L1244" t="n">
        <v>0</v>
      </c>
      <c r="M1244" t="n">
        <v>0</v>
      </c>
      <c r="N1244" t="n">
        <v>0</v>
      </c>
      <c r="O1244" t="n">
        <v>0</v>
      </c>
      <c r="P1244" t="n">
        <v>0</v>
      </c>
      <c r="Q1244" t="n">
        <v>0</v>
      </c>
      <c r="R1244" s="2" t="inlineStr"/>
    </row>
    <row r="1245" ht="15" customHeight="1">
      <c r="A1245" t="inlineStr">
        <is>
          <t>A 47813-2020</t>
        </is>
      </c>
      <c r="B1245" s="1" t="n">
        <v>44098</v>
      </c>
      <c r="C1245" s="1" t="n">
        <v>45724</v>
      </c>
      <c r="D1245" t="inlineStr">
        <is>
          <t>VÄSTMANLANDS LÄN</t>
        </is>
      </c>
      <c r="E1245" t="inlineStr">
        <is>
          <t>SKINNSKATTEBERG</t>
        </is>
      </c>
      <c r="F1245" t="inlineStr">
        <is>
          <t>Sveaskog</t>
        </is>
      </c>
      <c r="G1245" t="n">
        <v>1.5</v>
      </c>
      <c r="H1245" t="n">
        <v>0</v>
      </c>
      <c r="I1245" t="n">
        <v>0</v>
      </c>
      <c r="J1245" t="n">
        <v>0</v>
      </c>
      <c r="K1245" t="n">
        <v>0</v>
      </c>
      <c r="L1245" t="n">
        <v>0</v>
      </c>
      <c r="M1245" t="n">
        <v>0</v>
      </c>
      <c r="N1245" t="n">
        <v>0</v>
      </c>
      <c r="O1245" t="n">
        <v>0</v>
      </c>
      <c r="P1245" t="n">
        <v>0</v>
      </c>
      <c r="Q1245" t="n">
        <v>0</v>
      </c>
      <c r="R1245" s="2" t="inlineStr"/>
    </row>
    <row r="1246" ht="15" customHeight="1">
      <c r="A1246" t="inlineStr">
        <is>
          <t>A 47754-2020</t>
        </is>
      </c>
      <c r="B1246" s="1" t="n">
        <v>44098</v>
      </c>
      <c r="C1246" s="1" t="n">
        <v>45724</v>
      </c>
      <c r="D1246" t="inlineStr">
        <is>
          <t>VÄSTMANLANDS LÄN</t>
        </is>
      </c>
      <c r="E1246" t="inlineStr">
        <is>
          <t>FAGERSTA</t>
        </is>
      </c>
      <c r="G1246" t="n">
        <v>1</v>
      </c>
      <c r="H1246" t="n">
        <v>0</v>
      </c>
      <c r="I1246" t="n">
        <v>0</v>
      </c>
      <c r="J1246" t="n">
        <v>0</v>
      </c>
      <c r="K1246" t="n">
        <v>0</v>
      </c>
      <c r="L1246" t="n">
        <v>0</v>
      </c>
      <c r="M1246" t="n">
        <v>0</v>
      </c>
      <c r="N1246" t="n">
        <v>0</v>
      </c>
      <c r="O1246" t="n">
        <v>0</v>
      </c>
      <c r="P1246" t="n">
        <v>0</v>
      </c>
      <c r="Q1246" t="n">
        <v>0</v>
      </c>
      <c r="R1246" s="2" t="inlineStr"/>
    </row>
    <row r="1247" ht="15" customHeight="1">
      <c r="A1247" t="inlineStr">
        <is>
          <t>A 47804-2020</t>
        </is>
      </c>
      <c r="B1247" s="1" t="n">
        <v>44098</v>
      </c>
      <c r="C1247" s="1" t="n">
        <v>45724</v>
      </c>
      <c r="D1247" t="inlineStr">
        <is>
          <t>VÄSTMANLANDS LÄN</t>
        </is>
      </c>
      <c r="E1247" t="inlineStr">
        <is>
          <t>SKINNSKATTEBERG</t>
        </is>
      </c>
      <c r="F1247" t="inlineStr">
        <is>
          <t>Sveaskog</t>
        </is>
      </c>
      <c r="G1247" t="n">
        <v>2</v>
      </c>
      <c r="H1247" t="n">
        <v>0</v>
      </c>
      <c r="I1247" t="n">
        <v>0</v>
      </c>
      <c r="J1247" t="n">
        <v>0</v>
      </c>
      <c r="K1247" t="n">
        <v>0</v>
      </c>
      <c r="L1247" t="n">
        <v>0</v>
      </c>
      <c r="M1247" t="n">
        <v>0</v>
      </c>
      <c r="N1247" t="n">
        <v>0</v>
      </c>
      <c r="O1247" t="n">
        <v>0</v>
      </c>
      <c r="P1247" t="n">
        <v>0</v>
      </c>
      <c r="Q1247" t="n">
        <v>0</v>
      </c>
      <c r="R1247" s="2" t="inlineStr"/>
    </row>
    <row r="1248" ht="15" customHeight="1">
      <c r="A1248" t="inlineStr">
        <is>
          <t>A 47810-2020</t>
        </is>
      </c>
      <c r="B1248" s="1" t="n">
        <v>44098</v>
      </c>
      <c r="C1248" s="1" t="n">
        <v>45724</v>
      </c>
      <c r="D1248" t="inlineStr">
        <is>
          <t>VÄSTMANLANDS LÄN</t>
        </is>
      </c>
      <c r="E1248" t="inlineStr">
        <is>
          <t>SKINNSKATTEBERG</t>
        </is>
      </c>
      <c r="F1248" t="inlineStr">
        <is>
          <t>Sveaskog</t>
        </is>
      </c>
      <c r="G1248" t="n">
        <v>1.7</v>
      </c>
      <c r="H1248" t="n">
        <v>0</v>
      </c>
      <c r="I1248" t="n">
        <v>0</v>
      </c>
      <c r="J1248" t="n">
        <v>0</v>
      </c>
      <c r="K1248" t="n">
        <v>0</v>
      </c>
      <c r="L1248" t="n">
        <v>0</v>
      </c>
      <c r="M1248" t="n">
        <v>0</v>
      </c>
      <c r="N1248" t="n">
        <v>0</v>
      </c>
      <c r="O1248" t="n">
        <v>0</v>
      </c>
      <c r="P1248" t="n">
        <v>0</v>
      </c>
      <c r="Q1248" t="n">
        <v>0</v>
      </c>
      <c r="R1248" s="2" t="inlineStr"/>
    </row>
    <row r="1249" ht="15" customHeight="1">
      <c r="A1249" t="inlineStr">
        <is>
          <t>A 47807-2020</t>
        </is>
      </c>
      <c r="B1249" s="1" t="n">
        <v>44098</v>
      </c>
      <c r="C1249" s="1" t="n">
        <v>45724</v>
      </c>
      <c r="D1249" t="inlineStr">
        <is>
          <t>VÄSTMANLANDS LÄN</t>
        </is>
      </c>
      <c r="E1249" t="inlineStr">
        <is>
          <t>SKINNSKATTEBERG</t>
        </is>
      </c>
      <c r="F1249" t="inlineStr">
        <is>
          <t>Sveaskog</t>
        </is>
      </c>
      <c r="G1249" t="n">
        <v>2.9</v>
      </c>
      <c r="H1249" t="n">
        <v>0</v>
      </c>
      <c r="I1249" t="n">
        <v>0</v>
      </c>
      <c r="J1249" t="n">
        <v>0</v>
      </c>
      <c r="K1249" t="n">
        <v>0</v>
      </c>
      <c r="L1249" t="n">
        <v>0</v>
      </c>
      <c r="M1249" t="n">
        <v>0</v>
      </c>
      <c r="N1249" t="n">
        <v>0</v>
      </c>
      <c r="O1249" t="n">
        <v>0</v>
      </c>
      <c r="P1249" t="n">
        <v>0</v>
      </c>
      <c r="Q1249" t="n">
        <v>0</v>
      </c>
      <c r="R1249" s="2" t="inlineStr"/>
    </row>
    <row r="1250" ht="15" customHeight="1">
      <c r="A1250" t="inlineStr">
        <is>
          <t>A 47944-2020</t>
        </is>
      </c>
      <c r="B1250" s="1" t="n">
        <v>44099</v>
      </c>
      <c r="C1250" s="1" t="n">
        <v>45724</v>
      </c>
      <c r="D1250" t="inlineStr">
        <is>
          <t>VÄSTMANLANDS LÄN</t>
        </is>
      </c>
      <c r="E1250" t="inlineStr">
        <is>
          <t>KÖPING</t>
        </is>
      </c>
      <c r="F1250" t="inlineStr">
        <is>
          <t>Sveaskog</t>
        </is>
      </c>
      <c r="G1250" t="n">
        <v>4.2</v>
      </c>
      <c r="H1250" t="n">
        <v>0</v>
      </c>
      <c r="I1250" t="n">
        <v>0</v>
      </c>
      <c r="J1250" t="n">
        <v>0</v>
      </c>
      <c r="K1250" t="n">
        <v>0</v>
      </c>
      <c r="L1250" t="n">
        <v>0</v>
      </c>
      <c r="M1250" t="n">
        <v>0</v>
      </c>
      <c r="N1250" t="n">
        <v>0</v>
      </c>
      <c r="O1250" t="n">
        <v>0</v>
      </c>
      <c r="P1250" t="n">
        <v>0</v>
      </c>
      <c r="Q1250" t="n">
        <v>0</v>
      </c>
      <c r="R1250" s="2" t="inlineStr"/>
    </row>
    <row r="1251" ht="15" customHeight="1">
      <c r="A1251" t="inlineStr">
        <is>
          <t>A 47964-2020</t>
        </is>
      </c>
      <c r="B1251" s="1" t="n">
        <v>44099</v>
      </c>
      <c r="C1251" s="1" t="n">
        <v>45724</v>
      </c>
      <c r="D1251" t="inlineStr">
        <is>
          <t>VÄSTMANLANDS LÄN</t>
        </is>
      </c>
      <c r="E1251" t="inlineStr">
        <is>
          <t>VÄSTERÅS</t>
        </is>
      </c>
      <c r="G1251" t="n">
        <v>1.3</v>
      </c>
      <c r="H1251" t="n">
        <v>0</v>
      </c>
      <c r="I1251" t="n">
        <v>0</v>
      </c>
      <c r="J1251" t="n">
        <v>0</v>
      </c>
      <c r="K1251" t="n">
        <v>0</v>
      </c>
      <c r="L1251" t="n">
        <v>0</v>
      </c>
      <c r="M1251" t="n">
        <v>0</v>
      </c>
      <c r="N1251" t="n">
        <v>0</v>
      </c>
      <c r="O1251" t="n">
        <v>0</v>
      </c>
      <c r="P1251" t="n">
        <v>0</v>
      </c>
      <c r="Q1251" t="n">
        <v>0</v>
      </c>
      <c r="R1251" s="2" t="inlineStr"/>
    </row>
    <row r="1252" ht="15" customHeight="1">
      <c r="A1252" t="inlineStr">
        <is>
          <t>A 47997-2020</t>
        </is>
      </c>
      <c r="B1252" s="1" t="n">
        <v>44099</v>
      </c>
      <c r="C1252" s="1" t="n">
        <v>45724</v>
      </c>
      <c r="D1252" t="inlineStr">
        <is>
          <t>VÄSTMANLANDS LÄN</t>
        </is>
      </c>
      <c r="E1252" t="inlineStr">
        <is>
          <t>SURAHAMMAR</t>
        </is>
      </c>
      <c r="G1252" t="n">
        <v>4.8</v>
      </c>
      <c r="H1252" t="n">
        <v>0</v>
      </c>
      <c r="I1252" t="n">
        <v>0</v>
      </c>
      <c r="J1252" t="n">
        <v>0</v>
      </c>
      <c r="K1252" t="n">
        <v>0</v>
      </c>
      <c r="L1252" t="n">
        <v>0</v>
      </c>
      <c r="M1252" t="n">
        <v>0</v>
      </c>
      <c r="N1252" t="n">
        <v>0</v>
      </c>
      <c r="O1252" t="n">
        <v>0</v>
      </c>
      <c r="P1252" t="n">
        <v>0</v>
      </c>
      <c r="Q1252" t="n">
        <v>0</v>
      </c>
      <c r="R1252" s="2" t="inlineStr"/>
    </row>
    <row r="1253" ht="15" customHeight="1">
      <c r="A1253" t="inlineStr">
        <is>
          <t>A 48084-2020</t>
        </is>
      </c>
      <c r="B1253" s="1" t="n">
        <v>44100</v>
      </c>
      <c r="C1253" s="1" t="n">
        <v>45724</v>
      </c>
      <c r="D1253" t="inlineStr">
        <is>
          <t>VÄSTMANLANDS LÄN</t>
        </is>
      </c>
      <c r="E1253" t="inlineStr">
        <is>
          <t>SKINNSKATTEBERG</t>
        </is>
      </c>
      <c r="F1253" t="inlineStr">
        <is>
          <t>Sveaskog</t>
        </is>
      </c>
      <c r="G1253" t="n">
        <v>1.4</v>
      </c>
      <c r="H1253" t="n">
        <v>0</v>
      </c>
      <c r="I1253" t="n">
        <v>0</v>
      </c>
      <c r="J1253" t="n">
        <v>0</v>
      </c>
      <c r="K1253" t="n">
        <v>0</v>
      </c>
      <c r="L1253" t="n">
        <v>0</v>
      </c>
      <c r="M1253" t="n">
        <v>0</v>
      </c>
      <c r="N1253" t="n">
        <v>0</v>
      </c>
      <c r="O1253" t="n">
        <v>0</v>
      </c>
      <c r="P1253" t="n">
        <v>0</v>
      </c>
      <c r="Q1253" t="n">
        <v>0</v>
      </c>
      <c r="R1253" s="2" t="inlineStr"/>
    </row>
    <row r="1254" ht="15" customHeight="1">
      <c r="A1254" t="inlineStr">
        <is>
          <t>A 48108-2020</t>
        </is>
      </c>
      <c r="B1254" s="1" t="n">
        <v>44101</v>
      </c>
      <c r="C1254" s="1" t="n">
        <v>45724</v>
      </c>
      <c r="D1254" t="inlineStr">
        <is>
          <t>VÄSTMANLANDS LÄN</t>
        </is>
      </c>
      <c r="E1254" t="inlineStr">
        <is>
          <t>SKINNSKATTEBERG</t>
        </is>
      </c>
      <c r="F1254" t="inlineStr">
        <is>
          <t>Sveaskog</t>
        </is>
      </c>
      <c r="G1254" t="n">
        <v>0.4</v>
      </c>
      <c r="H1254" t="n">
        <v>0</v>
      </c>
      <c r="I1254" t="n">
        <v>0</v>
      </c>
      <c r="J1254" t="n">
        <v>0</v>
      </c>
      <c r="K1254" t="n">
        <v>0</v>
      </c>
      <c r="L1254" t="n">
        <v>0</v>
      </c>
      <c r="M1254" t="n">
        <v>0</v>
      </c>
      <c r="N1254" t="n">
        <v>0</v>
      </c>
      <c r="O1254" t="n">
        <v>0</v>
      </c>
      <c r="P1254" t="n">
        <v>0</v>
      </c>
      <c r="Q1254" t="n">
        <v>0</v>
      </c>
      <c r="R1254" s="2" t="inlineStr"/>
    </row>
    <row r="1255" ht="15" customHeight="1">
      <c r="A1255" t="inlineStr">
        <is>
          <t>A 48622-2020</t>
        </is>
      </c>
      <c r="B1255" s="1" t="n">
        <v>44103</v>
      </c>
      <c r="C1255" s="1" t="n">
        <v>45724</v>
      </c>
      <c r="D1255" t="inlineStr">
        <is>
          <t>VÄSTMANLANDS LÄN</t>
        </is>
      </c>
      <c r="E1255" t="inlineStr">
        <is>
          <t>ARBOGA</t>
        </is>
      </c>
      <c r="G1255" t="n">
        <v>13.4</v>
      </c>
      <c r="H1255" t="n">
        <v>0</v>
      </c>
      <c r="I1255" t="n">
        <v>0</v>
      </c>
      <c r="J1255" t="n">
        <v>0</v>
      </c>
      <c r="K1255" t="n">
        <v>0</v>
      </c>
      <c r="L1255" t="n">
        <v>0</v>
      </c>
      <c r="M1255" t="n">
        <v>0</v>
      </c>
      <c r="N1255" t="n">
        <v>0</v>
      </c>
      <c r="O1255" t="n">
        <v>0</v>
      </c>
      <c r="P1255" t="n">
        <v>0</v>
      </c>
      <c r="Q1255" t="n">
        <v>0</v>
      </c>
      <c r="R1255" s="2" t="inlineStr"/>
    </row>
    <row r="1256" ht="15" customHeight="1">
      <c r="A1256" t="inlineStr">
        <is>
          <t>A 49554-2020</t>
        </is>
      </c>
      <c r="B1256" s="1" t="n">
        <v>44103</v>
      </c>
      <c r="C1256" s="1" t="n">
        <v>45724</v>
      </c>
      <c r="D1256" t="inlineStr">
        <is>
          <t>VÄSTMANLANDS LÄN</t>
        </is>
      </c>
      <c r="E1256" t="inlineStr">
        <is>
          <t>SKINNSKATTEBERG</t>
        </is>
      </c>
      <c r="G1256" t="n">
        <v>21.8</v>
      </c>
      <c r="H1256" t="n">
        <v>0</v>
      </c>
      <c r="I1256" t="n">
        <v>0</v>
      </c>
      <c r="J1256" t="n">
        <v>0</v>
      </c>
      <c r="K1256" t="n">
        <v>0</v>
      </c>
      <c r="L1256" t="n">
        <v>0</v>
      </c>
      <c r="M1256" t="n">
        <v>0</v>
      </c>
      <c r="N1256" t="n">
        <v>0</v>
      </c>
      <c r="O1256" t="n">
        <v>0</v>
      </c>
      <c r="P1256" t="n">
        <v>0</v>
      </c>
      <c r="Q1256" t="n">
        <v>0</v>
      </c>
      <c r="R1256" s="2" t="inlineStr"/>
    </row>
    <row r="1257" ht="15" customHeight="1">
      <c r="A1257" t="inlineStr">
        <is>
          <t>A 49113-2020</t>
        </is>
      </c>
      <c r="B1257" s="1" t="n">
        <v>44104</v>
      </c>
      <c r="C1257" s="1" t="n">
        <v>45724</v>
      </c>
      <c r="D1257" t="inlineStr">
        <is>
          <t>VÄSTMANLANDS LÄN</t>
        </is>
      </c>
      <c r="E1257" t="inlineStr">
        <is>
          <t>SKINNSKATTEBERG</t>
        </is>
      </c>
      <c r="F1257" t="inlineStr">
        <is>
          <t>Sveaskog</t>
        </is>
      </c>
      <c r="G1257" t="n">
        <v>1.2</v>
      </c>
      <c r="H1257" t="n">
        <v>0</v>
      </c>
      <c r="I1257" t="n">
        <v>0</v>
      </c>
      <c r="J1257" t="n">
        <v>0</v>
      </c>
      <c r="K1257" t="n">
        <v>0</v>
      </c>
      <c r="L1257" t="n">
        <v>0</v>
      </c>
      <c r="M1257" t="n">
        <v>0</v>
      </c>
      <c r="N1257" t="n">
        <v>0</v>
      </c>
      <c r="O1257" t="n">
        <v>0</v>
      </c>
      <c r="P1257" t="n">
        <v>0</v>
      </c>
      <c r="Q1257" t="n">
        <v>0</v>
      </c>
      <c r="R1257" s="2" t="inlineStr"/>
    </row>
    <row r="1258" ht="15" customHeight="1">
      <c r="A1258" t="inlineStr">
        <is>
          <t>A 49112-2020</t>
        </is>
      </c>
      <c r="B1258" s="1" t="n">
        <v>44104</v>
      </c>
      <c r="C1258" s="1" t="n">
        <v>45724</v>
      </c>
      <c r="D1258" t="inlineStr">
        <is>
          <t>VÄSTMANLANDS LÄN</t>
        </is>
      </c>
      <c r="E1258" t="inlineStr">
        <is>
          <t>SKINNSKATTEBERG</t>
        </is>
      </c>
      <c r="F1258" t="inlineStr">
        <is>
          <t>Sveaskog</t>
        </is>
      </c>
      <c r="G1258" t="n">
        <v>3</v>
      </c>
      <c r="H1258" t="n">
        <v>0</v>
      </c>
      <c r="I1258" t="n">
        <v>0</v>
      </c>
      <c r="J1258" t="n">
        <v>0</v>
      </c>
      <c r="K1258" t="n">
        <v>0</v>
      </c>
      <c r="L1258" t="n">
        <v>0</v>
      </c>
      <c r="M1258" t="n">
        <v>0</v>
      </c>
      <c r="N1258" t="n">
        <v>0</v>
      </c>
      <c r="O1258" t="n">
        <v>0</v>
      </c>
      <c r="P1258" t="n">
        <v>0</v>
      </c>
      <c r="Q1258" t="n">
        <v>0</v>
      </c>
      <c r="R1258" s="2" t="inlineStr"/>
    </row>
    <row r="1259" ht="15" customHeight="1">
      <c r="A1259" t="inlineStr">
        <is>
          <t>A 49111-2020</t>
        </is>
      </c>
      <c r="B1259" s="1" t="n">
        <v>44104</v>
      </c>
      <c r="C1259" s="1" t="n">
        <v>45724</v>
      </c>
      <c r="D1259" t="inlineStr">
        <is>
          <t>VÄSTMANLANDS LÄN</t>
        </is>
      </c>
      <c r="E1259" t="inlineStr">
        <is>
          <t>SKINNSKATTEBERG</t>
        </is>
      </c>
      <c r="F1259" t="inlineStr">
        <is>
          <t>Sveaskog</t>
        </is>
      </c>
      <c r="G1259" t="n">
        <v>0.9</v>
      </c>
      <c r="H1259" t="n">
        <v>0</v>
      </c>
      <c r="I1259" t="n">
        <v>0</v>
      </c>
      <c r="J1259" t="n">
        <v>0</v>
      </c>
      <c r="K1259" t="n">
        <v>0</v>
      </c>
      <c r="L1259" t="n">
        <v>0</v>
      </c>
      <c r="M1259" t="n">
        <v>0</v>
      </c>
      <c r="N1259" t="n">
        <v>0</v>
      </c>
      <c r="O1259" t="n">
        <v>0</v>
      </c>
      <c r="P1259" t="n">
        <v>0</v>
      </c>
      <c r="Q1259" t="n">
        <v>0</v>
      </c>
      <c r="R1259" s="2" t="inlineStr"/>
    </row>
    <row r="1260" ht="15" customHeight="1">
      <c r="A1260" t="inlineStr">
        <is>
          <t>A 49115-2020</t>
        </is>
      </c>
      <c r="B1260" s="1" t="n">
        <v>44104</v>
      </c>
      <c r="C1260" s="1" t="n">
        <v>45724</v>
      </c>
      <c r="D1260" t="inlineStr">
        <is>
          <t>VÄSTMANLANDS LÄN</t>
        </is>
      </c>
      <c r="E1260" t="inlineStr">
        <is>
          <t>SKINNSKATTEBERG</t>
        </is>
      </c>
      <c r="F1260" t="inlineStr">
        <is>
          <t>Sveaskog</t>
        </is>
      </c>
      <c r="G1260" t="n">
        <v>0.8</v>
      </c>
      <c r="H1260" t="n">
        <v>0</v>
      </c>
      <c r="I1260" t="n">
        <v>0</v>
      </c>
      <c r="J1260" t="n">
        <v>0</v>
      </c>
      <c r="K1260" t="n">
        <v>0</v>
      </c>
      <c r="L1260" t="n">
        <v>0</v>
      </c>
      <c r="M1260" t="n">
        <v>0</v>
      </c>
      <c r="N1260" t="n">
        <v>0</v>
      </c>
      <c r="O1260" t="n">
        <v>0</v>
      </c>
      <c r="P1260" t="n">
        <v>0</v>
      </c>
      <c r="Q1260" t="n">
        <v>0</v>
      </c>
      <c r="R1260" s="2" t="inlineStr"/>
    </row>
    <row r="1261" ht="15" customHeight="1">
      <c r="A1261" t="inlineStr">
        <is>
          <t>A 49117-2020</t>
        </is>
      </c>
      <c r="B1261" s="1" t="n">
        <v>44104</v>
      </c>
      <c r="C1261" s="1" t="n">
        <v>45724</v>
      </c>
      <c r="D1261" t="inlineStr">
        <is>
          <t>VÄSTMANLANDS LÄN</t>
        </is>
      </c>
      <c r="E1261" t="inlineStr">
        <is>
          <t>SKINNSKATTEBERG</t>
        </is>
      </c>
      <c r="F1261" t="inlineStr">
        <is>
          <t>Sveaskog</t>
        </is>
      </c>
      <c r="G1261" t="n">
        <v>1.1</v>
      </c>
      <c r="H1261" t="n">
        <v>0</v>
      </c>
      <c r="I1261" t="n">
        <v>0</v>
      </c>
      <c r="J1261" t="n">
        <v>0</v>
      </c>
      <c r="K1261" t="n">
        <v>0</v>
      </c>
      <c r="L1261" t="n">
        <v>0</v>
      </c>
      <c r="M1261" t="n">
        <v>0</v>
      </c>
      <c r="N1261" t="n">
        <v>0</v>
      </c>
      <c r="O1261" t="n">
        <v>0</v>
      </c>
      <c r="P1261" t="n">
        <v>0</v>
      </c>
      <c r="Q1261" t="n">
        <v>0</v>
      </c>
      <c r="R1261" s="2" t="inlineStr"/>
    </row>
    <row r="1262" ht="15" customHeight="1">
      <c r="A1262" t="inlineStr">
        <is>
          <t>A 49110-2020</t>
        </is>
      </c>
      <c r="B1262" s="1" t="n">
        <v>44104</v>
      </c>
      <c r="C1262" s="1" t="n">
        <v>45724</v>
      </c>
      <c r="D1262" t="inlineStr">
        <is>
          <t>VÄSTMANLANDS LÄN</t>
        </is>
      </c>
      <c r="E1262" t="inlineStr">
        <is>
          <t>SKINNSKATTEBERG</t>
        </is>
      </c>
      <c r="F1262" t="inlineStr">
        <is>
          <t>Sveaskog</t>
        </is>
      </c>
      <c r="G1262" t="n">
        <v>1.2</v>
      </c>
      <c r="H1262" t="n">
        <v>0</v>
      </c>
      <c r="I1262" t="n">
        <v>0</v>
      </c>
      <c r="J1262" t="n">
        <v>0</v>
      </c>
      <c r="K1262" t="n">
        <v>0</v>
      </c>
      <c r="L1262" t="n">
        <v>0</v>
      </c>
      <c r="M1262" t="n">
        <v>0</v>
      </c>
      <c r="N1262" t="n">
        <v>0</v>
      </c>
      <c r="O1262" t="n">
        <v>0</v>
      </c>
      <c r="P1262" t="n">
        <v>0</v>
      </c>
      <c r="Q1262" t="n">
        <v>0</v>
      </c>
      <c r="R1262" s="2" t="inlineStr"/>
    </row>
    <row r="1263" ht="15" customHeight="1">
      <c r="A1263" t="inlineStr">
        <is>
          <t>A 49114-2020</t>
        </is>
      </c>
      <c r="B1263" s="1" t="n">
        <v>44104</v>
      </c>
      <c r="C1263" s="1" t="n">
        <v>45724</v>
      </c>
      <c r="D1263" t="inlineStr">
        <is>
          <t>VÄSTMANLANDS LÄN</t>
        </is>
      </c>
      <c r="E1263" t="inlineStr">
        <is>
          <t>SKINNSKATTEBERG</t>
        </is>
      </c>
      <c r="F1263" t="inlineStr">
        <is>
          <t>Sveaskog</t>
        </is>
      </c>
      <c r="G1263" t="n">
        <v>0.6</v>
      </c>
      <c r="H1263" t="n">
        <v>0</v>
      </c>
      <c r="I1263" t="n">
        <v>0</v>
      </c>
      <c r="J1263" t="n">
        <v>0</v>
      </c>
      <c r="K1263" t="n">
        <v>0</v>
      </c>
      <c r="L1263" t="n">
        <v>0</v>
      </c>
      <c r="M1263" t="n">
        <v>0</v>
      </c>
      <c r="N1263" t="n">
        <v>0</v>
      </c>
      <c r="O1263" t="n">
        <v>0</v>
      </c>
      <c r="P1263" t="n">
        <v>0</v>
      </c>
      <c r="Q1263" t="n">
        <v>0</v>
      </c>
      <c r="R1263" s="2" t="inlineStr"/>
    </row>
    <row r="1264" ht="15" customHeight="1">
      <c r="A1264" t="inlineStr">
        <is>
          <t>A 49373-2020</t>
        </is>
      </c>
      <c r="B1264" s="1" t="n">
        <v>44105</v>
      </c>
      <c r="C1264" s="1" t="n">
        <v>45724</v>
      </c>
      <c r="D1264" t="inlineStr">
        <is>
          <t>VÄSTMANLANDS LÄN</t>
        </is>
      </c>
      <c r="E1264" t="inlineStr">
        <is>
          <t>ARBOGA</t>
        </is>
      </c>
      <c r="F1264" t="inlineStr">
        <is>
          <t>Sveaskog</t>
        </is>
      </c>
      <c r="G1264" t="n">
        <v>1.8</v>
      </c>
      <c r="H1264" t="n">
        <v>0</v>
      </c>
      <c r="I1264" t="n">
        <v>0</v>
      </c>
      <c r="J1264" t="n">
        <v>0</v>
      </c>
      <c r="K1264" t="n">
        <v>0</v>
      </c>
      <c r="L1264" t="n">
        <v>0</v>
      </c>
      <c r="M1264" t="n">
        <v>0</v>
      </c>
      <c r="N1264" t="n">
        <v>0</v>
      </c>
      <c r="O1264" t="n">
        <v>0</v>
      </c>
      <c r="P1264" t="n">
        <v>0</v>
      </c>
      <c r="Q1264" t="n">
        <v>0</v>
      </c>
      <c r="R1264" s="2" t="inlineStr"/>
    </row>
    <row r="1265" ht="15" customHeight="1">
      <c r="A1265" t="inlineStr">
        <is>
          <t>A 50172-2020</t>
        </is>
      </c>
      <c r="B1265" s="1" t="n">
        <v>44109</v>
      </c>
      <c r="C1265" s="1" t="n">
        <v>45724</v>
      </c>
      <c r="D1265" t="inlineStr">
        <is>
          <t>VÄSTMANLANDS LÄN</t>
        </is>
      </c>
      <c r="E1265" t="inlineStr">
        <is>
          <t>SKINNSKATTEBERG</t>
        </is>
      </c>
      <c r="G1265" t="n">
        <v>9.4</v>
      </c>
      <c r="H1265" t="n">
        <v>0</v>
      </c>
      <c r="I1265" t="n">
        <v>0</v>
      </c>
      <c r="J1265" t="n">
        <v>0</v>
      </c>
      <c r="K1265" t="n">
        <v>0</v>
      </c>
      <c r="L1265" t="n">
        <v>0</v>
      </c>
      <c r="M1265" t="n">
        <v>0</v>
      </c>
      <c r="N1265" t="n">
        <v>0</v>
      </c>
      <c r="O1265" t="n">
        <v>0</v>
      </c>
      <c r="P1265" t="n">
        <v>0</v>
      </c>
      <c r="Q1265" t="n">
        <v>0</v>
      </c>
      <c r="R1265" s="2" t="inlineStr"/>
    </row>
    <row r="1266" ht="15" customHeight="1">
      <c r="A1266" t="inlineStr">
        <is>
          <t>A 50357-2020</t>
        </is>
      </c>
      <c r="B1266" s="1" t="n">
        <v>44110</v>
      </c>
      <c r="C1266" s="1" t="n">
        <v>45724</v>
      </c>
      <c r="D1266" t="inlineStr">
        <is>
          <t>VÄSTMANLANDS LÄN</t>
        </is>
      </c>
      <c r="E1266" t="inlineStr">
        <is>
          <t>KÖPING</t>
        </is>
      </c>
      <c r="F1266" t="inlineStr">
        <is>
          <t>Sveaskog</t>
        </is>
      </c>
      <c r="G1266" t="n">
        <v>1.2</v>
      </c>
      <c r="H1266" t="n">
        <v>0</v>
      </c>
      <c r="I1266" t="n">
        <v>0</v>
      </c>
      <c r="J1266" t="n">
        <v>0</v>
      </c>
      <c r="K1266" t="n">
        <v>0</v>
      </c>
      <c r="L1266" t="n">
        <v>0</v>
      </c>
      <c r="M1266" t="n">
        <v>0</v>
      </c>
      <c r="N1266" t="n">
        <v>0</v>
      </c>
      <c r="O1266" t="n">
        <v>0</v>
      </c>
      <c r="P1266" t="n">
        <v>0</v>
      </c>
      <c r="Q1266" t="n">
        <v>0</v>
      </c>
      <c r="R1266" s="2" t="inlineStr"/>
    </row>
    <row r="1267" ht="15" customHeight="1">
      <c r="A1267" t="inlineStr">
        <is>
          <t>A 50360-2020</t>
        </is>
      </c>
      <c r="B1267" s="1" t="n">
        <v>44110</v>
      </c>
      <c r="C1267" s="1" t="n">
        <v>45724</v>
      </c>
      <c r="D1267" t="inlineStr">
        <is>
          <t>VÄSTMANLANDS LÄN</t>
        </is>
      </c>
      <c r="E1267" t="inlineStr">
        <is>
          <t>KÖPING</t>
        </is>
      </c>
      <c r="F1267" t="inlineStr">
        <is>
          <t>Sveaskog</t>
        </is>
      </c>
      <c r="G1267" t="n">
        <v>1.8</v>
      </c>
      <c r="H1267" t="n">
        <v>0</v>
      </c>
      <c r="I1267" t="n">
        <v>0</v>
      </c>
      <c r="J1267" t="n">
        <v>0</v>
      </c>
      <c r="K1267" t="n">
        <v>0</v>
      </c>
      <c r="L1267" t="n">
        <v>0</v>
      </c>
      <c r="M1267" t="n">
        <v>0</v>
      </c>
      <c r="N1267" t="n">
        <v>0</v>
      </c>
      <c r="O1267" t="n">
        <v>0</v>
      </c>
      <c r="P1267" t="n">
        <v>0</v>
      </c>
      <c r="Q1267" t="n">
        <v>0</v>
      </c>
      <c r="R1267" s="2" t="inlineStr"/>
    </row>
    <row r="1268" ht="15" customHeight="1">
      <c r="A1268" t="inlineStr">
        <is>
          <t>A 50559-2020</t>
        </is>
      </c>
      <c r="B1268" s="1" t="n">
        <v>44110</v>
      </c>
      <c r="C1268" s="1" t="n">
        <v>45724</v>
      </c>
      <c r="D1268" t="inlineStr">
        <is>
          <t>VÄSTMANLANDS LÄN</t>
        </is>
      </c>
      <c r="E1268" t="inlineStr">
        <is>
          <t>SALA</t>
        </is>
      </c>
      <c r="G1268" t="n">
        <v>1.4</v>
      </c>
      <c r="H1268" t="n">
        <v>0</v>
      </c>
      <c r="I1268" t="n">
        <v>0</v>
      </c>
      <c r="J1268" t="n">
        <v>0</v>
      </c>
      <c r="K1268" t="n">
        <v>0</v>
      </c>
      <c r="L1268" t="n">
        <v>0</v>
      </c>
      <c r="M1268" t="n">
        <v>0</v>
      </c>
      <c r="N1268" t="n">
        <v>0</v>
      </c>
      <c r="O1268" t="n">
        <v>0</v>
      </c>
      <c r="P1268" t="n">
        <v>0</v>
      </c>
      <c r="Q1268" t="n">
        <v>0</v>
      </c>
      <c r="R1268" s="2" t="inlineStr"/>
    </row>
    <row r="1269" ht="15" customHeight="1">
      <c r="A1269" t="inlineStr">
        <is>
          <t>A 50801-2020</t>
        </is>
      </c>
      <c r="B1269" s="1" t="n">
        <v>44111</v>
      </c>
      <c r="C1269" s="1" t="n">
        <v>45724</v>
      </c>
      <c r="D1269" t="inlineStr">
        <is>
          <t>VÄSTMANLANDS LÄN</t>
        </is>
      </c>
      <c r="E1269" t="inlineStr">
        <is>
          <t>SALA</t>
        </is>
      </c>
      <c r="G1269" t="n">
        <v>1.1</v>
      </c>
      <c r="H1269" t="n">
        <v>0</v>
      </c>
      <c r="I1269" t="n">
        <v>0</v>
      </c>
      <c r="J1269" t="n">
        <v>0</v>
      </c>
      <c r="K1269" t="n">
        <v>0</v>
      </c>
      <c r="L1269" t="n">
        <v>0</v>
      </c>
      <c r="M1269" t="n">
        <v>0</v>
      </c>
      <c r="N1269" t="n">
        <v>0</v>
      </c>
      <c r="O1269" t="n">
        <v>0</v>
      </c>
      <c r="P1269" t="n">
        <v>0</v>
      </c>
      <c r="Q1269" t="n">
        <v>0</v>
      </c>
      <c r="R1269" s="2" t="inlineStr"/>
    </row>
    <row r="1270" ht="15" customHeight="1">
      <c r="A1270" t="inlineStr">
        <is>
          <t>A 50818-2020</t>
        </is>
      </c>
      <c r="B1270" s="1" t="n">
        <v>44111</v>
      </c>
      <c r="C1270" s="1" t="n">
        <v>45724</v>
      </c>
      <c r="D1270" t="inlineStr">
        <is>
          <t>VÄSTMANLANDS LÄN</t>
        </is>
      </c>
      <c r="E1270" t="inlineStr">
        <is>
          <t>SALA</t>
        </is>
      </c>
      <c r="G1270" t="n">
        <v>0.4</v>
      </c>
      <c r="H1270" t="n">
        <v>0</v>
      </c>
      <c r="I1270" t="n">
        <v>0</v>
      </c>
      <c r="J1270" t="n">
        <v>0</v>
      </c>
      <c r="K1270" t="n">
        <v>0</v>
      </c>
      <c r="L1270" t="n">
        <v>0</v>
      </c>
      <c r="M1270" t="n">
        <v>0</v>
      </c>
      <c r="N1270" t="n">
        <v>0</v>
      </c>
      <c r="O1270" t="n">
        <v>0</v>
      </c>
      <c r="P1270" t="n">
        <v>0</v>
      </c>
      <c r="Q1270" t="n">
        <v>0</v>
      </c>
      <c r="R1270" s="2" t="inlineStr"/>
    </row>
    <row r="1271" ht="15" customHeight="1">
      <c r="A1271" t="inlineStr">
        <is>
          <t>A 50866-2020</t>
        </is>
      </c>
      <c r="B1271" s="1" t="n">
        <v>44111</v>
      </c>
      <c r="C1271" s="1" t="n">
        <v>45724</v>
      </c>
      <c r="D1271" t="inlineStr">
        <is>
          <t>VÄSTMANLANDS LÄN</t>
        </is>
      </c>
      <c r="E1271" t="inlineStr">
        <is>
          <t>ARBOGA</t>
        </is>
      </c>
      <c r="G1271" t="n">
        <v>1.6</v>
      </c>
      <c r="H1271" t="n">
        <v>0</v>
      </c>
      <c r="I1271" t="n">
        <v>0</v>
      </c>
      <c r="J1271" t="n">
        <v>0</v>
      </c>
      <c r="K1271" t="n">
        <v>0</v>
      </c>
      <c r="L1271" t="n">
        <v>0</v>
      </c>
      <c r="M1271" t="n">
        <v>0</v>
      </c>
      <c r="N1271" t="n">
        <v>0</v>
      </c>
      <c r="O1271" t="n">
        <v>0</v>
      </c>
      <c r="P1271" t="n">
        <v>0</v>
      </c>
      <c r="Q1271" t="n">
        <v>0</v>
      </c>
      <c r="R1271" s="2" t="inlineStr"/>
    </row>
    <row r="1272" ht="15" customHeight="1">
      <c r="A1272" t="inlineStr">
        <is>
          <t>A 51349-2020</t>
        </is>
      </c>
      <c r="B1272" s="1" t="n">
        <v>44112</v>
      </c>
      <c r="C1272" s="1" t="n">
        <v>45724</v>
      </c>
      <c r="D1272" t="inlineStr">
        <is>
          <t>VÄSTMANLANDS LÄN</t>
        </is>
      </c>
      <c r="E1272" t="inlineStr">
        <is>
          <t>KÖPING</t>
        </is>
      </c>
      <c r="F1272" t="inlineStr">
        <is>
          <t>Sveaskog</t>
        </is>
      </c>
      <c r="G1272" t="n">
        <v>0.5</v>
      </c>
      <c r="H1272" t="n">
        <v>0</v>
      </c>
      <c r="I1272" t="n">
        <v>0</v>
      </c>
      <c r="J1272" t="n">
        <v>0</v>
      </c>
      <c r="K1272" t="n">
        <v>0</v>
      </c>
      <c r="L1272" t="n">
        <v>0</v>
      </c>
      <c r="M1272" t="n">
        <v>0</v>
      </c>
      <c r="N1272" t="n">
        <v>0</v>
      </c>
      <c r="O1272" t="n">
        <v>0</v>
      </c>
      <c r="P1272" t="n">
        <v>0</v>
      </c>
      <c r="Q1272" t="n">
        <v>0</v>
      </c>
      <c r="R1272" s="2" t="inlineStr"/>
    </row>
    <row r="1273" ht="15" customHeight="1">
      <c r="A1273" t="inlineStr">
        <is>
          <t>A 51350-2020</t>
        </is>
      </c>
      <c r="B1273" s="1" t="n">
        <v>44112</v>
      </c>
      <c r="C1273" s="1" t="n">
        <v>45724</v>
      </c>
      <c r="D1273" t="inlineStr">
        <is>
          <t>VÄSTMANLANDS LÄN</t>
        </is>
      </c>
      <c r="E1273" t="inlineStr">
        <is>
          <t>KÖPING</t>
        </is>
      </c>
      <c r="F1273" t="inlineStr">
        <is>
          <t>Sveaskog</t>
        </is>
      </c>
      <c r="G1273" t="n">
        <v>1.6</v>
      </c>
      <c r="H1273" t="n">
        <v>0</v>
      </c>
      <c r="I1273" t="n">
        <v>0</v>
      </c>
      <c r="J1273" t="n">
        <v>0</v>
      </c>
      <c r="K1273" t="n">
        <v>0</v>
      </c>
      <c r="L1273" t="n">
        <v>0</v>
      </c>
      <c r="M1273" t="n">
        <v>0</v>
      </c>
      <c r="N1273" t="n">
        <v>0</v>
      </c>
      <c r="O1273" t="n">
        <v>0</v>
      </c>
      <c r="P1273" t="n">
        <v>0</v>
      </c>
      <c r="Q1273" t="n">
        <v>0</v>
      </c>
      <c r="R1273" s="2" t="inlineStr"/>
    </row>
    <row r="1274" ht="15" customHeight="1">
      <c r="A1274" t="inlineStr">
        <is>
          <t>A 51624-2020</t>
        </is>
      </c>
      <c r="B1274" s="1" t="n">
        <v>44113</v>
      </c>
      <c r="C1274" s="1" t="n">
        <v>45724</v>
      </c>
      <c r="D1274" t="inlineStr">
        <is>
          <t>VÄSTMANLANDS LÄN</t>
        </is>
      </c>
      <c r="E1274" t="inlineStr">
        <is>
          <t>FAGERSTA</t>
        </is>
      </c>
      <c r="F1274" t="inlineStr">
        <is>
          <t>Sveaskog</t>
        </is>
      </c>
      <c r="G1274" t="n">
        <v>0.2</v>
      </c>
      <c r="H1274" t="n">
        <v>0</v>
      </c>
      <c r="I1274" t="n">
        <v>0</v>
      </c>
      <c r="J1274" t="n">
        <v>0</v>
      </c>
      <c r="K1274" t="n">
        <v>0</v>
      </c>
      <c r="L1274" t="n">
        <v>0</v>
      </c>
      <c r="M1274" t="n">
        <v>0</v>
      </c>
      <c r="N1274" t="n">
        <v>0</v>
      </c>
      <c r="O1274" t="n">
        <v>0</v>
      </c>
      <c r="P1274" t="n">
        <v>0</v>
      </c>
      <c r="Q1274" t="n">
        <v>0</v>
      </c>
      <c r="R1274" s="2" t="inlineStr"/>
    </row>
    <row r="1275" ht="15" customHeight="1">
      <c r="A1275" t="inlineStr">
        <is>
          <t>A 51489-2020</t>
        </is>
      </c>
      <c r="B1275" s="1" t="n">
        <v>44113</v>
      </c>
      <c r="C1275" s="1" t="n">
        <v>45724</v>
      </c>
      <c r="D1275" t="inlineStr">
        <is>
          <t>VÄSTMANLANDS LÄN</t>
        </is>
      </c>
      <c r="E1275" t="inlineStr">
        <is>
          <t>VÄSTERÅS</t>
        </is>
      </c>
      <c r="G1275" t="n">
        <v>0.7</v>
      </c>
      <c r="H1275" t="n">
        <v>0</v>
      </c>
      <c r="I1275" t="n">
        <v>0</v>
      </c>
      <c r="J1275" t="n">
        <v>0</v>
      </c>
      <c r="K1275" t="n">
        <v>0</v>
      </c>
      <c r="L1275" t="n">
        <v>0</v>
      </c>
      <c r="M1275" t="n">
        <v>0</v>
      </c>
      <c r="N1275" t="n">
        <v>0</v>
      </c>
      <c r="O1275" t="n">
        <v>0</v>
      </c>
      <c r="P1275" t="n">
        <v>0</v>
      </c>
      <c r="Q1275" t="n">
        <v>0</v>
      </c>
      <c r="R1275" s="2" t="inlineStr"/>
    </row>
    <row r="1276" ht="15" customHeight="1">
      <c r="A1276" t="inlineStr">
        <is>
          <t>A 51618-2020</t>
        </is>
      </c>
      <c r="B1276" s="1" t="n">
        <v>44113</v>
      </c>
      <c r="C1276" s="1" t="n">
        <v>45724</v>
      </c>
      <c r="D1276" t="inlineStr">
        <is>
          <t>VÄSTMANLANDS LÄN</t>
        </is>
      </c>
      <c r="E1276" t="inlineStr">
        <is>
          <t>FAGERSTA</t>
        </is>
      </c>
      <c r="F1276" t="inlineStr">
        <is>
          <t>Sveaskog</t>
        </is>
      </c>
      <c r="G1276" t="n">
        <v>0.4</v>
      </c>
      <c r="H1276" t="n">
        <v>0</v>
      </c>
      <c r="I1276" t="n">
        <v>0</v>
      </c>
      <c r="J1276" t="n">
        <v>0</v>
      </c>
      <c r="K1276" t="n">
        <v>0</v>
      </c>
      <c r="L1276" t="n">
        <v>0</v>
      </c>
      <c r="M1276" t="n">
        <v>0</v>
      </c>
      <c r="N1276" t="n">
        <v>0</v>
      </c>
      <c r="O1276" t="n">
        <v>0</v>
      </c>
      <c r="P1276" t="n">
        <v>0</v>
      </c>
      <c r="Q1276" t="n">
        <v>0</v>
      </c>
      <c r="R1276" s="2" t="inlineStr"/>
    </row>
    <row r="1277" ht="15" customHeight="1">
      <c r="A1277" t="inlineStr">
        <is>
          <t>A 51634-2020</t>
        </is>
      </c>
      <c r="B1277" s="1" t="n">
        <v>44113</v>
      </c>
      <c r="C1277" s="1" t="n">
        <v>45724</v>
      </c>
      <c r="D1277" t="inlineStr">
        <is>
          <t>VÄSTMANLANDS LÄN</t>
        </is>
      </c>
      <c r="E1277" t="inlineStr">
        <is>
          <t>FAGERSTA</t>
        </is>
      </c>
      <c r="F1277" t="inlineStr">
        <is>
          <t>Sveaskog</t>
        </is>
      </c>
      <c r="G1277" t="n">
        <v>2.8</v>
      </c>
      <c r="H1277" t="n">
        <v>0</v>
      </c>
      <c r="I1277" t="n">
        <v>0</v>
      </c>
      <c r="J1277" t="n">
        <v>0</v>
      </c>
      <c r="K1277" t="n">
        <v>0</v>
      </c>
      <c r="L1277" t="n">
        <v>0</v>
      </c>
      <c r="M1277" t="n">
        <v>0</v>
      </c>
      <c r="N1277" t="n">
        <v>0</v>
      </c>
      <c r="O1277" t="n">
        <v>0</v>
      </c>
      <c r="P1277" t="n">
        <v>0</v>
      </c>
      <c r="Q1277" t="n">
        <v>0</v>
      </c>
      <c r="R1277" s="2" t="inlineStr"/>
    </row>
    <row r="1278" ht="15" customHeight="1">
      <c r="A1278" t="inlineStr">
        <is>
          <t>A 51607-2020</t>
        </is>
      </c>
      <c r="B1278" s="1" t="n">
        <v>44113</v>
      </c>
      <c r="C1278" s="1" t="n">
        <v>45724</v>
      </c>
      <c r="D1278" t="inlineStr">
        <is>
          <t>VÄSTMANLANDS LÄN</t>
        </is>
      </c>
      <c r="E1278" t="inlineStr">
        <is>
          <t>KÖPING</t>
        </is>
      </c>
      <c r="G1278" t="n">
        <v>1.1</v>
      </c>
      <c r="H1278" t="n">
        <v>0</v>
      </c>
      <c r="I1278" t="n">
        <v>0</v>
      </c>
      <c r="J1278" t="n">
        <v>0</v>
      </c>
      <c r="K1278" t="n">
        <v>0</v>
      </c>
      <c r="L1278" t="n">
        <v>0</v>
      </c>
      <c r="M1278" t="n">
        <v>0</v>
      </c>
      <c r="N1278" t="n">
        <v>0</v>
      </c>
      <c r="O1278" t="n">
        <v>0</v>
      </c>
      <c r="P1278" t="n">
        <v>0</v>
      </c>
      <c r="Q1278" t="n">
        <v>0</v>
      </c>
      <c r="R1278" s="2" t="inlineStr"/>
    </row>
    <row r="1279" ht="15" customHeight="1">
      <c r="A1279" t="inlineStr">
        <is>
          <t>A 52016-2020</t>
        </is>
      </c>
      <c r="B1279" s="1" t="n">
        <v>44116</v>
      </c>
      <c r="C1279" s="1" t="n">
        <v>45724</v>
      </c>
      <c r="D1279" t="inlineStr">
        <is>
          <t>VÄSTMANLANDS LÄN</t>
        </is>
      </c>
      <c r="E1279" t="inlineStr">
        <is>
          <t>VÄSTERÅS</t>
        </is>
      </c>
      <c r="G1279" t="n">
        <v>8.9</v>
      </c>
      <c r="H1279" t="n">
        <v>0</v>
      </c>
      <c r="I1279" t="n">
        <v>0</v>
      </c>
      <c r="J1279" t="n">
        <v>0</v>
      </c>
      <c r="K1279" t="n">
        <v>0</v>
      </c>
      <c r="L1279" t="n">
        <v>0</v>
      </c>
      <c r="M1279" t="n">
        <v>0</v>
      </c>
      <c r="N1279" t="n">
        <v>0</v>
      </c>
      <c r="O1279" t="n">
        <v>0</v>
      </c>
      <c r="P1279" t="n">
        <v>0</v>
      </c>
      <c r="Q1279" t="n">
        <v>0</v>
      </c>
      <c r="R1279" s="2" t="inlineStr"/>
    </row>
    <row r="1280" ht="15" customHeight="1">
      <c r="A1280" t="inlineStr">
        <is>
          <t>A 51975-2020</t>
        </is>
      </c>
      <c r="B1280" s="1" t="n">
        <v>44116</v>
      </c>
      <c r="C1280" s="1" t="n">
        <v>45724</v>
      </c>
      <c r="D1280" t="inlineStr">
        <is>
          <t>VÄSTMANLANDS LÄN</t>
        </is>
      </c>
      <c r="E1280" t="inlineStr">
        <is>
          <t>VÄSTERÅS</t>
        </is>
      </c>
      <c r="G1280" t="n">
        <v>3.2</v>
      </c>
      <c r="H1280" t="n">
        <v>0</v>
      </c>
      <c r="I1280" t="n">
        <v>0</v>
      </c>
      <c r="J1280" t="n">
        <v>0</v>
      </c>
      <c r="K1280" t="n">
        <v>0</v>
      </c>
      <c r="L1280" t="n">
        <v>0</v>
      </c>
      <c r="M1280" t="n">
        <v>0</v>
      </c>
      <c r="N1280" t="n">
        <v>0</v>
      </c>
      <c r="O1280" t="n">
        <v>0</v>
      </c>
      <c r="P1280" t="n">
        <v>0</v>
      </c>
      <c r="Q1280" t="n">
        <v>0</v>
      </c>
      <c r="R1280" s="2" t="inlineStr"/>
    </row>
    <row r="1281" ht="15" customHeight="1">
      <c r="A1281" t="inlineStr">
        <is>
          <t>A 52006-2020</t>
        </is>
      </c>
      <c r="B1281" s="1" t="n">
        <v>44116</v>
      </c>
      <c r="C1281" s="1" t="n">
        <v>45724</v>
      </c>
      <c r="D1281" t="inlineStr">
        <is>
          <t>VÄSTMANLANDS LÄN</t>
        </is>
      </c>
      <c r="E1281" t="inlineStr">
        <is>
          <t>NORBERG</t>
        </is>
      </c>
      <c r="G1281" t="n">
        <v>6.5</v>
      </c>
      <c r="H1281" t="n">
        <v>0</v>
      </c>
      <c r="I1281" t="n">
        <v>0</v>
      </c>
      <c r="J1281" t="n">
        <v>0</v>
      </c>
      <c r="K1281" t="n">
        <v>0</v>
      </c>
      <c r="L1281" t="n">
        <v>0</v>
      </c>
      <c r="M1281" t="n">
        <v>0</v>
      </c>
      <c r="N1281" t="n">
        <v>0</v>
      </c>
      <c r="O1281" t="n">
        <v>0</v>
      </c>
      <c r="P1281" t="n">
        <v>0</v>
      </c>
      <c r="Q1281" t="n">
        <v>0</v>
      </c>
      <c r="R1281" s="2" t="inlineStr"/>
    </row>
    <row r="1282" ht="15" customHeight="1">
      <c r="A1282" t="inlineStr">
        <is>
          <t>A 52084-2020</t>
        </is>
      </c>
      <c r="B1282" s="1" t="n">
        <v>44117</v>
      </c>
      <c r="C1282" s="1" t="n">
        <v>45724</v>
      </c>
      <c r="D1282" t="inlineStr">
        <is>
          <t>VÄSTMANLANDS LÄN</t>
        </is>
      </c>
      <c r="E1282" t="inlineStr">
        <is>
          <t>SKINNSKATTEBERG</t>
        </is>
      </c>
      <c r="F1282" t="inlineStr">
        <is>
          <t>Sveaskog</t>
        </is>
      </c>
      <c r="G1282" t="n">
        <v>4.5</v>
      </c>
      <c r="H1282" t="n">
        <v>0</v>
      </c>
      <c r="I1282" t="n">
        <v>0</v>
      </c>
      <c r="J1282" t="n">
        <v>0</v>
      </c>
      <c r="K1282" t="n">
        <v>0</v>
      </c>
      <c r="L1282" t="n">
        <v>0</v>
      </c>
      <c r="M1282" t="n">
        <v>0</v>
      </c>
      <c r="N1282" t="n">
        <v>0</v>
      </c>
      <c r="O1282" t="n">
        <v>0</v>
      </c>
      <c r="P1282" t="n">
        <v>0</v>
      </c>
      <c r="Q1282" t="n">
        <v>0</v>
      </c>
      <c r="R1282" s="2" t="inlineStr"/>
    </row>
    <row r="1283" ht="15" customHeight="1">
      <c r="A1283" t="inlineStr">
        <is>
          <t>A 52076-2020</t>
        </is>
      </c>
      <c r="B1283" s="1" t="n">
        <v>44117</v>
      </c>
      <c r="C1283" s="1" t="n">
        <v>45724</v>
      </c>
      <c r="D1283" t="inlineStr">
        <is>
          <t>VÄSTMANLANDS LÄN</t>
        </is>
      </c>
      <c r="E1283" t="inlineStr">
        <is>
          <t>SURAHAMMAR</t>
        </is>
      </c>
      <c r="F1283" t="inlineStr">
        <is>
          <t>Sveaskog</t>
        </is>
      </c>
      <c r="G1283" t="n">
        <v>1.5</v>
      </c>
      <c r="H1283" t="n">
        <v>0</v>
      </c>
      <c r="I1283" t="n">
        <v>0</v>
      </c>
      <c r="J1283" t="n">
        <v>0</v>
      </c>
      <c r="K1283" t="n">
        <v>0</v>
      </c>
      <c r="L1283" t="n">
        <v>0</v>
      </c>
      <c r="M1283" t="n">
        <v>0</v>
      </c>
      <c r="N1283" t="n">
        <v>0</v>
      </c>
      <c r="O1283" t="n">
        <v>0</v>
      </c>
      <c r="P1283" t="n">
        <v>0</v>
      </c>
      <c r="Q1283" t="n">
        <v>0</v>
      </c>
      <c r="R1283" s="2" t="inlineStr"/>
    </row>
    <row r="1284" ht="15" customHeight="1">
      <c r="A1284" t="inlineStr">
        <is>
          <t>A 52074-2020</t>
        </is>
      </c>
      <c r="B1284" s="1" t="n">
        <v>44117</v>
      </c>
      <c r="C1284" s="1" t="n">
        <v>45724</v>
      </c>
      <c r="D1284" t="inlineStr">
        <is>
          <t>VÄSTMANLANDS LÄN</t>
        </is>
      </c>
      <c r="E1284" t="inlineStr">
        <is>
          <t>SURAHAMMAR</t>
        </is>
      </c>
      <c r="F1284" t="inlineStr">
        <is>
          <t>Sveaskog</t>
        </is>
      </c>
      <c r="G1284" t="n">
        <v>1.1</v>
      </c>
      <c r="H1284" t="n">
        <v>0</v>
      </c>
      <c r="I1284" t="n">
        <v>0</v>
      </c>
      <c r="J1284" t="n">
        <v>0</v>
      </c>
      <c r="K1284" t="n">
        <v>0</v>
      </c>
      <c r="L1284" t="n">
        <v>0</v>
      </c>
      <c r="M1284" t="n">
        <v>0</v>
      </c>
      <c r="N1284" t="n">
        <v>0</v>
      </c>
      <c r="O1284" t="n">
        <v>0</v>
      </c>
      <c r="P1284" t="n">
        <v>0</v>
      </c>
      <c r="Q1284" t="n">
        <v>0</v>
      </c>
      <c r="R1284" s="2" t="inlineStr"/>
    </row>
    <row r="1285" ht="15" customHeight="1">
      <c r="A1285" t="inlineStr">
        <is>
          <t>A 52289-2020</t>
        </is>
      </c>
      <c r="B1285" s="1" t="n">
        <v>44117</v>
      </c>
      <c r="C1285" s="1" t="n">
        <v>45724</v>
      </c>
      <c r="D1285" t="inlineStr">
        <is>
          <t>VÄSTMANLANDS LÄN</t>
        </is>
      </c>
      <c r="E1285" t="inlineStr">
        <is>
          <t>KÖPING</t>
        </is>
      </c>
      <c r="F1285" t="inlineStr">
        <is>
          <t>Sveaskog</t>
        </is>
      </c>
      <c r="G1285" t="n">
        <v>1.1</v>
      </c>
      <c r="H1285" t="n">
        <v>0</v>
      </c>
      <c r="I1285" t="n">
        <v>0</v>
      </c>
      <c r="J1285" t="n">
        <v>0</v>
      </c>
      <c r="K1285" t="n">
        <v>0</v>
      </c>
      <c r="L1285" t="n">
        <v>0</v>
      </c>
      <c r="M1285" t="n">
        <v>0</v>
      </c>
      <c r="N1285" t="n">
        <v>0</v>
      </c>
      <c r="O1285" t="n">
        <v>0</v>
      </c>
      <c r="P1285" t="n">
        <v>0</v>
      </c>
      <c r="Q1285" t="n">
        <v>0</v>
      </c>
      <c r="R1285" s="2" t="inlineStr"/>
    </row>
    <row r="1286" ht="15" customHeight="1">
      <c r="A1286" t="inlineStr">
        <is>
          <t>A 53224-2020</t>
        </is>
      </c>
      <c r="B1286" s="1" t="n">
        <v>44123</v>
      </c>
      <c r="C1286" s="1" t="n">
        <v>45724</v>
      </c>
      <c r="D1286" t="inlineStr">
        <is>
          <t>VÄSTMANLANDS LÄN</t>
        </is>
      </c>
      <c r="E1286" t="inlineStr">
        <is>
          <t>VÄSTERÅS</t>
        </is>
      </c>
      <c r="G1286" t="n">
        <v>2.3</v>
      </c>
      <c r="H1286" t="n">
        <v>0</v>
      </c>
      <c r="I1286" t="n">
        <v>0</v>
      </c>
      <c r="J1286" t="n">
        <v>0</v>
      </c>
      <c r="K1286" t="n">
        <v>0</v>
      </c>
      <c r="L1286" t="n">
        <v>0</v>
      </c>
      <c r="M1286" t="n">
        <v>0</v>
      </c>
      <c r="N1286" t="n">
        <v>0</v>
      </c>
      <c r="O1286" t="n">
        <v>0</v>
      </c>
      <c r="P1286" t="n">
        <v>0</v>
      </c>
      <c r="Q1286" t="n">
        <v>0</v>
      </c>
      <c r="R1286" s="2" t="inlineStr"/>
    </row>
    <row r="1287" ht="15" customHeight="1">
      <c r="A1287" t="inlineStr">
        <is>
          <t>A 53306-2020</t>
        </is>
      </c>
      <c r="B1287" s="1" t="n">
        <v>44123</v>
      </c>
      <c r="C1287" s="1" t="n">
        <v>45724</v>
      </c>
      <c r="D1287" t="inlineStr">
        <is>
          <t>VÄSTMANLANDS LÄN</t>
        </is>
      </c>
      <c r="E1287" t="inlineStr">
        <is>
          <t>KÖPING</t>
        </is>
      </c>
      <c r="F1287" t="inlineStr">
        <is>
          <t>Sveaskog</t>
        </is>
      </c>
      <c r="G1287" t="n">
        <v>1.3</v>
      </c>
      <c r="H1287" t="n">
        <v>0</v>
      </c>
      <c r="I1287" t="n">
        <v>0</v>
      </c>
      <c r="J1287" t="n">
        <v>0</v>
      </c>
      <c r="K1287" t="n">
        <v>0</v>
      </c>
      <c r="L1287" t="n">
        <v>0</v>
      </c>
      <c r="M1287" t="n">
        <v>0</v>
      </c>
      <c r="N1287" t="n">
        <v>0</v>
      </c>
      <c r="O1287" t="n">
        <v>0</v>
      </c>
      <c r="P1287" t="n">
        <v>0</v>
      </c>
      <c r="Q1287" t="n">
        <v>0</v>
      </c>
      <c r="R1287" s="2" t="inlineStr"/>
    </row>
    <row r="1288" ht="15" customHeight="1">
      <c r="A1288" t="inlineStr">
        <is>
          <t>A 54117-2020</t>
        </is>
      </c>
      <c r="B1288" s="1" t="n">
        <v>44123</v>
      </c>
      <c r="C1288" s="1" t="n">
        <v>45724</v>
      </c>
      <c r="D1288" t="inlineStr">
        <is>
          <t>VÄSTMANLANDS LÄN</t>
        </is>
      </c>
      <c r="E1288" t="inlineStr">
        <is>
          <t>KÖPING</t>
        </is>
      </c>
      <c r="G1288" t="n">
        <v>1.2</v>
      </c>
      <c r="H1288" t="n">
        <v>0</v>
      </c>
      <c r="I1288" t="n">
        <v>0</v>
      </c>
      <c r="J1288" t="n">
        <v>0</v>
      </c>
      <c r="K1288" t="n">
        <v>0</v>
      </c>
      <c r="L1288" t="n">
        <v>0</v>
      </c>
      <c r="M1288" t="n">
        <v>0</v>
      </c>
      <c r="N1288" t="n">
        <v>0</v>
      </c>
      <c r="O1288" t="n">
        <v>0</v>
      </c>
      <c r="P1288" t="n">
        <v>0</v>
      </c>
      <c r="Q1288" t="n">
        <v>0</v>
      </c>
      <c r="R1288" s="2" t="inlineStr"/>
    </row>
    <row r="1289" ht="15" customHeight="1">
      <c r="A1289" t="inlineStr">
        <is>
          <t>A 53580-2020</t>
        </is>
      </c>
      <c r="B1289" s="1" t="n">
        <v>44124</v>
      </c>
      <c r="C1289" s="1" t="n">
        <v>45724</v>
      </c>
      <c r="D1289" t="inlineStr">
        <is>
          <t>VÄSTMANLANDS LÄN</t>
        </is>
      </c>
      <c r="E1289" t="inlineStr">
        <is>
          <t>HALLSTAHAMMAR</t>
        </is>
      </c>
      <c r="G1289" t="n">
        <v>3.4</v>
      </c>
      <c r="H1289" t="n">
        <v>0</v>
      </c>
      <c r="I1289" t="n">
        <v>0</v>
      </c>
      <c r="J1289" t="n">
        <v>0</v>
      </c>
      <c r="K1289" t="n">
        <v>0</v>
      </c>
      <c r="L1289" t="n">
        <v>0</v>
      </c>
      <c r="M1289" t="n">
        <v>0</v>
      </c>
      <c r="N1289" t="n">
        <v>0</v>
      </c>
      <c r="O1289" t="n">
        <v>0</v>
      </c>
      <c r="P1289" t="n">
        <v>0</v>
      </c>
      <c r="Q1289" t="n">
        <v>0</v>
      </c>
      <c r="R1289" s="2" t="inlineStr"/>
    </row>
    <row r="1290" ht="15" customHeight="1">
      <c r="A1290" t="inlineStr">
        <is>
          <t>A 54276-2020</t>
        </is>
      </c>
      <c r="B1290" s="1" t="n">
        <v>44126</v>
      </c>
      <c r="C1290" s="1" t="n">
        <v>45724</v>
      </c>
      <c r="D1290" t="inlineStr">
        <is>
          <t>VÄSTMANLANDS LÄN</t>
        </is>
      </c>
      <c r="E1290" t="inlineStr">
        <is>
          <t>KÖPING</t>
        </is>
      </c>
      <c r="G1290" t="n">
        <v>2.8</v>
      </c>
      <c r="H1290" t="n">
        <v>0</v>
      </c>
      <c r="I1290" t="n">
        <v>0</v>
      </c>
      <c r="J1290" t="n">
        <v>0</v>
      </c>
      <c r="K1290" t="n">
        <v>0</v>
      </c>
      <c r="L1290" t="n">
        <v>0</v>
      </c>
      <c r="M1290" t="n">
        <v>0</v>
      </c>
      <c r="N1290" t="n">
        <v>0</v>
      </c>
      <c r="O1290" t="n">
        <v>0</v>
      </c>
      <c r="P1290" t="n">
        <v>0</v>
      </c>
      <c r="Q1290" t="n">
        <v>0</v>
      </c>
      <c r="R1290" s="2" t="inlineStr"/>
    </row>
    <row r="1291" ht="15" customHeight="1">
      <c r="A1291" t="inlineStr">
        <is>
          <t>A 54322-2020</t>
        </is>
      </c>
      <c r="B1291" s="1" t="n">
        <v>44126</v>
      </c>
      <c r="C1291" s="1" t="n">
        <v>45724</v>
      </c>
      <c r="D1291" t="inlineStr">
        <is>
          <t>VÄSTMANLANDS LÄN</t>
        </is>
      </c>
      <c r="E1291" t="inlineStr">
        <is>
          <t>SALA</t>
        </is>
      </c>
      <c r="G1291" t="n">
        <v>2</v>
      </c>
      <c r="H1291" t="n">
        <v>0</v>
      </c>
      <c r="I1291" t="n">
        <v>0</v>
      </c>
      <c r="J1291" t="n">
        <v>0</v>
      </c>
      <c r="K1291" t="n">
        <v>0</v>
      </c>
      <c r="L1291" t="n">
        <v>0</v>
      </c>
      <c r="M1291" t="n">
        <v>0</v>
      </c>
      <c r="N1291" t="n">
        <v>0</v>
      </c>
      <c r="O1291" t="n">
        <v>0</v>
      </c>
      <c r="P1291" t="n">
        <v>0</v>
      </c>
      <c r="Q1291" t="n">
        <v>0</v>
      </c>
      <c r="R1291" s="2" t="inlineStr"/>
    </row>
    <row r="1292" ht="15" customHeight="1">
      <c r="A1292" t="inlineStr">
        <is>
          <t>A 54423-2020</t>
        </is>
      </c>
      <c r="B1292" s="1" t="n">
        <v>44126</v>
      </c>
      <c r="C1292" s="1" t="n">
        <v>45724</v>
      </c>
      <c r="D1292" t="inlineStr">
        <is>
          <t>VÄSTMANLANDS LÄN</t>
        </is>
      </c>
      <c r="E1292" t="inlineStr">
        <is>
          <t>SKINNSKATTEBERG</t>
        </is>
      </c>
      <c r="G1292" t="n">
        <v>1.6</v>
      </c>
      <c r="H1292" t="n">
        <v>0</v>
      </c>
      <c r="I1292" t="n">
        <v>0</v>
      </c>
      <c r="J1292" t="n">
        <v>0</v>
      </c>
      <c r="K1292" t="n">
        <v>0</v>
      </c>
      <c r="L1292" t="n">
        <v>0</v>
      </c>
      <c r="M1292" t="n">
        <v>0</v>
      </c>
      <c r="N1292" t="n">
        <v>0</v>
      </c>
      <c r="O1292" t="n">
        <v>0</v>
      </c>
      <c r="P1292" t="n">
        <v>0</v>
      </c>
      <c r="Q1292" t="n">
        <v>0</v>
      </c>
      <c r="R1292" s="2" t="inlineStr"/>
    </row>
    <row r="1293" ht="15" customHeight="1">
      <c r="A1293" t="inlineStr">
        <is>
          <t>A 54706-2020</t>
        </is>
      </c>
      <c r="B1293" s="1" t="n">
        <v>44127</v>
      </c>
      <c r="C1293" s="1" t="n">
        <v>45724</v>
      </c>
      <c r="D1293" t="inlineStr">
        <is>
          <t>VÄSTMANLANDS LÄN</t>
        </is>
      </c>
      <c r="E1293" t="inlineStr">
        <is>
          <t>KUNGSÖR</t>
        </is>
      </c>
      <c r="G1293" t="n">
        <v>1.2</v>
      </c>
      <c r="H1293" t="n">
        <v>0</v>
      </c>
      <c r="I1293" t="n">
        <v>0</v>
      </c>
      <c r="J1293" t="n">
        <v>0</v>
      </c>
      <c r="K1293" t="n">
        <v>0</v>
      </c>
      <c r="L1293" t="n">
        <v>0</v>
      </c>
      <c r="M1293" t="n">
        <v>0</v>
      </c>
      <c r="N1293" t="n">
        <v>0</v>
      </c>
      <c r="O1293" t="n">
        <v>0</v>
      </c>
      <c r="P1293" t="n">
        <v>0</v>
      </c>
      <c r="Q1293" t="n">
        <v>0</v>
      </c>
      <c r="R1293" s="2" t="inlineStr"/>
    </row>
    <row r="1294" ht="15" customHeight="1">
      <c r="A1294" t="inlineStr">
        <is>
          <t>A 54769-2020</t>
        </is>
      </c>
      <c r="B1294" s="1" t="n">
        <v>44127</v>
      </c>
      <c r="C1294" s="1" t="n">
        <v>45724</v>
      </c>
      <c r="D1294" t="inlineStr">
        <is>
          <t>VÄSTMANLANDS LÄN</t>
        </is>
      </c>
      <c r="E1294" t="inlineStr">
        <is>
          <t>KÖPING</t>
        </is>
      </c>
      <c r="F1294" t="inlineStr">
        <is>
          <t>Allmännings- och besparingsskogar</t>
        </is>
      </c>
      <c r="G1294" t="n">
        <v>23.2</v>
      </c>
      <c r="H1294" t="n">
        <v>0</v>
      </c>
      <c r="I1294" t="n">
        <v>0</v>
      </c>
      <c r="J1294" t="n">
        <v>0</v>
      </c>
      <c r="K1294" t="n">
        <v>0</v>
      </c>
      <c r="L1294" t="n">
        <v>0</v>
      </c>
      <c r="M1294" t="n">
        <v>0</v>
      </c>
      <c r="N1294" t="n">
        <v>0</v>
      </c>
      <c r="O1294" t="n">
        <v>0</v>
      </c>
      <c r="P1294" t="n">
        <v>0</v>
      </c>
      <c r="Q1294" t="n">
        <v>0</v>
      </c>
      <c r="R1294" s="2" t="inlineStr"/>
    </row>
    <row r="1295" ht="15" customHeight="1">
      <c r="A1295" t="inlineStr">
        <is>
          <t>A 54923-2020</t>
        </is>
      </c>
      <c r="B1295" s="1" t="n">
        <v>44127</v>
      </c>
      <c r="C1295" s="1" t="n">
        <v>45724</v>
      </c>
      <c r="D1295" t="inlineStr">
        <is>
          <t>VÄSTMANLANDS LÄN</t>
        </is>
      </c>
      <c r="E1295" t="inlineStr">
        <is>
          <t>SALA</t>
        </is>
      </c>
      <c r="G1295" t="n">
        <v>4.9</v>
      </c>
      <c r="H1295" t="n">
        <v>0</v>
      </c>
      <c r="I1295" t="n">
        <v>0</v>
      </c>
      <c r="J1295" t="n">
        <v>0</v>
      </c>
      <c r="K1295" t="n">
        <v>0</v>
      </c>
      <c r="L1295" t="n">
        <v>0</v>
      </c>
      <c r="M1295" t="n">
        <v>0</v>
      </c>
      <c r="N1295" t="n">
        <v>0</v>
      </c>
      <c r="O1295" t="n">
        <v>0</v>
      </c>
      <c r="P1295" t="n">
        <v>0</v>
      </c>
      <c r="Q1295" t="n">
        <v>0</v>
      </c>
      <c r="R1295" s="2" t="inlineStr"/>
    </row>
    <row r="1296" ht="15" customHeight="1">
      <c r="A1296" t="inlineStr">
        <is>
          <t>A 54705-2020</t>
        </is>
      </c>
      <c r="B1296" s="1" t="n">
        <v>44127</v>
      </c>
      <c r="C1296" s="1" t="n">
        <v>45724</v>
      </c>
      <c r="D1296" t="inlineStr">
        <is>
          <t>VÄSTMANLANDS LÄN</t>
        </is>
      </c>
      <c r="E1296" t="inlineStr">
        <is>
          <t>KUNGSÖR</t>
        </is>
      </c>
      <c r="G1296" t="n">
        <v>1.3</v>
      </c>
      <c r="H1296" t="n">
        <v>0</v>
      </c>
      <c r="I1296" t="n">
        <v>0</v>
      </c>
      <c r="J1296" t="n">
        <v>0</v>
      </c>
      <c r="K1296" t="n">
        <v>0</v>
      </c>
      <c r="L1296" t="n">
        <v>0</v>
      </c>
      <c r="M1296" t="n">
        <v>0</v>
      </c>
      <c r="N1296" t="n">
        <v>0</v>
      </c>
      <c r="O1296" t="n">
        <v>0</v>
      </c>
      <c r="P1296" t="n">
        <v>0</v>
      </c>
      <c r="Q1296" t="n">
        <v>0</v>
      </c>
      <c r="R1296" s="2" t="inlineStr"/>
    </row>
    <row r="1297" ht="15" customHeight="1">
      <c r="A1297" t="inlineStr">
        <is>
          <t>A 54931-2020</t>
        </is>
      </c>
      <c r="B1297" s="1" t="n">
        <v>44127</v>
      </c>
      <c r="C1297" s="1" t="n">
        <v>45724</v>
      </c>
      <c r="D1297" t="inlineStr">
        <is>
          <t>VÄSTMANLANDS LÄN</t>
        </is>
      </c>
      <c r="E1297" t="inlineStr">
        <is>
          <t>SALA</t>
        </is>
      </c>
      <c r="G1297" t="n">
        <v>7</v>
      </c>
      <c r="H1297" t="n">
        <v>0</v>
      </c>
      <c r="I1297" t="n">
        <v>0</v>
      </c>
      <c r="J1297" t="n">
        <v>0</v>
      </c>
      <c r="K1297" t="n">
        <v>0</v>
      </c>
      <c r="L1297" t="n">
        <v>0</v>
      </c>
      <c r="M1297" t="n">
        <v>0</v>
      </c>
      <c r="N1297" t="n">
        <v>0</v>
      </c>
      <c r="O1297" t="n">
        <v>0</v>
      </c>
      <c r="P1297" t="n">
        <v>0</v>
      </c>
      <c r="Q1297" t="n">
        <v>0</v>
      </c>
      <c r="R1297" s="2" t="inlineStr"/>
    </row>
    <row r="1298" ht="15" customHeight="1">
      <c r="A1298" t="inlineStr">
        <is>
          <t>A 54962-2020</t>
        </is>
      </c>
      <c r="B1298" s="1" t="n">
        <v>44130</v>
      </c>
      <c r="C1298" s="1" t="n">
        <v>45724</v>
      </c>
      <c r="D1298" t="inlineStr">
        <is>
          <t>VÄSTMANLANDS LÄN</t>
        </is>
      </c>
      <c r="E1298" t="inlineStr">
        <is>
          <t>SURAHAMMAR</t>
        </is>
      </c>
      <c r="F1298" t="inlineStr">
        <is>
          <t>Sveaskog</t>
        </is>
      </c>
      <c r="G1298" t="n">
        <v>4.2</v>
      </c>
      <c r="H1298" t="n">
        <v>0</v>
      </c>
      <c r="I1298" t="n">
        <v>0</v>
      </c>
      <c r="J1298" t="n">
        <v>0</v>
      </c>
      <c r="K1298" t="n">
        <v>0</v>
      </c>
      <c r="L1298" t="n">
        <v>0</v>
      </c>
      <c r="M1298" t="n">
        <v>0</v>
      </c>
      <c r="N1298" t="n">
        <v>0</v>
      </c>
      <c r="O1298" t="n">
        <v>0</v>
      </c>
      <c r="P1298" t="n">
        <v>0</v>
      </c>
      <c r="Q1298" t="n">
        <v>0</v>
      </c>
      <c r="R1298" s="2" t="inlineStr"/>
    </row>
    <row r="1299" ht="15" customHeight="1">
      <c r="A1299" t="inlineStr">
        <is>
          <t>A 54977-2020</t>
        </is>
      </c>
      <c r="B1299" s="1" t="n">
        <v>44130</v>
      </c>
      <c r="C1299" s="1" t="n">
        <v>45724</v>
      </c>
      <c r="D1299" t="inlineStr">
        <is>
          <t>VÄSTMANLANDS LÄN</t>
        </is>
      </c>
      <c r="E1299" t="inlineStr">
        <is>
          <t>SKINNSKATTEBERG</t>
        </is>
      </c>
      <c r="F1299" t="inlineStr">
        <is>
          <t>Sveaskog</t>
        </is>
      </c>
      <c r="G1299" t="n">
        <v>0.8</v>
      </c>
      <c r="H1299" t="n">
        <v>0</v>
      </c>
      <c r="I1299" t="n">
        <v>0</v>
      </c>
      <c r="J1299" t="n">
        <v>0</v>
      </c>
      <c r="K1299" t="n">
        <v>0</v>
      </c>
      <c r="L1299" t="n">
        <v>0</v>
      </c>
      <c r="M1299" t="n">
        <v>0</v>
      </c>
      <c r="N1299" t="n">
        <v>0</v>
      </c>
      <c r="O1299" t="n">
        <v>0</v>
      </c>
      <c r="P1299" t="n">
        <v>0</v>
      </c>
      <c r="Q1299" t="n">
        <v>0</v>
      </c>
      <c r="R1299" s="2" t="inlineStr"/>
    </row>
    <row r="1300" ht="15" customHeight="1">
      <c r="A1300" t="inlineStr">
        <is>
          <t>A 55439-2020</t>
        </is>
      </c>
      <c r="B1300" s="1" t="n">
        <v>44130</v>
      </c>
      <c r="C1300" s="1" t="n">
        <v>45724</v>
      </c>
      <c r="D1300" t="inlineStr">
        <is>
          <t>VÄSTMANLANDS LÄN</t>
        </is>
      </c>
      <c r="E1300" t="inlineStr">
        <is>
          <t>SALA</t>
        </is>
      </c>
      <c r="G1300" t="n">
        <v>4.3</v>
      </c>
      <c r="H1300" t="n">
        <v>0</v>
      </c>
      <c r="I1300" t="n">
        <v>0</v>
      </c>
      <c r="J1300" t="n">
        <v>0</v>
      </c>
      <c r="K1300" t="n">
        <v>0</v>
      </c>
      <c r="L1300" t="n">
        <v>0</v>
      </c>
      <c r="M1300" t="n">
        <v>0</v>
      </c>
      <c r="N1300" t="n">
        <v>0</v>
      </c>
      <c r="O1300" t="n">
        <v>0</v>
      </c>
      <c r="P1300" t="n">
        <v>0</v>
      </c>
      <c r="Q1300" t="n">
        <v>0</v>
      </c>
      <c r="R1300" s="2" t="inlineStr"/>
    </row>
    <row r="1301" ht="15" customHeight="1">
      <c r="A1301" t="inlineStr">
        <is>
          <t>A 55397-2020</t>
        </is>
      </c>
      <c r="B1301" s="1" t="n">
        <v>44131</v>
      </c>
      <c r="C1301" s="1" t="n">
        <v>45724</v>
      </c>
      <c r="D1301" t="inlineStr">
        <is>
          <t>VÄSTMANLANDS LÄN</t>
        </is>
      </c>
      <c r="E1301" t="inlineStr">
        <is>
          <t>SURAHAMMAR</t>
        </is>
      </c>
      <c r="F1301" t="inlineStr">
        <is>
          <t>Sveaskog</t>
        </is>
      </c>
      <c r="G1301" t="n">
        <v>5</v>
      </c>
      <c r="H1301" t="n">
        <v>0</v>
      </c>
      <c r="I1301" t="n">
        <v>0</v>
      </c>
      <c r="J1301" t="n">
        <v>0</v>
      </c>
      <c r="K1301" t="n">
        <v>0</v>
      </c>
      <c r="L1301" t="n">
        <v>0</v>
      </c>
      <c r="M1301" t="n">
        <v>0</v>
      </c>
      <c r="N1301" t="n">
        <v>0</v>
      </c>
      <c r="O1301" t="n">
        <v>0</v>
      </c>
      <c r="P1301" t="n">
        <v>0</v>
      </c>
      <c r="Q1301" t="n">
        <v>0</v>
      </c>
      <c r="R1301" s="2" t="inlineStr"/>
    </row>
    <row r="1302" ht="15" customHeight="1">
      <c r="A1302" t="inlineStr">
        <is>
          <t>A 55881-2020</t>
        </is>
      </c>
      <c r="B1302" s="1" t="n">
        <v>44132</v>
      </c>
      <c r="C1302" s="1" t="n">
        <v>45724</v>
      </c>
      <c r="D1302" t="inlineStr">
        <is>
          <t>VÄSTMANLANDS LÄN</t>
        </is>
      </c>
      <c r="E1302" t="inlineStr">
        <is>
          <t>SALA</t>
        </is>
      </c>
      <c r="G1302" t="n">
        <v>3</v>
      </c>
      <c r="H1302" t="n">
        <v>0</v>
      </c>
      <c r="I1302" t="n">
        <v>0</v>
      </c>
      <c r="J1302" t="n">
        <v>0</v>
      </c>
      <c r="K1302" t="n">
        <v>0</v>
      </c>
      <c r="L1302" t="n">
        <v>0</v>
      </c>
      <c r="M1302" t="n">
        <v>0</v>
      </c>
      <c r="N1302" t="n">
        <v>0</v>
      </c>
      <c r="O1302" t="n">
        <v>0</v>
      </c>
      <c r="P1302" t="n">
        <v>0</v>
      </c>
      <c r="Q1302" t="n">
        <v>0</v>
      </c>
      <c r="R1302" s="2" t="inlineStr"/>
    </row>
    <row r="1303" ht="15" customHeight="1">
      <c r="A1303" t="inlineStr">
        <is>
          <t>A 56134-2020</t>
        </is>
      </c>
      <c r="B1303" s="1" t="n">
        <v>44132</v>
      </c>
      <c r="C1303" s="1" t="n">
        <v>45724</v>
      </c>
      <c r="D1303" t="inlineStr">
        <is>
          <t>VÄSTMANLANDS LÄN</t>
        </is>
      </c>
      <c r="E1303" t="inlineStr">
        <is>
          <t>SALA</t>
        </is>
      </c>
      <c r="G1303" t="n">
        <v>4.7</v>
      </c>
      <c r="H1303" t="n">
        <v>0</v>
      </c>
      <c r="I1303" t="n">
        <v>0</v>
      </c>
      <c r="J1303" t="n">
        <v>0</v>
      </c>
      <c r="K1303" t="n">
        <v>0</v>
      </c>
      <c r="L1303" t="n">
        <v>0</v>
      </c>
      <c r="M1303" t="n">
        <v>0</v>
      </c>
      <c r="N1303" t="n">
        <v>0</v>
      </c>
      <c r="O1303" t="n">
        <v>0</v>
      </c>
      <c r="P1303" t="n">
        <v>0</v>
      </c>
      <c r="Q1303" t="n">
        <v>0</v>
      </c>
      <c r="R1303" s="2" t="inlineStr"/>
    </row>
    <row r="1304" ht="15" customHeight="1">
      <c r="A1304" t="inlineStr">
        <is>
          <t>A 56098-2020</t>
        </is>
      </c>
      <c r="B1304" s="1" t="n">
        <v>44132</v>
      </c>
      <c r="C1304" s="1" t="n">
        <v>45724</v>
      </c>
      <c r="D1304" t="inlineStr">
        <is>
          <t>VÄSTMANLANDS LÄN</t>
        </is>
      </c>
      <c r="E1304" t="inlineStr">
        <is>
          <t>SALA</t>
        </is>
      </c>
      <c r="G1304" t="n">
        <v>1.9</v>
      </c>
      <c r="H1304" t="n">
        <v>0</v>
      </c>
      <c r="I1304" t="n">
        <v>0</v>
      </c>
      <c r="J1304" t="n">
        <v>0</v>
      </c>
      <c r="K1304" t="n">
        <v>0</v>
      </c>
      <c r="L1304" t="n">
        <v>0</v>
      </c>
      <c r="M1304" t="n">
        <v>0</v>
      </c>
      <c r="N1304" t="n">
        <v>0</v>
      </c>
      <c r="O1304" t="n">
        <v>0</v>
      </c>
      <c r="P1304" t="n">
        <v>0</v>
      </c>
      <c r="Q1304" t="n">
        <v>0</v>
      </c>
      <c r="R1304" s="2" t="inlineStr"/>
    </row>
    <row r="1305" ht="15" customHeight="1">
      <c r="A1305" t="inlineStr">
        <is>
          <t>A 56513-2020</t>
        </is>
      </c>
      <c r="B1305" s="1" t="n">
        <v>44137</v>
      </c>
      <c r="C1305" s="1" t="n">
        <v>45724</v>
      </c>
      <c r="D1305" t="inlineStr">
        <is>
          <t>VÄSTMANLANDS LÄN</t>
        </is>
      </c>
      <c r="E1305" t="inlineStr">
        <is>
          <t>VÄSTERÅS</t>
        </is>
      </c>
      <c r="F1305" t="inlineStr">
        <is>
          <t>Kommuner</t>
        </is>
      </c>
      <c r="G1305" t="n">
        <v>2.2</v>
      </c>
      <c r="H1305" t="n">
        <v>0</v>
      </c>
      <c r="I1305" t="n">
        <v>0</v>
      </c>
      <c r="J1305" t="n">
        <v>0</v>
      </c>
      <c r="K1305" t="n">
        <v>0</v>
      </c>
      <c r="L1305" t="n">
        <v>0</v>
      </c>
      <c r="M1305" t="n">
        <v>0</v>
      </c>
      <c r="N1305" t="n">
        <v>0</v>
      </c>
      <c r="O1305" t="n">
        <v>0</v>
      </c>
      <c r="P1305" t="n">
        <v>0</v>
      </c>
      <c r="Q1305" t="n">
        <v>0</v>
      </c>
      <c r="R1305" s="2" t="inlineStr"/>
    </row>
    <row r="1306" ht="15" customHeight="1">
      <c r="A1306" t="inlineStr">
        <is>
          <t>A 56446-2020</t>
        </is>
      </c>
      <c r="B1306" s="1" t="n">
        <v>44137</v>
      </c>
      <c r="C1306" s="1" t="n">
        <v>45724</v>
      </c>
      <c r="D1306" t="inlineStr">
        <is>
          <t>VÄSTMANLANDS LÄN</t>
        </is>
      </c>
      <c r="E1306" t="inlineStr">
        <is>
          <t>VÄSTERÅS</t>
        </is>
      </c>
      <c r="G1306" t="n">
        <v>2.3</v>
      </c>
      <c r="H1306" t="n">
        <v>0</v>
      </c>
      <c r="I1306" t="n">
        <v>0</v>
      </c>
      <c r="J1306" t="n">
        <v>0</v>
      </c>
      <c r="K1306" t="n">
        <v>0</v>
      </c>
      <c r="L1306" t="n">
        <v>0</v>
      </c>
      <c r="M1306" t="n">
        <v>0</v>
      </c>
      <c r="N1306" t="n">
        <v>0</v>
      </c>
      <c r="O1306" t="n">
        <v>0</v>
      </c>
      <c r="P1306" t="n">
        <v>0</v>
      </c>
      <c r="Q1306" t="n">
        <v>0</v>
      </c>
      <c r="R1306" s="2" t="inlineStr"/>
    </row>
    <row r="1307" ht="15" customHeight="1">
      <c r="A1307" t="inlineStr">
        <is>
          <t>A 57629-2020</t>
        </is>
      </c>
      <c r="B1307" s="1" t="n">
        <v>44140</v>
      </c>
      <c r="C1307" s="1" t="n">
        <v>45724</v>
      </c>
      <c r="D1307" t="inlineStr">
        <is>
          <t>VÄSTMANLANDS LÄN</t>
        </is>
      </c>
      <c r="E1307" t="inlineStr">
        <is>
          <t>KÖPING</t>
        </is>
      </c>
      <c r="G1307" t="n">
        <v>1.2</v>
      </c>
      <c r="H1307" t="n">
        <v>0</v>
      </c>
      <c r="I1307" t="n">
        <v>0</v>
      </c>
      <c r="J1307" t="n">
        <v>0</v>
      </c>
      <c r="K1307" t="n">
        <v>0</v>
      </c>
      <c r="L1307" t="n">
        <v>0</v>
      </c>
      <c r="M1307" t="n">
        <v>0</v>
      </c>
      <c r="N1307" t="n">
        <v>0</v>
      </c>
      <c r="O1307" t="n">
        <v>0</v>
      </c>
      <c r="P1307" t="n">
        <v>0</v>
      </c>
      <c r="Q1307" t="n">
        <v>0</v>
      </c>
      <c r="R1307" s="2" t="inlineStr"/>
    </row>
    <row r="1308" ht="15" customHeight="1">
      <c r="A1308" t="inlineStr">
        <is>
          <t>A 57800-2020</t>
        </is>
      </c>
      <c r="B1308" s="1" t="n">
        <v>44141</v>
      </c>
      <c r="C1308" s="1" t="n">
        <v>45724</v>
      </c>
      <c r="D1308" t="inlineStr">
        <is>
          <t>VÄSTMANLANDS LÄN</t>
        </is>
      </c>
      <c r="E1308" t="inlineStr">
        <is>
          <t>SALA</t>
        </is>
      </c>
      <c r="F1308" t="inlineStr">
        <is>
          <t>Sveaskog</t>
        </is>
      </c>
      <c r="G1308" t="n">
        <v>2.1</v>
      </c>
      <c r="H1308" t="n">
        <v>0</v>
      </c>
      <c r="I1308" t="n">
        <v>0</v>
      </c>
      <c r="J1308" t="n">
        <v>0</v>
      </c>
      <c r="K1308" t="n">
        <v>0</v>
      </c>
      <c r="L1308" t="n">
        <v>0</v>
      </c>
      <c r="M1308" t="n">
        <v>0</v>
      </c>
      <c r="N1308" t="n">
        <v>0</v>
      </c>
      <c r="O1308" t="n">
        <v>0</v>
      </c>
      <c r="P1308" t="n">
        <v>0</v>
      </c>
      <c r="Q1308" t="n">
        <v>0</v>
      </c>
      <c r="R1308" s="2" t="inlineStr"/>
    </row>
    <row r="1309" ht="15" customHeight="1">
      <c r="A1309" t="inlineStr">
        <is>
          <t>A 57923-2020</t>
        </is>
      </c>
      <c r="B1309" s="1" t="n">
        <v>44141</v>
      </c>
      <c r="C1309" s="1" t="n">
        <v>45724</v>
      </c>
      <c r="D1309" t="inlineStr">
        <is>
          <t>VÄSTMANLANDS LÄN</t>
        </is>
      </c>
      <c r="E1309" t="inlineStr">
        <is>
          <t>SKINNSKATTEBERG</t>
        </is>
      </c>
      <c r="F1309" t="inlineStr">
        <is>
          <t>Sveaskog</t>
        </is>
      </c>
      <c r="G1309" t="n">
        <v>1.7</v>
      </c>
      <c r="H1309" t="n">
        <v>0</v>
      </c>
      <c r="I1309" t="n">
        <v>0</v>
      </c>
      <c r="J1309" t="n">
        <v>0</v>
      </c>
      <c r="K1309" t="n">
        <v>0</v>
      </c>
      <c r="L1309" t="n">
        <v>0</v>
      </c>
      <c r="M1309" t="n">
        <v>0</v>
      </c>
      <c r="N1309" t="n">
        <v>0</v>
      </c>
      <c r="O1309" t="n">
        <v>0</v>
      </c>
      <c r="P1309" t="n">
        <v>0</v>
      </c>
      <c r="Q1309" t="n">
        <v>0</v>
      </c>
      <c r="R1309" s="2" t="inlineStr"/>
    </row>
    <row r="1310" ht="15" customHeight="1">
      <c r="A1310" t="inlineStr">
        <is>
          <t>A 57979-2020</t>
        </is>
      </c>
      <c r="B1310" s="1" t="n">
        <v>44143</v>
      </c>
      <c r="C1310" s="1" t="n">
        <v>45724</v>
      </c>
      <c r="D1310" t="inlineStr">
        <is>
          <t>VÄSTMANLANDS LÄN</t>
        </is>
      </c>
      <c r="E1310" t="inlineStr">
        <is>
          <t>KÖPING</t>
        </is>
      </c>
      <c r="G1310" t="n">
        <v>5</v>
      </c>
      <c r="H1310" t="n">
        <v>0</v>
      </c>
      <c r="I1310" t="n">
        <v>0</v>
      </c>
      <c r="J1310" t="n">
        <v>0</v>
      </c>
      <c r="K1310" t="n">
        <v>0</v>
      </c>
      <c r="L1310" t="n">
        <v>0</v>
      </c>
      <c r="M1310" t="n">
        <v>0</v>
      </c>
      <c r="N1310" t="n">
        <v>0</v>
      </c>
      <c r="O1310" t="n">
        <v>0</v>
      </c>
      <c r="P1310" t="n">
        <v>0</v>
      </c>
      <c r="Q1310" t="n">
        <v>0</v>
      </c>
      <c r="R1310" s="2" t="inlineStr"/>
    </row>
    <row r="1311" ht="15" customHeight="1">
      <c r="A1311" t="inlineStr">
        <is>
          <t>A 58008-2020</t>
        </is>
      </c>
      <c r="B1311" s="1" t="n">
        <v>44144</v>
      </c>
      <c r="C1311" s="1" t="n">
        <v>45724</v>
      </c>
      <c r="D1311" t="inlineStr">
        <is>
          <t>VÄSTMANLANDS LÄN</t>
        </is>
      </c>
      <c r="E1311" t="inlineStr">
        <is>
          <t>SKINNSKATTEBERG</t>
        </is>
      </c>
      <c r="F1311" t="inlineStr">
        <is>
          <t>Sveaskog</t>
        </is>
      </c>
      <c r="G1311" t="n">
        <v>0.7</v>
      </c>
      <c r="H1311" t="n">
        <v>0</v>
      </c>
      <c r="I1311" t="n">
        <v>0</v>
      </c>
      <c r="J1311" t="n">
        <v>0</v>
      </c>
      <c r="K1311" t="n">
        <v>0</v>
      </c>
      <c r="L1311" t="n">
        <v>0</v>
      </c>
      <c r="M1311" t="n">
        <v>0</v>
      </c>
      <c r="N1311" t="n">
        <v>0</v>
      </c>
      <c r="O1311" t="n">
        <v>0</v>
      </c>
      <c r="P1311" t="n">
        <v>0</v>
      </c>
      <c r="Q1311" t="n">
        <v>0</v>
      </c>
      <c r="R1311" s="2" t="inlineStr"/>
    </row>
    <row r="1312" ht="15" customHeight="1">
      <c r="A1312" t="inlineStr">
        <is>
          <t>A 58015-2020</t>
        </is>
      </c>
      <c r="B1312" s="1" t="n">
        <v>44144</v>
      </c>
      <c r="C1312" s="1" t="n">
        <v>45724</v>
      </c>
      <c r="D1312" t="inlineStr">
        <is>
          <t>VÄSTMANLANDS LÄN</t>
        </is>
      </c>
      <c r="E1312" t="inlineStr">
        <is>
          <t>SKINNSKATTEBERG</t>
        </is>
      </c>
      <c r="F1312" t="inlineStr">
        <is>
          <t>Sveaskog</t>
        </is>
      </c>
      <c r="G1312" t="n">
        <v>3.4</v>
      </c>
      <c r="H1312" t="n">
        <v>0</v>
      </c>
      <c r="I1312" t="n">
        <v>0</v>
      </c>
      <c r="J1312" t="n">
        <v>0</v>
      </c>
      <c r="K1312" t="n">
        <v>0</v>
      </c>
      <c r="L1312" t="n">
        <v>0</v>
      </c>
      <c r="M1312" t="n">
        <v>0</v>
      </c>
      <c r="N1312" t="n">
        <v>0</v>
      </c>
      <c r="O1312" t="n">
        <v>0</v>
      </c>
      <c r="P1312" t="n">
        <v>0</v>
      </c>
      <c r="Q1312" t="n">
        <v>0</v>
      </c>
      <c r="R1312" s="2" t="inlineStr"/>
    </row>
    <row r="1313" ht="15" customHeight="1">
      <c r="A1313" t="inlineStr">
        <is>
          <t>A 58139-2020</t>
        </is>
      </c>
      <c r="B1313" s="1" t="n">
        <v>44144</v>
      </c>
      <c r="C1313" s="1" t="n">
        <v>45724</v>
      </c>
      <c r="D1313" t="inlineStr">
        <is>
          <t>VÄSTMANLANDS LÄN</t>
        </is>
      </c>
      <c r="E1313" t="inlineStr">
        <is>
          <t>HALLSTAHAMMAR</t>
        </is>
      </c>
      <c r="G1313" t="n">
        <v>1.8</v>
      </c>
      <c r="H1313" t="n">
        <v>0</v>
      </c>
      <c r="I1313" t="n">
        <v>0</v>
      </c>
      <c r="J1313" t="n">
        <v>0</v>
      </c>
      <c r="K1313" t="n">
        <v>0</v>
      </c>
      <c r="L1313" t="n">
        <v>0</v>
      </c>
      <c r="M1313" t="n">
        <v>0</v>
      </c>
      <c r="N1313" t="n">
        <v>0</v>
      </c>
      <c r="O1313" t="n">
        <v>0</v>
      </c>
      <c r="P1313" t="n">
        <v>0</v>
      </c>
      <c r="Q1313" t="n">
        <v>0</v>
      </c>
      <c r="R1313" s="2" t="inlineStr"/>
    </row>
    <row r="1314" ht="15" customHeight="1">
      <c r="A1314" t="inlineStr">
        <is>
          <t>A 58040-2020</t>
        </is>
      </c>
      <c r="B1314" s="1" t="n">
        <v>44144</v>
      </c>
      <c r="C1314" s="1" t="n">
        <v>45724</v>
      </c>
      <c r="D1314" t="inlineStr">
        <is>
          <t>VÄSTMANLANDS LÄN</t>
        </is>
      </c>
      <c r="E1314" t="inlineStr">
        <is>
          <t>KUNGSÖR</t>
        </is>
      </c>
      <c r="G1314" t="n">
        <v>0.7</v>
      </c>
      <c r="H1314" t="n">
        <v>0</v>
      </c>
      <c r="I1314" t="n">
        <v>0</v>
      </c>
      <c r="J1314" t="n">
        <v>0</v>
      </c>
      <c r="K1314" t="n">
        <v>0</v>
      </c>
      <c r="L1314" t="n">
        <v>0</v>
      </c>
      <c r="M1314" t="n">
        <v>0</v>
      </c>
      <c r="N1314" t="n">
        <v>0</v>
      </c>
      <c r="O1314" t="n">
        <v>0</v>
      </c>
      <c r="P1314" t="n">
        <v>0</v>
      </c>
      <c r="Q1314" t="n">
        <v>0</v>
      </c>
      <c r="R1314" s="2" t="inlineStr"/>
    </row>
    <row r="1315" ht="15" customHeight="1">
      <c r="A1315" t="inlineStr">
        <is>
          <t>A 58314-2020</t>
        </is>
      </c>
      <c r="B1315" s="1" t="n">
        <v>44145</v>
      </c>
      <c r="C1315" s="1" t="n">
        <v>45724</v>
      </c>
      <c r="D1315" t="inlineStr">
        <is>
          <t>VÄSTMANLANDS LÄN</t>
        </is>
      </c>
      <c r="E1315" t="inlineStr">
        <is>
          <t>SALA</t>
        </is>
      </c>
      <c r="G1315" t="n">
        <v>0.9</v>
      </c>
      <c r="H1315" t="n">
        <v>0</v>
      </c>
      <c r="I1315" t="n">
        <v>0</v>
      </c>
      <c r="J1315" t="n">
        <v>0</v>
      </c>
      <c r="K1315" t="n">
        <v>0</v>
      </c>
      <c r="L1315" t="n">
        <v>0</v>
      </c>
      <c r="M1315" t="n">
        <v>0</v>
      </c>
      <c r="N1315" t="n">
        <v>0</v>
      </c>
      <c r="O1315" t="n">
        <v>0</v>
      </c>
      <c r="P1315" t="n">
        <v>0</v>
      </c>
      <c r="Q1315" t="n">
        <v>0</v>
      </c>
      <c r="R1315" s="2" t="inlineStr"/>
    </row>
    <row r="1316" ht="15" customHeight="1">
      <c r="A1316" t="inlineStr">
        <is>
          <t>A 58494-2020</t>
        </is>
      </c>
      <c r="B1316" s="1" t="n">
        <v>44145</v>
      </c>
      <c r="C1316" s="1" t="n">
        <v>45724</v>
      </c>
      <c r="D1316" t="inlineStr">
        <is>
          <t>VÄSTMANLANDS LÄN</t>
        </is>
      </c>
      <c r="E1316" t="inlineStr">
        <is>
          <t>SKINNSKATTEBERG</t>
        </is>
      </c>
      <c r="F1316" t="inlineStr">
        <is>
          <t>Sveaskog</t>
        </is>
      </c>
      <c r="G1316" t="n">
        <v>1.7</v>
      </c>
      <c r="H1316" t="n">
        <v>0</v>
      </c>
      <c r="I1316" t="n">
        <v>0</v>
      </c>
      <c r="J1316" t="n">
        <v>0</v>
      </c>
      <c r="K1316" t="n">
        <v>0</v>
      </c>
      <c r="L1316" t="n">
        <v>0</v>
      </c>
      <c r="M1316" t="n">
        <v>0</v>
      </c>
      <c r="N1316" t="n">
        <v>0</v>
      </c>
      <c r="O1316" t="n">
        <v>0</v>
      </c>
      <c r="P1316" t="n">
        <v>0</v>
      </c>
      <c r="Q1316" t="n">
        <v>0</v>
      </c>
      <c r="R1316" s="2" t="inlineStr"/>
    </row>
    <row r="1317" ht="15" customHeight="1">
      <c r="A1317" t="inlineStr">
        <is>
          <t>A 58734-2020</t>
        </is>
      </c>
      <c r="B1317" s="1" t="n">
        <v>44146</v>
      </c>
      <c r="C1317" s="1" t="n">
        <v>45724</v>
      </c>
      <c r="D1317" t="inlineStr">
        <is>
          <t>VÄSTMANLANDS LÄN</t>
        </is>
      </c>
      <c r="E1317" t="inlineStr">
        <is>
          <t>SKINNSKATTEBERG</t>
        </is>
      </c>
      <c r="F1317" t="inlineStr">
        <is>
          <t>Sveaskog</t>
        </is>
      </c>
      <c r="G1317" t="n">
        <v>2.9</v>
      </c>
      <c r="H1317" t="n">
        <v>0</v>
      </c>
      <c r="I1317" t="n">
        <v>0</v>
      </c>
      <c r="J1317" t="n">
        <v>0</v>
      </c>
      <c r="K1317" t="n">
        <v>0</v>
      </c>
      <c r="L1317" t="n">
        <v>0</v>
      </c>
      <c r="M1317" t="n">
        <v>0</v>
      </c>
      <c r="N1317" t="n">
        <v>0</v>
      </c>
      <c r="O1317" t="n">
        <v>0</v>
      </c>
      <c r="P1317" t="n">
        <v>0</v>
      </c>
      <c r="Q1317" t="n">
        <v>0</v>
      </c>
      <c r="R1317" s="2" t="inlineStr"/>
    </row>
    <row r="1318" ht="15" customHeight="1">
      <c r="A1318" t="inlineStr">
        <is>
          <t>A 58737-2020</t>
        </is>
      </c>
      <c r="B1318" s="1" t="n">
        <v>44146</v>
      </c>
      <c r="C1318" s="1" t="n">
        <v>45724</v>
      </c>
      <c r="D1318" t="inlineStr">
        <is>
          <t>VÄSTMANLANDS LÄN</t>
        </is>
      </c>
      <c r="E1318" t="inlineStr">
        <is>
          <t>SKINNSKATTEBERG</t>
        </is>
      </c>
      <c r="F1318" t="inlineStr">
        <is>
          <t>Sveaskog</t>
        </is>
      </c>
      <c r="G1318" t="n">
        <v>0.9</v>
      </c>
      <c r="H1318" t="n">
        <v>0</v>
      </c>
      <c r="I1318" t="n">
        <v>0</v>
      </c>
      <c r="J1318" t="n">
        <v>0</v>
      </c>
      <c r="K1318" t="n">
        <v>0</v>
      </c>
      <c r="L1318" t="n">
        <v>0</v>
      </c>
      <c r="M1318" t="n">
        <v>0</v>
      </c>
      <c r="N1318" t="n">
        <v>0</v>
      </c>
      <c r="O1318" t="n">
        <v>0</v>
      </c>
      <c r="P1318" t="n">
        <v>0</v>
      </c>
      <c r="Q1318" t="n">
        <v>0</v>
      </c>
      <c r="R1318" s="2" t="inlineStr"/>
    </row>
    <row r="1319" ht="15" customHeight="1">
      <c r="A1319" t="inlineStr">
        <is>
          <t>A 58781-2020</t>
        </is>
      </c>
      <c r="B1319" s="1" t="n">
        <v>44146</v>
      </c>
      <c r="C1319" s="1" t="n">
        <v>45724</v>
      </c>
      <c r="D1319" t="inlineStr">
        <is>
          <t>VÄSTMANLANDS LÄN</t>
        </is>
      </c>
      <c r="E1319" t="inlineStr">
        <is>
          <t>SALA</t>
        </is>
      </c>
      <c r="G1319" t="n">
        <v>1.2</v>
      </c>
      <c r="H1319" t="n">
        <v>0</v>
      </c>
      <c r="I1319" t="n">
        <v>0</v>
      </c>
      <c r="J1319" t="n">
        <v>0</v>
      </c>
      <c r="K1319" t="n">
        <v>0</v>
      </c>
      <c r="L1319" t="n">
        <v>0</v>
      </c>
      <c r="M1319" t="n">
        <v>0</v>
      </c>
      <c r="N1319" t="n">
        <v>0</v>
      </c>
      <c r="O1319" t="n">
        <v>0</v>
      </c>
      <c r="P1319" t="n">
        <v>0</v>
      </c>
      <c r="Q1319" t="n">
        <v>0</v>
      </c>
      <c r="R1319" s="2" t="inlineStr"/>
    </row>
    <row r="1320" ht="15" customHeight="1">
      <c r="A1320" t="inlineStr">
        <is>
          <t>A 58912-2020</t>
        </is>
      </c>
      <c r="B1320" s="1" t="n">
        <v>44146</v>
      </c>
      <c r="C1320" s="1" t="n">
        <v>45724</v>
      </c>
      <c r="D1320" t="inlineStr">
        <is>
          <t>VÄSTMANLANDS LÄN</t>
        </is>
      </c>
      <c r="E1320" t="inlineStr">
        <is>
          <t>SALA</t>
        </is>
      </c>
      <c r="G1320" t="n">
        <v>1.1</v>
      </c>
      <c r="H1320" t="n">
        <v>0</v>
      </c>
      <c r="I1320" t="n">
        <v>0</v>
      </c>
      <c r="J1320" t="n">
        <v>0</v>
      </c>
      <c r="K1320" t="n">
        <v>0</v>
      </c>
      <c r="L1320" t="n">
        <v>0</v>
      </c>
      <c r="M1320" t="n">
        <v>0</v>
      </c>
      <c r="N1320" t="n">
        <v>0</v>
      </c>
      <c r="O1320" t="n">
        <v>0</v>
      </c>
      <c r="P1320" t="n">
        <v>0</v>
      </c>
      <c r="Q1320" t="n">
        <v>0</v>
      </c>
      <c r="R1320" s="2" t="inlineStr"/>
    </row>
    <row r="1321" ht="15" customHeight="1">
      <c r="A1321" t="inlineStr">
        <is>
          <t>A 59165-2020</t>
        </is>
      </c>
      <c r="B1321" s="1" t="n">
        <v>44147</v>
      </c>
      <c r="C1321" s="1" t="n">
        <v>45724</v>
      </c>
      <c r="D1321" t="inlineStr">
        <is>
          <t>VÄSTMANLANDS LÄN</t>
        </is>
      </c>
      <c r="E1321" t="inlineStr">
        <is>
          <t>VÄSTERÅS</t>
        </is>
      </c>
      <c r="G1321" t="n">
        <v>0.6</v>
      </c>
      <c r="H1321" t="n">
        <v>0</v>
      </c>
      <c r="I1321" t="n">
        <v>0</v>
      </c>
      <c r="J1321" t="n">
        <v>0</v>
      </c>
      <c r="K1321" t="n">
        <v>0</v>
      </c>
      <c r="L1321" t="n">
        <v>0</v>
      </c>
      <c r="M1321" t="n">
        <v>0</v>
      </c>
      <c r="N1321" t="n">
        <v>0</v>
      </c>
      <c r="O1321" t="n">
        <v>0</v>
      </c>
      <c r="P1321" t="n">
        <v>0</v>
      </c>
      <c r="Q1321" t="n">
        <v>0</v>
      </c>
      <c r="R1321" s="2" t="inlineStr"/>
    </row>
    <row r="1322" ht="15" customHeight="1">
      <c r="A1322" t="inlineStr">
        <is>
          <t>A 59395-2020</t>
        </is>
      </c>
      <c r="B1322" s="1" t="n">
        <v>44147</v>
      </c>
      <c r="C1322" s="1" t="n">
        <v>45724</v>
      </c>
      <c r="D1322" t="inlineStr">
        <is>
          <t>VÄSTMANLANDS LÄN</t>
        </is>
      </c>
      <c r="E1322" t="inlineStr">
        <is>
          <t>SKINNSKATTEBERG</t>
        </is>
      </c>
      <c r="G1322" t="n">
        <v>2.5</v>
      </c>
      <c r="H1322" t="n">
        <v>0</v>
      </c>
      <c r="I1322" t="n">
        <v>0</v>
      </c>
      <c r="J1322" t="n">
        <v>0</v>
      </c>
      <c r="K1322" t="n">
        <v>0</v>
      </c>
      <c r="L1322" t="n">
        <v>0</v>
      </c>
      <c r="M1322" t="n">
        <v>0</v>
      </c>
      <c r="N1322" t="n">
        <v>0</v>
      </c>
      <c r="O1322" t="n">
        <v>0</v>
      </c>
      <c r="P1322" t="n">
        <v>0</v>
      </c>
      <c r="Q1322" t="n">
        <v>0</v>
      </c>
      <c r="R1322" s="2" t="inlineStr"/>
    </row>
    <row r="1323" ht="15" customHeight="1">
      <c r="A1323" t="inlineStr">
        <is>
          <t>A 59512-2020</t>
        </is>
      </c>
      <c r="B1323" s="1" t="n">
        <v>44148</v>
      </c>
      <c r="C1323" s="1" t="n">
        <v>45724</v>
      </c>
      <c r="D1323" t="inlineStr">
        <is>
          <t>VÄSTMANLANDS LÄN</t>
        </is>
      </c>
      <c r="E1323" t="inlineStr">
        <is>
          <t>VÄSTERÅS</t>
        </is>
      </c>
      <c r="G1323" t="n">
        <v>1.9</v>
      </c>
      <c r="H1323" t="n">
        <v>0</v>
      </c>
      <c r="I1323" t="n">
        <v>0</v>
      </c>
      <c r="J1323" t="n">
        <v>0</v>
      </c>
      <c r="K1323" t="n">
        <v>0</v>
      </c>
      <c r="L1323" t="n">
        <v>0</v>
      </c>
      <c r="M1323" t="n">
        <v>0</v>
      </c>
      <c r="N1323" t="n">
        <v>0</v>
      </c>
      <c r="O1323" t="n">
        <v>0</v>
      </c>
      <c r="P1323" t="n">
        <v>0</v>
      </c>
      <c r="Q1323" t="n">
        <v>0</v>
      </c>
      <c r="R1323" s="2" t="inlineStr"/>
    </row>
    <row r="1324" ht="15" customHeight="1">
      <c r="A1324" t="inlineStr">
        <is>
          <t>A 59543-2020</t>
        </is>
      </c>
      <c r="B1324" s="1" t="n">
        <v>44148</v>
      </c>
      <c r="C1324" s="1" t="n">
        <v>45724</v>
      </c>
      <c r="D1324" t="inlineStr">
        <is>
          <t>VÄSTMANLANDS LÄN</t>
        </is>
      </c>
      <c r="E1324" t="inlineStr">
        <is>
          <t>SURAHAMMAR</t>
        </is>
      </c>
      <c r="G1324" t="n">
        <v>1.3</v>
      </c>
      <c r="H1324" t="n">
        <v>0</v>
      </c>
      <c r="I1324" t="n">
        <v>0</v>
      </c>
      <c r="J1324" t="n">
        <v>0</v>
      </c>
      <c r="K1324" t="n">
        <v>0</v>
      </c>
      <c r="L1324" t="n">
        <v>0</v>
      </c>
      <c r="M1324" t="n">
        <v>0</v>
      </c>
      <c r="N1324" t="n">
        <v>0</v>
      </c>
      <c r="O1324" t="n">
        <v>0</v>
      </c>
      <c r="P1324" t="n">
        <v>0</v>
      </c>
      <c r="Q1324" t="n">
        <v>0</v>
      </c>
      <c r="R1324" s="2" t="inlineStr"/>
    </row>
    <row r="1325" ht="15" customHeight="1">
      <c r="A1325" t="inlineStr">
        <is>
          <t>A 59740-2020</t>
        </is>
      </c>
      <c r="B1325" s="1" t="n">
        <v>44151</v>
      </c>
      <c r="C1325" s="1" t="n">
        <v>45724</v>
      </c>
      <c r="D1325" t="inlineStr">
        <is>
          <t>VÄSTMANLANDS LÄN</t>
        </is>
      </c>
      <c r="E1325" t="inlineStr">
        <is>
          <t>SURAHAMMAR</t>
        </is>
      </c>
      <c r="F1325" t="inlineStr">
        <is>
          <t>Sveaskog</t>
        </is>
      </c>
      <c r="G1325" t="n">
        <v>3.4</v>
      </c>
      <c r="H1325" t="n">
        <v>0</v>
      </c>
      <c r="I1325" t="n">
        <v>0</v>
      </c>
      <c r="J1325" t="n">
        <v>0</v>
      </c>
      <c r="K1325" t="n">
        <v>0</v>
      </c>
      <c r="L1325" t="n">
        <v>0</v>
      </c>
      <c r="M1325" t="n">
        <v>0</v>
      </c>
      <c r="N1325" t="n">
        <v>0</v>
      </c>
      <c r="O1325" t="n">
        <v>0</v>
      </c>
      <c r="P1325" t="n">
        <v>0</v>
      </c>
      <c r="Q1325" t="n">
        <v>0</v>
      </c>
      <c r="R1325" s="2" t="inlineStr"/>
    </row>
    <row r="1326" ht="15" customHeight="1">
      <c r="A1326" t="inlineStr">
        <is>
          <t>A 59727-2020</t>
        </is>
      </c>
      <c r="B1326" s="1" t="n">
        <v>44151</v>
      </c>
      <c r="C1326" s="1" t="n">
        <v>45724</v>
      </c>
      <c r="D1326" t="inlineStr">
        <is>
          <t>VÄSTMANLANDS LÄN</t>
        </is>
      </c>
      <c r="E1326" t="inlineStr">
        <is>
          <t>SURAHAMMAR</t>
        </is>
      </c>
      <c r="F1326" t="inlineStr">
        <is>
          <t>Sveaskog</t>
        </is>
      </c>
      <c r="G1326" t="n">
        <v>1.2</v>
      </c>
      <c r="H1326" t="n">
        <v>0</v>
      </c>
      <c r="I1326" t="n">
        <v>0</v>
      </c>
      <c r="J1326" t="n">
        <v>0</v>
      </c>
      <c r="K1326" t="n">
        <v>0</v>
      </c>
      <c r="L1326" t="n">
        <v>0</v>
      </c>
      <c r="M1326" t="n">
        <v>0</v>
      </c>
      <c r="N1326" t="n">
        <v>0</v>
      </c>
      <c r="O1326" t="n">
        <v>0</v>
      </c>
      <c r="P1326" t="n">
        <v>0</v>
      </c>
      <c r="Q1326" t="n">
        <v>0</v>
      </c>
      <c r="R1326" s="2" t="inlineStr"/>
    </row>
    <row r="1327" ht="15" customHeight="1">
      <c r="A1327" t="inlineStr">
        <is>
          <t>A 60161-2020</t>
        </is>
      </c>
      <c r="B1327" s="1" t="n">
        <v>44151</v>
      </c>
      <c r="C1327" s="1" t="n">
        <v>45724</v>
      </c>
      <c r="D1327" t="inlineStr">
        <is>
          <t>VÄSTMANLANDS LÄN</t>
        </is>
      </c>
      <c r="E1327" t="inlineStr">
        <is>
          <t>NORBERG</t>
        </is>
      </c>
      <c r="G1327" t="n">
        <v>2.8</v>
      </c>
      <c r="H1327" t="n">
        <v>0</v>
      </c>
      <c r="I1327" t="n">
        <v>0</v>
      </c>
      <c r="J1327" t="n">
        <v>0</v>
      </c>
      <c r="K1327" t="n">
        <v>0</v>
      </c>
      <c r="L1327" t="n">
        <v>0</v>
      </c>
      <c r="M1327" t="n">
        <v>0</v>
      </c>
      <c r="N1327" t="n">
        <v>0</v>
      </c>
      <c r="O1327" t="n">
        <v>0</v>
      </c>
      <c r="P1327" t="n">
        <v>0</v>
      </c>
      <c r="Q1327" t="n">
        <v>0</v>
      </c>
      <c r="R1327" s="2" t="inlineStr"/>
    </row>
    <row r="1328" ht="15" customHeight="1">
      <c r="A1328" t="inlineStr">
        <is>
          <t>A 60442-2020</t>
        </is>
      </c>
      <c r="B1328" s="1" t="n">
        <v>44151</v>
      </c>
      <c r="C1328" s="1" t="n">
        <v>45724</v>
      </c>
      <c r="D1328" t="inlineStr">
        <is>
          <t>VÄSTMANLANDS LÄN</t>
        </is>
      </c>
      <c r="E1328" t="inlineStr">
        <is>
          <t>NORBERG</t>
        </is>
      </c>
      <c r="G1328" t="n">
        <v>1.1</v>
      </c>
      <c r="H1328" t="n">
        <v>0</v>
      </c>
      <c r="I1328" t="n">
        <v>0</v>
      </c>
      <c r="J1328" t="n">
        <v>0</v>
      </c>
      <c r="K1328" t="n">
        <v>0</v>
      </c>
      <c r="L1328" t="n">
        <v>0</v>
      </c>
      <c r="M1328" t="n">
        <v>0</v>
      </c>
      <c r="N1328" t="n">
        <v>0</v>
      </c>
      <c r="O1328" t="n">
        <v>0</v>
      </c>
      <c r="P1328" t="n">
        <v>0</v>
      </c>
      <c r="Q1328" t="n">
        <v>0</v>
      </c>
      <c r="R1328" s="2" t="inlineStr"/>
    </row>
    <row r="1329" ht="15" customHeight="1">
      <c r="A1329" t="inlineStr">
        <is>
          <t>A 60363-2020</t>
        </is>
      </c>
      <c r="B1329" s="1" t="n">
        <v>44152</v>
      </c>
      <c r="C1329" s="1" t="n">
        <v>45724</v>
      </c>
      <c r="D1329" t="inlineStr">
        <is>
          <t>VÄSTMANLANDS LÄN</t>
        </is>
      </c>
      <c r="E1329" t="inlineStr">
        <is>
          <t>VÄSTERÅS</t>
        </is>
      </c>
      <c r="F1329" t="inlineStr">
        <is>
          <t>Övriga Aktiebolag</t>
        </is>
      </c>
      <c r="G1329" t="n">
        <v>1.7</v>
      </c>
      <c r="H1329" t="n">
        <v>0</v>
      </c>
      <c r="I1329" t="n">
        <v>0</v>
      </c>
      <c r="J1329" t="n">
        <v>0</v>
      </c>
      <c r="K1329" t="n">
        <v>0</v>
      </c>
      <c r="L1329" t="n">
        <v>0</v>
      </c>
      <c r="M1329" t="n">
        <v>0</v>
      </c>
      <c r="N1329" t="n">
        <v>0</v>
      </c>
      <c r="O1329" t="n">
        <v>0</v>
      </c>
      <c r="P1329" t="n">
        <v>0</v>
      </c>
      <c r="Q1329" t="n">
        <v>0</v>
      </c>
      <c r="R1329" s="2" t="inlineStr"/>
    </row>
    <row r="1330" ht="15" customHeight="1">
      <c r="A1330" t="inlineStr">
        <is>
          <t>A 60134-2020</t>
        </is>
      </c>
      <c r="B1330" s="1" t="n">
        <v>44152</v>
      </c>
      <c r="C1330" s="1" t="n">
        <v>45724</v>
      </c>
      <c r="D1330" t="inlineStr">
        <is>
          <t>VÄSTMANLANDS LÄN</t>
        </is>
      </c>
      <c r="E1330" t="inlineStr">
        <is>
          <t>SKINNSKATTEBERG</t>
        </is>
      </c>
      <c r="F1330" t="inlineStr">
        <is>
          <t>Sveaskog</t>
        </is>
      </c>
      <c r="G1330" t="n">
        <v>1.2</v>
      </c>
      <c r="H1330" t="n">
        <v>0</v>
      </c>
      <c r="I1330" t="n">
        <v>0</v>
      </c>
      <c r="J1330" t="n">
        <v>0</v>
      </c>
      <c r="K1330" t="n">
        <v>0</v>
      </c>
      <c r="L1330" t="n">
        <v>0</v>
      </c>
      <c r="M1330" t="n">
        <v>0</v>
      </c>
      <c r="N1330" t="n">
        <v>0</v>
      </c>
      <c r="O1330" t="n">
        <v>0</v>
      </c>
      <c r="P1330" t="n">
        <v>0</v>
      </c>
      <c r="Q1330" t="n">
        <v>0</v>
      </c>
      <c r="R1330" s="2" t="inlineStr"/>
      <c r="U1330">
        <f>HYPERLINK("https://klasma.github.io/Logging_1904/knärot/A 60134-2020 karta knärot.png", "A 60134-2020")</f>
        <v/>
      </c>
      <c r="V1330">
        <f>HYPERLINK("https://klasma.github.io/Logging_1904/klagomål/A 60134-2020 FSC-klagomål.docx", "A 60134-2020")</f>
        <v/>
      </c>
      <c r="W1330">
        <f>HYPERLINK("https://klasma.github.io/Logging_1904/klagomålsmail/A 60134-2020 FSC-klagomål mail.docx", "A 60134-2020")</f>
        <v/>
      </c>
      <c r="X1330">
        <f>HYPERLINK("https://klasma.github.io/Logging_1904/tillsyn/A 60134-2020 tillsynsbegäran.docx", "A 60134-2020")</f>
        <v/>
      </c>
      <c r="Y1330">
        <f>HYPERLINK("https://klasma.github.io/Logging_1904/tillsynsmail/A 60134-2020 tillsynsbegäran mail.docx", "A 60134-2020")</f>
        <v/>
      </c>
    </row>
    <row r="1331" ht="15" customHeight="1">
      <c r="A1331" t="inlineStr">
        <is>
          <t>A 60355-2020</t>
        </is>
      </c>
      <c r="B1331" s="1" t="n">
        <v>44152</v>
      </c>
      <c r="C1331" s="1" t="n">
        <v>45724</v>
      </c>
      <c r="D1331" t="inlineStr">
        <is>
          <t>VÄSTMANLANDS LÄN</t>
        </is>
      </c>
      <c r="E1331" t="inlineStr">
        <is>
          <t>VÄSTERÅS</t>
        </is>
      </c>
      <c r="F1331" t="inlineStr">
        <is>
          <t>Övriga Aktiebolag</t>
        </is>
      </c>
      <c r="G1331" t="n">
        <v>5.2</v>
      </c>
      <c r="H1331" t="n">
        <v>0</v>
      </c>
      <c r="I1331" t="n">
        <v>0</v>
      </c>
      <c r="J1331" t="n">
        <v>0</v>
      </c>
      <c r="K1331" t="n">
        <v>0</v>
      </c>
      <c r="L1331" t="n">
        <v>0</v>
      </c>
      <c r="M1331" t="n">
        <v>0</v>
      </c>
      <c r="N1331" t="n">
        <v>0</v>
      </c>
      <c r="O1331" t="n">
        <v>0</v>
      </c>
      <c r="P1331" t="n">
        <v>0</v>
      </c>
      <c r="Q1331" t="n">
        <v>0</v>
      </c>
      <c r="R1331" s="2" t="inlineStr"/>
    </row>
    <row r="1332" ht="15" customHeight="1">
      <c r="A1332" t="inlineStr">
        <is>
          <t>A 60555-2020</t>
        </is>
      </c>
      <c r="B1332" s="1" t="n">
        <v>44153</v>
      </c>
      <c r="C1332" s="1" t="n">
        <v>45724</v>
      </c>
      <c r="D1332" t="inlineStr">
        <is>
          <t>VÄSTMANLANDS LÄN</t>
        </is>
      </c>
      <c r="E1332" t="inlineStr">
        <is>
          <t>VÄSTERÅS</t>
        </is>
      </c>
      <c r="G1332" t="n">
        <v>4.2</v>
      </c>
      <c r="H1332" t="n">
        <v>0</v>
      </c>
      <c r="I1332" t="n">
        <v>0</v>
      </c>
      <c r="J1332" t="n">
        <v>0</v>
      </c>
      <c r="K1332" t="n">
        <v>0</v>
      </c>
      <c r="L1332" t="n">
        <v>0</v>
      </c>
      <c r="M1332" t="n">
        <v>0</v>
      </c>
      <c r="N1332" t="n">
        <v>0</v>
      </c>
      <c r="O1332" t="n">
        <v>0</v>
      </c>
      <c r="P1332" t="n">
        <v>0</v>
      </c>
      <c r="Q1332" t="n">
        <v>0</v>
      </c>
      <c r="R1332" s="2" t="inlineStr"/>
    </row>
    <row r="1333" ht="15" customHeight="1">
      <c r="A1333" t="inlineStr">
        <is>
          <t>A 60797-2020</t>
        </is>
      </c>
      <c r="B1333" s="1" t="n">
        <v>44154</v>
      </c>
      <c r="C1333" s="1" t="n">
        <v>45724</v>
      </c>
      <c r="D1333" t="inlineStr">
        <is>
          <t>VÄSTMANLANDS LÄN</t>
        </is>
      </c>
      <c r="E1333" t="inlineStr">
        <is>
          <t>SKINNSKATTEBERG</t>
        </is>
      </c>
      <c r="G1333" t="n">
        <v>3</v>
      </c>
      <c r="H1333" t="n">
        <v>0</v>
      </c>
      <c r="I1333" t="n">
        <v>0</v>
      </c>
      <c r="J1333" t="n">
        <v>0</v>
      </c>
      <c r="K1333" t="n">
        <v>0</v>
      </c>
      <c r="L1333" t="n">
        <v>0</v>
      </c>
      <c r="M1333" t="n">
        <v>0</v>
      </c>
      <c r="N1333" t="n">
        <v>0</v>
      </c>
      <c r="O1333" t="n">
        <v>0</v>
      </c>
      <c r="P1333" t="n">
        <v>0</v>
      </c>
      <c r="Q1333" t="n">
        <v>0</v>
      </c>
      <c r="R1333" s="2" t="inlineStr"/>
    </row>
    <row r="1334" ht="15" customHeight="1">
      <c r="A1334" t="inlineStr">
        <is>
          <t>A 61327-2020</t>
        </is>
      </c>
      <c r="B1334" s="1" t="n">
        <v>44155</v>
      </c>
      <c r="C1334" s="1" t="n">
        <v>45724</v>
      </c>
      <c r="D1334" t="inlineStr">
        <is>
          <t>VÄSTMANLANDS LÄN</t>
        </is>
      </c>
      <c r="E1334" t="inlineStr">
        <is>
          <t>VÄSTERÅS</t>
        </is>
      </c>
      <c r="F1334" t="inlineStr">
        <is>
          <t>Övriga statliga verk och myndigheter</t>
        </is>
      </c>
      <c r="G1334" t="n">
        <v>1.9</v>
      </c>
      <c r="H1334" t="n">
        <v>0</v>
      </c>
      <c r="I1334" t="n">
        <v>0</v>
      </c>
      <c r="J1334" t="n">
        <v>0</v>
      </c>
      <c r="K1334" t="n">
        <v>0</v>
      </c>
      <c r="L1334" t="n">
        <v>0</v>
      </c>
      <c r="M1334" t="n">
        <v>0</v>
      </c>
      <c r="N1334" t="n">
        <v>0</v>
      </c>
      <c r="O1334" t="n">
        <v>0</v>
      </c>
      <c r="P1334" t="n">
        <v>0</v>
      </c>
      <c r="Q1334" t="n">
        <v>0</v>
      </c>
      <c r="R1334" s="2" t="inlineStr"/>
    </row>
    <row r="1335" ht="15" customHeight="1">
      <c r="A1335" t="inlineStr">
        <is>
          <t>A 61201-2020</t>
        </is>
      </c>
      <c r="B1335" s="1" t="n">
        <v>44155</v>
      </c>
      <c r="C1335" s="1" t="n">
        <v>45724</v>
      </c>
      <c r="D1335" t="inlineStr">
        <is>
          <t>VÄSTMANLANDS LÄN</t>
        </is>
      </c>
      <c r="E1335" t="inlineStr">
        <is>
          <t>KÖPING</t>
        </is>
      </c>
      <c r="G1335" t="n">
        <v>4.6</v>
      </c>
      <c r="H1335" t="n">
        <v>0</v>
      </c>
      <c r="I1335" t="n">
        <v>0</v>
      </c>
      <c r="J1335" t="n">
        <v>0</v>
      </c>
      <c r="K1335" t="n">
        <v>0</v>
      </c>
      <c r="L1335" t="n">
        <v>0</v>
      </c>
      <c r="M1335" t="n">
        <v>0</v>
      </c>
      <c r="N1335" t="n">
        <v>0</v>
      </c>
      <c r="O1335" t="n">
        <v>0</v>
      </c>
      <c r="P1335" t="n">
        <v>0</v>
      </c>
      <c r="Q1335" t="n">
        <v>0</v>
      </c>
      <c r="R1335" s="2" t="inlineStr"/>
    </row>
    <row r="1336" ht="15" customHeight="1">
      <c r="A1336" t="inlineStr">
        <is>
          <t>A 61202-2020</t>
        </is>
      </c>
      <c r="B1336" s="1" t="n">
        <v>44155</v>
      </c>
      <c r="C1336" s="1" t="n">
        <v>45724</v>
      </c>
      <c r="D1336" t="inlineStr">
        <is>
          <t>VÄSTMANLANDS LÄN</t>
        </is>
      </c>
      <c r="E1336" t="inlineStr">
        <is>
          <t>KÖPING</t>
        </is>
      </c>
      <c r="G1336" t="n">
        <v>1.7</v>
      </c>
      <c r="H1336" t="n">
        <v>0</v>
      </c>
      <c r="I1336" t="n">
        <v>0</v>
      </c>
      <c r="J1336" t="n">
        <v>0</v>
      </c>
      <c r="K1336" t="n">
        <v>0</v>
      </c>
      <c r="L1336" t="n">
        <v>0</v>
      </c>
      <c r="M1336" t="n">
        <v>0</v>
      </c>
      <c r="N1336" t="n">
        <v>0</v>
      </c>
      <c r="O1336" t="n">
        <v>0</v>
      </c>
      <c r="P1336" t="n">
        <v>0</v>
      </c>
      <c r="Q1336" t="n">
        <v>0</v>
      </c>
      <c r="R1336" s="2" t="inlineStr"/>
    </row>
    <row r="1337" ht="15" customHeight="1">
      <c r="A1337" t="inlineStr">
        <is>
          <t>A 61415-2020</t>
        </is>
      </c>
      <c r="B1337" s="1" t="n">
        <v>44156</v>
      </c>
      <c r="C1337" s="1" t="n">
        <v>45724</v>
      </c>
      <c r="D1337" t="inlineStr">
        <is>
          <t>VÄSTMANLANDS LÄN</t>
        </is>
      </c>
      <c r="E1337" t="inlineStr">
        <is>
          <t>SALA</t>
        </is>
      </c>
      <c r="G1337" t="n">
        <v>0.5</v>
      </c>
      <c r="H1337" t="n">
        <v>0</v>
      </c>
      <c r="I1337" t="n">
        <v>0</v>
      </c>
      <c r="J1337" t="n">
        <v>0</v>
      </c>
      <c r="K1337" t="n">
        <v>0</v>
      </c>
      <c r="L1337" t="n">
        <v>0</v>
      </c>
      <c r="M1337" t="n">
        <v>0</v>
      </c>
      <c r="N1337" t="n">
        <v>0</v>
      </c>
      <c r="O1337" t="n">
        <v>0</v>
      </c>
      <c r="P1337" t="n">
        <v>0</v>
      </c>
      <c r="Q1337" t="n">
        <v>0</v>
      </c>
      <c r="R1337" s="2" t="inlineStr"/>
    </row>
    <row r="1338" ht="15" customHeight="1">
      <c r="A1338" t="inlineStr">
        <is>
          <t>A 62275-2020</t>
        </is>
      </c>
      <c r="B1338" s="1" t="n">
        <v>44158</v>
      </c>
      <c r="C1338" s="1" t="n">
        <v>45724</v>
      </c>
      <c r="D1338" t="inlineStr">
        <is>
          <t>VÄSTMANLANDS LÄN</t>
        </is>
      </c>
      <c r="E1338" t="inlineStr">
        <is>
          <t>SALA</t>
        </is>
      </c>
      <c r="G1338" t="n">
        <v>4.9</v>
      </c>
      <c r="H1338" t="n">
        <v>0</v>
      </c>
      <c r="I1338" t="n">
        <v>0</v>
      </c>
      <c r="J1338" t="n">
        <v>0</v>
      </c>
      <c r="K1338" t="n">
        <v>0</v>
      </c>
      <c r="L1338" t="n">
        <v>0</v>
      </c>
      <c r="M1338" t="n">
        <v>0</v>
      </c>
      <c r="N1338" t="n">
        <v>0</v>
      </c>
      <c r="O1338" t="n">
        <v>0</v>
      </c>
      <c r="P1338" t="n">
        <v>0</v>
      </c>
      <c r="Q1338" t="n">
        <v>0</v>
      </c>
      <c r="R1338" s="2" t="inlineStr"/>
    </row>
    <row r="1339" ht="15" customHeight="1">
      <c r="A1339" t="inlineStr">
        <is>
          <t>A 61858-2020</t>
        </is>
      </c>
      <c r="B1339" s="1" t="n">
        <v>44159</v>
      </c>
      <c r="C1339" s="1" t="n">
        <v>45724</v>
      </c>
      <c r="D1339" t="inlineStr">
        <is>
          <t>VÄSTMANLANDS LÄN</t>
        </is>
      </c>
      <c r="E1339" t="inlineStr">
        <is>
          <t>VÄSTERÅS</t>
        </is>
      </c>
      <c r="G1339" t="n">
        <v>1.3</v>
      </c>
      <c r="H1339" t="n">
        <v>0</v>
      </c>
      <c r="I1339" t="n">
        <v>0</v>
      </c>
      <c r="J1339" t="n">
        <v>0</v>
      </c>
      <c r="K1339" t="n">
        <v>0</v>
      </c>
      <c r="L1339" t="n">
        <v>0</v>
      </c>
      <c r="M1339" t="n">
        <v>0</v>
      </c>
      <c r="N1339" t="n">
        <v>0</v>
      </c>
      <c r="O1339" t="n">
        <v>0</v>
      </c>
      <c r="P1339" t="n">
        <v>0</v>
      </c>
      <c r="Q1339" t="n">
        <v>0</v>
      </c>
      <c r="R1339" s="2" t="inlineStr"/>
    </row>
    <row r="1340" ht="15" customHeight="1">
      <c r="A1340" t="inlineStr">
        <is>
          <t>A 62395-2020</t>
        </is>
      </c>
      <c r="B1340" s="1" t="n">
        <v>44160</v>
      </c>
      <c r="C1340" s="1" t="n">
        <v>45724</v>
      </c>
      <c r="D1340" t="inlineStr">
        <is>
          <t>VÄSTMANLANDS LÄN</t>
        </is>
      </c>
      <c r="E1340" t="inlineStr">
        <is>
          <t>SKINNSKATTEBERG</t>
        </is>
      </c>
      <c r="F1340" t="inlineStr">
        <is>
          <t>Sveaskog</t>
        </is>
      </c>
      <c r="G1340" t="n">
        <v>0.6</v>
      </c>
      <c r="H1340" t="n">
        <v>0</v>
      </c>
      <c r="I1340" t="n">
        <v>0</v>
      </c>
      <c r="J1340" t="n">
        <v>0</v>
      </c>
      <c r="K1340" t="n">
        <v>0</v>
      </c>
      <c r="L1340" t="n">
        <v>0</v>
      </c>
      <c r="M1340" t="n">
        <v>0</v>
      </c>
      <c r="N1340" t="n">
        <v>0</v>
      </c>
      <c r="O1340" t="n">
        <v>0</v>
      </c>
      <c r="P1340" t="n">
        <v>0</v>
      </c>
      <c r="Q1340" t="n">
        <v>0</v>
      </c>
      <c r="R1340" s="2" t="inlineStr"/>
    </row>
    <row r="1341" ht="15" customHeight="1">
      <c r="A1341" t="inlineStr">
        <is>
          <t>A 62686-2020</t>
        </is>
      </c>
      <c r="B1341" s="1" t="n">
        <v>44161</v>
      </c>
      <c r="C1341" s="1" t="n">
        <v>45724</v>
      </c>
      <c r="D1341" t="inlineStr">
        <is>
          <t>VÄSTMANLANDS LÄN</t>
        </is>
      </c>
      <c r="E1341" t="inlineStr">
        <is>
          <t>FAGERSTA</t>
        </is>
      </c>
      <c r="F1341" t="inlineStr">
        <is>
          <t>Sveaskog</t>
        </is>
      </c>
      <c r="G1341" t="n">
        <v>2.3</v>
      </c>
      <c r="H1341" t="n">
        <v>0</v>
      </c>
      <c r="I1341" t="n">
        <v>0</v>
      </c>
      <c r="J1341" t="n">
        <v>0</v>
      </c>
      <c r="K1341" t="n">
        <v>0</v>
      </c>
      <c r="L1341" t="n">
        <v>0</v>
      </c>
      <c r="M1341" t="n">
        <v>0</v>
      </c>
      <c r="N1341" t="n">
        <v>0</v>
      </c>
      <c r="O1341" t="n">
        <v>0</v>
      </c>
      <c r="P1341" t="n">
        <v>0</v>
      </c>
      <c r="Q1341" t="n">
        <v>0</v>
      </c>
      <c r="R1341" s="2" t="inlineStr"/>
    </row>
    <row r="1342" ht="15" customHeight="1">
      <c r="A1342" t="inlineStr">
        <is>
          <t>A 62680-2020</t>
        </is>
      </c>
      <c r="B1342" s="1" t="n">
        <v>44161</v>
      </c>
      <c r="C1342" s="1" t="n">
        <v>45724</v>
      </c>
      <c r="D1342" t="inlineStr">
        <is>
          <t>VÄSTMANLANDS LÄN</t>
        </is>
      </c>
      <c r="E1342" t="inlineStr">
        <is>
          <t>SALA</t>
        </is>
      </c>
      <c r="G1342" t="n">
        <v>1.4</v>
      </c>
      <c r="H1342" t="n">
        <v>0</v>
      </c>
      <c r="I1342" t="n">
        <v>0</v>
      </c>
      <c r="J1342" t="n">
        <v>0</v>
      </c>
      <c r="K1342" t="n">
        <v>0</v>
      </c>
      <c r="L1342" t="n">
        <v>0</v>
      </c>
      <c r="M1342" t="n">
        <v>0</v>
      </c>
      <c r="N1342" t="n">
        <v>0</v>
      </c>
      <c r="O1342" t="n">
        <v>0</v>
      </c>
      <c r="P1342" t="n">
        <v>0</v>
      </c>
      <c r="Q1342" t="n">
        <v>0</v>
      </c>
      <c r="R1342" s="2" t="inlineStr"/>
    </row>
    <row r="1343" ht="15" customHeight="1">
      <c r="A1343" t="inlineStr">
        <is>
          <t>A 63035-2020</t>
        </is>
      </c>
      <c r="B1343" s="1" t="n">
        <v>44162</v>
      </c>
      <c r="C1343" s="1" t="n">
        <v>45724</v>
      </c>
      <c r="D1343" t="inlineStr">
        <is>
          <t>VÄSTMANLANDS LÄN</t>
        </is>
      </c>
      <c r="E1343" t="inlineStr">
        <is>
          <t>VÄSTERÅS</t>
        </is>
      </c>
      <c r="G1343" t="n">
        <v>3.1</v>
      </c>
      <c r="H1343" t="n">
        <v>0</v>
      </c>
      <c r="I1343" t="n">
        <v>0</v>
      </c>
      <c r="J1343" t="n">
        <v>0</v>
      </c>
      <c r="K1343" t="n">
        <v>0</v>
      </c>
      <c r="L1343" t="n">
        <v>0</v>
      </c>
      <c r="M1343" t="n">
        <v>0</v>
      </c>
      <c r="N1343" t="n">
        <v>0</v>
      </c>
      <c r="O1343" t="n">
        <v>0</v>
      </c>
      <c r="P1343" t="n">
        <v>0</v>
      </c>
      <c r="Q1343" t="n">
        <v>0</v>
      </c>
      <c r="R1343" s="2" t="inlineStr"/>
    </row>
    <row r="1344" ht="15" customHeight="1">
      <c r="A1344" t="inlineStr">
        <is>
          <t>A 63718-2020</t>
        </is>
      </c>
      <c r="B1344" s="1" t="n">
        <v>44162</v>
      </c>
      <c r="C1344" s="1" t="n">
        <v>45724</v>
      </c>
      <c r="D1344" t="inlineStr">
        <is>
          <t>VÄSTMANLANDS LÄN</t>
        </is>
      </c>
      <c r="E1344" t="inlineStr">
        <is>
          <t>NORBERG</t>
        </is>
      </c>
      <c r="G1344" t="n">
        <v>1.7</v>
      </c>
      <c r="H1344" t="n">
        <v>0</v>
      </c>
      <c r="I1344" t="n">
        <v>0</v>
      </c>
      <c r="J1344" t="n">
        <v>0</v>
      </c>
      <c r="K1344" t="n">
        <v>0</v>
      </c>
      <c r="L1344" t="n">
        <v>0</v>
      </c>
      <c r="M1344" t="n">
        <v>0</v>
      </c>
      <c r="N1344" t="n">
        <v>0</v>
      </c>
      <c r="O1344" t="n">
        <v>0</v>
      </c>
      <c r="P1344" t="n">
        <v>0</v>
      </c>
      <c r="Q1344" t="n">
        <v>0</v>
      </c>
      <c r="R1344" s="2" t="inlineStr"/>
    </row>
    <row r="1345" ht="15" customHeight="1">
      <c r="A1345" t="inlineStr">
        <is>
          <t>A 63346-2020</t>
        </is>
      </c>
      <c r="B1345" s="1" t="n">
        <v>44165</v>
      </c>
      <c r="C1345" s="1" t="n">
        <v>45724</v>
      </c>
      <c r="D1345" t="inlineStr">
        <is>
          <t>VÄSTMANLANDS LÄN</t>
        </is>
      </c>
      <c r="E1345" t="inlineStr">
        <is>
          <t>VÄSTERÅS</t>
        </is>
      </c>
      <c r="G1345" t="n">
        <v>1.1</v>
      </c>
      <c r="H1345" t="n">
        <v>0</v>
      </c>
      <c r="I1345" t="n">
        <v>0</v>
      </c>
      <c r="J1345" t="n">
        <v>0</v>
      </c>
      <c r="K1345" t="n">
        <v>0</v>
      </c>
      <c r="L1345" t="n">
        <v>0</v>
      </c>
      <c r="M1345" t="n">
        <v>0</v>
      </c>
      <c r="N1345" t="n">
        <v>0</v>
      </c>
      <c r="O1345" t="n">
        <v>0</v>
      </c>
      <c r="P1345" t="n">
        <v>0</v>
      </c>
      <c r="Q1345" t="n">
        <v>0</v>
      </c>
      <c r="R1345" s="2" t="inlineStr"/>
    </row>
    <row r="1346" ht="15" customHeight="1">
      <c r="A1346" t="inlineStr">
        <is>
          <t>A 63318-2020</t>
        </is>
      </c>
      <c r="B1346" s="1" t="n">
        <v>44165</v>
      </c>
      <c r="C1346" s="1" t="n">
        <v>45724</v>
      </c>
      <c r="D1346" t="inlineStr">
        <is>
          <t>VÄSTMANLANDS LÄN</t>
        </is>
      </c>
      <c r="E1346" t="inlineStr">
        <is>
          <t>VÄSTERÅS</t>
        </is>
      </c>
      <c r="G1346" t="n">
        <v>1.6</v>
      </c>
      <c r="H1346" t="n">
        <v>0</v>
      </c>
      <c r="I1346" t="n">
        <v>0</v>
      </c>
      <c r="J1346" t="n">
        <v>0</v>
      </c>
      <c r="K1346" t="n">
        <v>0</v>
      </c>
      <c r="L1346" t="n">
        <v>0</v>
      </c>
      <c r="M1346" t="n">
        <v>0</v>
      </c>
      <c r="N1346" t="n">
        <v>0</v>
      </c>
      <c r="O1346" t="n">
        <v>0</v>
      </c>
      <c r="P1346" t="n">
        <v>0</v>
      </c>
      <c r="Q1346" t="n">
        <v>0</v>
      </c>
      <c r="R1346" s="2" t="inlineStr"/>
    </row>
    <row r="1347" ht="15" customHeight="1">
      <c r="A1347" t="inlineStr">
        <is>
          <t>A 63457-2020</t>
        </is>
      </c>
      <c r="B1347" s="1" t="n">
        <v>44165</v>
      </c>
      <c r="C1347" s="1" t="n">
        <v>45724</v>
      </c>
      <c r="D1347" t="inlineStr">
        <is>
          <t>VÄSTMANLANDS LÄN</t>
        </is>
      </c>
      <c r="E1347" t="inlineStr">
        <is>
          <t>SKINNSKATTEBERG</t>
        </is>
      </c>
      <c r="F1347" t="inlineStr">
        <is>
          <t>Sveaskog</t>
        </is>
      </c>
      <c r="G1347" t="n">
        <v>0.6</v>
      </c>
      <c r="H1347" t="n">
        <v>0</v>
      </c>
      <c r="I1347" t="n">
        <v>0</v>
      </c>
      <c r="J1347" t="n">
        <v>0</v>
      </c>
      <c r="K1347" t="n">
        <v>0</v>
      </c>
      <c r="L1347" t="n">
        <v>0</v>
      </c>
      <c r="M1347" t="n">
        <v>0</v>
      </c>
      <c r="N1347" t="n">
        <v>0</v>
      </c>
      <c r="O1347" t="n">
        <v>0</v>
      </c>
      <c r="P1347" t="n">
        <v>0</v>
      </c>
      <c r="Q1347" t="n">
        <v>0</v>
      </c>
      <c r="R1347" s="2" t="inlineStr"/>
    </row>
    <row r="1348" ht="15" customHeight="1">
      <c r="A1348" t="inlineStr">
        <is>
          <t>A 64317-2020</t>
        </is>
      </c>
      <c r="B1348" s="1" t="n">
        <v>44167</v>
      </c>
      <c r="C1348" s="1" t="n">
        <v>45724</v>
      </c>
      <c r="D1348" t="inlineStr">
        <is>
          <t>VÄSTMANLANDS LÄN</t>
        </is>
      </c>
      <c r="E1348" t="inlineStr">
        <is>
          <t>KÖPING</t>
        </is>
      </c>
      <c r="G1348" t="n">
        <v>6.8</v>
      </c>
      <c r="H1348" t="n">
        <v>0</v>
      </c>
      <c r="I1348" t="n">
        <v>0</v>
      </c>
      <c r="J1348" t="n">
        <v>0</v>
      </c>
      <c r="K1348" t="n">
        <v>0</v>
      </c>
      <c r="L1348" t="n">
        <v>0</v>
      </c>
      <c r="M1348" t="n">
        <v>0</v>
      </c>
      <c r="N1348" t="n">
        <v>0</v>
      </c>
      <c r="O1348" t="n">
        <v>0</v>
      </c>
      <c r="P1348" t="n">
        <v>0</v>
      </c>
      <c r="Q1348" t="n">
        <v>0</v>
      </c>
      <c r="R1348" s="2" t="inlineStr"/>
    </row>
    <row r="1349" ht="15" customHeight="1">
      <c r="A1349" t="inlineStr">
        <is>
          <t>A 64251-2020</t>
        </is>
      </c>
      <c r="B1349" s="1" t="n">
        <v>44168</v>
      </c>
      <c r="C1349" s="1" t="n">
        <v>45724</v>
      </c>
      <c r="D1349" t="inlineStr">
        <is>
          <t>VÄSTMANLANDS LÄN</t>
        </is>
      </c>
      <c r="E1349" t="inlineStr">
        <is>
          <t>KUNGSÖR</t>
        </is>
      </c>
      <c r="G1349" t="n">
        <v>1.5</v>
      </c>
      <c r="H1349" t="n">
        <v>0</v>
      </c>
      <c r="I1349" t="n">
        <v>0</v>
      </c>
      <c r="J1349" t="n">
        <v>0</v>
      </c>
      <c r="K1349" t="n">
        <v>0</v>
      </c>
      <c r="L1349" t="n">
        <v>0</v>
      </c>
      <c r="M1349" t="n">
        <v>0</v>
      </c>
      <c r="N1349" t="n">
        <v>0</v>
      </c>
      <c r="O1349" t="n">
        <v>0</v>
      </c>
      <c r="P1349" t="n">
        <v>0</v>
      </c>
      <c r="Q1349" t="n">
        <v>0</v>
      </c>
      <c r="R1349" s="2" t="inlineStr"/>
    </row>
    <row r="1350" ht="15" customHeight="1">
      <c r="A1350" t="inlineStr">
        <is>
          <t>A 64306-2020</t>
        </is>
      </c>
      <c r="B1350" s="1" t="n">
        <v>44168</v>
      </c>
      <c r="C1350" s="1" t="n">
        <v>45724</v>
      </c>
      <c r="D1350" t="inlineStr">
        <is>
          <t>VÄSTMANLANDS LÄN</t>
        </is>
      </c>
      <c r="E1350" t="inlineStr">
        <is>
          <t>FAGERSTA</t>
        </is>
      </c>
      <c r="F1350" t="inlineStr">
        <is>
          <t>Sveaskog</t>
        </is>
      </c>
      <c r="G1350" t="n">
        <v>3.1</v>
      </c>
      <c r="H1350" t="n">
        <v>0</v>
      </c>
      <c r="I1350" t="n">
        <v>0</v>
      </c>
      <c r="J1350" t="n">
        <v>0</v>
      </c>
      <c r="K1350" t="n">
        <v>0</v>
      </c>
      <c r="L1350" t="n">
        <v>0</v>
      </c>
      <c r="M1350" t="n">
        <v>0</v>
      </c>
      <c r="N1350" t="n">
        <v>0</v>
      </c>
      <c r="O1350" t="n">
        <v>0</v>
      </c>
      <c r="P1350" t="n">
        <v>0</v>
      </c>
      <c r="Q1350" t="n">
        <v>0</v>
      </c>
      <c r="R1350" s="2" t="inlineStr"/>
    </row>
    <row r="1351" ht="15" customHeight="1">
      <c r="A1351" t="inlineStr">
        <is>
          <t>A 64310-2020</t>
        </is>
      </c>
      <c r="B1351" s="1" t="n">
        <v>44168</v>
      </c>
      <c r="C1351" s="1" t="n">
        <v>45724</v>
      </c>
      <c r="D1351" t="inlineStr">
        <is>
          <t>VÄSTMANLANDS LÄN</t>
        </is>
      </c>
      <c r="E1351" t="inlineStr">
        <is>
          <t>FAGERSTA</t>
        </is>
      </c>
      <c r="F1351" t="inlineStr">
        <is>
          <t>Sveaskog</t>
        </is>
      </c>
      <c r="G1351" t="n">
        <v>1.2</v>
      </c>
      <c r="H1351" t="n">
        <v>0</v>
      </c>
      <c r="I1351" t="n">
        <v>0</v>
      </c>
      <c r="J1351" t="n">
        <v>0</v>
      </c>
      <c r="K1351" t="n">
        <v>0</v>
      </c>
      <c r="L1351" t="n">
        <v>0</v>
      </c>
      <c r="M1351" t="n">
        <v>0</v>
      </c>
      <c r="N1351" t="n">
        <v>0</v>
      </c>
      <c r="O1351" t="n">
        <v>0</v>
      </c>
      <c r="P1351" t="n">
        <v>0</v>
      </c>
      <c r="Q1351" t="n">
        <v>0</v>
      </c>
      <c r="R1351" s="2" t="inlineStr"/>
    </row>
    <row r="1352" ht="15" customHeight="1">
      <c r="A1352" t="inlineStr">
        <is>
          <t>A 64314-2020</t>
        </is>
      </c>
      <c r="B1352" s="1" t="n">
        <v>44168</v>
      </c>
      <c r="C1352" s="1" t="n">
        <v>45724</v>
      </c>
      <c r="D1352" t="inlineStr">
        <is>
          <t>VÄSTMANLANDS LÄN</t>
        </is>
      </c>
      <c r="E1352" t="inlineStr">
        <is>
          <t>ARBOGA</t>
        </is>
      </c>
      <c r="G1352" t="n">
        <v>0.4</v>
      </c>
      <c r="H1352" t="n">
        <v>0</v>
      </c>
      <c r="I1352" t="n">
        <v>0</v>
      </c>
      <c r="J1352" t="n">
        <v>0</v>
      </c>
      <c r="K1352" t="n">
        <v>0</v>
      </c>
      <c r="L1352" t="n">
        <v>0</v>
      </c>
      <c r="M1352" t="n">
        <v>0</v>
      </c>
      <c r="N1352" t="n">
        <v>0</v>
      </c>
      <c r="O1352" t="n">
        <v>0</v>
      </c>
      <c r="P1352" t="n">
        <v>0</v>
      </c>
      <c r="Q1352" t="n">
        <v>0</v>
      </c>
      <c r="R1352" s="2" t="inlineStr"/>
    </row>
    <row r="1353" ht="15" customHeight="1">
      <c r="A1353" t="inlineStr">
        <is>
          <t>A 64464-2020</t>
        </is>
      </c>
      <c r="B1353" s="1" t="n">
        <v>44168</v>
      </c>
      <c r="C1353" s="1" t="n">
        <v>45724</v>
      </c>
      <c r="D1353" t="inlineStr">
        <is>
          <t>VÄSTMANLANDS LÄN</t>
        </is>
      </c>
      <c r="E1353" t="inlineStr">
        <is>
          <t>SKINNSKATTEBERG</t>
        </is>
      </c>
      <c r="G1353" t="n">
        <v>3.2</v>
      </c>
      <c r="H1353" t="n">
        <v>0</v>
      </c>
      <c r="I1353" t="n">
        <v>0</v>
      </c>
      <c r="J1353" t="n">
        <v>0</v>
      </c>
      <c r="K1353" t="n">
        <v>0</v>
      </c>
      <c r="L1353" t="n">
        <v>0</v>
      </c>
      <c r="M1353" t="n">
        <v>0</v>
      </c>
      <c r="N1353" t="n">
        <v>0</v>
      </c>
      <c r="O1353" t="n">
        <v>0</v>
      </c>
      <c r="P1353" t="n">
        <v>0</v>
      </c>
      <c r="Q1353" t="n">
        <v>0</v>
      </c>
      <c r="R1353" s="2" t="inlineStr"/>
    </row>
    <row r="1354" ht="15" customHeight="1">
      <c r="A1354" t="inlineStr">
        <is>
          <t>A 64853-2020</t>
        </is>
      </c>
      <c r="B1354" s="1" t="n">
        <v>44171</v>
      </c>
      <c r="C1354" s="1" t="n">
        <v>45724</v>
      </c>
      <c r="D1354" t="inlineStr">
        <is>
          <t>VÄSTMANLANDS LÄN</t>
        </is>
      </c>
      <c r="E1354" t="inlineStr">
        <is>
          <t>VÄSTERÅS</t>
        </is>
      </c>
      <c r="G1354" t="n">
        <v>1.3</v>
      </c>
      <c r="H1354" t="n">
        <v>0</v>
      </c>
      <c r="I1354" t="n">
        <v>0</v>
      </c>
      <c r="J1354" t="n">
        <v>0</v>
      </c>
      <c r="K1354" t="n">
        <v>0</v>
      </c>
      <c r="L1354" t="n">
        <v>0</v>
      </c>
      <c r="M1354" t="n">
        <v>0</v>
      </c>
      <c r="N1354" t="n">
        <v>0</v>
      </c>
      <c r="O1354" t="n">
        <v>0</v>
      </c>
      <c r="P1354" t="n">
        <v>0</v>
      </c>
      <c r="Q1354" t="n">
        <v>0</v>
      </c>
      <c r="R1354" s="2" t="inlineStr"/>
    </row>
    <row r="1355" ht="15" customHeight="1">
      <c r="A1355" t="inlineStr">
        <is>
          <t>A 64885-2020</t>
        </is>
      </c>
      <c r="B1355" s="1" t="n">
        <v>44171</v>
      </c>
      <c r="C1355" s="1" t="n">
        <v>45724</v>
      </c>
      <c r="D1355" t="inlineStr">
        <is>
          <t>VÄSTMANLANDS LÄN</t>
        </is>
      </c>
      <c r="E1355" t="inlineStr">
        <is>
          <t>NORBERG</t>
        </is>
      </c>
      <c r="G1355" t="n">
        <v>1.8</v>
      </c>
      <c r="H1355" t="n">
        <v>0</v>
      </c>
      <c r="I1355" t="n">
        <v>0</v>
      </c>
      <c r="J1355" t="n">
        <v>0</v>
      </c>
      <c r="K1355" t="n">
        <v>0</v>
      </c>
      <c r="L1355" t="n">
        <v>0</v>
      </c>
      <c r="M1355" t="n">
        <v>0</v>
      </c>
      <c r="N1355" t="n">
        <v>0</v>
      </c>
      <c r="O1355" t="n">
        <v>0</v>
      </c>
      <c r="P1355" t="n">
        <v>0</v>
      </c>
      <c r="Q1355" t="n">
        <v>0</v>
      </c>
      <c r="R1355" s="2" t="inlineStr"/>
    </row>
    <row r="1356" ht="15" customHeight="1">
      <c r="A1356" t="inlineStr">
        <is>
          <t>A 64940-2020</t>
        </is>
      </c>
      <c r="B1356" s="1" t="n">
        <v>44172</v>
      </c>
      <c r="C1356" s="1" t="n">
        <v>45724</v>
      </c>
      <c r="D1356" t="inlineStr">
        <is>
          <t>VÄSTMANLANDS LÄN</t>
        </is>
      </c>
      <c r="E1356" t="inlineStr">
        <is>
          <t>SALA</t>
        </is>
      </c>
      <c r="G1356" t="n">
        <v>0.9</v>
      </c>
      <c r="H1356" t="n">
        <v>0</v>
      </c>
      <c r="I1356" t="n">
        <v>0</v>
      </c>
      <c r="J1356" t="n">
        <v>0</v>
      </c>
      <c r="K1356" t="n">
        <v>0</v>
      </c>
      <c r="L1356" t="n">
        <v>0</v>
      </c>
      <c r="M1356" t="n">
        <v>0</v>
      </c>
      <c r="N1356" t="n">
        <v>0</v>
      </c>
      <c r="O1356" t="n">
        <v>0</v>
      </c>
      <c r="P1356" t="n">
        <v>0</v>
      </c>
      <c r="Q1356" t="n">
        <v>0</v>
      </c>
      <c r="R1356" s="2" t="inlineStr"/>
    </row>
    <row r="1357" ht="15" customHeight="1">
      <c r="A1357" t="inlineStr">
        <is>
          <t>A 65193-2020</t>
        </is>
      </c>
      <c r="B1357" s="1" t="n">
        <v>44172</v>
      </c>
      <c r="C1357" s="1" t="n">
        <v>45724</v>
      </c>
      <c r="D1357" t="inlineStr">
        <is>
          <t>VÄSTMANLANDS LÄN</t>
        </is>
      </c>
      <c r="E1357" t="inlineStr">
        <is>
          <t>KÖPING</t>
        </is>
      </c>
      <c r="F1357" t="inlineStr">
        <is>
          <t>Sveaskog</t>
        </is>
      </c>
      <c r="G1357" t="n">
        <v>8</v>
      </c>
      <c r="H1357" t="n">
        <v>0</v>
      </c>
      <c r="I1357" t="n">
        <v>0</v>
      </c>
      <c r="J1357" t="n">
        <v>0</v>
      </c>
      <c r="K1357" t="n">
        <v>0</v>
      </c>
      <c r="L1357" t="n">
        <v>0</v>
      </c>
      <c r="M1357" t="n">
        <v>0</v>
      </c>
      <c r="N1357" t="n">
        <v>0</v>
      </c>
      <c r="O1357" t="n">
        <v>0</v>
      </c>
      <c r="P1357" t="n">
        <v>0</v>
      </c>
      <c r="Q1357" t="n">
        <v>0</v>
      </c>
      <c r="R1357" s="2" t="inlineStr"/>
    </row>
    <row r="1358" ht="15" customHeight="1">
      <c r="A1358" t="inlineStr">
        <is>
          <t>A 65113-2020</t>
        </is>
      </c>
      <c r="B1358" s="1" t="n">
        <v>44172</v>
      </c>
      <c r="C1358" s="1" t="n">
        <v>45724</v>
      </c>
      <c r="D1358" t="inlineStr">
        <is>
          <t>VÄSTMANLANDS LÄN</t>
        </is>
      </c>
      <c r="E1358" t="inlineStr">
        <is>
          <t>FAGERSTA</t>
        </is>
      </c>
      <c r="F1358" t="inlineStr">
        <is>
          <t>Sveaskog</t>
        </is>
      </c>
      <c r="G1358" t="n">
        <v>0.7</v>
      </c>
      <c r="H1358" t="n">
        <v>0</v>
      </c>
      <c r="I1358" t="n">
        <v>0</v>
      </c>
      <c r="J1358" t="n">
        <v>0</v>
      </c>
      <c r="K1358" t="n">
        <v>0</v>
      </c>
      <c r="L1358" t="n">
        <v>0</v>
      </c>
      <c r="M1358" t="n">
        <v>0</v>
      </c>
      <c r="N1358" t="n">
        <v>0</v>
      </c>
      <c r="O1358" t="n">
        <v>0</v>
      </c>
      <c r="P1358" t="n">
        <v>0</v>
      </c>
      <c r="Q1358" t="n">
        <v>0</v>
      </c>
      <c r="R1358" s="2" t="inlineStr"/>
    </row>
    <row r="1359" ht="15" customHeight="1">
      <c r="A1359" t="inlineStr">
        <is>
          <t>A 65829-2020</t>
        </is>
      </c>
      <c r="B1359" s="1" t="n">
        <v>44172</v>
      </c>
      <c r="C1359" s="1" t="n">
        <v>45724</v>
      </c>
      <c r="D1359" t="inlineStr">
        <is>
          <t>VÄSTMANLANDS LÄN</t>
        </is>
      </c>
      <c r="E1359" t="inlineStr">
        <is>
          <t>FAGERSTA</t>
        </is>
      </c>
      <c r="G1359" t="n">
        <v>2.5</v>
      </c>
      <c r="H1359" t="n">
        <v>0</v>
      </c>
      <c r="I1359" t="n">
        <v>0</v>
      </c>
      <c r="J1359" t="n">
        <v>0</v>
      </c>
      <c r="K1359" t="n">
        <v>0</v>
      </c>
      <c r="L1359" t="n">
        <v>0</v>
      </c>
      <c r="M1359" t="n">
        <v>0</v>
      </c>
      <c r="N1359" t="n">
        <v>0</v>
      </c>
      <c r="O1359" t="n">
        <v>0</v>
      </c>
      <c r="P1359" t="n">
        <v>0</v>
      </c>
      <c r="Q1359" t="n">
        <v>0</v>
      </c>
      <c r="R1359" s="2" t="inlineStr"/>
    </row>
    <row r="1360" ht="15" customHeight="1">
      <c r="A1360" t="inlineStr">
        <is>
          <t>A 65521-2020</t>
        </is>
      </c>
      <c r="B1360" s="1" t="n">
        <v>44173</v>
      </c>
      <c r="C1360" s="1" t="n">
        <v>45724</v>
      </c>
      <c r="D1360" t="inlineStr">
        <is>
          <t>VÄSTMANLANDS LÄN</t>
        </is>
      </c>
      <c r="E1360" t="inlineStr">
        <is>
          <t>SKINNSKATTEBERG</t>
        </is>
      </c>
      <c r="G1360" t="n">
        <v>2.3</v>
      </c>
      <c r="H1360" t="n">
        <v>0</v>
      </c>
      <c r="I1360" t="n">
        <v>0</v>
      </c>
      <c r="J1360" t="n">
        <v>0</v>
      </c>
      <c r="K1360" t="n">
        <v>0</v>
      </c>
      <c r="L1360" t="n">
        <v>0</v>
      </c>
      <c r="M1360" t="n">
        <v>0</v>
      </c>
      <c r="N1360" t="n">
        <v>0</v>
      </c>
      <c r="O1360" t="n">
        <v>0</v>
      </c>
      <c r="P1360" t="n">
        <v>0</v>
      </c>
      <c r="Q1360" t="n">
        <v>0</v>
      </c>
      <c r="R1360" s="2" t="inlineStr"/>
    </row>
    <row r="1361" ht="15" customHeight="1">
      <c r="A1361" t="inlineStr">
        <is>
          <t>A 66603-2020</t>
        </is>
      </c>
      <c r="B1361" s="1" t="n">
        <v>44179</v>
      </c>
      <c r="C1361" s="1" t="n">
        <v>45724</v>
      </c>
      <c r="D1361" t="inlineStr">
        <is>
          <t>VÄSTMANLANDS LÄN</t>
        </is>
      </c>
      <c r="E1361" t="inlineStr">
        <is>
          <t>ARBOGA</t>
        </is>
      </c>
      <c r="G1361" t="n">
        <v>16.5</v>
      </c>
      <c r="H1361" t="n">
        <v>0</v>
      </c>
      <c r="I1361" t="n">
        <v>0</v>
      </c>
      <c r="J1361" t="n">
        <v>0</v>
      </c>
      <c r="K1361" t="n">
        <v>0</v>
      </c>
      <c r="L1361" t="n">
        <v>0</v>
      </c>
      <c r="M1361" t="n">
        <v>0</v>
      </c>
      <c r="N1361" t="n">
        <v>0</v>
      </c>
      <c r="O1361" t="n">
        <v>0</v>
      </c>
      <c r="P1361" t="n">
        <v>0</v>
      </c>
      <c r="Q1361" t="n">
        <v>0</v>
      </c>
      <c r="R1361" s="2" t="inlineStr"/>
    </row>
    <row r="1362" ht="15" customHeight="1">
      <c r="A1362" t="inlineStr">
        <is>
          <t>A 66704-2020</t>
        </is>
      </c>
      <c r="B1362" s="1" t="n">
        <v>44179</v>
      </c>
      <c r="C1362" s="1" t="n">
        <v>45724</v>
      </c>
      <c r="D1362" t="inlineStr">
        <is>
          <t>VÄSTMANLANDS LÄN</t>
        </is>
      </c>
      <c r="E1362" t="inlineStr">
        <is>
          <t>SKINNSKATTEBERG</t>
        </is>
      </c>
      <c r="F1362" t="inlineStr">
        <is>
          <t>Sveaskog</t>
        </is>
      </c>
      <c r="G1362" t="n">
        <v>5.9</v>
      </c>
      <c r="H1362" t="n">
        <v>0</v>
      </c>
      <c r="I1362" t="n">
        <v>0</v>
      </c>
      <c r="J1362" t="n">
        <v>0</v>
      </c>
      <c r="K1362" t="n">
        <v>0</v>
      </c>
      <c r="L1362" t="n">
        <v>0</v>
      </c>
      <c r="M1362" t="n">
        <v>0</v>
      </c>
      <c r="N1362" t="n">
        <v>0</v>
      </c>
      <c r="O1362" t="n">
        <v>0</v>
      </c>
      <c r="P1362" t="n">
        <v>0</v>
      </c>
      <c r="Q1362" t="n">
        <v>0</v>
      </c>
      <c r="R1362" s="2" t="inlineStr"/>
    </row>
    <row r="1363" ht="15" customHeight="1">
      <c r="A1363" t="inlineStr">
        <is>
          <t>A 66574-2020</t>
        </is>
      </c>
      <c r="B1363" s="1" t="n">
        <v>44179</v>
      </c>
      <c r="C1363" s="1" t="n">
        <v>45724</v>
      </c>
      <c r="D1363" t="inlineStr">
        <is>
          <t>VÄSTMANLANDS LÄN</t>
        </is>
      </c>
      <c r="E1363" t="inlineStr">
        <is>
          <t>VÄSTERÅS</t>
        </is>
      </c>
      <c r="G1363" t="n">
        <v>5.9</v>
      </c>
      <c r="H1363" t="n">
        <v>0</v>
      </c>
      <c r="I1363" t="n">
        <v>0</v>
      </c>
      <c r="J1363" t="n">
        <v>0</v>
      </c>
      <c r="K1363" t="n">
        <v>0</v>
      </c>
      <c r="L1363" t="n">
        <v>0</v>
      </c>
      <c r="M1363" t="n">
        <v>0</v>
      </c>
      <c r="N1363" t="n">
        <v>0</v>
      </c>
      <c r="O1363" t="n">
        <v>0</v>
      </c>
      <c r="P1363" t="n">
        <v>0</v>
      </c>
      <c r="Q1363" t="n">
        <v>0</v>
      </c>
      <c r="R1363" s="2" t="inlineStr"/>
    </row>
    <row r="1364" ht="15" customHeight="1">
      <c r="A1364" t="inlineStr">
        <is>
          <t>A 66595-2020</t>
        </is>
      </c>
      <c r="B1364" s="1" t="n">
        <v>44179</v>
      </c>
      <c r="C1364" s="1" t="n">
        <v>45724</v>
      </c>
      <c r="D1364" t="inlineStr">
        <is>
          <t>VÄSTMANLANDS LÄN</t>
        </is>
      </c>
      <c r="E1364" t="inlineStr">
        <is>
          <t>ARBOGA</t>
        </is>
      </c>
      <c r="G1364" t="n">
        <v>1.9</v>
      </c>
      <c r="H1364" t="n">
        <v>0</v>
      </c>
      <c r="I1364" t="n">
        <v>0</v>
      </c>
      <c r="J1364" t="n">
        <v>0</v>
      </c>
      <c r="K1364" t="n">
        <v>0</v>
      </c>
      <c r="L1364" t="n">
        <v>0</v>
      </c>
      <c r="M1364" t="n">
        <v>0</v>
      </c>
      <c r="N1364" t="n">
        <v>0</v>
      </c>
      <c r="O1364" t="n">
        <v>0</v>
      </c>
      <c r="P1364" t="n">
        <v>0</v>
      </c>
      <c r="Q1364" t="n">
        <v>0</v>
      </c>
      <c r="R1364" s="2" t="inlineStr"/>
    </row>
    <row r="1365" ht="15" customHeight="1">
      <c r="A1365" t="inlineStr">
        <is>
          <t>A 66821-2020</t>
        </is>
      </c>
      <c r="B1365" s="1" t="n">
        <v>44179</v>
      </c>
      <c r="C1365" s="1" t="n">
        <v>45724</v>
      </c>
      <c r="D1365" t="inlineStr">
        <is>
          <t>VÄSTMANLANDS LÄN</t>
        </is>
      </c>
      <c r="E1365" t="inlineStr">
        <is>
          <t>SALA</t>
        </is>
      </c>
      <c r="G1365" t="n">
        <v>1.4</v>
      </c>
      <c r="H1365" t="n">
        <v>0</v>
      </c>
      <c r="I1365" t="n">
        <v>0</v>
      </c>
      <c r="J1365" t="n">
        <v>0</v>
      </c>
      <c r="K1365" t="n">
        <v>0</v>
      </c>
      <c r="L1365" t="n">
        <v>0</v>
      </c>
      <c r="M1365" t="n">
        <v>0</v>
      </c>
      <c r="N1365" t="n">
        <v>0</v>
      </c>
      <c r="O1365" t="n">
        <v>0</v>
      </c>
      <c r="P1365" t="n">
        <v>0</v>
      </c>
      <c r="Q1365" t="n">
        <v>0</v>
      </c>
      <c r="R1365" s="2" t="inlineStr"/>
    </row>
    <row r="1366" ht="15" customHeight="1">
      <c r="A1366" t="inlineStr">
        <is>
          <t>A 66974-2020</t>
        </is>
      </c>
      <c r="B1366" s="1" t="n">
        <v>44180</v>
      </c>
      <c r="C1366" s="1" t="n">
        <v>45724</v>
      </c>
      <c r="D1366" t="inlineStr">
        <is>
          <t>VÄSTMANLANDS LÄN</t>
        </is>
      </c>
      <c r="E1366" t="inlineStr">
        <is>
          <t>KUNGSÖR</t>
        </is>
      </c>
      <c r="F1366" t="inlineStr">
        <is>
          <t>Allmännings- och besparingsskogar</t>
        </is>
      </c>
      <c r="G1366" t="n">
        <v>28.1</v>
      </c>
      <c r="H1366" t="n">
        <v>0</v>
      </c>
      <c r="I1366" t="n">
        <v>0</v>
      </c>
      <c r="J1366" t="n">
        <v>0</v>
      </c>
      <c r="K1366" t="n">
        <v>0</v>
      </c>
      <c r="L1366" t="n">
        <v>0</v>
      </c>
      <c r="M1366" t="n">
        <v>0</v>
      </c>
      <c r="N1366" t="n">
        <v>0</v>
      </c>
      <c r="O1366" t="n">
        <v>0</v>
      </c>
      <c r="P1366" t="n">
        <v>0</v>
      </c>
      <c r="Q1366" t="n">
        <v>0</v>
      </c>
      <c r="R1366" s="2" t="inlineStr"/>
    </row>
    <row r="1367" ht="15" customHeight="1">
      <c r="A1367" t="inlineStr">
        <is>
          <t>A 67005-2020</t>
        </is>
      </c>
      <c r="B1367" s="1" t="n">
        <v>44180</v>
      </c>
      <c r="C1367" s="1" t="n">
        <v>45724</v>
      </c>
      <c r="D1367" t="inlineStr">
        <is>
          <t>VÄSTMANLANDS LÄN</t>
        </is>
      </c>
      <c r="E1367" t="inlineStr">
        <is>
          <t>KÖPING</t>
        </is>
      </c>
      <c r="F1367" t="inlineStr">
        <is>
          <t>Allmännings- och besparingsskogar</t>
        </is>
      </c>
      <c r="G1367" t="n">
        <v>4.6</v>
      </c>
      <c r="H1367" t="n">
        <v>0</v>
      </c>
      <c r="I1367" t="n">
        <v>0</v>
      </c>
      <c r="J1367" t="n">
        <v>0</v>
      </c>
      <c r="K1367" t="n">
        <v>0</v>
      </c>
      <c r="L1367" t="n">
        <v>0</v>
      </c>
      <c r="M1367" t="n">
        <v>0</v>
      </c>
      <c r="N1367" t="n">
        <v>0</v>
      </c>
      <c r="O1367" t="n">
        <v>0</v>
      </c>
      <c r="P1367" t="n">
        <v>0</v>
      </c>
      <c r="Q1367" t="n">
        <v>0</v>
      </c>
      <c r="R1367" s="2" t="inlineStr"/>
    </row>
    <row r="1368" ht="15" customHeight="1">
      <c r="A1368" t="inlineStr">
        <is>
          <t>A 66952-2020</t>
        </is>
      </c>
      <c r="B1368" s="1" t="n">
        <v>44180</v>
      </c>
      <c r="C1368" s="1" t="n">
        <v>45724</v>
      </c>
      <c r="D1368" t="inlineStr">
        <is>
          <t>VÄSTMANLANDS LÄN</t>
        </is>
      </c>
      <c r="E1368" t="inlineStr">
        <is>
          <t>SKINNSKATTEBERG</t>
        </is>
      </c>
      <c r="F1368" t="inlineStr">
        <is>
          <t>Sveaskog</t>
        </is>
      </c>
      <c r="G1368" t="n">
        <v>3.7</v>
      </c>
      <c r="H1368" t="n">
        <v>0</v>
      </c>
      <c r="I1368" t="n">
        <v>0</v>
      </c>
      <c r="J1368" t="n">
        <v>0</v>
      </c>
      <c r="K1368" t="n">
        <v>0</v>
      </c>
      <c r="L1368" t="n">
        <v>0</v>
      </c>
      <c r="M1368" t="n">
        <v>0</v>
      </c>
      <c r="N1368" t="n">
        <v>0</v>
      </c>
      <c r="O1368" t="n">
        <v>0</v>
      </c>
      <c r="P1368" t="n">
        <v>0</v>
      </c>
      <c r="Q1368" t="n">
        <v>0</v>
      </c>
      <c r="R1368" s="2" t="inlineStr"/>
    </row>
    <row r="1369" ht="15" customHeight="1">
      <c r="A1369" t="inlineStr">
        <is>
          <t>A 67943-2020</t>
        </is>
      </c>
      <c r="B1369" s="1" t="n">
        <v>44182</v>
      </c>
      <c r="C1369" s="1" t="n">
        <v>45724</v>
      </c>
      <c r="D1369" t="inlineStr">
        <is>
          <t>VÄSTMANLANDS LÄN</t>
        </is>
      </c>
      <c r="E1369" t="inlineStr">
        <is>
          <t>VÄSTERÅS</t>
        </is>
      </c>
      <c r="G1369" t="n">
        <v>5</v>
      </c>
      <c r="H1369" t="n">
        <v>0</v>
      </c>
      <c r="I1369" t="n">
        <v>0</v>
      </c>
      <c r="J1369" t="n">
        <v>0</v>
      </c>
      <c r="K1369" t="n">
        <v>0</v>
      </c>
      <c r="L1369" t="n">
        <v>0</v>
      </c>
      <c r="M1369" t="n">
        <v>0</v>
      </c>
      <c r="N1369" t="n">
        <v>0</v>
      </c>
      <c r="O1369" t="n">
        <v>0</v>
      </c>
      <c r="P1369" t="n">
        <v>0</v>
      </c>
      <c r="Q1369" t="n">
        <v>0</v>
      </c>
      <c r="R1369" s="2" t="inlineStr"/>
    </row>
    <row r="1370" ht="15" customHeight="1">
      <c r="A1370" t="inlineStr">
        <is>
          <t>A 68113-2020</t>
        </is>
      </c>
      <c r="B1370" s="1" t="n">
        <v>44182</v>
      </c>
      <c r="C1370" s="1" t="n">
        <v>45724</v>
      </c>
      <c r="D1370" t="inlineStr">
        <is>
          <t>VÄSTMANLANDS LÄN</t>
        </is>
      </c>
      <c r="E1370" t="inlineStr">
        <is>
          <t>SALA</t>
        </is>
      </c>
      <c r="G1370" t="n">
        <v>3.6</v>
      </c>
      <c r="H1370" t="n">
        <v>0</v>
      </c>
      <c r="I1370" t="n">
        <v>0</v>
      </c>
      <c r="J1370" t="n">
        <v>0</v>
      </c>
      <c r="K1370" t="n">
        <v>0</v>
      </c>
      <c r="L1370" t="n">
        <v>0</v>
      </c>
      <c r="M1370" t="n">
        <v>0</v>
      </c>
      <c r="N1370" t="n">
        <v>0</v>
      </c>
      <c r="O1370" t="n">
        <v>0</v>
      </c>
      <c r="P1370" t="n">
        <v>0</v>
      </c>
      <c r="Q1370" t="n">
        <v>0</v>
      </c>
      <c r="R1370" s="2" t="inlineStr"/>
    </row>
    <row r="1371" ht="15" customHeight="1">
      <c r="A1371" t="inlineStr">
        <is>
          <t>A 68193-2020</t>
        </is>
      </c>
      <c r="B1371" s="1" t="n">
        <v>44183</v>
      </c>
      <c r="C1371" s="1" t="n">
        <v>45724</v>
      </c>
      <c r="D1371" t="inlineStr">
        <is>
          <t>VÄSTMANLANDS LÄN</t>
        </is>
      </c>
      <c r="E1371" t="inlineStr">
        <is>
          <t>VÄSTERÅS</t>
        </is>
      </c>
      <c r="G1371" t="n">
        <v>12.6</v>
      </c>
      <c r="H1371" t="n">
        <v>0</v>
      </c>
      <c r="I1371" t="n">
        <v>0</v>
      </c>
      <c r="J1371" t="n">
        <v>0</v>
      </c>
      <c r="K1371" t="n">
        <v>0</v>
      </c>
      <c r="L1371" t="n">
        <v>0</v>
      </c>
      <c r="M1371" t="n">
        <v>0</v>
      </c>
      <c r="N1371" t="n">
        <v>0</v>
      </c>
      <c r="O1371" t="n">
        <v>0</v>
      </c>
      <c r="P1371" t="n">
        <v>0</v>
      </c>
      <c r="Q1371" t="n">
        <v>0</v>
      </c>
      <c r="R1371" s="2" t="inlineStr"/>
    </row>
    <row r="1372" ht="15" customHeight="1">
      <c r="A1372" t="inlineStr">
        <is>
          <t>A 68191-2020</t>
        </is>
      </c>
      <c r="B1372" s="1" t="n">
        <v>44183</v>
      </c>
      <c r="C1372" s="1" t="n">
        <v>45724</v>
      </c>
      <c r="D1372" t="inlineStr">
        <is>
          <t>VÄSTMANLANDS LÄN</t>
        </is>
      </c>
      <c r="E1372" t="inlineStr">
        <is>
          <t>VÄSTERÅS</t>
        </is>
      </c>
      <c r="G1372" t="n">
        <v>19.4</v>
      </c>
      <c r="H1372" t="n">
        <v>0</v>
      </c>
      <c r="I1372" t="n">
        <v>0</v>
      </c>
      <c r="J1372" t="n">
        <v>0</v>
      </c>
      <c r="K1372" t="n">
        <v>0</v>
      </c>
      <c r="L1372" t="n">
        <v>0</v>
      </c>
      <c r="M1372" t="n">
        <v>0</v>
      </c>
      <c r="N1372" t="n">
        <v>0</v>
      </c>
      <c r="O1372" t="n">
        <v>0</v>
      </c>
      <c r="P1372" t="n">
        <v>0</v>
      </c>
      <c r="Q1372" t="n">
        <v>0</v>
      </c>
      <c r="R1372" s="2" t="inlineStr"/>
    </row>
    <row r="1373" ht="15" customHeight="1">
      <c r="A1373" t="inlineStr">
        <is>
          <t>A 68513-2020</t>
        </is>
      </c>
      <c r="B1373" s="1" t="n">
        <v>44186</v>
      </c>
      <c r="C1373" s="1" t="n">
        <v>45724</v>
      </c>
      <c r="D1373" t="inlineStr">
        <is>
          <t>VÄSTMANLANDS LÄN</t>
        </is>
      </c>
      <c r="E1373" t="inlineStr">
        <is>
          <t>KÖPING</t>
        </is>
      </c>
      <c r="F1373" t="inlineStr">
        <is>
          <t>Sveaskog</t>
        </is>
      </c>
      <c r="G1373" t="n">
        <v>0.1</v>
      </c>
      <c r="H1373" t="n">
        <v>0</v>
      </c>
      <c r="I1373" t="n">
        <v>0</v>
      </c>
      <c r="J1373" t="n">
        <v>0</v>
      </c>
      <c r="K1373" t="n">
        <v>0</v>
      </c>
      <c r="L1373" t="n">
        <v>0</v>
      </c>
      <c r="M1373" t="n">
        <v>0</v>
      </c>
      <c r="N1373" t="n">
        <v>0</v>
      </c>
      <c r="O1373" t="n">
        <v>0</v>
      </c>
      <c r="P1373" t="n">
        <v>0</v>
      </c>
      <c r="Q1373" t="n">
        <v>0</v>
      </c>
      <c r="R1373" s="2" t="inlineStr"/>
    </row>
    <row r="1374" ht="15" customHeight="1">
      <c r="A1374" t="inlineStr">
        <is>
          <t>A 68531-2020</t>
        </is>
      </c>
      <c r="B1374" s="1" t="n">
        <v>44186</v>
      </c>
      <c r="C1374" s="1" t="n">
        <v>45724</v>
      </c>
      <c r="D1374" t="inlineStr">
        <is>
          <t>VÄSTMANLANDS LÄN</t>
        </is>
      </c>
      <c r="E1374" t="inlineStr">
        <is>
          <t>KÖPING</t>
        </is>
      </c>
      <c r="F1374" t="inlineStr">
        <is>
          <t>Sveaskog</t>
        </is>
      </c>
      <c r="G1374" t="n">
        <v>2.1</v>
      </c>
      <c r="H1374" t="n">
        <v>0</v>
      </c>
      <c r="I1374" t="n">
        <v>0</v>
      </c>
      <c r="J1374" t="n">
        <v>0</v>
      </c>
      <c r="K1374" t="n">
        <v>0</v>
      </c>
      <c r="L1374" t="n">
        <v>0</v>
      </c>
      <c r="M1374" t="n">
        <v>0</v>
      </c>
      <c r="N1374" t="n">
        <v>0</v>
      </c>
      <c r="O1374" t="n">
        <v>0</v>
      </c>
      <c r="P1374" t="n">
        <v>0</v>
      </c>
      <c r="Q1374" t="n">
        <v>0</v>
      </c>
      <c r="R1374" s="2" t="inlineStr"/>
    </row>
    <row r="1375" ht="15" customHeight="1">
      <c r="A1375" t="inlineStr">
        <is>
          <t>A 68824-2020</t>
        </is>
      </c>
      <c r="B1375" s="1" t="n">
        <v>44186</v>
      </c>
      <c r="C1375" s="1" t="n">
        <v>45724</v>
      </c>
      <c r="D1375" t="inlineStr">
        <is>
          <t>VÄSTMANLANDS LÄN</t>
        </is>
      </c>
      <c r="E1375" t="inlineStr">
        <is>
          <t>SKINNSKATTEBERG</t>
        </is>
      </c>
      <c r="G1375" t="n">
        <v>5.7</v>
      </c>
      <c r="H1375" t="n">
        <v>0</v>
      </c>
      <c r="I1375" t="n">
        <v>0</v>
      </c>
      <c r="J1375" t="n">
        <v>0</v>
      </c>
      <c r="K1375" t="n">
        <v>0</v>
      </c>
      <c r="L1375" t="n">
        <v>0</v>
      </c>
      <c r="M1375" t="n">
        <v>0</v>
      </c>
      <c r="N1375" t="n">
        <v>0</v>
      </c>
      <c r="O1375" t="n">
        <v>0</v>
      </c>
      <c r="P1375" t="n">
        <v>0</v>
      </c>
      <c r="Q1375" t="n">
        <v>0</v>
      </c>
      <c r="R1375" s="2" t="inlineStr"/>
    </row>
    <row r="1376" ht="15" customHeight="1">
      <c r="A1376" t="inlineStr">
        <is>
          <t>A 68934-2020</t>
        </is>
      </c>
      <c r="B1376" s="1" t="n">
        <v>44187</v>
      </c>
      <c r="C1376" s="1" t="n">
        <v>45724</v>
      </c>
      <c r="D1376" t="inlineStr">
        <is>
          <t>VÄSTMANLANDS LÄN</t>
        </is>
      </c>
      <c r="E1376" t="inlineStr">
        <is>
          <t>VÄSTERÅS</t>
        </is>
      </c>
      <c r="G1376" t="n">
        <v>1.3</v>
      </c>
      <c r="H1376" t="n">
        <v>0</v>
      </c>
      <c r="I1376" t="n">
        <v>0</v>
      </c>
      <c r="J1376" t="n">
        <v>0</v>
      </c>
      <c r="K1376" t="n">
        <v>0</v>
      </c>
      <c r="L1376" t="n">
        <v>0</v>
      </c>
      <c r="M1376" t="n">
        <v>0</v>
      </c>
      <c r="N1376" t="n">
        <v>0</v>
      </c>
      <c r="O1376" t="n">
        <v>0</v>
      </c>
      <c r="P1376" t="n">
        <v>0</v>
      </c>
      <c r="Q1376" t="n">
        <v>0</v>
      </c>
      <c r="R1376" s="2" t="inlineStr"/>
    </row>
    <row r="1377" ht="15" customHeight="1">
      <c r="A1377" t="inlineStr">
        <is>
          <t>A 69194-2020</t>
        </is>
      </c>
      <c r="B1377" s="1" t="n">
        <v>44191</v>
      </c>
      <c r="C1377" s="1" t="n">
        <v>45724</v>
      </c>
      <c r="D1377" t="inlineStr">
        <is>
          <t>VÄSTMANLANDS LÄN</t>
        </is>
      </c>
      <c r="E1377" t="inlineStr">
        <is>
          <t>SALA</t>
        </is>
      </c>
      <c r="G1377" t="n">
        <v>0.4</v>
      </c>
      <c r="H1377" t="n">
        <v>0</v>
      </c>
      <c r="I1377" t="n">
        <v>0</v>
      </c>
      <c r="J1377" t="n">
        <v>0</v>
      </c>
      <c r="K1377" t="n">
        <v>0</v>
      </c>
      <c r="L1377" t="n">
        <v>0</v>
      </c>
      <c r="M1377" t="n">
        <v>0</v>
      </c>
      <c r="N1377" t="n">
        <v>0</v>
      </c>
      <c r="O1377" t="n">
        <v>0</v>
      </c>
      <c r="P1377" t="n">
        <v>0</v>
      </c>
      <c r="Q1377" t="n">
        <v>0</v>
      </c>
      <c r="R1377" s="2" t="inlineStr"/>
    </row>
    <row r="1378" ht="15" customHeight="1">
      <c r="A1378" t="inlineStr">
        <is>
          <t>A 69192-2020</t>
        </is>
      </c>
      <c r="B1378" s="1" t="n">
        <v>44191</v>
      </c>
      <c r="C1378" s="1" t="n">
        <v>45724</v>
      </c>
      <c r="D1378" t="inlineStr">
        <is>
          <t>VÄSTMANLANDS LÄN</t>
        </is>
      </c>
      <c r="E1378" t="inlineStr">
        <is>
          <t>SALA</t>
        </is>
      </c>
      <c r="G1378" t="n">
        <v>0.8</v>
      </c>
      <c r="H1378" t="n">
        <v>0</v>
      </c>
      <c r="I1378" t="n">
        <v>0</v>
      </c>
      <c r="J1378" t="n">
        <v>0</v>
      </c>
      <c r="K1378" t="n">
        <v>0</v>
      </c>
      <c r="L1378" t="n">
        <v>0</v>
      </c>
      <c r="M1378" t="n">
        <v>0</v>
      </c>
      <c r="N1378" t="n">
        <v>0</v>
      </c>
      <c r="O1378" t="n">
        <v>0</v>
      </c>
      <c r="P1378" t="n">
        <v>0</v>
      </c>
      <c r="Q1378" t="n">
        <v>0</v>
      </c>
      <c r="R1378" s="2" t="inlineStr"/>
    </row>
    <row r="1379" ht="15" customHeight="1">
      <c r="A1379" t="inlineStr">
        <is>
          <t>A 69195-2020</t>
        </is>
      </c>
      <c r="B1379" s="1" t="n">
        <v>44191</v>
      </c>
      <c r="C1379" s="1" t="n">
        <v>45724</v>
      </c>
      <c r="D1379" t="inlineStr">
        <is>
          <t>VÄSTMANLANDS LÄN</t>
        </is>
      </c>
      <c r="E1379" t="inlineStr">
        <is>
          <t>SALA</t>
        </is>
      </c>
      <c r="G1379" t="n">
        <v>1</v>
      </c>
      <c r="H1379" t="n">
        <v>0</v>
      </c>
      <c r="I1379" t="n">
        <v>0</v>
      </c>
      <c r="J1379" t="n">
        <v>0</v>
      </c>
      <c r="K1379" t="n">
        <v>0</v>
      </c>
      <c r="L1379" t="n">
        <v>0</v>
      </c>
      <c r="M1379" t="n">
        <v>0</v>
      </c>
      <c r="N1379" t="n">
        <v>0</v>
      </c>
      <c r="O1379" t="n">
        <v>0</v>
      </c>
      <c r="P1379" t="n">
        <v>0</v>
      </c>
      <c r="Q1379" t="n">
        <v>0</v>
      </c>
      <c r="R1379" s="2" t="inlineStr"/>
    </row>
    <row r="1380" ht="15" customHeight="1">
      <c r="A1380" t="inlineStr">
        <is>
          <t>A 69319-2020</t>
        </is>
      </c>
      <c r="B1380" s="1" t="n">
        <v>44193</v>
      </c>
      <c r="C1380" s="1" t="n">
        <v>45724</v>
      </c>
      <c r="D1380" t="inlineStr">
        <is>
          <t>VÄSTMANLANDS LÄN</t>
        </is>
      </c>
      <c r="E1380" t="inlineStr">
        <is>
          <t>SALA</t>
        </is>
      </c>
      <c r="G1380" t="n">
        <v>0.9</v>
      </c>
      <c r="H1380" t="n">
        <v>0</v>
      </c>
      <c r="I1380" t="n">
        <v>0</v>
      </c>
      <c r="J1380" t="n">
        <v>0</v>
      </c>
      <c r="K1380" t="n">
        <v>0</v>
      </c>
      <c r="L1380" t="n">
        <v>0</v>
      </c>
      <c r="M1380" t="n">
        <v>0</v>
      </c>
      <c r="N1380" t="n">
        <v>0</v>
      </c>
      <c r="O1380" t="n">
        <v>0</v>
      </c>
      <c r="P1380" t="n">
        <v>0</v>
      </c>
      <c r="Q1380" t="n">
        <v>0</v>
      </c>
      <c r="R1380" s="2" t="inlineStr"/>
    </row>
    <row r="1381" ht="15" customHeight="1">
      <c r="A1381" t="inlineStr">
        <is>
          <t>A 69318-2020</t>
        </is>
      </c>
      <c r="B1381" s="1" t="n">
        <v>44193</v>
      </c>
      <c r="C1381" s="1" t="n">
        <v>45724</v>
      </c>
      <c r="D1381" t="inlineStr">
        <is>
          <t>VÄSTMANLANDS LÄN</t>
        </is>
      </c>
      <c r="E1381" t="inlineStr">
        <is>
          <t>SALA</t>
        </is>
      </c>
      <c r="G1381" t="n">
        <v>2.2</v>
      </c>
      <c r="H1381" t="n">
        <v>0</v>
      </c>
      <c r="I1381" t="n">
        <v>0</v>
      </c>
      <c r="J1381" t="n">
        <v>0</v>
      </c>
      <c r="K1381" t="n">
        <v>0</v>
      </c>
      <c r="L1381" t="n">
        <v>0</v>
      </c>
      <c r="M1381" t="n">
        <v>0</v>
      </c>
      <c r="N1381" t="n">
        <v>0</v>
      </c>
      <c r="O1381" t="n">
        <v>0</v>
      </c>
      <c r="P1381" t="n">
        <v>0</v>
      </c>
      <c r="Q1381" t="n">
        <v>0</v>
      </c>
      <c r="R1381" s="2" t="inlineStr"/>
    </row>
    <row r="1382" ht="15" customHeight="1">
      <c r="A1382" t="inlineStr">
        <is>
          <t>A 69514-2020</t>
        </is>
      </c>
      <c r="B1382" s="1" t="n">
        <v>44193</v>
      </c>
      <c r="C1382" s="1" t="n">
        <v>45724</v>
      </c>
      <c r="D1382" t="inlineStr">
        <is>
          <t>VÄSTMANLANDS LÄN</t>
        </is>
      </c>
      <c r="E1382" t="inlineStr">
        <is>
          <t>NORBERG</t>
        </is>
      </c>
      <c r="G1382" t="n">
        <v>2.7</v>
      </c>
      <c r="H1382" t="n">
        <v>0</v>
      </c>
      <c r="I1382" t="n">
        <v>0</v>
      </c>
      <c r="J1382" t="n">
        <v>0</v>
      </c>
      <c r="K1382" t="n">
        <v>0</v>
      </c>
      <c r="L1382" t="n">
        <v>0</v>
      </c>
      <c r="M1382" t="n">
        <v>0</v>
      </c>
      <c r="N1382" t="n">
        <v>0</v>
      </c>
      <c r="O1382" t="n">
        <v>0</v>
      </c>
      <c r="P1382" t="n">
        <v>0</v>
      </c>
      <c r="Q1382" t="n">
        <v>0</v>
      </c>
      <c r="R1382" s="2" t="inlineStr"/>
    </row>
    <row r="1383" ht="15" customHeight="1">
      <c r="A1383" t="inlineStr">
        <is>
          <t>A 69450-2020</t>
        </is>
      </c>
      <c r="B1383" s="1" t="n">
        <v>44194</v>
      </c>
      <c r="C1383" s="1" t="n">
        <v>45724</v>
      </c>
      <c r="D1383" t="inlineStr">
        <is>
          <t>VÄSTMANLANDS LÄN</t>
        </is>
      </c>
      <c r="E1383" t="inlineStr">
        <is>
          <t>NORBERG</t>
        </is>
      </c>
      <c r="F1383" t="inlineStr">
        <is>
          <t>Kyrkan</t>
        </is>
      </c>
      <c r="G1383" t="n">
        <v>5.3</v>
      </c>
      <c r="H1383" t="n">
        <v>0</v>
      </c>
      <c r="I1383" t="n">
        <v>0</v>
      </c>
      <c r="J1383" t="n">
        <v>0</v>
      </c>
      <c r="K1383" t="n">
        <v>0</v>
      </c>
      <c r="L1383" t="n">
        <v>0</v>
      </c>
      <c r="M1383" t="n">
        <v>0</v>
      </c>
      <c r="N1383" t="n">
        <v>0</v>
      </c>
      <c r="O1383" t="n">
        <v>0</v>
      </c>
      <c r="P1383" t="n">
        <v>0</v>
      </c>
      <c r="Q1383" t="n">
        <v>0</v>
      </c>
      <c r="R1383" s="2" t="inlineStr"/>
    </row>
    <row r="1384" ht="15" customHeight="1">
      <c r="A1384" t="inlineStr">
        <is>
          <t>A 69590-2020</t>
        </is>
      </c>
      <c r="B1384" s="1" t="n">
        <v>44194</v>
      </c>
      <c r="C1384" s="1" t="n">
        <v>45724</v>
      </c>
      <c r="D1384" t="inlineStr">
        <is>
          <t>VÄSTMANLANDS LÄN</t>
        </is>
      </c>
      <c r="E1384" t="inlineStr">
        <is>
          <t>NORBERG</t>
        </is>
      </c>
      <c r="F1384" t="inlineStr">
        <is>
          <t>Kyrkan</t>
        </is>
      </c>
      <c r="G1384" t="n">
        <v>3.1</v>
      </c>
      <c r="H1384" t="n">
        <v>0</v>
      </c>
      <c r="I1384" t="n">
        <v>0</v>
      </c>
      <c r="J1384" t="n">
        <v>0</v>
      </c>
      <c r="K1384" t="n">
        <v>0</v>
      </c>
      <c r="L1384" t="n">
        <v>0</v>
      </c>
      <c r="M1384" t="n">
        <v>0</v>
      </c>
      <c r="N1384" t="n">
        <v>0</v>
      </c>
      <c r="O1384" t="n">
        <v>0</v>
      </c>
      <c r="P1384" t="n">
        <v>0</v>
      </c>
      <c r="Q1384" t="n">
        <v>0</v>
      </c>
      <c r="R1384" s="2" t="inlineStr"/>
    </row>
    <row r="1385" ht="15" customHeight="1">
      <c r="A1385" t="inlineStr">
        <is>
          <t>A 69631-2020</t>
        </is>
      </c>
      <c r="B1385" s="1" t="n">
        <v>44195</v>
      </c>
      <c r="C1385" s="1" t="n">
        <v>45724</v>
      </c>
      <c r="D1385" t="inlineStr">
        <is>
          <t>VÄSTMANLANDS LÄN</t>
        </is>
      </c>
      <c r="E1385" t="inlineStr">
        <is>
          <t>VÄSTERÅS</t>
        </is>
      </c>
      <c r="G1385" t="n">
        <v>2.7</v>
      </c>
      <c r="H1385" t="n">
        <v>0</v>
      </c>
      <c r="I1385" t="n">
        <v>0</v>
      </c>
      <c r="J1385" t="n">
        <v>0</v>
      </c>
      <c r="K1385" t="n">
        <v>0</v>
      </c>
      <c r="L1385" t="n">
        <v>0</v>
      </c>
      <c r="M1385" t="n">
        <v>0</v>
      </c>
      <c r="N1385" t="n">
        <v>0</v>
      </c>
      <c r="O1385" t="n">
        <v>0</v>
      </c>
      <c r="P1385" t="n">
        <v>0</v>
      </c>
      <c r="Q1385" t="n">
        <v>0</v>
      </c>
      <c r="R1385" s="2" t="inlineStr"/>
    </row>
    <row r="1386" ht="15" customHeight="1">
      <c r="A1386" t="inlineStr">
        <is>
          <t>A 11-2021</t>
        </is>
      </c>
      <c r="B1386" s="1" t="n">
        <v>44197</v>
      </c>
      <c r="C1386" s="1" t="n">
        <v>45724</v>
      </c>
      <c r="D1386" t="inlineStr">
        <is>
          <t>VÄSTMANLANDS LÄN</t>
        </is>
      </c>
      <c r="E1386" t="inlineStr">
        <is>
          <t>ARBOGA</t>
        </is>
      </c>
      <c r="G1386" t="n">
        <v>6.5</v>
      </c>
      <c r="H1386" t="n">
        <v>0</v>
      </c>
      <c r="I1386" t="n">
        <v>0</v>
      </c>
      <c r="J1386" t="n">
        <v>0</v>
      </c>
      <c r="K1386" t="n">
        <v>0</v>
      </c>
      <c r="L1386" t="n">
        <v>0</v>
      </c>
      <c r="M1386" t="n">
        <v>0</v>
      </c>
      <c r="N1386" t="n">
        <v>0</v>
      </c>
      <c r="O1386" t="n">
        <v>0</v>
      </c>
      <c r="P1386" t="n">
        <v>0</v>
      </c>
      <c r="Q1386" t="n">
        <v>0</v>
      </c>
      <c r="R1386" s="2" t="inlineStr"/>
    </row>
    <row r="1387" ht="15" customHeight="1">
      <c r="A1387" t="inlineStr">
        <is>
          <t>A 238-2021</t>
        </is>
      </c>
      <c r="B1387" s="1" t="n">
        <v>44200</v>
      </c>
      <c r="C1387" s="1" t="n">
        <v>45724</v>
      </c>
      <c r="D1387" t="inlineStr">
        <is>
          <t>VÄSTMANLANDS LÄN</t>
        </is>
      </c>
      <c r="E1387" t="inlineStr">
        <is>
          <t>SKINNSKATTEBERG</t>
        </is>
      </c>
      <c r="F1387" t="inlineStr">
        <is>
          <t>Sveaskog</t>
        </is>
      </c>
      <c r="G1387" t="n">
        <v>2.7</v>
      </c>
      <c r="H1387" t="n">
        <v>0</v>
      </c>
      <c r="I1387" t="n">
        <v>0</v>
      </c>
      <c r="J1387" t="n">
        <v>0</v>
      </c>
      <c r="K1387" t="n">
        <v>0</v>
      </c>
      <c r="L1387" t="n">
        <v>0</v>
      </c>
      <c r="M1387" t="n">
        <v>0</v>
      </c>
      <c r="N1387" t="n">
        <v>0</v>
      </c>
      <c r="O1387" t="n">
        <v>0</v>
      </c>
      <c r="P1387" t="n">
        <v>0</v>
      </c>
      <c r="Q1387" t="n">
        <v>0</v>
      </c>
      <c r="R1387" s="2" t="inlineStr"/>
    </row>
    <row r="1388" ht="15" customHeight="1">
      <c r="A1388" t="inlineStr">
        <is>
          <t>A 263-2021</t>
        </is>
      </c>
      <c r="B1388" s="1" t="n">
        <v>44200</v>
      </c>
      <c r="C1388" s="1" t="n">
        <v>45724</v>
      </c>
      <c r="D1388" t="inlineStr">
        <is>
          <t>VÄSTMANLANDS LÄN</t>
        </is>
      </c>
      <c r="E1388" t="inlineStr">
        <is>
          <t>KÖPING</t>
        </is>
      </c>
      <c r="F1388" t="inlineStr">
        <is>
          <t>Sveaskog</t>
        </is>
      </c>
      <c r="G1388" t="n">
        <v>1.1</v>
      </c>
      <c r="H1388" t="n">
        <v>0</v>
      </c>
      <c r="I1388" t="n">
        <v>0</v>
      </c>
      <c r="J1388" t="n">
        <v>0</v>
      </c>
      <c r="K1388" t="n">
        <v>0</v>
      </c>
      <c r="L1388" t="n">
        <v>0</v>
      </c>
      <c r="M1388" t="n">
        <v>0</v>
      </c>
      <c r="N1388" t="n">
        <v>0</v>
      </c>
      <c r="O1388" t="n">
        <v>0</v>
      </c>
      <c r="P1388" t="n">
        <v>0</v>
      </c>
      <c r="Q1388" t="n">
        <v>0</v>
      </c>
      <c r="R1388" s="2" t="inlineStr"/>
    </row>
    <row r="1389" ht="15" customHeight="1">
      <c r="A1389" t="inlineStr">
        <is>
          <t>A 503-2021</t>
        </is>
      </c>
      <c r="B1389" s="1" t="n">
        <v>44203</v>
      </c>
      <c r="C1389" s="1" t="n">
        <v>45724</v>
      </c>
      <c r="D1389" t="inlineStr">
        <is>
          <t>VÄSTMANLANDS LÄN</t>
        </is>
      </c>
      <c r="E1389" t="inlineStr">
        <is>
          <t>ARBOGA</t>
        </is>
      </c>
      <c r="G1389" t="n">
        <v>14.6</v>
      </c>
      <c r="H1389" t="n">
        <v>0</v>
      </c>
      <c r="I1389" t="n">
        <v>0</v>
      </c>
      <c r="J1389" t="n">
        <v>0</v>
      </c>
      <c r="K1389" t="n">
        <v>0</v>
      </c>
      <c r="L1389" t="n">
        <v>0</v>
      </c>
      <c r="M1389" t="n">
        <v>0</v>
      </c>
      <c r="N1389" t="n">
        <v>0</v>
      </c>
      <c r="O1389" t="n">
        <v>0</v>
      </c>
      <c r="P1389" t="n">
        <v>0</v>
      </c>
      <c r="Q1389" t="n">
        <v>0</v>
      </c>
      <c r="R1389" s="2" t="inlineStr"/>
    </row>
    <row r="1390" ht="15" customHeight="1">
      <c r="A1390" t="inlineStr">
        <is>
          <t>A 509-2021</t>
        </is>
      </c>
      <c r="B1390" s="1" t="n">
        <v>44203</v>
      </c>
      <c r="C1390" s="1" t="n">
        <v>45724</v>
      </c>
      <c r="D1390" t="inlineStr">
        <is>
          <t>VÄSTMANLANDS LÄN</t>
        </is>
      </c>
      <c r="E1390" t="inlineStr">
        <is>
          <t>ARBOGA</t>
        </is>
      </c>
      <c r="G1390" t="n">
        <v>3.4</v>
      </c>
      <c r="H1390" t="n">
        <v>0</v>
      </c>
      <c r="I1390" t="n">
        <v>0</v>
      </c>
      <c r="J1390" t="n">
        <v>0</v>
      </c>
      <c r="K1390" t="n">
        <v>0</v>
      </c>
      <c r="L1390" t="n">
        <v>0</v>
      </c>
      <c r="M1390" t="n">
        <v>0</v>
      </c>
      <c r="N1390" t="n">
        <v>0</v>
      </c>
      <c r="O1390" t="n">
        <v>0</v>
      </c>
      <c r="P1390" t="n">
        <v>0</v>
      </c>
      <c r="Q1390" t="n">
        <v>0</v>
      </c>
      <c r="R1390" s="2" t="inlineStr"/>
    </row>
    <row r="1391" ht="15" customHeight="1">
      <c r="A1391" t="inlineStr">
        <is>
          <t>A 852-2021</t>
        </is>
      </c>
      <c r="B1391" s="1" t="n">
        <v>44204</v>
      </c>
      <c r="C1391" s="1" t="n">
        <v>45724</v>
      </c>
      <c r="D1391" t="inlineStr">
        <is>
          <t>VÄSTMANLANDS LÄN</t>
        </is>
      </c>
      <c r="E1391" t="inlineStr">
        <is>
          <t>SKINNSKATTEBERG</t>
        </is>
      </c>
      <c r="G1391" t="n">
        <v>1.3</v>
      </c>
      <c r="H1391" t="n">
        <v>0</v>
      </c>
      <c r="I1391" t="n">
        <v>0</v>
      </c>
      <c r="J1391" t="n">
        <v>0</v>
      </c>
      <c r="K1391" t="n">
        <v>0</v>
      </c>
      <c r="L1391" t="n">
        <v>0</v>
      </c>
      <c r="M1391" t="n">
        <v>0</v>
      </c>
      <c r="N1391" t="n">
        <v>0</v>
      </c>
      <c r="O1391" t="n">
        <v>0</v>
      </c>
      <c r="P1391" t="n">
        <v>0</v>
      </c>
      <c r="Q1391" t="n">
        <v>0</v>
      </c>
      <c r="R1391" s="2" t="inlineStr"/>
    </row>
    <row r="1392" ht="15" customHeight="1">
      <c r="A1392" t="inlineStr">
        <is>
          <t>A 1492-2021</t>
        </is>
      </c>
      <c r="B1392" s="1" t="n">
        <v>44209</v>
      </c>
      <c r="C1392" s="1" t="n">
        <v>45724</v>
      </c>
      <c r="D1392" t="inlineStr">
        <is>
          <t>VÄSTMANLANDS LÄN</t>
        </is>
      </c>
      <c r="E1392" t="inlineStr">
        <is>
          <t>SURAHAMMAR</t>
        </is>
      </c>
      <c r="G1392" t="n">
        <v>1.2</v>
      </c>
      <c r="H1392" t="n">
        <v>0</v>
      </c>
      <c r="I1392" t="n">
        <v>0</v>
      </c>
      <c r="J1392" t="n">
        <v>0</v>
      </c>
      <c r="K1392" t="n">
        <v>0</v>
      </c>
      <c r="L1392" t="n">
        <v>0</v>
      </c>
      <c r="M1392" t="n">
        <v>0</v>
      </c>
      <c r="N1392" t="n">
        <v>0</v>
      </c>
      <c r="O1392" t="n">
        <v>0</v>
      </c>
      <c r="P1392" t="n">
        <v>0</v>
      </c>
      <c r="Q1392" t="n">
        <v>0</v>
      </c>
      <c r="R1392" s="2" t="inlineStr"/>
    </row>
    <row r="1393" ht="15" customHeight="1">
      <c r="A1393" t="inlineStr">
        <is>
          <t>A 1599-2021</t>
        </is>
      </c>
      <c r="B1393" s="1" t="n">
        <v>44209</v>
      </c>
      <c r="C1393" s="1" t="n">
        <v>45724</v>
      </c>
      <c r="D1393" t="inlineStr">
        <is>
          <t>VÄSTMANLANDS LÄN</t>
        </is>
      </c>
      <c r="E1393" t="inlineStr">
        <is>
          <t>SALA</t>
        </is>
      </c>
      <c r="G1393" t="n">
        <v>9.6</v>
      </c>
      <c r="H1393" t="n">
        <v>0</v>
      </c>
      <c r="I1393" t="n">
        <v>0</v>
      </c>
      <c r="J1393" t="n">
        <v>0</v>
      </c>
      <c r="K1393" t="n">
        <v>0</v>
      </c>
      <c r="L1393" t="n">
        <v>0</v>
      </c>
      <c r="M1393" t="n">
        <v>0</v>
      </c>
      <c r="N1393" t="n">
        <v>0</v>
      </c>
      <c r="O1393" t="n">
        <v>0</v>
      </c>
      <c r="P1393" t="n">
        <v>0</v>
      </c>
      <c r="Q1393" t="n">
        <v>0</v>
      </c>
      <c r="R1393" s="2" t="inlineStr"/>
      <c r="U1393">
        <f>HYPERLINK("https://klasma.github.io/Logging_1981/knärot/A 1599-2021 karta knärot.png", "A 1599-2021")</f>
        <v/>
      </c>
      <c r="V1393">
        <f>HYPERLINK("https://klasma.github.io/Logging_1981/klagomål/A 1599-2021 FSC-klagomål.docx", "A 1599-2021")</f>
        <v/>
      </c>
      <c r="W1393">
        <f>HYPERLINK("https://klasma.github.io/Logging_1981/klagomålsmail/A 1599-2021 FSC-klagomål mail.docx", "A 1599-2021")</f>
        <v/>
      </c>
      <c r="X1393">
        <f>HYPERLINK("https://klasma.github.io/Logging_1981/tillsyn/A 1599-2021 tillsynsbegäran.docx", "A 1599-2021")</f>
        <v/>
      </c>
      <c r="Y1393">
        <f>HYPERLINK("https://klasma.github.io/Logging_1981/tillsynsmail/A 1599-2021 tillsynsbegäran mail.docx", "A 1599-2021")</f>
        <v/>
      </c>
    </row>
    <row r="1394" ht="15" customHeight="1">
      <c r="A1394" t="inlineStr">
        <is>
          <t>A 1527-2021</t>
        </is>
      </c>
      <c r="B1394" s="1" t="n">
        <v>44209</v>
      </c>
      <c r="C1394" s="1" t="n">
        <v>45724</v>
      </c>
      <c r="D1394" t="inlineStr">
        <is>
          <t>VÄSTMANLANDS LÄN</t>
        </is>
      </c>
      <c r="E1394" t="inlineStr">
        <is>
          <t>VÄSTERÅS</t>
        </is>
      </c>
      <c r="G1394" t="n">
        <v>2.7</v>
      </c>
      <c r="H1394" t="n">
        <v>0</v>
      </c>
      <c r="I1394" t="n">
        <v>0</v>
      </c>
      <c r="J1394" t="n">
        <v>0</v>
      </c>
      <c r="K1394" t="n">
        <v>0</v>
      </c>
      <c r="L1394" t="n">
        <v>0</v>
      </c>
      <c r="M1394" t="n">
        <v>0</v>
      </c>
      <c r="N1394" t="n">
        <v>0</v>
      </c>
      <c r="O1394" t="n">
        <v>0</v>
      </c>
      <c r="P1394" t="n">
        <v>0</v>
      </c>
      <c r="Q1394" t="n">
        <v>0</v>
      </c>
      <c r="R1394" s="2" t="inlineStr"/>
    </row>
    <row r="1395" ht="15" customHeight="1">
      <c r="A1395" t="inlineStr">
        <is>
          <t>A 2443-2021</t>
        </is>
      </c>
      <c r="B1395" s="1" t="n">
        <v>44214</v>
      </c>
      <c r="C1395" s="1" t="n">
        <v>45724</v>
      </c>
      <c r="D1395" t="inlineStr">
        <is>
          <t>VÄSTMANLANDS LÄN</t>
        </is>
      </c>
      <c r="E1395" t="inlineStr">
        <is>
          <t>SALA</t>
        </is>
      </c>
      <c r="F1395" t="inlineStr">
        <is>
          <t>Kyrkan</t>
        </is>
      </c>
      <c r="G1395" t="n">
        <v>1</v>
      </c>
      <c r="H1395" t="n">
        <v>0</v>
      </c>
      <c r="I1395" t="n">
        <v>0</v>
      </c>
      <c r="J1395" t="n">
        <v>0</v>
      </c>
      <c r="K1395" t="n">
        <v>0</v>
      </c>
      <c r="L1395" t="n">
        <v>0</v>
      </c>
      <c r="M1395" t="n">
        <v>0</v>
      </c>
      <c r="N1395" t="n">
        <v>0</v>
      </c>
      <c r="O1395" t="n">
        <v>0</v>
      </c>
      <c r="P1395" t="n">
        <v>0</v>
      </c>
      <c r="Q1395" t="n">
        <v>0</v>
      </c>
      <c r="R1395" s="2" t="inlineStr"/>
    </row>
    <row r="1396" ht="15" customHeight="1">
      <c r="A1396" t="inlineStr">
        <is>
          <t>A 3223-2021</t>
        </is>
      </c>
      <c r="B1396" s="1" t="n">
        <v>44217</v>
      </c>
      <c r="C1396" s="1" t="n">
        <v>45724</v>
      </c>
      <c r="D1396" t="inlineStr">
        <is>
          <t>VÄSTMANLANDS LÄN</t>
        </is>
      </c>
      <c r="E1396" t="inlineStr">
        <is>
          <t>KUNGSÖR</t>
        </is>
      </c>
      <c r="G1396" t="n">
        <v>2.3</v>
      </c>
      <c r="H1396" t="n">
        <v>0</v>
      </c>
      <c r="I1396" t="n">
        <v>0</v>
      </c>
      <c r="J1396" t="n">
        <v>0</v>
      </c>
      <c r="K1396" t="n">
        <v>0</v>
      </c>
      <c r="L1396" t="n">
        <v>0</v>
      </c>
      <c r="M1396" t="n">
        <v>0</v>
      </c>
      <c r="N1396" t="n">
        <v>0</v>
      </c>
      <c r="O1396" t="n">
        <v>0</v>
      </c>
      <c r="P1396" t="n">
        <v>0</v>
      </c>
      <c r="Q1396" t="n">
        <v>0</v>
      </c>
      <c r="R1396" s="2" t="inlineStr"/>
    </row>
    <row r="1397" ht="15" customHeight="1">
      <c r="A1397" t="inlineStr">
        <is>
          <t>A 3170-2021</t>
        </is>
      </c>
      <c r="B1397" s="1" t="n">
        <v>44217</v>
      </c>
      <c r="C1397" s="1" t="n">
        <v>45724</v>
      </c>
      <c r="D1397" t="inlineStr">
        <is>
          <t>VÄSTMANLANDS LÄN</t>
        </is>
      </c>
      <c r="E1397" t="inlineStr">
        <is>
          <t>HALLSTAHAMMAR</t>
        </is>
      </c>
      <c r="G1397" t="n">
        <v>1.1</v>
      </c>
      <c r="H1397" t="n">
        <v>0</v>
      </c>
      <c r="I1397" t="n">
        <v>0</v>
      </c>
      <c r="J1397" t="n">
        <v>0</v>
      </c>
      <c r="K1397" t="n">
        <v>0</v>
      </c>
      <c r="L1397" t="n">
        <v>0</v>
      </c>
      <c r="M1397" t="n">
        <v>0</v>
      </c>
      <c r="N1397" t="n">
        <v>0</v>
      </c>
      <c r="O1397" t="n">
        <v>0</v>
      </c>
      <c r="P1397" t="n">
        <v>0</v>
      </c>
      <c r="Q1397" t="n">
        <v>0</v>
      </c>
      <c r="R1397" s="2" t="inlineStr"/>
    </row>
    <row r="1398" ht="15" customHeight="1">
      <c r="A1398" t="inlineStr">
        <is>
          <t>A 3187-2021</t>
        </is>
      </c>
      <c r="B1398" s="1" t="n">
        <v>44217</v>
      </c>
      <c r="C1398" s="1" t="n">
        <v>45724</v>
      </c>
      <c r="D1398" t="inlineStr">
        <is>
          <t>VÄSTMANLANDS LÄN</t>
        </is>
      </c>
      <c r="E1398" t="inlineStr">
        <is>
          <t>HALLSTAHAMMAR</t>
        </is>
      </c>
      <c r="G1398" t="n">
        <v>0.8</v>
      </c>
      <c r="H1398" t="n">
        <v>0</v>
      </c>
      <c r="I1398" t="n">
        <v>0</v>
      </c>
      <c r="J1398" t="n">
        <v>0</v>
      </c>
      <c r="K1398" t="n">
        <v>0</v>
      </c>
      <c r="L1398" t="n">
        <v>0</v>
      </c>
      <c r="M1398" t="n">
        <v>0</v>
      </c>
      <c r="N1398" t="n">
        <v>0</v>
      </c>
      <c r="O1398" t="n">
        <v>0</v>
      </c>
      <c r="P1398" t="n">
        <v>0</v>
      </c>
      <c r="Q1398" t="n">
        <v>0</v>
      </c>
      <c r="R1398" s="2" t="inlineStr"/>
    </row>
    <row r="1399" ht="15" customHeight="1">
      <c r="A1399" t="inlineStr">
        <is>
          <t>A 3906-2021</t>
        </is>
      </c>
      <c r="B1399" s="1" t="n">
        <v>44217</v>
      </c>
      <c r="C1399" s="1" t="n">
        <v>45724</v>
      </c>
      <c r="D1399" t="inlineStr">
        <is>
          <t>VÄSTMANLANDS LÄN</t>
        </is>
      </c>
      <c r="E1399" t="inlineStr">
        <is>
          <t>VÄSTERÅS</t>
        </is>
      </c>
      <c r="G1399" t="n">
        <v>8.1</v>
      </c>
      <c r="H1399" t="n">
        <v>0</v>
      </c>
      <c r="I1399" t="n">
        <v>0</v>
      </c>
      <c r="J1399" t="n">
        <v>0</v>
      </c>
      <c r="K1399" t="n">
        <v>0</v>
      </c>
      <c r="L1399" t="n">
        <v>0</v>
      </c>
      <c r="M1399" t="n">
        <v>0</v>
      </c>
      <c r="N1399" t="n">
        <v>0</v>
      </c>
      <c r="O1399" t="n">
        <v>0</v>
      </c>
      <c r="P1399" t="n">
        <v>0</v>
      </c>
      <c r="Q1399" t="n">
        <v>0</v>
      </c>
      <c r="R1399" s="2" t="inlineStr"/>
    </row>
    <row r="1400" ht="15" customHeight="1">
      <c r="A1400" t="inlineStr">
        <is>
          <t>A 3901-2021</t>
        </is>
      </c>
      <c r="B1400" s="1" t="n">
        <v>44217</v>
      </c>
      <c r="C1400" s="1" t="n">
        <v>45724</v>
      </c>
      <c r="D1400" t="inlineStr">
        <is>
          <t>VÄSTMANLANDS LÄN</t>
        </is>
      </c>
      <c r="E1400" t="inlineStr">
        <is>
          <t>VÄSTERÅS</t>
        </is>
      </c>
      <c r="G1400" t="n">
        <v>7</v>
      </c>
      <c r="H1400" t="n">
        <v>0</v>
      </c>
      <c r="I1400" t="n">
        <v>0</v>
      </c>
      <c r="J1400" t="n">
        <v>0</v>
      </c>
      <c r="K1400" t="n">
        <v>0</v>
      </c>
      <c r="L1400" t="n">
        <v>0</v>
      </c>
      <c r="M1400" t="n">
        <v>0</v>
      </c>
      <c r="N1400" t="n">
        <v>0</v>
      </c>
      <c r="O1400" t="n">
        <v>0</v>
      </c>
      <c r="P1400" t="n">
        <v>0</v>
      </c>
      <c r="Q1400" t="n">
        <v>0</v>
      </c>
      <c r="R1400" s="2" t="inlineStr"/>
    </row>
    <row r="1401" ht="15" customHeight="1">
      <c r="A1401" t="inlineStr">
        <is>
          <t>A 3909-2021</t>
        </is>
      </c>
      <c r="B1401" s="1" t="n">
        <v>44217</v>
      </c>
      <c r="C1401" s="1" t="n">
        <v>45724</v>
      </c>
      <c r="D1401" t="inlineStr">
        <is>
          <t>VÄSTMANLANDS LÄN</t>
        </is>
      </c>
      <c r="E1401" t="inlineStr">
        <is>
          <t>VÄSTERÅS</t>
        </is>
      </c>
      <c r="G1401" t="n">
        <v>10.2</v>
      </c>
      <c r="H1401" t="n">
        <v>0</v>
      </c>
      <c r="I1401" t="n">
        <v>0</v>
      </c>
      <c r="J1401" t="n">
        <v>0</v>
      </c>
      <c r="K1401" t="n">
        <v>0</v>
      </c>
      <c r="L1401" t="n">
        <v>0</v>
      </c>
      <c r="M1401" t="n">
        <v>0</v>
      </c>
      <c r="N1401" t="n">
        <v>0</v>
      </c>
      <c r="O1401" t="n">
        <v>0</v>
      </c>
      <c r="P1401" t="n">
        <v>0</v>
      </c>
      <c r="Q1401" t="n">
        <v>0</v>
      </c>
      <c r="R1401" s="2" t="inlineStr"/>
    </row>
    <row r="1402" ht="15" customHeight="1">
      <c r="A1402" t="inlineStr">
        <is>
          <t>A 4183-2021</t>
        </is>
      </c>
      <c r="B1402" s="1" t="n">
        <v>44218</v>
      </c>
      <c r="C1402" s="1" t="n">
        <v>45724</v>
      </c>
      <c r="D1402" t="inlineStr">
        <is>
          <t>VÄSTMANLANDS LÄN</t>
        </is>
      </c>
      <c r="E1402" t="inlineStr">
        <is>
          <t>NORBERG</t>
        </is>
      </c>
      <c r="G1402" t="n">
        <v>1.8</v>
      </c>
      <c r="H1402" t="n">
        <v>0</v>
      </c>
      <c r="I1402" t="n">
        <v>0</v>
      </c>
      <c r="J1402" t="n">
        <v>0</v>
      </c>
      <c r="K1402" t="n">
        <v>0</v>
      </c>
      <c r="L1402" t="n">
        <v>0</v>
      </c>
      <c r="M1402" t="n">
        <v>0</v>
      </c>
      <c r="N1402" t="n">
        <v>0</v>
      </c>
      <c r="O1402" t="n">
        <v>0</v>
      </c>
      <c r="P1402" t="n">
        <v>0</v>
      </c>
      <c r="Q1402" t="n">
        <v>0</v>
      </c>
      <c r="R1402" s="2" t="inlineStr"/>
    </row>
    <row r="1403" ht="15" customHeight="1">
      <c r="A1403" t="inlineStr">
        <is>
          <t>A 4036-2021</t>
        </is>
      </c>
      <c r="B1403" s="1" t="n">
        <v>44222</v>
      </c>
      <c r="C1403" s="1" t="n">
        <v>45724</v>
      </c>
      <c r="D1403" t="inlineStr">
        <is>
          <t>VÄSTMANLANDS LÄN</t>
        </is>
      </c>
      <c r="E1403" t="inlineStr">
        <is>
          <t>ARBOGA</t>
        </is>
      </c>
      <c r="G1403" t="n">
        <v>21.5</v>
      </c>
      <c r="H1403" t="n">
        <v>0</v>
      </c>
      <c r="I1403" t="n">
        <v>0</v>
      </c>
      <c r="J1403" t="n">
        <v>0</v>
      </c>
      <c r="K1403" t="n">
        <v>0</v>
      </c>
      <c r="L1403" t="n">
        <v>0</v>
      </c>
      <c r="M1403" t="n">
        <v>0</v>
      </c>
      <c r="N1403" t="n">
        <v>0</v>
      </c>
      <c r="O1403" t="n">
        <v>0</v>
      </c>
      <c r="P1403" t="n">
        <v>0</v>
      </c>
      <c r="Q1403" t="n">
        <v>0</v>
      </c>
      <c r="R1403" s="2" t="inlineStr"/>
    </row>
    <row r="1404" ht="15" customHeight="1">
      <c r="A1404" t="inlineStr">
        <is>
          <t>A 4051-2021</t>
        </is>
      </c>
      <c r="B1404" s="1" t="n">
        <v>44222</v>
      </c>
      <c r="C1404" s="1" t="n">
        <v>45724</v>
      </c>
      <c r="D1404" t="inlineStr">
        <is>
          <t>VÄSTMANLANDS LÄN</t>
        </is>
      </c>
      <c r="E1404" t="inlineStr">
        <is>
          <t>ARBOGA</t>
        </is>
      </c>
      <c r="G1404" t="n">
        <v>2.6</v>
      </c>
      <c r="H1404" t="n">
        <v>0</v>
      </c>
      <c r="I1404" t="n">
        <v>0</v>
      </c>
      <c r="J1404" t="n">
        <v>0</v>
      </c>
      <c r="K1404" t="n">
        <v>0</v>
      </c>
      <c r="L1404" t="n">
        <v>0</v>
      </c>
      <c r="M1404" t="n">
        <v>0</v>
      </c>
      <c r="N1404" t="n">
        <v>0</v>
      </c>
      <c r="O1404" t="n">
        <v>0</v>
      </c>
      <c r="P1404" t="n">
        <v>0</v>
      </c>
      <c r="Q1404" t="n">
        <v>0</v>
      </c>
      <c r="R1404" s="2" t="inlineStr"/>
    </row>
    <row r="1405" ht="15" customHeight="1">
      <c r="A1405" t="inlineStr">
        <is>
          <t>A 4508-2021</t>
        </is>
      </c>
      <c r="B1405" s="1" t="n">
        <v>44224</v>
      </c>
      <c r="C1405" s="1" t="n">
        <v>45724</v>
      </c>
      <c r="D1405" t="inlineStr">
        <is>
          <t>VÄSTMANLANDS LÄN</t>
        </is>
      </c>
      <c r="E1405" t="inlineStr">
        <is>
          <t>KÖPING</t>
        </is>
      </c>
      <c r="G1405" t="n">
        <v>1.4</v>
      </c>
      <c r="H1405" t="n">
        <v>0</v>
      </c>
      <c r="I1405" t="n">
        <v>0</v>
      </c>
      <c r="J1405" t="n">
        <v>0</v>
      </c>
      <c r="K1405" t="n">
        <v>0</v>
      </c>
      <c r="L1405" t="n">
        <v>0</v>
      </c>
      <c r="M1405" t="n">
        <v>0</v>
      </c>
      <c r="N1405" t="n">
        <v>0</v>
      </c>
      <c r="O1405" t="n">
        <v>0</v>
      </c>
      <c r="P1405" t="n">
        <v>0</v>
      </c>
      <c r="Q1405" t="n">
        <v>0</v>
      </c>
      <c r="R1405" s="2" t="inlineStr"/>
    </row>
    <row r="1406" ht="15" customHeight="1">
      <c r="A1406" t="inlineStr">
        <is>
          <t>A 4471-2021</t>
        </is>
      </c>
      <c r="B1406" s="1" t="n">
        <v>44224</v>
      </c>
      <c r="C1406" s="1" t="n">
        <v>45724</v>
      </c>
      <c r="D1406" t="inlineStr">
        <is>
          <t>VÄSTMANLANDS LÄN</t>
        </is>
      </c>
      <c r="E1406" t="inlineStr">
        <is>
          <t>NORBERG</t>
        </is>
      </c>
      <c r="G1406" t="n">
        <v>0.7</v>
      </c>
      <c r="H1406" t="n">
        <v>0</v>
      </c>
      <c r="I1406" t="n">
        <v>0</v>
      </c>
      <c r="J1406" t="n">
        <v>0</v>
      </c>
      <c r="K1406" t="n">
        <v>0</v>
      </c>
      <c r="L1406" t="n">
        <v>0</v>
      </c>
      <c r="M1406" t="n">
        <v>0</v>
      </c>
      <c r="N1406" t="n">
        <v>0</v>
      </c>
      <c r="O1406" t="n">
        <v>0</v>
      </c>
      <c r="P1406" t="n">
        <v>0</v>
      </c>
      <c r="Q1406" t="n">
        <v>0</v>
      </c>
      <c r="R1406" s="2" t="inlineStr"/>
    </row>
    <row r="1407" ht="15" customHeight="1">
      <c r="A1407" t="inlineStr">
        <is>
          <t>A 4736-2021</t>
        </is>
      </c>
      <c r="B1407" s="1" t="n">
        <v>44225</v>
      </c>
      <c r="C1407" s="1" t="n">
        <v>45724</v>
      </c>
      <c r="D1407" t="inlineStr">
        <is>
          <t>VÄSTMANLANDS LÄN</t>
        </is>
      </c>
      <c r="E1407" t="inlineStr">
        <is>
          <t>SALA</t>
        </is>
      </c>
      <c r="G1407" t="n">
        <v>4.2</v>
      </c>
      <c r="H1407" t="n">
        <v>0</v>
      </c>
      <c r="I1407" t="n">
        <v>0</v>
      </c>
      <c r="J1407" t="n">
        <v>0</v>
      </c>
      <c r="K1407" t="n">
        <v>0</v>
      </c>
      <c r="L1407" t="n">
        <v>0</v>
      </c>
      <c r="M1407" t="n">
        <v>0</v>
      </c>
      <c r="N1407" t="n">
        <v>0</v>
      </c>
      <c r="O1407" t="n">
        <v>0</v>
      </c>
      <c r="P1407" t="n">
        <v>0</v>
      </c>
      <c r="Q1407" t="n">
        <v>0</v>
      </c>
      <c r="R1407" s="2" t="inlineStr"/>
    </row>
    <row r="1408" ht="15" customHeight="1">
      <c r="A1408" t="inlineStr">
        <is>
          <t>A 4759-2021</t>
        </is>
      </c>
      <c r="B1408" s="1" t="n">
        <v>44225</v>
      </c>
      <c r="C1408" s="1" t="n">
        <v>45724</v>
      </c>
      <c r="D1408" t="inlineStr">
        <is>
          <t>VÄSTMANLANDS LÄN</t>
        </is>
      </c>
      <c r="E1408" t="inlineStr">
        <is>
          <t>VÄSTERÅS</t>
        </is>
      </c>
      <c r="G1408" t="n">
        <v>1.9</v>
      </c>
      <c r="H1408" t="n">
        <v>0</v>
      </c>
      <c r="I1408" t="n">
        <v>0</v>
      </c>
      <c r="J1408" t="n">
        <v>0</v>
      </c>
      <c r="K1408" t="n">
        <v>0</v>
      </c>
      <c r="L1408" t="n">
        <v>0</v>
      </c>
      <c r="M1408" t="n">
        <v>0</v>
      </c>
      <c r="N1408" t="n">
        <v>0</v>
      </c>
      <c r="O1408" t="n">
        <v>0</v>
      </c>
      <c r="P1408" t="n">
        <v>0</v>
      </c>
      <c r="Q1408" t="n">
        <v>0</v>
      </c>
      <c r="R1408" s="2" t="inlineStr"/>
    </row>
    <row r="1409" ht="15" customHeight="1">
      <c r="A1409" t="inlineStr">
        <is>
          <t>A 4778-2021</t>
        </is>
      </c>
      <c r="B1409" s="1" t="n">
        <v>44225</v>
      </c>
      <c r="C1409" s="1" t="n">
        <v>45724</v>
      </c>
      <c r="D1409" t="inlineStr">
        <is>
          <t>VÄSTMANLANDS LÄN</t>
        </is>
      </c>
      <c r="E1409" t="inlineStr">
        <is>
          <t>VÄSTERÅS</t>
        </is>
      </c>
      <c r="G1409" t="n">
        <v>4.3</v>
      </c>
      <c r="H1409" t="n">
        <v>0</v>
      </c>
      <c r="I1409" t="n">
        <v>0</v>
      </c>
      <c r="J1409" t="n">
        <v>0</v>
      </c>
      <c r="K1409" t="n">
        <v>0</v>
      </c>
      <c r="L1409" t="n">
        <v>0</v>
      </c>
      <c r="M1409" t="n">
        <v>0</v>
      </c>
      <c r="N1409" t="n">
        <v>0</v>
      </c>
      <c r="O1409" t="n">
        <v>0</v>
      </c>
      <c r="P1409" t="n">
        <v>0</v>
      </c>
      <c r="Q1409" t="n">
        <v>0</v>
      </c>
      <c r="R1409" s="2" t="inlineStr"/>
    </row>
    <row r="1410" ht="15" customHeight="1">
      <c r="A1410" t="inlineStr">
        <is>
          <t>A 4776-2021</t>
        </is>
      </c>
      <c r="B1410" s="1" t="n">
        <v>44225</v>
      </c>
      <c r="C1410" s="1" t="n">
        <v>45724</v>
      </c>
      <c r="D1410" t="inlineStr">
        <is>
          <t>VÄSTMANLANDS LÄN</t>
        </is>
      </c>
      <c r="E1410" t="inlineStr">
        <is>
          <t>VÄSTERÅS</t>
        </is>
      </c>
      <c r="G1410" t="n">
        <v>3.8</v>
      </c>
      <c r="H1410" t="n">
        <v>0</v>
      </c>
      <c r="I1410" t="n">
        <v>0</v>
      </c>
      <c r="J1410" t="n">
        <v>0</v>
      </c>
      <c r="K1410" t="n">
        <v>0</v>
      </c>
      <c r="L1410" t="n">
        <v>0</v>
      </c>
      <c r="M1410" t="n">
        <v>0</v>
      </c>
      <c r="N1410" t="n">
        <v>0</v>
      </c>
      <c r="O1410" t="n">
        <v>0</v>
      </c>
      <c r="P1410" t="n">
        <v>0</v>
      </c>
      <c r="Q1410" t="n">
        <v>0</v>
      </c>
      <c r="R1410" s="2" t="inlineStr"/>
    </row>
    <row r="1411" ht="15" customHeight="1">
      <c r="A1411" t="inlineStr">
        <is>
          <t>A 5700-2021</t>
        </is>
      </c>
      <c r="B1411" s="1" t="n">
        <v>44230</v>
      </c>
      <c r="C1411" s="1" t="n">
        <v>45724</v>
      </c>
      <c r="D1411" t="inlineStr">
        <is>
          <t>VÄSTMANLANDS LÄN</t>
        </is>
      </c>
      <c r="E1411" t="inlineStr">
        <is>
          <t>SKINNSKATTEBERG</t>
        </is>
      </c>
      <c r="G1411" t="n">
        <v>1.2</v>
      </c>
      <c r="H1411" t="n">
        <v>0</v>
      </c>
      <c r="I1411" t="n">
        <v>0</v>
      </c>
      <c r="J1411" t="n">
        <v>0</v>
      </c>
      <c r="K1411" t="n">
        <v>0</v>
      </c>
      <c r="L1411" t="n">
        <v>0</v>
      </c>
      <c r="M1411" t="n">
        <v>0</v>
      </c>
      <c r="N1411" t="n">
        <v>0</v>
      </c>
      <c r="O1411" t="n">
        <v>0</v>
      </c>
      <c r="P1411" t="n">
        <v>0</v>
      </c>
      <c r="Q1411" t="n">
        <v>0</v>
      </c>
      <c r="R1411" s="2" t="inlineStr"/>
    </row>
    <row r="1412" ht="15" customHeight="1">
      <c r="A1412" t="inlineStr">
        <is>
          <t>A 5687-2021</t>
        </is>
      </c>
      <c r="B1412" s="1" t="n">
        <v>44230</v>
      </c>
      <c r="C1412" s="1" t="n">
        <v>45724</v>
      </c>
      <c r="D1412" t="inlineStr">
        <is>
          <t>VÄSTMANLANDS LÄN</t>
        </is>
      </c>
      <c r="E1412" t="inlineStr">
        <is>
          <t>SKINNSKATTEBERG</t>
        </is>
      </c>
      <c r="G1412" t="n">
        <v>1.3</v>
      </c>
      <c r="H1412" t="n">
        <v>0</v>
      </c>
      <c r="I1412" t="n">
        <v>0</v>
      </c>
      <c r="J1412" t="n">
        <v>0</v>
      </c>
      <c r="K1412" t="n">
        <v>0</v>
      </c>
      <c r="L1412" t="n">
        <v>0</v>
      </c>
      <c r="M1412" t="n">
        <v>0</v>
      </c>
      <c r="N1412" t="n">
        <v>0</v>
      </c>
      <c r="O1412" t="n">
        <v>0</v>
      </c>
      <c r="P1412" t="n">
        <v>0</v>
      </c>
      <c r="Q1412" t="n">
        <v>0</v>
      </c>
      <c r="R1412" s="2" t="inlineStr"/>
    </row>
    <row r="1413" ht="15" customHeight="1">
      <c r="A1413" t="inlineStr">
        <is>
          <t>A 6088-2021</t>
        </is>
      </c>
      <c r="B1413" s="1" t="n">
        <v>44232</v>
      </c>
      <c r="C1413" s="1" t="n">
        <v>45724</v>
      </c>
      <c r="D1413" t="inlineStr">
        <is>
          <t>VÄSTMANLANDS LÄN</t>
        </is>
      </c>
      <c r="E1413" t="inlineStr">
        <is>
          <t>SALA</t>
        </is>
      </c>
      <c r="G1413" t="n">
        <v>0.2</v>
      </c>
      <c r="H1413" t="n">
        <v>0</v>
      </c>
      <c r="I1413" t="n">
        <v>0</v>
      </c>
      <c r="J1413" t="n">
        <v>0</v>
      </c>
      <c r="K1413" t="n">
        <v>0</v>
      </c>
      <c r="L1413" t="n">
        <v>0</v>
      </c>
      <c r="M1413" t="n">
        <v>0</v>
      </c>
      <c r="N1413" t="n">
        <v>0</v>
      </c>
      <c r="O1413" t="n">
        <v>0</v>
      </c>
      <c r="P1413" t="n">
        <v>0</v>
      </c>
      <c r="Q1413" t="n">
        <v>0</v>
      </c>
      <c r="R1413" s="2" t="inlineStr"/>
    </row>
    <row r="1414" ht="15" customHeight="1">
      <c r="A1414" t="inlineStr">
        <is>
          <t>A 6061-2021</t>
        </is>
      </c>
      <c r="B1414" s="1" t="n">
        <v>44232</v>
      </c>
      <c r="C1414" s="1" t="n">
        <v>45724</v>
      </c>
      <c r="D1414" t="inlineStr">
        <is>
          <t>VÄSTMANLANDS LÄN</t>
        </is>
      </c>
      <c r="E1414" t="inlineStr">
        <is>
          <t>ARBOGA</t>
        </is>
      </c>
      <c r="G1414" t="n">
        <v>3.4</v>
      </c>
      <c r="H1414" t="n">
        <v>0</v>
      </c>
      <c r="I1414" t="n">
        <v>0</v>
      </c>
      <c r="J1414" t="n">
        <v>0</v>
      </c>
      <c r="K1414" t="n">
        <v>0</v>
      </c>
      <c r="L1414" t="n">
        <v>0</v>
      </c>
      <c r="M1414" t="n">
        <v>0</v>
      </c>
      <c r="N1414" t="n">
        <v>0</v>
      </c>
      <c r="O1414" t="n">
        <v>0</v>
      </c>
      <c r="P1414" t="n">
        <v>0</v>
      </c>
      <c r="Q1414" t="n">
        <v>0</v>
      </c>
      <c r="R1414" s="2" t="inlineStr"/>
    </row>
    <row r="1415" ht="15" customHeight="1">
      <c r="A1415" t="inlineStr">
        <is>
          <t>A 6191-2021</t>
        </is>
      </c>
      <c r="B1415" s="1" t="n">
        <v>44234</v>
      </c>
      <c r="C1415" s="1" t="n">
        <v>45724</v>
      </c>
      <c r="D1415" t="inlineStr">
        <is>
          <t>VÄSTMANLANDS LÄN</t>
        </is>
      </c>
      <c r="E1415" t="inlineStr">
        <is>
          <t>ARBOGA</t>
        </is>
      </c>
      <c r="G1415" t="n">
        <v>12</v>
      </c>
      <c r="H1415" t="n">
        <v>0</v>
      </c>
      <c r="I1415" t="n">
        <v>0</v>
      </c>
      <c r="J1415" t="n">
        <v>0</v>
      </c>
      <c r="K1415" t="n">
        <v>0</v>
      </c>
      <c r="L1415" t="n">
        <v>0</v>
      </c>
      <c r="M1415" t="n">
        <v>0</v>
      </c>
      <c r="N1415" t="n">
        <v>0</v>
      </c>
      <c r="O1415" t="n">
        <v>0</v>
      </c>
      <c r="P1415" t="n">
        <v>0</v>
      </c>
      <c r="Q1415" t="n">
        <v>0</v>
      </c>
      <c r="R1415" s="2" t="inlineStr"/>
    </row>
    <row r="1416" ht="15" customHeight="1">
      <c r="A1416" t="inlineStr">
        <is>
          <t>A 6308-2021</t>
        </is>
      </c>
      <c r="B1416" s="1" t="n">
        <v>44235</v>
      </c>
      <c r="C1416" s="1" t="n">
        <v>45724</v>
      </c>
      <c r="D1416" t="inlineStr">
        <is>
          <t>VÄSTMANLANDS LÄN</t>
        </is>
      </c>
      <c r="E1416" t="inlineStr">
        <is>
          <t>SALA</t>
        </is>
      </c>
      <c r="G1416" t="n">
        <v>1.4</v>
      </c>
      <c r="H1416" t="n">
        <v>0</v>
      </c>
      <c r="I1416" t="n">
        <v>0</v>
      </c>
      <c r="J1416" t="n">
        <v>0</v>
      </c>
      <c r="K1416" t="n">
        <v>0</v>
      </c>
      <c r="L1416" t="n">
        <v>0</v>
      </c>
      <c r="M1416" t="n">
        <v>0</v>
      </c>
      <c r="N1416" t="n">
        <v>0</v>
      </c>
      <c r="O1416" t="n">
        <v>0</v>
      </c>
      <c r="P1416" t="n">
        <v>0</v>
      </c>
      <c r="Q1416" t="n">
        <v>0</v>
      </c>
      <c r="R1416" s="2" t="inlineStr"/>
    </row>
    <row r="1417" ht="15" customHeight="1">
      <c r="A1417" t="inlineStr">
        <is>
          <t>A 6516-2021</t>
        </is>
      </c>
      <c r="B1417" s="1" t="n">
        <v>44236</v>
      </c>
      <c r="C1417" s="1" t="n">
        <v>45724</v>
      </c>
      <c r="D1417" t="inlineStr">
        <is>
          <t>VÄSTMANLANDS LÄN</t>
        </is>
      </c>
      <c r="E1417" t="inlineStr">
        <is>
          <t>SKINNSKATTEBERG</t>
        </is>
      </c>
      <c r="F1417" t="inlineStr">
        <is>
          <t>Sveaskog</t>
        </is>
      </c>
      <c r="G1417" t="n">
        <v>4.1</v>
      </c>
      <c r="H1417" t="n">
        <v>0</v>
      </c>
      <c r="I1417" t="n">
        <v>0</v>
      </c>
      <c r="J1417" t="n">
        <v>0</v>
      </c>
      <c r="K1417" t="n">
        <v>0</v>
      </c>
      <c r="L1417" t="n">
        <v>0</v>
      </c>
      <c r="M1417" t="n">
        <v>0</v>
      </c>
      <c r="N1417" t="n">
        <v>0</v>
      </c>
      <c r="O1417" t="n">
        <v>0</v>
      </c>
      <c r="P1417" t="n">
        <v>0</v>
      </c>
      <c r="Q1417" t="n">
        <v>0</v>
      </c>
      <c r="R1417" s="2" t="inlineStr"/>
    </row>
    <row r="1418" ht="15" customHeight="1">
      <c r="A1418" t="inlineStr">
        <is>
          <t>A 6518-2021</t>
        </is>
      </c>
      <c r="B1418" s="1" t="n">
        <v>44236</v>
      </c>
      <c r="C1418" s="1" t="n">
        <v>45724</v>
      </c>
      <c r="D1418" t="inlineStr">
        <is>
          <t>VÄSTMANLANDS LÄN</t>
        </is>
      </c>
      <c r="E1418" t="inlineStr">
        <is>
          <t>SKINNSKATTEBERG</t>
        </is>
      </c>
      <c r="F1418" t="inlineStr">
        <is>
          <t>Sveaskog</t>
        </is>
      </c>
      <c r="G1418" t="n">
        <v>0.5</v>
      </c>
      <c r="H1418" t="n">
        <v>0</v>
      </c>
      <c r="I1418" t="n">
        <v>0</v>
      </c>
      <c r="J1418" t="n">
        <v>0</v>
      </c>
      <c r="K1418" t="n">
        <v>0</v>
      </c>
      <c r="L1418" t="n">
        <v>0</v>
      </c>
      <c r="M1418" t="n">
        <v>0</v>
      </c>
      <c r="N1418" t="n">
        <v>0</v>
      </c>
      <c r="O1418" t="n">
        <v>0</v>
      </c>
      <c r="P1418" t="n">
        <v>0</v>
      </c>
      <c r="Q1418" t="n">
        <v>0</v>
      </c>
      <c r="R1418" s="2" t="inlineStr"/>
    </row>
    <row r="1419" ht="15" customHeight="1">
      <c r="A1419" t="inlineStr">
        <is>
          <t>A 6785-2021</t>
        </is>
      </c>
      <c r="B1419" s="1" t="n">
        <v>44236</v>
      </c>
      <c r="C1419" s="1" t="n">
        <v>45724</v>
      </c>
      <c r="D1419" t="inlineStr">
        <is>
          <t>VÄSTMANLANDS LÄN</t>
        </is>
      </c>
      <c r="E1419" t="inlineStr">
        <is>
          <t>VÄSTERÅS</t>
        </is>
      </c>
      <c r="G1419" t="n">
        <v>7.3</v>
      </c>
      <c r="H1419" t="n">
        <v>0</v>
      </c>
      <c r="I1419" t="n">
        <v>0</v>
      </c>
      <c r="J1419" t="n">
        <v>0</v>
      </c>
      <c r="K1419" t="n">
        <v>0</v>
      </c>
      <c r="L1419" t="n">
        <v>0</v>
      </c>
      <c r="M1419" t="n">
        <v>0</v>
      </c>
      <c r="N1419" t="n">
        <v>0</v>
      </c>
      <c r="O1419" t="n">
        <v>0</v>
      </c>
      <c r="P1419" t="n">
        <v>0</v>
      </c>
      <c r="Q1419" t="n">
        <v>0</v>
      </c>
      <c r="R1419" s="2" t="inlineStr"/>
    </row>
    <row r="1420" ht="15" customHeight="1">
      <c r="A1420" t="inlineStr">
        <is>
          <t>A 6834-2021</t>
        </is>
      </c>
      <c r="B1420" s="1" t="n">
        <v>44236</v>
      </c>
      <c r="C1420" s="1" t="n">
        <v>45724</v>
      </c>
      <c r="D1420" t="inlineStr">
        <is>
          <t>VÄSTMANLANDS LÄN</t>
        </is>
      </c>
      <c r="E1420" t="inlineStr">
        <is>
          <t>KÖPING</t>
        </is>
      </c>
      <c r="G1420" t="n">
        <v>1.3</v>
      </c>
      <c r="H1420" t="n">
        <v>0</v>
      </c>
      <c r="I1420" t="n">
        <v>0</v>
      </c>
      <c r="J1420" t="n">
        <v>0</v>
      </c>
      <c r="K1420" t="n">
        <v>0</v>
      </c>
      <c r="L1420" t="n">
        <v>0</v>
      </c>
      <c r="M1420" t="n">
        <v>0</v>
      </c>
      <c r="N1420" t="n">
        <v>0</v>
      </c>
      <c r="O1420" t="n">
        <v>0</v>
      </c>
      <c r="P1420" t="n">
        <v>0</v>
      </c>
      <c r="Q1420" t="n">
        <v>0</v>
      </c>
      <c r="R1420" s="2" t="inlineStr"/>
    </row>
    <row r="1421" ht="15" customHeight="1">
      <c r="A1421" t="inlineStr">
        <is>
          <t>A 6830-2021</t>
        </is>
      </c>
      <c r="B1421" s="1" t="n">
        <v>44236</v>
      </c>
      <c r="C1421" s="1" t="n">
        <v>45724</v>
      </c>
      <c r="D1421" t="inlineStr">
        <is>
          <t>VÄSTMANLANDS LÄN</t>
        </is>
      </c>
      <c r="E1421" t="inlineStr">
        <is>
          <t>KÖPING</t>
        </is>
      </c>
      <c r="G1421" t="n">
        <v>4.5</v>
      </c>
      <c r="H1421" t="n">
        <v>0</v>
      </c>
      <c r="I1421" t="n">
        <v>0</v>
      </c>
      <c r="J1421" t="n">
        <v>0</v>
      </c>
      <c r="K1421" t="n">
        <v>0</v>
      </c>
      <c r="L1421" t="n">
        <v>0</v>
      </c>
      <c r="M1421" t="n">
        <v>0</v>
      </c>
      <c r="N1421" t="n">
        <v>0</v>
      </c>
      <c r="O1421" t="n">
        <v>0</v>
      </c>
      <c r="P1421" t="n">
        <v>0</v>
      </c>
      <c r="Q1421" t="n">
        <v>0</v>
      </c>
      <c r="R1421" s="2" t="inlineStr"/>
    </row>
    <row r="1422" ht="15" customHeight="1">
      <c r="A1422" t="inlineStr">
        <is>
          <t>A 6913-2021</t>
        </is>
      </c>
      <c r="B1422" s="1" t="n">
        <v>44237</v>
      </c>
      <c r="C1422" s="1" t="n">
        <v>45724</v>
      </c>
      <c r="D1422" t="inlineStr">
        <is>
          <t>VÄSTMANLANDS LÄN</t>
        </is>
      </c>
      <c r="E1422" t="inlineStr">
        <is>
          <t>KÖPING</t>
        </is>
      </c>
      <c r="G1422" t="n">
        <v>5</v>
      </c>
      <c r="H1422" t="n">
        <v>0</v>
      </c>
      <c r="I1422" t="n">
        <v>0</v>
      </c>
      <c r="J1422" t="n">
        <v>0</v>
      </c>
      <c r="K1422" t="n">
        <v>0</v>
      </c>
      <c r="L1422" t="n">
        <v>0</v>
      </c>
      <c r="M1422" t="n">
        <v>0</v>
      </c>
      <c r="N1422" t="n">
        <v>0</v>
      </c>
      <c r="O1422" t="n">
        <v>0</v>
      </c>
      <c r="P1422" t="n">
        <v>0</v>
      </c>
      <c r="Q1422" t="n">
        <v>0</v>
      </c>
      <c r="R1422" s="2" t="inlineStr"/>
    </row>
    <row r="1423" ht="15" customHeight="1">
      <c r="A1423" t="inlineStr">
        <is>
          <t>A 6934-2021</t>
        </is>
      </c>
      <c r="B1423" s="1" t="n">
        <v>44237</v>
      </c>
      <c r="C1423" s="1" t="n">
        <v>45724</v>
      </c>
      <c r="D1423" t="inlineStr">
        <is>
          <t>VÄSTMANLANDS LÄN</t>
        </is>
      </c>
      <c r="E1423" t="inlineStr">
        <is>
          <t>HALLSTAHAMMAR</t>
        </is>
      </c>
      <c r="G1423" t="n">
        <v>0.8</v>
      </c>
      <c r="H1423" t="n">
        <v>0</v>
      </c>
      <c r="I1423" t="n">
        <v>0</v>
      </c>
      <c r="J1423" t="n">
        <v>0</v>
      </c>
      <c r="K1423" t="n">
        <v>0</v>
      </c>
      <c r="L1423" t="n">
        <v>0</v>
      </c>
      <c r="M1423" t="n">
        <v>0</v>
      </c>
      <c r="N1423" t="n">
        <v>0</v>
      </c>
      <c r="O1423" t="n">
        <v>0</v>
      </c>
      <c r="P1423" t="n">
        <v>0</v>
      </c>
      <c r="Q1423" t="n">
        <v>0</v>
      </c>
      <c r="R1423" s="2" t="inlineStr"/>
    </row>
    <row r="1424" ht="15" customHeight="1">
      <c r="A1424" t="inlineStr">
        <is>
          <t>A 7275-2021</t>
        </is>
      </c>
      <c r="B1424" s="1" t="n">
        <v>44238</v>
      </c>
      <c r="C1424" s="1" t="n">
        <v>45724</v>
      </c>
      <c r="D1424" t="inlineStr">
        <is>
          <t>VÄSTMANLANDS LÄN</t>
        </is>
      </c>
      <c r="E1424" t="inlineStr">
        <is>
          <t>VÄSTERÅS</t>
        </is>
      </c>
      <c r="G1424" t="n">
        <v>5</v>
      </c>
      <c r="H1424" t="n">
        <v>0</v>
      </c>
      <c r="I1424" t="n">
        <v>0</v>
      </c>
      <c r="J1424" t="n">
        <v>0</v>
      </c>
      <c r="K1424" t="n">
        <v>0</v>
      </c>
      <c r="L1424" t="n">
        <v>0</v>
      </c>
      <c r="M1424" t="n">
        <v>0</v>
      </c>
      <c r="N1424" t="n">
        <v>0</v>
      </c>
      <c r="O1424" t="n">
        <v>0</v>
      </c>
      <c r="P1424" t="n">
        <v>0</v>
      </c>
      <c r="Q1424" t="n">
        <v>0</v>
      </c>
      <c r="R1424" s="2" t="inlineStr"/>
    </row>
    <row r="1425" ht="15" customHeight="1">
      <c r="A1425" t="inlineStr">
        <is>
          <t>A 7642-2021</t>
        </is>
      </c>
      <c r="B1425" s="1" t="n">
        <v>44239</v>
      </c>
      <c r="C1425" s="1" t="n">
        <v>45724</v>
      </c>
      <c r="D1425" t="inlineStr">
        <is>
          <t>VÄSTMANLANDS LÄN</t>
        </is>
      </c>
      <c r="E1425" t="inlineStr">
        <is>
          <t>NORBERG</t>
        </is>
      </c>
      <c r="G1425" t="n">
        <v>3.8</v>
      </c>
      <c r="H1425" t="n">
        <v>0</v>
      </c>
      <c r="I1425" t="n">
        <v>0</v>
      </c>
      <c r="J1425" t="n">
        <v>0</v>
      </c>
      <c r="K1425" t="n">
        <v>0</v>
      </c>
      <c r="L1425" t="n">
        <v>0</v>
      </c>
      <c r="M1425" t="n">
        <v>0</v>
      </c>
      <c r="N1425" t="n">
        <v>0</v>
      </c>
      <c r="O1425" t="n">
        <v>0</v>
      </c>
      <c r="P1425" t="n">
        <v>0</v>
      </c>
      <c r="Q1425" t="n">
        <v>0</v>
      </c>
      <c r="R1425" s="2" t="inlineStr"/>
    </row>
    <row r="1426" ht="15" customHeight="1">
      <c r="A1426" t="inlineStr">
        <is>
          <t>A 7556-2021</t>
        </is>
      </c>
      <c r="B1426" s="1" t="n">
        <v>44239</v>
      </c>
      <c r="C1426" s="1" t="n">
        <v>45724</v>
      </c>
      <c r="D1426" t="inlineStr">
        <is>
          <t>VÄSTMANLANDS LÄN</t>
        </is>
      </c>
      <c r="E1426" t="inlineStr">
        <is>
          <t>VÄSTERÅS</t>
        </is>
      </c>
      <c r="G1426" t="n">
        <v>6.1</v>
      </c>
      <c r="H1426" t="n">
        <v>0</v>
      </c>
      <c r="I1426" t="n">
        <v>0</v>
      </c>
      <c r="J1426" t="n">
        <v>0</v>
      </c>
      <c r="K1426" t="n">
        <v>0</v>
      </c>
      <c r="L1426" t="n">
        <v>0</v>
      </c>
      <c r="M1426" t="n">
        <v>0</v>
      </c>
      <c r="N1426" t="n">
        <v>0</v>
      </c>
      <c r="O1426" t="n">
        <v>0</v>
      </c>
      <c r="P1426" t="n">
        <v>0</v>
      </c>
      <c r="Q1426" t="n">
        <v>0</v>
      </c>
      <c r="R1426" s="2" t="inlineStr"/>
    </row>
    <row r="1427" ht="15" customHeight="1">
      <c r="A1427" t="inlineStr">
        <is>
          <t>A 7690-2021</t>
        </is>
      </c>
      <c r="B1427" s="1" t="n">
        <v>44242</v>
      </c>
      <c r="C1427" s="1" t="n">
        <v>45724</v>
      </c>
      <c r="D1427" t="inlineStr">
        <is>
          <t>VÄSTMANLANDS LÄN</t>
        </is>
      </c>
      <c r="E1427" t="inlineStr">
        <is>
          <t>VÄSTERÅS</t>
        </is>
      </c>
      <c r="G1427" t="n">
        <v>0.9</v>
      </c>
      <c r="H1427" t="n">
        <v>0</v>
      </c>
      <c r="I1427" t="n">
        <v>0</v>
      </c>
      <c r="J1427" t="n">
        <v>0</v>
      </c>
      <c r="K1427" t="n">
        <v>0</v>
      </c>
      <c r="L1427" t="n">
        <v>0</v>
      </c>
      <c r="M1427" t="n">
        <v>0</v>
      </c>
      <c r="N1427" t="n">
        <v>0</v>
      </c>
      <c r="O1427" t="n">
        <v>0</v>
      </c>
      <c r="P1427" t="n">
        <v>0</v>
      </c>
      <c r="Q1427" t="n">
        <v>0</v>
      </c>
      <c r="R1427" s="2" t="inlineStr"/>
    </row>
    <row r="1428" ht="15" customHeight="1">
      <c r="A1428" t="inlineStr">
        <is>
          <t>A 7712-2021</t>
        </is>
      </c>
      <c r="B1428" s="1" t="n">
        <v>44242</v>
      </c>
      <c r="C1428" s="1" t="n">
        <v>45724</v>
      </c>
      <c r="D1428" t="inlineStr">
        <is>
          <t>VÄSTMANLANDS LÄN</t>
        </is>
      </c>
      <c r="E1428" t="inlineStr">
        <is>
          <t>ARBOGA</t>
        </is>
      </c>
      <c r="G1428" t="n">
        <v>2.4</v>
      </c>
      <c r="H1428" t="n">
        <v>0</v>
      </c>
      <c r="I1428" t="n">
        <v>0</v>
      </c>
      <c r="J1428" t="n">
        <v>0</v>
      </c>
      <c r="K1428" t="n">
        <v>0</v>
      </c>
      <c r="L1428" t="n">
        <v>0</v>
      </c>
      <c r="M1428" t="n">
        <v>0</v>
      </c>
      <c r="N1428" t="n">
        <v>0</v>
      </c>
      <c r="O1428" t="n">
        <v>0</v>
      </c>
      <c r="P1428" t="n">
        <v>0</v>
      </c>
      <c r="Q1428" t="n">
        <v>0</v>
      </c>
      <c r="R1428" s="2" t="inlineStr"/>
    </row>
    <row r="1429" ht="15" customHeight="1">
      <c r="A1429" t="inlineStr">
        <is>
          <t>A 7722-2021</t>
        </is>
      </c>
      <c r="B1429" s="1" t="n">
        <v>44242</v>
      </c>
      <c r="C1429" s="1" t="n">
        <v>45724</v>
      </c>
      <c r="D1429" t="inlineStr">
        <is>
          <t>VÄSTMANLANDS LÄN</t>
        </is>
      </c>
      <c r="E1429" t="inlineStr">
        <is>
          <t>ARBOGA</t>
        </is>
      </c>
      <c r="G1429" t="n">
        <v>12.3</v>
      </c>
      <c r="H1429" t="n">
        <v>0</v>
      </c>
      <c r="I1429" t="n">
        <v>0</v>
      </c>
      <c r="J1429" t="n">
        <v>0</v>
      </c>
      <c r="K1429" t="n">
        <v>0</v>
      </c>
      <c r="L1429" t="n">
        <v>0</v>
      </c>
      <c r="M1429" t="n">
        <v>0</v>
      </c>
      <c r="N1429" t="n">
        <v>0</v>
      </c>
      <c r="O1429" t="n">
        <v>0</v>
      </c>
      <c r="P1429" t="n">
        <v>0</v>
      </c>
      <c r="Q1429" t="n">
        <v>0</v>
      </c>
      <c r="R1429" s="2" t="inlineStr"/>
    </row>
    <row r="1430" ht="15" customHeight="1">
      <c r="A1430" t="inlineStr">
        <is>
          <t>A 7681-2021</t>
        </is>
      </c>
      <c r="B1430" s="1" t="n">
        <v>44242</v>
      </c>
      <c r="C1430" s="1" t="n">
        <v>45724</v>
      </c>
      <c r="D1430" t="inlineStr">
        <is>
          <t>VÄSTMANLANDS LÄN</t>
        </is>
      </c>
      <c r="E1430" t="inlineStr">
        <is>
          <t>SALA</t>
        </is>
      </c>
      <c r="F1430" t="inlineStr">
        <is>
          <t>Sveaskog</t>
        </is>
      </c>
      <c r="G1430" t="n">
        <v>16.1</v>
      </c>
      <c r="H1430" t="n">
        <v>0</v>
      </c>
      <c r="I1430" t="n">
        <v>0</v>
      </c>
      <c r="J1430" t="n">
        <v>0</v>
      </c>
      <c r="K1430" t="n">
        <v>0</v>
      </c>
      <c r="L1430" t="n">
        <v>0</v>
      </c>
      <c r="M1430" t="n">
        <v>0</v>
      </c>
      <c r="N1430" t="n">
        <v>0</v>
      </c>
      <c r="O1430" t="n">
        <v>0</v>
      </c>
      <c r="P1430" t="n">
        <v>0</v>
      </c>
      <c r="Q1430" t="n">
        <v>0</v>
      </c>
      <c r="R1430" s="2" t="inlineStr"/>
    </row>
    <row r="1431" ht="15" customHeight="1">
      <c r="A1431" t="inlineStr">
        <is>
          <t>A 7720-2021</t>
        </is>
      </c>
      <c r="B1431" s="1" t="n">
        <v>44242</v>
      </c>
      <c r="C1431" s="1" t="n">
        <v>45724</v>
      </c>
      <c r="D1431" t="inlineStr">
        <is>
          <t>VÄSTMANLANDS LÄN</t>
        </is>
      </c>
      <c r="E1431" t="inlineStr">
        <is>
          <t>ARBOGA</t>
        </is>
      </c>
      <c r="G1431" t="n">
        <v>1.9</v>
      </c>
      <c r="H1431" t="n">
        <v>0</v>
      </c>
      <c r="I1431" t="n">
        <v>0</v>
      </c>
      <c r="J1431" t="n">
        <v>0</v>
      </c>
      <c r="K1431" t="n">
        <v>0</v>
      </c>
      <c r="L1431" t="n">
        <v>0</v>
      </c>
      <c r="M1431" t="n">
        <v>0</v>
      </c>
      <c r="N1431" t="n">
        <v>0</v>
      </c>
      <c r="O1431" t="n">
        <v>0</v>
      </c>
      <c r="P1431" t="n">
        <v>0</v>
      </c>
      <c r="Q1431" t="n">
        <v>0</v>
      </c>
      <c r="R1431" s="2" t="inlineStr"/>
    </row>
    <row r="1432" ht="15" customHeight="1">
      <c r="A1432" t="inlineStr">
        <is>
          <t>A 7968-2021</t>
        </is>
      </c>
      <c r="B1432" s="1" t="n">
        <v>44243</v>
      </c>
      <c r="C1432" s="1" t="n">
        <v>45724</v>
      </c>
      <c r="D1432" t="inlineStr">
        <is>
          <t>VÄSTMANLANDS LÄN</t>
        </is>
      </c>
      <c r="E1432" t="inlineStr">
        <is>
          <t>SALA</t>
        </is>
      </c>
      <c r="G1432" t="n">
        <v>3.1</v>
      </c>
      <c r="H1432" t="n">
        <v>0</v>
      </c>
      <c r="I1432" t="n">
        <v>0</v>
      </c>
      <c r="J1432" t="n">
        <v>0</v>
      </c>
      <c r="K1432" t="n">
        <v>0</v>
      </c>
      <c r="L1432" t="n">
        <v>0</v>
      </c>
      <c r="M1432" t="n">
        <v>0</v>
      </c>
      <c r="N1432" t="n">
        <v>0</v>
      </c>
      <c r="O1432" t="n">
        <v>0</v>
      </c>
      <c r="P1432" t="n">
        <v>0</v>
      </c>
      <c r="Q1432" t="n">
        <v>0</v>
      </c>
      <c r="R1432" s="2" t="inlineStr"/>
    </row>
    <row r="1433" ht="15" customHeight="1">
      <c r="A1433" t="inlineStr">
        <is>
          <t>A 7955-2021</t>
        </is>
      </c>
      <c r="B1433" s="1" t="n">
        <v>44243</v>
      </c>
      <c r="C1433" s="1" t="n">
        <v>45724</v>
      </c>
      <c r="D1433" t="inlineStr">
        <is>
          <t>VÄSTMANLANDS LÄN</t>
        </is>
      </c>
      <c r="E1433" t="inlineStr">
        <is>
          <t>SALA</t>
        </is>
      </c>
      <c r="G1433" t="n">
        <v>9.199999999999999</v>
      </c>
      <c r="H1433" t="n">
        <v>0</v>
      </c>
      <c r="I1433" t="n">
        <v>0</v>
      </c>
      <c r="J1433" t="n">
        <v>0</v>
      </c>
      <c r="K1433" t="n">
        <v>0</v>
      </c>
      <c r="L1433" t="n">
        <v>0</v>
      </c>
      <c r="M1433" t="n">
        <v>0</v>
      </c>
      <c r="N1433" t="n">
        <v>0</v>
      </c>
      <c r="O1433" t="n">
        <v>0</v>
      </c>
      <c r="P1433" t="n">
        <v>0</v>
      </c>
      <c r="Q1433" t="n">
        <v>0</v>
      </c>
      <c r="R1433" s="2" t="inlineStr"/>
    </row>
    <row r="1434" ht="15" customHeight="1">
      <c r="A1434" t="inlineStr">
        <is>
          <t>A 8205-2021</t>
        </is>
      </c>
      <c r="B1434" s="1" t="n">
        <v>44244</v>
      </c>
      <c r="C1434" s="1" t="n">
        <v>45724</v>
      </c>
      <c r="D1434" t="inlineStr">
        <is>
          <t>VÄSTMANLANDS LÄN</t>
        </is>
      </c>
      <c r="E1434" t="inlineStr">
        <is>
          <t>NORBERG</t>
        </is>
      </c>
      <c r="G1434" t="n">
        <v>10.4</v>
      </c>
      <c r="H1434" t="n">
        <v>0</v>
      </c>
      <c r="I1434" t="n">
        <v>0</v>
      </c>
      <c r="J1434" t="n">
        <v>0</v>
      </c>
      <c r="K1434" t="n">
        <v>0</v>
      </c>
      <c r="L1434" t="n">
        <v>0</v>
      </c>
      <c r="M1434" t="n">
        <v>0</v>
      </c>
      <c r="N1434" t="n">
        <v>0</v>
      </c>
      <c r="O1434" t="n">
        <v>0</v>
      </c>
      <c r="P1434" t="n">
        <v>0</v>
      </c>
      <c r="Q1434" t="n">
        <v>0</v>
      </c>
      <c r="R1434" s="2" t="inlineStr"/>
    </row>
    <row r="1435" ht="15" customHeight="1">
      <c r="A1435" t="inlineStr">
        <is>
          <t>A 8513-2021</t>
        </is>
      </c>
      <c r="B1435" s="1" t="n">
        <v>44244</v>
      </c>
      <c r="C1435" s="1" t="n">
        <v>45724</v>
      </c>
      <c r="D1435" t="inlineStr">
        <is>
          <t>VÄSTMANLANDS LÄN</t>
        </is>
      </c>
      <c r="E1435" t="inlineStr">
        <is>
          <t>SALA</t>
        </is>
      </c>
      <c r="G1435" t="n">
        <v>1</v>
      </c>
      <c r="H1435" t="n">
        <v>0</v>
      </c>
      <c r="I1435" t="n">
        <v>0</v>
      </c>
      <c r="J1435" t="n">
        <v>0</v>
      </c>
      <c r="K1435" t="n">
        <v>0</v>
      </c>
      <c r="L1435" t="n">
        <v>0</v>
      </c>
      <c r="M1435" t="n">
        <v>0</v>
      </c>
      <c r="N1435" t="n">
        <v>0</v>
      </c>
      <c r="O1435" t="n">
        <v>0</v>
      </c>
      <c r="P1435" t="n">
        <v>0</v>
      </c>
      <c r="Q1435" t="n">
        <v>0</v>
      </c>
      <c r="R1435" s="2" t="inlineStr"/>
    </row>
    <row r="1436" ht="15" customHeight="1">
      <c r="A1436" t="inlineStr">
        <is>
          <t>A 8731-2021</t>
        </is>
      </c>
      <c r="B1436" s="1" t="n">
        <v>44246</v>
      </c>
      <c r="C1436" s="1" t="n">
        <v>45724</v>
      </c>
      <c r="D1436" t="inlineStr">
        <is>
          <t>VÄSTMANLANDS LÄN</t>
        </is>
      </c>
      <c r="E1436" t="inlineStr">
        <is>
          <t>KÖPING</t>
        </is>
      </c>
      <c r="F1436" t="inlineStr">
        <is>
          <t>Sveaskog</t>
        </is>
      </c>
      <c r="G1436" t="n">
        <v>0.1</v>
      </c>
      <c r="H1436" t="n">
        <v>0</v>
      </c>
      <c r="I1436" t="n">
        <v>0</v>
      </c>
      <c r="J1436" t="n">
        <v>0</v>
      </c>
      <c r="K1436" t="n">
        <v>0</v>
      </c>
      <c r="L1436" t="n">
        <v>0</v>
      </c>
      <c r="M1436" t="n">
        <v>0</v>
      </c>
      <c r="N1436" t="n">
        <v>0</v>
      </c>
      <c r="O1436" t="n">
        <v>0</v>
      </c>
      <c r="P1436" t="n">
        <v>0</v>
      </c>
      <c r="Q1436" t="n">
        <v>0</v>
      </c>
      <c r="R1436" s="2" t="inlineStr"/>
    </row>
    <row r="1437" ht="15" customHeight="1">
      <c r="A1437" t="inlineStr">
        <is>
          <t>A 8681-2021</t>
        </is>
      </c>
      <c r="B1437" s="1" t="n">
        <v>44246</v>
      </c>
      <c r="C1437" s="1" t="n">
        <v>45724</v>
      </c>
      <c r="D1437" t="inlineStr">
        <is>
          <t>VÄSTMANLANDS LÄN</t>
        </is>
      </c>
      <c r="E1437" t="inlineStr">
        <is>
          <t>KÖPING</t>
        </is>
      </c>
      <c r="G1437" t="n">
        <v>2.2</v>
      </c>
      <c r="H1437" t="n">
        <v>0</v>
      </c>
      <c r="I1437" t="n">
        <v>0</v>
      </c>
      <c r="J1437" t="n">
        <v>0</v>
      </c>
      <c r="K1437" t="n">
        <v>0</v>
      </c>
      <c r="L1437" t="n">
        <v>0</v>
      </c>
      <c r="M1437" t="n">
        <v>0</v>
      </c>
      <c r="N1437" t="n">
        <v>0</v>
      </c>
      <c r="O1437" t="n">
        <v>0</v>
      </c>
      <c r="P1437" t="n">
        <v>0</v>
      </c>
      <c r="Q1437" t="n">
        <v>0</v>
      </c>
      <c r="R1437" s="2" t="inlineStr"/>
    </row>
    <row r="1438" ht="15" customHeight="1">
      <c r="A1438" t="inlineStr">
        <is>
          <t>A 9152-2021</t>
        </is>
      </c>
      <c r="B1438" s="1" t="n">
        <v>44249</v>
      </c>
      <c r="C1438" s="1" t="n">
        <v>45724</v>
      </c>
      <c r="D1438" t="inlineStr">
        <is>
          <t>VÄSTMANLANDS LÄN</t>
        </is>
      </c>
      <c r="E1438" t="inlineStr">
        <is>
          <t>VÄSTERÅS</t>
        </is>
      </c>
      <c r="F1438" t="inlineStr">
        <is>
          <t>Kyrkan</t>
        </is>
      </c>
      <c r="G1438" t="n">
        <v>14.8</v>
      </c>
      <c r="H1438" t="n">
        <v>0</v>
      </c>
      <c r="I1438" t="n">
        <v>0</v>
      </c>
      <c r="J1438" t="n">
        <v>0</v>
      </c>
      <c r="K1438" t="n">
        <v>0</v>
      </c>
      <c r="L1438" t="n">
        <v>0</v>
      </c>
      <c r="M1438" t="n">
        <v>0</v>
      </c>
      <c r="N1438" t="n">
        <v>0</v>
      </c>
      <c r="O1438" t="n">
        <v>0</v>
      </c>
      <c r="P1438" t="n">
        <v>0</v>
      </c>
      <c r="Q1438" t="n">
        <v>0</v>
      </c>
      <c r="R1438" s="2" t="inlineStr"/>
    </row>
    <row r="1439" ht="15" customHeight="1">
      <c r="A1439" t="inlineStr">
        <is>
          <t>A 9149-2021</t>
        </is>
      </c>
      <c r="B1439" s="1" t="n">
        <v>44249</v>
      </c>
      <c r="C1439" s="1" t="n">
        <v>45724</v>
      </c>
      <c r="D1439" t="inlineStr">
        <is>
          <t>VÄSTMANLANDS LÄN</t>
        </is>
      </c>
      <c r="E1439" t="inlineStr">
        <is>
          <t>VÄSTERÅS</t>
        </is>
      </c>
      <c r="F1439" t="inlineStr">
        <is>
          <t>Kyrkan</t>
        </is>
      </c>
      <c r="G1439" t="n">
        <v>14.8</v>
      </c>
      <c r="H1439" t="n">
        <v>0</v>
      </c>
      <c r="I1439" t="n">
        <v>0</v>
      </c>
      <c r="J1439" t="n">
        <v>0</v>
      </c>
      <c r="K1439" t="n">
        <v>0</v>
      </c>
      <c r="L1439" t="n">
        <v>0</v>
      </c>
      <c r="M1439" t="n">
        <v>0</v>
      </c>
      <c r="N1439" t="n">
        <v>0</v>
      </c>
      <c r="O1439" t="n">
        <v>0</v>
      </c>
      <c r="P1439" t="n">
        <v>0</v>
      </c>
      <c r="Q1439" t="n">
        <v>0</v>
      </c>
      <c r="R1439" s="2" t="inlineStr"/>
    </row>
    <row r="1440" ht="15" customHeight="1">
      <c r="A1440" t="inlineStr">
        <is>
          <t>A 9761-2021</t>
        </is>
      </c>
      <c r="B1440" s="1" t="n">
        <v>44252</v>
      </c>
      <c r="C1440" s="1" t="n">
        <v>45724</v>
      </c>
      <c r="D1440" t="inlineStr">
        <is>
          <t>VÄSTMANLANDS LÄN</t>
        </is>
      </c>
      <c r="E1440" t="inlineStr">
        <is>
          <t>HALLSTAHAMMAR</t>
        </is>
      </c>
      <c r="G1440" t="n">
        <v>1.3</v>
      </c>
      <c r="H1440" t="n">
        <v>0</v>
      </c>
      <c r="I1440" t="n">
        <v>0</v>
      </c>
      <c r="J1440" t="n">
        <v>0</v>
      </c>
      <c r="K1440" t="n">
        <v>0</v>
      </c>
      <c r="L1440" t="n">
        <v>0</v>
      </c>
      <c r="M1440" t="n">
        <v>0</v>
      </c>
      <c r="N1440" t="n">
        <v>0</v>
      </c>
      <c r="O1440" t="n">
        <v>0</v>
      </c>
      <c r="P1440" t="n">
        <v>0</v>
      </c>
      <c r="Q1440" t="n">
        <v>0</v>
      </c>
      <c r="R1440" s="2" t="inlineStr"/>
    </row>
    <row r="1441" ht="15" customHeight="1">
      <c r="A1441" t="inlineStr">
        <is>
          <t>A 9967-2021</t>
        </is>
      </c>
      <c r="B1441" s="1" t="n">
        <v>44253</v>
      </c>
      <c r="C1441" s="1" t="n">
        <v>45724</v>
      </c>
      <c r="D1441" t="inlineStr">
        <is>
          <t>VÄSTMANLANDS LÄN</t>
        </is>
      </c>
      <c r="E1441" t="inlineStr">
        <is>
          <t>VÄSTERÅS</t>
        </is>
      </c>
      <c r="G1441" t="n">
        <v>4.7</v>
      </c>
      <c r="H1441" t="n">
        <v>0</v>
      </c>
      <c r="I1441" t="n">
        <v>0</v>
      </c>
      <c r="J1441" t="n">
        <v>0</v>
      </c>
      <c r="K1441" t="n">
        <v>0</v>
      </c>
      <c r="L1441" t="n">
        <v>0</v>
      </c>
      <c r="M1441" t="n">
        <v>0</v>
      </c>
      <c r="N1441" t="n">
        <v>0</v>
      </c>
      <c r="O1441" t="n">
        <v>0</v>
      </c>
      <c r="P1441" t="n">
        <v>0</v>
      </c>
      <c r="Q1441" t="n">
        <v>0</v>
      </c>
      <c r="R1441" s="2" t="inlineStr"/>
    </row>
    <row r="1442" ht="15" customHeight="1">
      <c r="A1442" t="inlineStr">
        <is>
          <t>A 9969-2021</t>
        </is>
      </c>
      <c r="B1442" s="1" t="n">
        <v>44253</v>
      </c>
      <c r="C1442" s="1" t="n">
        <v>45724</v>
      </c>
      <c r="D1442" t="inlineStr">
        <is>
          <t>VÄSTMANLANDS LÄN</t>
        </is>
      </c>
      <c r="E1442" t="inlineStr">
        <is>
          <t>VÄSTERÅS</t>
        </is>
      </c>
      <c r="G1442" t="n">
        <v>2.9</v>
      </c>
      <c r="H1442" t="n">
        <v>0</v>
      </c>
      <c r="I1442" t="n">
        <v>0</v>
      </c>
      <c r="J1442" t="n">
        <v>0</v>
      </c>
      <c r="K1442" t="n">
        <v>0</v>
      </c>
      <c r="L1442" t="n">
        <v>0</v>
      </c>
      <c r="M1442" t="n">
        <v>0</v>
      </c>
      <c r="N1442" t="n">
        <v>0</v>
      </c>
      <c r="O1442" t="n">
        <v>0</v>
      </c>
      <c r="P1442" t="n">
        <v>0</v>
      </c>
      <c r="Q1442" t="n">
        <v>0</v>
      </c>
      <c r="R1442" s="2" t="inlineStr"/>
    </row>
    <row r="1443" ht="15" customHeight="1">
      <c r="A1443" t="inlineStr">
        <is>
          <t>A 10154-2021</t>
        </is>
      </c>
      <c r="B1443" s="1" t="n">
        <v>44256</v>
      </c>
      <c r="C1443" s="1" t="n">
        <v>45724</v>
      </c>
      <c r="D1443" t="inlineStr">
        <is>
          <t>VÄSTMANLANDS LÄN</t>
        </is>
      </c>
      <c r="E1443" t="inlineStr">
        <is>
          <t>SALA</t>
        </is>
      </c>
      <c r="G1443" t="n">
        <v>0.8</v>
      </c>
      <c r="H1443" t="n">
        <v>0</v>
      </c>
      <c r="I1443" t="n">
        <v>0</v>
      </c>
      <c r="J1443" t="n">
        <v>0</v>
      </c>
      <c r="K1443" t="n">
        <v>0</v>
      </c>
      <c r="L1443" t="n">
        <v>0</v>
      </c>
      <c r="M1443" t="n">
        <v>0</v>
      </c>
      <c r="N1443" t="n">
        <v>0</v>
      </c>
      <c r="O1443" t="n">
        <v>0</v>
      </c>
      <c r="P1443" t="n">
        <v>0</v>
      </c>
      <c r="Q1443" t="n">
        <v>0</v>
      </c>
      <c r="R1443" s="2" t="inlineStr"/>
    </row>
    <row r="1444" ht="15" customHeight="1">
      <c r="A1444" t="inlineStr">
        <is>
          <t>A 10339-2021</t>
        </is>
      </c>
      <c r="B1444" s="1" t="n">
        <v>44257</v>
      </c>
      <c r="C1444" s="1" t="n">
        <v>45724</v>
      </c>
      <c r="D1444" t="inlineStr">
        <is>
          <t>VÄSTMANLANDS LÄN</t>
        </is>
      </c>
      <c r="E1444" t="inlineStr">
        <is>
          <t>NORBERG</t>
        </is>
      </c>
      <c r="G1444" t="n">
        <v>13.8</v>
      </c>
      <c r="H1444" t="n">
        <v>0</v>
      </c>
      <c r="I1444" t="n">
        <v>0</v>
      </c>
      <c r="J1444" t="n">
        <v>0</v>
      </c>
      <c r="K1444" t="n">
        <v>0</v>
      </c>
      <c r="L1444" t="n">
        <v>0</v>
      </c>
      <c r="M1444" t="n">
        <v>0</v>
      </c>
      <c r="N1444" t="n">
        <v>0</v>
      </c>
      <c r="O1444" t="n">
        <v>0</v>
      </c>
      <c r="P1444" t="n">
        <v>0</v>
      </c>
      <c r="Q1444" t="n">
        <v>0</v>
      </c>
      <c r="R1444" s="2" t="inlineStr"/>
    </row>
    <row r="1445" ht="15" customHeight="1">
      <c r="A1445" t="inlineStr">
        <is>
          <t>A 10349-2021</t>
        </is>
      </c>
      <c r="B1445" s="1" t="n">
        <v>44257</v>
      </c>
      <c r="C1445" s="1" t="n">
        <v>45724</v>
      </c>
      <c r="D1445" t="inlineStr">
        <is>
          <t>VÄSTMANLANDS LÄN</t>
        </is>
      </c>
      <c r="E1445" t="inlineStr">
        <is>
          <t>ARBOGA</t>
        </is>
      </c>
      <c r="F1445" t="inlineStr">
        <is>
          <t>Sveaskog</t>
        </is>
      </c>
      <c r="G1445" t="n">
        <v>10.3</v>
      </c>
      <c r="H1445" t="n">
        <v>0</v>
      </c>
      <c r="I1445" t="n">
        <v>0</v>
      </c>
      <c r="J1445" t="n">
        <v>0</v>
      </c>
      <c r="K1445" t="n">
        <v>0</v>
      </c>
      <c r="L1445" t="n">
        <v>0</v>
      </c>
      <c r="M1445" t="n">
        <v>0</v>
      </c>
      <c r="N1445" t="n">
        <v>0</v>
      </c>
      <c r="O1445" t="n">
        <v>0</v>
      </c>
      <c r="P1445" t="n">
        <v>0</v>
      </c>
      <c r="Q1445" t="n">
        <v>0</v>
      </c>
      <c r="R1445" s="2" t="inlineStr"/>
    </row>
    <row r="1446" ht="15" customHeight="1">
      <c r="A1446" t="inlineStr">
        <is>
          <t>A 10352-2021</t>
        </is>
      </c>
      <c r="B1446" s="1" t="n">
        <v>44257</v>
      </c>
      <c r="C1446" s="1" t="n">
        <v>45724</v>
      </c>
      <c r="D1446" t="inlineStr">
        <is>
          <t>VÄSTMANLANDS LÄN</t>
        </is>
      </c>
      <c r="E1446" t="inlineStr">
        <is>
          <t>ARBOGA</t>
        </is>
      </c>
      <c r="F1446" t="inlineStr">
        <is>
          <t>Sveaskog</t>
        </is>
      </c>
      <c r="G1446" t="n">
        <v>2.5</v>
      </c>
      <c r="H1446" t="n">
        <v>0</v>
      </c>
      <c r="I1446" t="n">
        <v>0</v>
      </c>
      <c r="J1446" t="n">
        <v>0</v>
      </c>
      <c r="K1446" t="n">
        <v>0</v>
      </c>
      <c r="L1446" t="n">
        <v>0</v>
      </c>
      <c r="M1446" t="n">
        <v>0</v>
      </c>
      <c r="N1446" t="n">
        <v>0</v>
      </c>
      <c r="O1446" t="n">
        <v>0</v>
      </c>
      <c r="P1446" t="n">
        <v>0</v>
      </c>
      <c r="Q1446" t="n">
        <v>0</v>
      </c>
      <c r="R1446" s="2" t="inlineStr"/>
    </row>
    <row r="1447" ht="15" customHeight="1">
      <c r="A1447" t="inlineStr">
        <is>
          <t>A 10359-2021</t>
        </is>
      </c>
      <c r="B1447" s="1" t="n">
        <v>44257</v>
      </c>
      <c r="C1447" s="1" t="n">
        <v>45724</v>
      </c>
      <c r="D1447" t="inlineStr">
        <is>
          <t>VÄSTMANLANDS LÄN</t>
        </is>
      </c>
      <c r="E1447" t="inlineStr">
        <is>
          <t>ARBOGA</t>
        </is>
      </c>
      <c r="F1447" t="inlineStr">
        <is>
          <t>Sveaskog</t>
        </is>
      </c>
      <c r="G1447" t="n">
        <v>6.3</v>
      </c>
      <c r="H1447" t="n">
        <v>0</v>
      </c>
      <c r="I1447" t="n">
        <v>0</v>
      </c>
      <c r="J1447" t="n">
        <v>0</v>
      </c>
      <c r="K1447" t="n">
        <v>0</v>
      </c>
      <c r="L1447" t="n">
        <v>0</v>
      </c>
      <c r="M1447" t="n">
        <v>0</v>
      </c>
      <c r="N1447" t="n">
        <v>0</v>
      </c>
      <c r="O1447" t="n">
        <v>0</v>
      </c>
      <c r="P1447" t="n">
        <v>0</v>
      </c>
      <c r="Q1447" t="n">
        <v>0</v>
      </c>
      <c r="R1447" s="2" t="inlineStr"/>
    </row>
    <row r="1448" ht="15" customHeight="1">
      <c r="A1448" t="inlineStr">
        <is>
          <t>A 10366-2021</t>
        </is>
      </c>
      <c r="B1448" s="1" t="n">
        <v>44257</v>
      </c>
      <c r="C1448" s="1" t="n">
        <v>45724</v>
      </c>
      <c r="D1448" t="inlineStr">
        <is>
          <t>VÄSTMANLANDS LÄN</t>
        </is>
      </c>
      <c r="E1448" t="inlineStr">
        <is>
          <t>ARBOGA</t>
        </is>
      </c>
      <c r="F1448" t="inlineStr">
        <is>
          <t>Sveaskog</t>
        </is>
      </c>
      <c r="G1448" t="n">
        <v>1.9</v>
      </c>
      <c r="H1448" t="n">
        <v>0</v>
      </c>
      <c r="I1448" t="n">
        <v>0</v>
      </c>
      <c r="J1448" t="n">
        <v>0</v>
      </c>
      <c r="K1448" t="n">
        <v>0</v>
      </c>
      <c r="L1448" t="n">
        <v>0</v>
      </c>
      <c r="M1448" t="n">
        <v>0</v>
      </c>
      <c r="N1448" t="n">
        <v>0</v>
      </c>
      <c r="O1448" t="n">
        <v>0</v>
      </c>
      <c r="P1448" t="n">
        <v>0</v>
      </c>
      <c r="Q1448" t="n">
        <v>0</v>
      </c>
      <c r="R1448" s="2" t="inlineStr"/>
    </row>
    <row r="1449" ht="15" customHeight="1">
      <c r="A1449" t="inlineStr">
        <is>
          <t>A 10355-2021</t>
        </is>
      </c>
      <c r="B1449" s="1" t="n">
        <v>44257</v>
      </c>
      <c r="C1449" s="1" t="n">
        <v>45724</v>
      </c>
      <c r="D1449" t="inlineStr">
        <is>
          <t>VÄSTMANLANDS LÄN</t>
        </is>
      </c>
      <c r="E1449" t="inlineStr">
        <is>
          <t>ARBOGA</t>
        </is>
      </c>
      <c r="F1449" t="inlineStr">
        <is>
          <t>Sveaskog</t>
        </is>
      </c>
      <c r="G1449" t="n">
        <v>2.4</v>
      </c>
      <c r="H1449" t="n">
        <v>0</v>
      </c>
      <c r="I1449" t="n">
        <v>0</v>
      </c>
      <c r="J1449" t="n">
        <v>0</v>
      </c>
      <c r="K1449" t="n">
        <v>0</v>
      </c>
      <c r="L1449" t="n">
        <v>0</v>
      </c>
      <c r="M1449" t="n">
        <v>0</v>
      </c>
      <c r="N1449" t="n">
        <v>0</v>
      </c>
      <c r="O1449" t="n">
        <v>0</v>
      </c>
      <c r="P1449" t="n">
        <v>0</v>
      </c>
      <c r="Q1449" t="n">
        <v>0</v>
      </c>
      <c r="R1449" s="2" t="inlineStr"/>
    </row>
    <row r="1450" ht="15" customHeight="1">
      <c r="A1450" t="inlineStr">
        <is>
          <t>A 10362-2021</t>
        </is>
      </c>
      <c r="B1450" s="1" t="n">
        <v>44257</v>
      </c>
      <c r="C1450" s="1" t="n">
        <v>45724</v>
      </c>
      <c r="D1450" t="inlineStr">
        <is>
          <t>VÄSTMANLANDS LÄN</t>
        </is>
      </c>
      <c r="E1450" t="inlineStr">
        <is>
          <t>ARBOGA</t>
        </is>
      </c>
      <c r="F1450" t="inlineStr">
        <is>
          <t>Sveaskog</t>
        </is>
      </c>
      <c r="G1450" t="n">
        <v>1.7</v>
      </c>
      <c r="H1450" t="n">
        <v>0</v>
      </c>
      <c r="I1450" t="n">
        <v>0</v>
      </c>
      <c r="J1450" t="n">
        <v>0</v>
      </c>
      <c r="K1450" t="n">
        <v>0</v>
      </c>
      <c r="L1450" t="n">
        <v>0</v>
      </c>
      <c r="M1450" t="n">
        <v>0</v>
      </c>
      <c r="N1450" t="n">
        <v>0</v>
      </c>
      <c r="O1450" t="n">
        <v>0</v>
      </c>
      <c r="P1450" t="n">
        <v>0</v>
      </c>
      <c r="Q1450" t="n">
        <v>0</v>
      </c>
      <c r="R1450" s="2" t="inlineStr"/>
    </row>
    <row r="1451" ht="15" customHeight="1">
      <c r="A1451" t="inlineStr">
        <is>
          <t>A 10447-2021</t>
        </is>
      </c>
      <c r="B1451" s="1" t="n">
        <v>44257</v>
      </c>
      <c r="C1451" s="1" t="n">
        <v>45724</v>
      </c>
      <c r="D1451" t="inlineStr">
        <is>
          <t>VÄSTMANLANDS LÄN</t>
        </is>
      </c>
      <c r="E1451" t="inlineStr">
        <is>
          <t>ARBOGA</t>
        </is>
      </c>
      <c r="G1451" t="n">
        <v>1.3</v>
      </c>
      <c r="H1451" t="n">
        <v>0</v>
      </c>
      <c r="I1451" t="n">
        <v>0</v>
      </c>
      <c r="J1451" t="n">
        <v>0</v>
      </c>
      <c r="K1451" t="n">
        <v>0</v>
      </c>
      <c r="L1451" t="n">
        <v>0</v>
      </c>
      <c r="M1451" t="n">
        <v>0</v>
      </c>
      <c r="N1451" t="n">
        <v>0</v>
      </c>
      <c r="O1451" t="n">
        <v>0</v>
      </c>
      <c r="P1451" t="n">
        <v>0</v>
      </c>
      <c r="Q1451" t="n">
        <v>0</v>
      </c>
      <c r="R1451" s="2" t="inlineStr"/>
    </row>
    <row r="1452" ht="15" customHeight="1">
      <c r="A1452" t="inlineStr">
        <is>
          <t>A 10435-2021</t>
        </is>
      </c>
      <c r="B1452" s="1" t="n">
        <v>44257</v>
      </c>
      <c r="C1452" s="1" t="n">
        <v>45724</v>
      </c>
      <c r="D1452" t="inlineStr">
        <is>
          <t>VÄSTMANLANDS LÄN</t>
        </is>
      </c>
      <c r="E1452" t="inlineStr">
        <is>
          <t>KÖPING</t>
        </is>
      </c>
      <c r="F1452" t="inlineStr">
        <is>
          <t>Kyrkan</t>
        </is>
      </c>
      <c r="G1452" t="n">
        <v>1.4</v>
      </c>
      <c r="H1452" t="n">
        <v>0</v>
      </c>
      <c r="I1452" t="n">
        <v>0</v>
      </c>
      <c r="J1452" t="n">
        <v>0</v>
      </c>
      <c r="K1452" t="n">
        <v>0</v>
      </c>
      <c r="L1452" t="n">
        <v>0</v>
      </c>
      <c r="M1452" t="n">
        <v>0</v>
      </c>
      <c r="N1452" t="n">
        <v>0</v>
      </c>
      <c r="O1452" t="n">
        <v>0</v>
      </c>
      <c r="P1452" t="n">
        <v>0</v>
      </c>
      <c r="Q1452" t="n">
        <v>0</v>
      </c>
      <c r="R1452" s="2" t="inlineStr"/>
    </row>
    <row r="1453" ht="15" customHeight="1">
      <c r="A1453" t="inlineStr">
        <is>
          <t>A 10357-2021</t>
        </is>
      </c>
      <c r="B1453" s="1" t="n">
        <v>44257</v>
      </c>
      <c r="C1453" s="1" t="n">
        <v>45724</v>
      </c>
      <c r="D1453" t="inlineStr">
        <is>
          <t>VÄSTMANLANDS LÄN</t>
        </is>
      </c>
      <c r="E1453" t="inlineStr">
        <is>
          <t>ARBOGA</t>
        </is>
      </c>
      <c r="F1453" t="inlineStr">
        <is>
          <t>Sveaskog</t>
        </is>
      </c>
      <c r="G1453" t="n">
        <v>2</v>
      </c>
      <c r="H1453" t="n">
        <v>0</v>
      </c>
      <c r="I1453" t="n">
        <v>0</v>
      </c>
      <c r="J1453" t="n">
        <v>0</v>
      </c>
      <c r="K1453" t="n">
        <v>0</v>
      </c>
      <c r="L1453" t="n">
        <v>0</v>
      </c>
      <c r="M1453" t="n">
        <v>0</v>
      </c>
      <c r="N1453" t="n">
        <v>0</v>
      </c>
      <c r="O1453" t="n">
        <v>0</v>
      </c>
      <c r="P1453" t="n">
        <v>0</v>
      </c>
      <c r="Q1453" t="n">
        <v>0</v>
      </c>
      <c r="R1453" s="2" t="inlineStr"/>
    </row>
    <row r="1454" ht="15" customHeight="1">
      <c r="A1454" t="inlineStr">
        <is>
          <t>A 10431-2021</t>
        </is>
      </c>
      <c r="B1454" s="1" t="n">
        <v>44257</v>
      </c>
      <c r="C1454" s="1" t="n">
        <v>45724</v>
      </c>
      <c r="D1454" t="inlineStr">
        <is>
          <t>VÄSTMANLANDS LÄN</t>
        </is>
      </c>
      <c r="E1454" t="inlineStr">
        <is>
          <t>KÖPING</t>
        </is>
      </c>
      <c r="F1454" t="inlineStr">
        <is>
          <t>Kyrkan</t>
        </is>
      </c>
      <c r="G1454" t="n">
        <v>4.8</v>
      </c>
      <c r="H1454" t="n">
        <v>0</v>
      </c>
      <c r="I1454" t="n">
        <v>0</v>
      </c>
      <c r="J1454" t="n">
        <v>0</v>
      </c>
      <c r="K1454" t="n">
        <v>0</v>
      </c>
      <c r="L1454" t="n">
        <v>0</v>
      </c>
      <c r="M1454" t="n">
        <v>0</v>
      </c>
      <c r="N1454" t="n">
        <v>0</v>
      </c>
      <c r="O1454" t="n">
        <v>0</v>
      </c>
      <c r="P1454" t="n">
        <v>0</v>
      </c>
      <c r="Q1454" t="n">
        <v>0</v>
      </c>
      <c r="R1454" s="2" t="inlineStr"/>
    </row>
    <row r="1455" ht="15" customHeight="1">
      <c r="A1455" t="inlineStr">
        <is>
          <t>A 10812-2021</t>
        </is>
      </c>
      <c r="B1455" s="1" t="n">
        <v>44259</v>
      </c>
      <c r="C1455" s="1" t="n">
        <v>45724</v>
      </c>
      <c r="D1455" t="inlineStr">
        <is>
          <t>VÄSTMANLANDS LÄN</t>
        </is>
      </c>
      <c r="E1455" t="inlineStr">
        <is>
          <t>SALA</t>
        </is>
      </c>
      <c r="G1455" t="n">
        <v>0.7</v>
      </c>
      <c r="H1455" t="n">
        <v>0</v>
      </c>
      <c r="I1455" t="n">
        <v>0</v>
      </c>
      <c r="J1455" t="n">
        <v>0</v>
      </c>
      <c r="K1455" t="n">
        <v>0</v>
      </c>
      <c r="L1455" t="n">
        <v>0</v>
      </c>
      <c r="M1455" t="n">
        <v>0</v>
      </c>
      <c r="N1455" t="n">
        <v>0</v>
      </c>
      <c r="O1455" t="n">
        <v>0</v>
      </c>
      <c r="P1455" t="n">
        <v>0</v>
      </c>
      <c r="Q1455" t="n">
        <v>0</v>
      </c>
      <c r="R1455" s="2" t="inlineStr"/>
    </row>
    <row r="1456" ht="15" customHeight="1">
      <c r="A1456" t="inlineStr">
        <is>
          <t>A 10753-2021</t>
        </is>
      </c>
      <c r="B1456" s="1" t="n">
        <v>44259</v>
      </c>
      <c r="C1456" s="1" t="n">
        <v>45724</v>
      </c>
      <c r="D1456" t="inlineStr">
        <is>
          <t>VÄSTMANLANDS LÄN</t>
        </is>
      </c>
      <c r="E1456" t="inlineStr">
        <is>
          <t>VÄSTERÅS</t>
        </is>
      </c>
      <c r="G1456" t="n">
        <v>1.8</v>
      </c>
      <c r="H1456" t="n">
        <v>0</v>
      </c>
      <c r="I1456" t="n">
        <v>0</v>
      </c>
      <c r="J1456" t="n">
        <v>0</v>
      </c>
      <c r="K1456" t="n">
        <v>0</v>
      </c>
      <c r="L1456" t="n">
        <v>0</v>
      </c>
      <c r="M1456" t="n">
        <v>0</v>
      </c>
      <c r="N1456" t="n">
        <v>0</v>
      </c>
      <c r="O1456" t="n">
        <v>0</v>
      </c>
      <c r="P1456" t="n">
        <v>0</v>
      </c>
      <c r="Q1456" t="n">
        <v>0</v>
      </c>
      <c r="R1456" s="2" t="inlineStr"/>
    </row>
    <row r="1457" ht="15" customHeight="1">
      <c r="A1457" t="inlineStr">
        <is>
          <t>A 10972-2021</t>
        </is>
      </c>
      <c r="B1457" s="1" t="n">
        <v>44260</v>
      </c>
      <c r="C1457" s="1" t="n">
        <v>45724</v>
      </c>
      <c r="D1457" t="inlineStr">
        <is>
          <t>VÄSTMANLANDS LÄN</t>
        </is>
      </c>
      <c r="E1457" t="inlineStr">
        <is>
          <t>KÖPING</t>
        </is>
      </c>
      <c r="F1457" t="inlineStr">
        <is>
          <t>Sveaskog</t>
        </is>
      </c>
      <c r="G1457" t="n">
        <v>6</v>
      </c>
      <c r="H1457" t="n">
        <v>0</v>
      </c>
      <c r="I1457" t="n">
        <v>0</v>
      </c>
      <c r="J1457" t="n">
        <v>0</v>
      </c>
      <c r="K1457" t="n">
        <v>0</v>
      </c>
      <c r="L1457" t="n">
        <v>0</v>
      </c>
      <c r="M1457" t="n">
        <v>0</v>
      </c>
      <c r="N1457" t="n">
        <v>0</v>
      </c>
      <c r="O1457" t="n">
        <v>0</v>
      </c>
      <c r="P1457" t="n">
        <v>0</v>
      </c>
      <c r="Q1457" t="n">
        <v>0</v>
      </c>
      <c r="R1457" s="2" t="inlineStr"/>
    </row>
    <row r="1458" ht="15" customHeight="1">
      <c r="A1458" t="inlineStr">
        <is>
          <t>A 11017-2021</t>
        </is>
      </c>
      <c r="B1458" s="1" t="n">
        <v>44260</v>
      </c>
      <c r="C1458" s="1" t="n">
        <v>45724</v>
      </c>
      <c r="D1458" t="inlineStr">
        <is>
          <t>VÄSTMANLANDS LÄN</t>
        </is>
      </c>
      <c r="E1458" t="inlineStr">
        <is>
          <t>SALA</t>
        </is>
      </c>
      <c r="F1458" t="inlineStr">
        <is>
          <t>Kyrkan</t>
        </is>
      </c>
      <c r="G1458" t="n">
        <v>1.2</v>
      </c>
      <c r="H1458" t="n">
        <v>0</v>
      </c>
      <c r="I1458" t="n">
        <v>0</v>
      </c>
      <c r="J1458" t="n">
        <v>0</v>
      </c>
      <c r="K1458" t="n">
        <v>0</v>
      </c>
      <c r="L1458" t="n">
        <v>0</v>
      </c>
      <c r="M1458" t="n">
        <v>0</v>
      </c>
      <c r="N1458" t="n">
        <v>0</v>
      </c>
      <c r="O1458" t="n">
        <v>0</v>
      </c>
      <c r="P1458" t="n">
        <v>0</v>
      </c>
      <c r="Q1458" t="n">
        <v>0</v>
      </c>
      <c r="R1458" s="2" t="inlineStr"/>
    </row>
    <row r="1459" ht="15" customHeight="1">
      <c r="A1459" t="inlineStr">
        <is>
          <t>A 11007-2021</t>
        </is>
      </c>
      <c r="B1459" s="1" t="n">
        <v>44260</v>
      </c>
      <c r="C1459" s="1" t="n">
        <v>45724</v>
      </c>
      <c r="D1459" t="inlineStr">
        <is>
          <t>VÄSTMANLANDS LÄN</t>
        </is>
      </c>
      <c r="E1459" t="inlineStr">
        <is>
          <t>SALA</t>
        </is>
      </c>
      <c r="F1459" t="inlineStr">
        <is>
          <t>Kyrkan</t>
        </is>
      </c>
      <c r="G1459" t="n">
        <v>1.6</v>
      </c>
      <c r="H1459" t="n">
        <v>0</v>
      </c>
      <c r="I1459" t="n">
        <v>0</v>
      </c>
      <c r="J1459" t="n">
        <v>0</v>
      </c>
      <c r="K1459" t="n">
        <v>0</v>
      </c>
      <c r="L1459" t="n">
        <v>0</v>
      </c>
      <c r="M1459" t="n">
        <v>0</v>
      </c>
      <c r="N1459" t="n">
        <v>0</v>
      </c>
      <c r="O1459" t="n">
        <v>0</v>
      </c>
      <c r="P1459" t="n">
        <v>0</v>
      </c>
      <c r="Q1459" t="n">
        <v>0</v>
      </c>
      <c r="R1459" s="2" t="inlineStr"/>
    </row>
    <row r="1460" ht="15" customHeight="1">
      <c r="A1460" t="inlineStr">
        <is>
          <t>A 11284-2021</t>
        </is>
      </c>
      <c r="B1460" s="1" t="n">
        <v>44263</v>
      </c>
      <c r="C1460" s="1" t="n">
        <v>45724</v>
      </c>
      <c r="D1460" t="inlineStr">
        <is>
          <t>VÄSTMANLANDS LÄN</t>
        </is>
      </c>
      <c r="E1460" t="inlineStr">
        <is>
          <t>VÄSTERÅS</t>
        </is>
      </c>
      <c r="G1460" t="n">
        <v>17.3</v>
      </c>
      <c r="H1460" t="n">
        <v>0</v>
      </c>
      <c r="I1460" t="n">
        <v>0</v>
      </c>
      <c r="J1460" t="n">
        <v>0</v>
      </c>
      <c r="K1460" t="n">
        <v>0</v>
      </c>
      <c r="L1460" t="n">
        <v>0</v>
      </c>
      <c r="M1460" t="n">
        <v>0</v>
      </c>
      <c r="N1460" t="n">
        <v>0</v>
      </c>
      <c r="O1460" t="n">
        <v>0</v>
      </c>
      <c r="P1460" t="n">
        <v>0</v>
      </c>
      <c r="Q1460" t="n">
        <v>0</v>
      </c>
      <c r="R1460" s="2" t="inlineStr"/>
    </row>
    <row r="1461" ht="15" customHeight="1">
      <c r="A1461" t="inlineStr">
        <is>
          <t>A 11311-2021</t>
        </is>
      </c>
      <c r="B1461" s="1" t="n">
        <v>44263</v>
      </c>
      <c r="C1461" s="1" t="n">
        <v>45724</v>
      </c>
      <c r="D1461" t="inlineStr">
        <is>
          <t>VÄSTMANLANDS LÄN</t>
        </is>
      </c>
      <c r="E1461" t="inlineStr">
        <is>
          <t>ARBOGA</t>
        </is>
      </c>
      <c r="F1461" t="inlineStr">
        <is>
          <t>Sveaskog</t>
        </is>
      </c>
      <c r="G1461" t="n">
        <v>1.8</v>
      </c>
      <c r="H1461" t="n">
        <v>0</v>
      </c>
      <c r="I1461" t="n">
        <v>0</v>
      </c>
      <c r="J1461" t="n">
        <v>0</v>
      </c>
      <c r="K1461" t="n">
        <v>0</v>
      </c>
      <c r="L1461" t="n">
        <v>0</v>
      </c>
      <c r="M1461" t="n">
        <v>0</v>
      </c>
      <c r="N1461" t="n">
        <v>0</v>
      </c>
      <c r="O1461" t="n">
        <v>0</v>
      </c>
      <c r="P1461" t="n">
        <v>0</v>
      </c>
      <c r="Q1461" t="n">
        <v>0</v>
      </c>
      <c r="R1461" s="2" t="inlineStr"/>
    </row>
    <row r="1462" ht="15" customHeight="1">
      <c r="A1462" t="inlineStr">
        <is>
          <t>A 11322-2021</t>
        </is>
      </c>
      <c r="B1462" s="1" t="n">
        <v>44263</v>
      </c>
      <c r="C1462" s="1" t="n">
        <v>45724</v>
      </c>
      <c r="D1462" t="inlineStr">
        <is>
          <t>VÄSTMANLANDS LÄN</t>
        </is>
      </c>
      <c r="E1462" t="inlineStr">
        <is>
          <t>ARBOGA</t>
        </is>
      </c>
      <c r="F1462" t="inlineStr">
        <is>
          <t>Sveaskog</t>
        </is>
      </c>
      <c r="G1462" t="n">
        <v>1.7</v>
      </c>
      <c r="H1462" t="n">
        <v>0</v>
      </c>
      <c r="I1462" t="n">
        <v>0</v>
      </c>
      <c r="J1462" t="n">
        <v>0</v>
      </c>
      <c r="K1462" t="n">
        <v>0</v>
      </c>
      <c r="L1462" t="n">
        <v>0</v>
      </c>
      <c r="M1462" t="n">
        <v>0</v>
      </c>
      <c r="N1462" t="n">
        <v>0</v>
      </c>
      <c r="O1462" t="n">
        <v>0</v>
      </c>
      <c r="P1462" t="n">
        <v>0</v>
      </c>
      <c r="Q1462" t="n">
        <v>0</v>
      </c>
      <c r="R1462" s="2" t="inlineStr"/>
    </row>
    <row r="1463" ht="15" customHeight="1">
      <c r="A1463" t="inlineStr">
        <is>
          <t>A 11381-2021</t>
        </is>
      </c>
      <c r="B1463" s="1" t="n">
        <v>44263</v>
      </c>
      <c r="C1463" s="1" t="n">
        <v>45724</v>
      </c>
      <c r="D1463" t="inlineStr">
        <is>
          <t>VÄSTMANLANDS LÄN</t>
        </is>
      </c>
      <c r="E1463" t="inlineStr">
        <is>
          <t>SKINNSKATTEBERG</t>
        </is>
      </c>
      <c r="G1463" t="n">
        <v>1.5</v>
      </c>
      <c r="H1463" t="n">
        <v>0</v>
      </c>
      <c r="I1463" t="n">
        <v>0</v>
      </c>
      <c r="J1463" t="n">
        <v>0</v>
      </c>
      <c r="K1463" t="n">
        <v>0</v>
      </c>
      <c r="L1463" t="n">
        <v>0</v>
      </c>
      <c r="M1463" t="n">
        <v>0</v>
      </c>
      <c r="N1463" t="n">
        <v>0</v>
      </c>
      <c r="O1463" t="n">
        <v>0</v>
      </c>
      <c r="P1463" t="n">
        <v>0</v>
      </c>
      <c r="Q1463" t="n">
        <v>0</v>
      </c>
      <c r="R1463" s="2" t="inlineStr"/>
    </row>
    <row r="1464" ht="15" customHeight="1">
      <c r="A1464" t="inlineStr">
        <is>
          <t>A 11323-2021</t>
        </is>
      </c>
      <c r="B1464" s="1" t="n">
        <v>44263</v>
      </c>
      <c r="C1464" s="1" t="n">
        <v>45724</v>
      </c>
      <c r="D1464" t="inlineStr">
        <is>
          <t>VÄSTMANLANDS LÄN</t>
        </is>
      </c>
      <c r="E1464" t="inlineStr">
        <is>
          <t>ARBOGA</t>
        </is>
      </c>
      <c r="F1464" t="inlineStr">
        <is>
          <t>Sveaskog</t>
        </is>
      </c>
      <c r="G1464" t="n">
        <v>3.2</v>
      </c>
      <c r="H1464" t="n">
        <v>0</v>
      </c>
      <c r="I1464" t="n">
        <v>0</v>
      </c>
      <c r="J1464" t="n">
        <v>0</v>
      </c>
      <c r="K1464" t="n">
        <v>0</v>
      </c>
      <c r="L1464" t="n">
        <v>0</v>
      </c>
      <c r="M1464" t="n">
        <v>0</v>
      </c>
      <c r="N1464" t="n">
        <v>0</v>
      </c>
      <c r="O1464" t="n">
        <v>0</v>
      </c>
      <c r="P1464" t="n">
        <v>0</v>
      </c>
      <c r="Q1464" t="n">
        <v>0</v>
      </c>
      <c r="R1464" s="2" t="inlineStr"/>
    </row>
    <row r="1465" ht="15" customHeight="1">
      <c r="A1465" t="inlineStr">
        <is>
          <t>A 11448-2021</t>
        </is>
      </c>
      <c r="B1465" s="1" t="n">
        <v>44264</v>
      </c>
      <c r="C1465" s="1" t="n">
        <v>45724</v>
      </c>
      <c r="D1465" t="inlineStr">
        <is>
          <t>VÄSTMANLANDS LÄN</t>
        </is>
      </c>
      <c r="E1465" t="inlineStr">
        <is>
          <t>NORBERG</t>
        </is>
      </c>
      <c r="F1465" t="inlineStr">
        <is>
          <t>Övriga Aktiebolag</t>
        </is>
      </c>
      <c r="G1465" t="n">
        <v>3.9</v>
      </c>
      <c r="H1465" t="n">
        <v>0</v>
      </c>
      <c r="I1465" t="n">
        <v>0</v>
      </c>
      <c r="J1465" t="n">
        <v>0</v>
      </c>
      <c r="K1465" t="n">
        <v>0</v>
      </c>
      <c r="L1465" t="n">
        <v>0</v>
      </c>
      <c r="M1465" t="n">
        <v>0</v>
      </c>
      <c r="N1465" t="n">
        <v>0</v>
      </c>
      <c r="O1465" t="n">
        <v>0</v>
      </c>
      <c r="P1465" t="n">
        <v>0</v>
      </c>
      <c r="Q1465" t="n">
        <v>0</v>
      </c>
      <c r="R1465" s="2" t="inlineStr"/>
    </row>
    <row r="1466" ht="15" customHeight="1">
      <c r="A1466" t="inlineStr">
        <is>
          <t>A 11560-2021</t>
        </is>
      </c>
      <c r="B1466" s="1" t="n">
        <v>44264</v>
      </c>
      <c r="C1466" s="1" t="n">
        <v>45724</v>
      </c>
      <c r="D1466" t="inlineStr">
        <is>
          <t>VÄSTMANLANDS LÄN</t>
        </is>
      </c>
      <c r="E1466" t="inlineStr">
        <is>
          <t>SALA</t>
        </is>
      </c>
      <c r="G1466" t="n">
        <v>1.4</v>
      </c>
      <c r="H1466" t="n">
        <v>0</v>
      </c>
      <c r="I1466" t="n">
        <v>0</v>
      </c>
      <c r="J1466" t="n">
        <v>0</v>
      </c>
      <c r="K1466" t="n">
        <v>0</v>
      </c>
      <c r="L1466" t="n">
        <v>0</v>
      </c>
      <c r="M1466" t="n">
        <v>0</v>
      </c>
      <c r="N1466" t="n">
        <v>0</v>
      </c>
      <c r="O1466" t="n">
        <v>0</v>
      </c>
      <c r="P1466" t="n">
        <v>0</v>
      </c>
      <c r="Q1466" t="n">
        <v>0</v>
      </c>
      <c r="R1466" s="2" t="inlineStr"/>
    </row>
    <row r="1467" ht="15" customHeight="1">
      <c r="A1467" t="inlineStr">
        <is>
          <t>A 11636-2021</t>
        </is>
      </c>
      <c r="B1467" s="1" t="n">
        <v>44264</v>
      </c>
      <c r="C1467" s="1" t="n">
        <v>45724</v>
      </c>
      <c r="D1467" t="inlineStr">
        <is>
          <t>VÄSTMANLANDS LÄN</t>
        </is>
      </c>
      <c r="E1467" t="inlineStr">
        <is>
          <t>ARBOGA</t>
        </is>
      </c>
      <c r="G1467" t="n">
        <v>2.7</v>
      </c>
      <c r="H1467" t="n">
        <v>0</v>
      </c>
      <c r="I1467" t="n">
        <v>0</v>
      </c>
      <c r="J1467" t="n">
        <v>0</v>
      </c>
      <c r="K1467" t="n">
        <v>0</v>
      </c>
      <c r="L1467" t="n">
        <v>0</v>
      </c>
      <c r="M1467" t="n">
        <v>0</v>
      </c>
      <c r="N1467" t="n">
        <v>0</v>
      </c>
      <c r="O1467" t="n">
        <v>0</v>
      </c>
      <c r="P1467" t="n">
        <v>0</v>
      </c>
      <c r="Q1467" t="n">
        <v>0</v>
      </c>
      <c r="R1467" s="2" t="inlineStr"/>
    </row>
    <row r="1468" ht="15" customHeight="1">
      <c r="A1468" t="inlineStr">
        <is>
          <t>A 11625-2021</t>
        </is>
      </c>
      <c r="B1468" s="1" t="n">
        <v>44264</v>
      </c>
      <c r="C1468" s="1" t="n">
        <v>45724</v>
      </c>
      <c r="D1468" t="inlineStr">
        <is>
          <t>VÄSTMANLANDS LÄN</t>
        </is>
      </c>
      <c r="E1468" t="inlineStr">
        <is>
          <t>VÄSTERÅS</t>
        </is>
      </c>
      <c r="G1468" t="n">
        <v>2.8</v>
      </c>
      <c r="H1468" t="n">
        <v>0</v>
      </c>
      <c r="I1468" t="n">
        <v>0</v>
      </c>
      <c r="J1468" t="n">
        <v>0</v>
      </c>
      <c r="K1468" t="n">
        <v>0</v>
      </c>
      <c r="L1468" t="n">
        <v>0</v>
      </c>
      <c r="M1468" t="n">
        <v>0</v>
      </c>
      <c r="N1468" t="n">
        <v>0</v>
      </c>
      <c r="O1468" t="n">
        <v>0</v>
      </c>
      <c r="P1468" t="n">
        <v>0</v>
      </c>
      <c r="Q1468" t="n">
        <v>0</v>
      </c>
      <c r="R1468" s="2" t="inlineStr"/>
    </row>
    <row r="1469" ht="15" customHeight="1">
      <c r="A1469" t="inlineStr">
        <is>
          <t>A 11752-2021</t>
        </is>
      </c>
      <c r="B1469" s="1" t="n">
        <v>44265</v>
      </c>
      <c r="C1469" s="1" t="n">
        <v>45724</v>
      </c>
      <c r="D1469" t="inlineStr">
        <is>
          <t>VÄSTMANLANDS LÄN</t>
        </is>
      </c>
      <c r="E1469" t="inlineStr">
        <is>
          <t>VÄSTERÅS</t>
        </is>
      </c>
      <c r="G1469" t="n">
        <v>8.300000000000001</v>
      </c>
      <c r="H1469" t="n">
        <v>0</v>
      </c>
      <c r="I1469" t="n">
        <v>0</v>
      </c>
      <c r="J1469" t="n">
        <v>0</v>
      </c>
      <c r="K1469" t="n">
        <v>0</v>
      </c>
      <c r="L1469" t="n">
        <v>0</v>
      </c>
      <c r="M1469" t="n">
        <v>0</v>
      </c>
      <c r="N1469" t="n">
        <v>0</v>
      </c>
      <c r="O1469" t="n">
        <v>0</v>
      </c>
      <c r="P1469" t="n">
        <v>0</v>
      </c>
      <c r="Q1469" t="n">
        <v>0</v>
      </c>
      <c r="R1469" s="2" t="inlineStr"/>
    </row>
    <row r="1470" ht="15" customHeight="1">
      <c r="A1470" t="inlineStr">
        <is>
          <t>A 11890-2021</t>
        </is>
      </c>
      <c r="B1470" s="1" t="n">
        <v>44265</v>
      </c>
      <c r="C1470" s="1" t="n">
        <v>45724</v>
      </c>
      <c r="D1470" t="inlineStr">
        <is>
          <t>VÄSTMANLANDS LÄN</t>
        </is>
      </c>
      <c r="E1470" t="inlineStr">
        <is>
          <t>KÖPING</t>
        </is>
      </c>
      <c r="G1470" t="n">
        <v>3</v>
      </c>
      <c r="H1470" t="n">
        <v>0</v>
      </c>
      <c r="I1470" t="n">
        <v>0</v>
      </c>
      <c r="J1470" t="n">
        <v>0</v>
      </c>
      <c r="K1470" t="n">
        <v>0</v>
      </c>
      <c r="L1470" t="n">
        <v>0</v>
      </c>
      <c r="M1470" t="n">
        <v>0</v>
      </c>
      <c r="N1470" t="n">
        <v>0</v>
      </c>
      <c r="O1470" t="n">
        <v>0</v>
      </c>
      <c r="P1470" t="n">
        <v>0</v>
      </c>
      <c r="Q1470" t="n">
        <v>0</v>
      </c>
      <c r="R1470" s="2" t="inlineStr"/>
    </row>
    <row r="1471" ht="15" customHeight="1">
      <c r="A1471" t="inlineStr">
        <is>
          <t>A 11922-2021</t>
        </is>
      </c>
      <c r="B1471" s="1" t="n">
        <v>44266</v>
      </c>
      <c r="C1471" s="1" t="n">
        <v>45724</v>
      </c>
      <c r="D1471" t="inlineStr">
        <is>
          <t>VÄSTMANLANDS LÄN</t>
        </is>
      </c>
      <c r="E1471" t="inlineStr">
        <is>
          <t>KÖPING</t>
        </is>
      </c>
      <c r="G1471" t="n">
        <v>4.7</v>
      </c>
      <c r="H1471" t="n">
        <v>0</v>
      </c>
      <c r="I1471" t="n">
        <v>0</v>
      </c>
      <c r="J1471" t="n">
        <v>0</v>
      </c>
      <c r="K1471" t="n">
        <v>0</v>
      </c>
      <c r="L1471" t="n">
        <v>0</v>
      </c>
      <c r="M1471" t="n">
        <v>0</v>
      </c>
      <c r="N1471" t="n">
        <v>0</v>
      </c>
      <c r="O1471" t="n">
        <v>0</v>
      </c>
      <c r="P1471" t="n">
        <v>0</v>
      </c>
      <c r="Q1471" t="n">
        <v>0</v>
      </c>
      <c r="R1471" s="2" t="inlineStr"/>
    </row>
    <row r="1472" ht="15" customHeight="1">
      <c r="A1472" t="inlineStr">
        <is>
          <t>A 12244-2021</t>
        </is>
      </c>
      <c r="B1472" s="1" t="n">
        <v>44266</v>
      </c>
      <c r="C1472" s="1" t="n">
        <v>45724</v>
      </c>
      <c r="D1472" t="inlineStr">
        <is>
          <t>VÄSTMANLANDS LÄN</t>
        </is>
      </c>
      <c r="E1472" t="inlineStr">
        <is>
          <t>VÄSTERÅS</t>
        </is>
      </c>
      <c r="G1472" t="n">
        <v>1.3</v>
      </c>
      <c r="H1472" t="n">
        <v>0</v>
      </c>
      <c r="I1472" t="n">
        <v>0</v>
      </c>
      <c r="J1472" t="n">
        <v>0</v>
      </c>
      <c r="K1472" t="n">
        <v>0</v>
      </c>
      <c r="L1472" t="n">
        <v>0</v>
      </c>
      <c r="M1472" t="n">
        <v>0</v>
      </c>
      <c r="N1472" t="n">
        <v>0</v>
      </c>
      <c r="O1472" t="n">
        <v>0</v>
      </c>
      <c r="P1472" t="n">
        <v>0</v>
      </c>
      <c r="Q1472" t="n">
        <v>0</v>
      </c>
      <c r="R1472" s="2" t="inlineStr"/>
    </row>
    <row r="1473" ht="15" customHeight="1">
      <c r="A1473" t="inlineStr">
        <is>
          <t>A 12357-2021</t>
        </is>
      </c>
      <c r="B1473" s="1" t="n">
        <v>44267</v>
      </c>
      <c r="C1473" s="1" t="n">
        <v>45724</v>
      </c>
      <c r="D1473" t="inlineStr">
        <is>
          <t>VÄSTMANLANDS LÄN</t>
        </is>
      </c>
      <c r="E1473" t="inlineStr">
        <is>
          <t>KÖPING</t>
        </is>
      </c>
      <c r="G1473" t="n">
        <v>4.2</v>
      </c>
      <c r="H1473" t="n">
        <v>0</v>
      </c>
      <c r="I1473" t="n">
        <v>0</v>
      </c>
      <c r="J1473" t="n">
        <v>0</v>
      </c>
      <c r="K1473" t="n">
        <v>0</v>
      </c>
      <c r="L1473" t="n">
        <v>0</v>
      </c>
      <c r="M1473" t="n">
        <v>0</v>
      </c>
      <c r="N1473" t="n">
        <v>0</v>
      </c>
      <c r="O1473" t="n">
        <v>0</v>
      </c>
      <c r="P1473" t="n">
        <v>0</v>
      </c>
      <c r="Q1473" t="n">
        <v>0</v>
      </c>
      <c r="R1473" s="2" t="inlineStr"/>
    </row>
    <row r="1474" ht="15" customHeight="1">
      <c r="A1474" t="inlineStr">
        <is>
          <t>A 12655-2021</t>
        </is>
      </c>
      <c r="B1474" s="1" t="n">
        <v>44267</v>
      </c>
      <c r="C1474" s="1" t="n">
        <v>45724</v>
      </c>
      <c r="D1474" t="inlineStr">
        <is>
          <t>VÄSTMANLANDS LÄN</t>
        </is>
      </c>
      <c r="E1474" t="inlineStr">
        <is>
          <t>KÖPING</t>
        </is>
      </c>
      <c r="G1474" t="n">
        <v>6.2</v>
      </c>
      <c r="H1474" t="n">
        <v>0</v>
      </c>
      <c r="I1474" t="n">
        <v>0</v>
      </c>
      <c r="J1474" t="n">
        <v>0</v>
      </c>
      <c r="K1474" t="n">
        <v>0</v>
      </c>
      <c r="L1474" t="n">
        <v>0</v>
      </c>
      <c r="M1474" t="n">
        <v>0</v>
      </c>
      <c r="N1474" t="n">
        <v>0</v>
      </c>
      <c r="O1474" t="n">
        <v>0</v>
      </c>
      <c r="P1474" t="n">
        <v>0</v>
      </c>
      <c r="Q1474" t="n">
        <v>0</v>
      </c>
      <c r="R1474" s="2" t="inlineStr"/>
    </row>
    <row r="1475" ht="15" customHeight="1">
      <c r="A1475" t="inlineStr">
        <is>
          <t>A 12641-2021</t>
        </is>
      </c>
      <c r="B1475" s="1" t="n">
        <v>44267</v>
      </c>
      <c r="C1475" s="1" t="n">
        <v>45724</v>
      </c>
      <c r="D1475" t="inlineStr">
        <is>
          <t>VÄSTMANLANDS LÄN</t>
        </is>
      </c>
      <c r="E1475" t="inlineStr">
        <is>
          <t>KÖPING</t>
        </is>
      </c>
      <c r="G1475" t="n">
        <v>10.7</v>
      </c>
      <c r="H1475" t="n">
        <v>0</v>
      </c>
      <c r="I1475" t="n">
        <v>0</v>
      </c>
      <c r="J1475" t="n">
        <v>0</v>
      </c>
      <c r="K1475" t="n">
        <v>0</v>
      </c>
      <c r="L1475" t="n">
        <v>0</v>
      </c>
      <c r="M1475" t="n">
        <v>0</v>
      </c>
      <c r="N1475" t="n">
        <v>0</v>
      </c>
      <c r="O1475" t="n">
        <v>0</v>
      </c>
      <c r="P1475" t="n">
        <v>0</v>
      </c>
      <c r="Q1475" t="n">
        <v>0</v>
      </c>
      <c r="R1475" s="2" t="inlineStr"/>
    </row>
    <row r="1476" ht="15" customHeight="1">
      <c r="A1476" t="inlineStr">
        <is>
          <t>A 12671-2021</t>
        </is>
      </c>
      <c r="B1476" s="1" t="n">
        <v>44267</v>
      </c>
      <c r="C1476" s="1" t="n">
        <v>45724</v>
      </c>
      <c r="D1476" t="inlineStr">
        <is>
          <t>VÄSTMANLANDS LÄN</t>
        </is>
      </c>
      <c r="E1476" t="inlineStr">
        <is>
          <t>SKINNSKATTEBERG</t>
        </is>
      </c>
      <c r="G1476" t="n">
        <v>14.7</v>
      </c>
      <c r="H1476" t="n">
        <v>0</v>
      </c>
      <c r="I1476" t="n">
        <v>0</v>
      </c>
      <c r="J1476" t="n">
        <v>0</v>
      </c>
      <c r="K1476" t="n">
        <v>0</v>
      </c>
      <c r="L1476" t="n">
        <v>0</v>
      </c>
      <c r="M1476" t="n">
        <v>0</v>
      </c>
      <c r="N1476" t="n">
        <v>0</v>
      </c>
      <c r="O1476" t="n">
        <v>0</v>
      </c>
      <c r="P1476" t="n">
        <v>0</v>
      </c>
      <c r="Q1476" t="n">
        <v>0</v>
      </c>
      <c r="R1476" s="2" t="inlineStr"/>
    </row>
    <row r="1477" ht="15" customHeight="1">
      <c r="A1477" t="inlineStr">
        <is>
          <t>A 12672-2021</t>
        </is>
      </c>
      <c r="B1477" s="1" t="n">
        <v>44267</v>
      </c>
      <c r="C1477" s="1" t="n">
        <v>45724</v>
      </c>
      <c r="D1477" t="inlineStr">
        <is>
          <t>VÄSTMANLANDS LÄN</t>
        </is>
      </c>
      <c r="E1477" t="inlineStr">
        <is>
          <t>SKINNSKATTEBERG</t>
        </is>
      </c>
      <c r="G1477" t="n">
        <v>1.3</v>
      </c>
      <c r="H1477" t="n">
        <v>0</v>
      </c>
      <c r="I1477" t="n">
        <v>0</v>
      </c>
      <c r="J1477" t="n">
        <v>0</v>
      </c>
      <c r="K1477" t="n">
        <v>0</v>
      </c>
      <c r="L1477" t="n">
        <v>0</v>
      </c>
      <c r="M1477" t="n">
        <v>0</v>
      </c>
      <c r="N1477" t="n">
        <v>0</v>
      </c>
      <c r="O1477" t="n">
        <v>0</v>
      </c>
      <c r="P1477" t="n">
        <v>0</v>
      </c>
      <c r="Q1477" t="n">
        <v>0</v>
      </c>
      <c r="R1477" s="2" t="inlineStr"/>
    </row>
    <row r="1478" ht="15" customHeight="1">
      <c r="A1478" t="inlineStr">
        <is>
          <t>A 12500-2021</t>
        </is>
      </c>
      <c r="B1478" s="1" t="n">
        <v>44268</v>
      </c>
      <c r="C1478" s="1" t="n">
        <v>45724</v>
      </c>
      <c r="D1478" t="inlineStr">
        <is>
          <t>VÄSTMANLANDS LÄN</t>
        </is>
      </c>
      <c r="E1478" t="inlineStr">
        <is>
          <t>SKINNSKATTEBERG</t>
        </is>
      </c>
      <c r="G1478" t="n">
        <v>18.1</v>
      </c>
      <c r="H1478" t="n">
        <v>0</v>
      </c>
      <c r="I1478" t="n">
        <v>0</v>
      </c>
      <c r="J1478" t="n">
        <v>0</v>
      </c>
      <c r="K1478" t="n">
        <v>0</v>
      </c>
      <c r="L1478" t="n">
        <v>0</v>
      </c>
      <c r="M1478" t="n">
        <v>0</v>
      </c>
      <c r="N1478" t="n">
        <v>0</v>
      </c>
      <c r="O1478" t="n">
        <v>0</v>
      </c>
      <c r="P1478" t="n">
        <v>0</v>
      </c>
      <c r="Q1478" t="n">
        <v>0</v>
      </c>
      <c r="R1478" s="2" t="inlineStr"/>
    </row>
    <row r="1479" ht="15" customHeight="1">
      <c r="A1479" t="inlineStr">
        <is>
          <t>A 12756-2021</t>
        </is>
      </c>
      <c r="B1479" s="1" t="n">
        <v>44270</v>
      </c>
      <c r="C1479" s="1" t="n">
        <v>45724</v>
      </c>
      <c r="D1479" t="inlineStr">
        <is>
          <t>VÄSTMANLANDS LÄN</t>
        </is>
      </c>
      <c r="E1479" t="inlineStr">
        <is>
          <t>FAGERSTA</t>
        </is>
      </c>
      <c r="F1479" t="inlineStr">
        <is>
          <t>Sveaskog</t>
        </is>
      </c>
      <c r="G1479" t="n">
        <v>2.6</v>
      </c>
      <c r="H1479" t="n">
        <v>0</v>
      </c>
      <c r="I1479" t="n">
        <v>0</v>
      </c>
      <c r="J1479" t="n">
        <v>0</v>
      </c>
      <c r="K1479" t="n">
        <v>0</v>
      </c>
      <c r="L1479" t="n">
        <v>0</v>
      </c>
      <c r="M1479" t="n">
        <v>0</v>
      </c>
      <c r="N1479" t="n">
        <v>0</v>
      </c>
      <c r="O1479" t="n">
        <v>0</v>
      </c>
      <c r="P1479" t="n">
        <v>0</v>
      </c>
      <c r="Q1479" t="n">
        <v>0</v>
      </c>
      <c r="R1479" s="2" t="inlineStr"/>
    </row>
    <row r="1480" ht="15" customHeight="1">
      <c r="A1480" t="inlineStr">
        <is>
          <t>A 12777-2021</t>
        </is>
      </c>
      <c r="B1480" s="1" t="n">
        <v>44270</v>
      </c>
      <c r="C1480" s="1" t="n">
        <v>45724</v>
      </c>
      <c r="D1480" t="inlineStr">
        <is>
          <t>VÄSTMANLANDS LÄN</t>
        </is>
      </c>
      <c r="E1480" t="inlineStr">
        <is>
          <t>ARBOGA</t>
        </is>
      </c>
      <c r="F1480" t="inlineStr">
        <is>
          <t>Sveaskog</t>
        </is>
      </c>
      <c r="G1480" t="n">
        <v>3.6</v>
      </c>
      <c r="H1480" t="n">
        <v>0</v>
      </c>
      <c r="I1480" t="n">
        <v>0</v>
      </c>
      <c r="J1480" t="n">
        <v>0</v>
      </c>
      <c r="K1480" t="n">
        <v>0</v>
      </c>
      <c r="L1480" t="n">
        <v>0</v>
      </c>
      <c r="M1480" t="n">
        <v>0</v>
      </c>
      <c r="N1480" t="n">
        <v>0</v>
      </c>
      <c r="O1480" t="n">
        <v>0</v>
      </c>
      <c r="P1480" t="n">
        <v>0</v>
      </c>
      <c r="Q1480" t="n">
        <v>0</v>
      </c>
      <c r="R1480" s="2" t="inlineStr"/>
    </row>
    <row r="1481" ht="15" customHeight="1">
      <c r="A1481" t="inlineStr">
        <is>
          <t>A 13112-2021</t>
        </is>
      </c>
      <c r="B1481" s="1" t="n">
        <v>44272</v>
      </c>
      <c r="C1481" s="1" t="n">
        <v>45724</v>
      </c>
      <c r="D1481" t="inlineStr">
        <is>
          <t>VÄSTMANLANDS LÄN</t>
        </is>
      </c>
      <c r="E1481" t="inlineStr">
        <is>
          <t>SALA</t>
        </is>
      </c>
      <c r="G1481" t="n">
        <v>3.7</v>
      </c>
      <c r="H1481" t="n">
        <v>0</v>
      </c>
      <c r="I1481" t="n">
        <v>0</v>
      </c>
      <c r="J1481" t="n">
        <v>0</v>
      </c>
      <c r="K1481" t="n">
        <v>0</v>
      </c>
      <c r="L1481" t="n">
        <v>0</v>
      </c>
      <c r="M1481" t="n">
        <v>0</v>
      </c>
      <c r="N1481" t="n">
        <v>0</v>
      </c>
      <c r="O1481" t="n">
        <v>0</v>
      </c>
      <c r="P1481" t="n">
        <v>0</v>
      </c>
      <c r="Q1481" t="n">
        <v>0</v>
      </c>
      <c r="R1481" s="2" t="inlineStr"/>
    </row>
    <row r="1482" ht="15" customHeight="1">
      <c r="A1482" t="inlineStr">
        <is>
          <t>A 13252-2021</t>
        </is>
      </c>
      <c r="B1482" s="1" t="n">
        <v>44272</v>
      </c>
      <c r="C1482" s="1" t="n">
        <v>45724</v>
      </c>
      <c r="D1482" t="inlineStr">
        <is>
          <t>VÄSTMANLANDS LÄN</t>
        </is>
      </c>
      <c r="E1482" t="inlineStr">
        <is>
          <t>VÄSTERÅS</t>
        </is>
      </c>
      <c r="G1482" t="n">
        <v>24.2</v>
      </c>
      <c r="H1482" t="n">
        <v>0</v>
      </c>
      <c r="I1482" t="n">
        <v>0</v>
      </c>
      <c r="J1482" t="n">
        <v>0</v>
      </c>
      <c r="K1482" t="n">
        <v>0</v>
      </c>
      <c r="L1482" t="n">
        <v>0</v>
      </c>
      <c r="M1482" t="n">
        <v>0</v>
      </c>
      <c r="N1482" t="n">
        <v>0</v>
      </c>
      <c r="O1482" t="n">
        <v>0</v>
      </c>
      <c r="P1482" t="n">
        <v>0</v>
      </c>
      <c r="Q1482" t="n">
        <v>0</v>
      </c>
      <c r="R1482" s="2" t="inlineStr"/>
    </row>
    <row r="1483" ht="15" customHeight="1">
      <c r="A1483" t="inlineStr">
        <is>
          <t>A 13168-2021</t>
        </is>
      </c>
      <c r="B1483" s="1" t="n">
        <v>44272</v>
      </c>
      <c r="C1483" s="1" t="n">
        <v>45724</v>
      </c>
      <c r="D1483" t="inlineStr">
        <is>
          <t>VÄSTMANLANDS LÄN</t>
        </is>
      </c>
      <c r="E1483" t="inlineStr">
        <is>
          <t>ARBOGA</t>
        </is>
      </c>
      <c r="F1483" t="inlineStr">
        <is>
          <t>Allmännings- och besparingsskogar</t>
        </is>
      </c>
      <c r="G1483" t="n">
        <v>3.6</v>
      </c>
      <c r="H1483" t="n">
        <v>0</v>
      </c>
      <c r="I1483" t="n">
        <v>0</v>
      </c>
      <c r="J1483" t="n">
        <v>0</v>
      </c>
      <c r="K1483" t="n">
        <v>0</v>
      </c>
      <c r="L1483" t="n">
        <v>0</v>
      </c>
      <c r="M1483" t="n">
        <v>0</v>
      </c>
      <c r="N1483" t="n">
        <v>0</v>
      </c>
      <c r="O1483" t="n">
        <v>0</v>
      </c>
      <c r="P1483" t="n">
        <v>0</v>
      </c>
      <c r="Q1483" t="n">
        <v>0</v>
      </c>
      <c r="R1483" s="2" t="inlineStr"/>
    </row>
    <row r="1484" ht="15" customHeight="1">
      <c r="A1484" t="inlineStr">
        <is>
          <t>A 13622-2021</t>
        </is>
      </c>
      <c r="B1484" s="1" t="n">
        <v>44274</v>
      </c>
      <c r="C1484" s="1" t="n">
        <v>45724</v>
      </c>
      <c r="D1484" t="inlineStr">
        <is>
          <t>VÄSTMANLANDS LÄN</t>
        </is>
      </c>
      <c r="E1484" t="inlineStr">
        <is>
          <t>NORBERG</t>
        </is>
      </c>
      <c r="G1484" t="n">
        <v>1.4</v>
      </c>
      <c r="H1484" t="n">
        <v>0</v>
      </c>
      <c r="I1484" t="n">
        <v>0</v>
      </c>
      <c r="J1484" t="n">
        <v>0</v>
      </c>
      <c r="K1484" t="n">
        <v>0</v>
      </c>
      <c r="L1484" t="n">
        <v>0</v>
      </c>
      <c r="M1484" t="n">
        <v>0</v>
      </c>
      <c r="N1484" t="n">
        <v>0</v>
      </c>
      <c r="O1484" t="n">
        <v>0</v>
      </c>
      <c r="P1484" t="n">
        <v>0</v>
      </c>
      <c r="Q1484" t="n">
        <v>0</v>
      </c>
      <c r="R1484" s="2" t="inlineStr"/>
    </row>
    <row r="1485" ht="15" customHeight="1">
      <c r="A1485" t="inlineStr">
        <is>
          <t>A 14010-2021</t>
        </is>
      </c>
      <c r="B1485" s="1" t="n">
        <v>44277</v>
      </c>
      <c r="C1485" s="1" t="n">
        <v>45724</v>
      </c>
      <c r="D1485" t="inlineStr">
        <is>
          <t>VÄSTMANLANDS LÄN</t>
        </is>
      </c>
      <c r="E1485" t="inlineStr">
        <is>
          <t>SALA</t>
        </is>
      </c>
      <c r="G1485" t="n">
        <v>3.5</v>
      </c>
      <c r="H1485" t="n">
        <v>0</v>
      </c>
      <c r="I1485" t="n">
        <v>0</v>
      </c>
      <c r="J1485" t="n">
        <v>0</v>
      </c>
      <c r="K1485" t="n">
        <v>0</v>
      </c>
      <c r="L1485" t="n">
        <v>0</v>
      </c>
      <c r="M1485" t="n">
        <v>0</v>
      </c>
      <c r="N1485" t="n">
        <v>0</v>
      </c>
      <c r="O1485" t="n">
        <v>0</v>
      </c>
      <c r="P1485" t="n">
        <v>0</v>
      </c>
      <c r="Q1485" t="n">
        <v>0</v>
      </c>
      <c r="R1485" s="2" t="inlineStr"/>
    </row>
    <row r="1486" ht="15" customHeight="1">
      <c r="A1486" t="inlineStr">
        <is>
          <t>A 14124-2021</t>
        </is>
      </c>
      <c r="B1486" s="1" t="n">
        <v>44278</v>
      </c>
      <c r="C1486" s="1" t="n">
        <v>45724</v>
      </c>
      <c r="D1486" t="inlineStr">
        <is>
          <t>VÄSTMANLANDS LÄN</t>
        </is>
      </c>
      <c r="E1486" t="inlineStr">
        <is>
          <t>SKINNSKATTEBERG</t>
        </is>
      </c>
      <c r="F1486" t="inlineStr">
        <is>
          <t>Sveaskog</t>
        </is>
      </c>
      <c r="G1486" t="n">
        <v>4.5</v>
      </c>
      <c r="H1486" t="n">
        <v>0</v>
      </c>
      <c r="I1486" t="n">
        <v>0</v>
      </c>
      <c r="J1486" t="n">
        <v>0</v>
      </c>
      <c r="K1486" t="n">
        <v>0</v>
      </c>
      <c r="L1486" t="n">
        <v>0</v>
      </c>
      <c r="M1486" t="n">
        <v>0</v>
      </c>
      <c r="N1486" t="n">
        <v>0</v>
      </c>
      <c r="O1486" t="n">
        <v>0</v>
      </c>
      <c r="P1486" t="n">
        <v>0</v>
      </c>
      <c r="Q1486" t="n">
        <v>0</v>
      </c>
      <c r="R1486" s="2" t="inlineStr"/>
    </row>
    <row r="1487" ht="15" customHeight="1">
      <c r="A1487" t="inlineStr">
        <is>
          <t>A 14314-2021</t>
        </is>
      </c>
      <c r="B1487" s="1" t="n">
        <v>44278</v>
      </c>
      <c r="C1487" s="1" t="n">
        <v>45724</v>
      </c>
      <c r="D1487" t="inlineStr">
        <is>
          <t>VÄSTMANLANDS LÄN</t>
        </is>
      </c>
      <c r="E1487" t="inlineStr">
        <is>
          <t>KÖPING</t>
        </is>
      </c>
      <c r="G1487" t="n">
        <v>3.1</v>
      </c>
      <c r="H1487" t="n">
        <v>0</v>
      </c>
      <c r="I1487" t="n">
        <v>0</v>
      </c>
      <c r="J1487" t="n">
        <v>0</v>
      </c>
      <c r="K1487" t="n">
        <v>0</v>
      </c>
      <c r="L1487" t="n">
        <v>0</v>
      </c>
      <c r="M1487" t="n">
        <v>0</v>
      </c>
      <c r="N1487" t="n">
        <v>0</v>
      </c>
      <c r="O1487" t="n">
        <v>0</v>
      </c>
      <c r="P1487" t="n">
        <v>0</v>
      </c>
      <c r="Q1487" t="n">
        <v>0</v>
      </c>
      <c r="R1487" s="2" t="inlineStr"/>
    </row>
    <row r="1488" ht="15" customHeight="1">
      <c r="A1488" t="inlineStr">
        <is>
          <t>A 14313-2021</t>
        </is>
      </c>
      <c r="B1488" s="1" t="n">
        <v>44278</v>
      </c>
      <c r="C1488" s="1" t="n">
        <v>45724</v>
      </c>
      <c r="D1488" t="inlineStr">
        <is>
          <t>VÄSTMANLANDS LÄN</t>
        </is>
      </c>
      <c r="E1488" t="inlineStr">
        <is>
          <t>KÖPING</t>
        </is>
      </c>
      <c r="G1488" t="n">
        <v>1.3</v>
      </c>
      <c r="H1488" t="n">
        <v>0</v>
      </c>
      <c r="I1488" t="n">
        <v>0</v>
      </c>
      <c r="J1488" t="n">
        <v>0</v>
      </c>
      <c r="K1488" t="n">
        <v>0</v>
      </c>
      <c r="L1488" t="n">
        <v>0</v>
      </c>
      <c r="M1488" t="n">
        <v>0</v>
      </c>
      <c r="N1488" t="n">
        <v>0</v>
      </c>
      <c r="O1488" t="n">
        <v>0</v>
      </c>
      <c r="P1488" t="n">
        <v>0</v>
      </c>
      <c r="Q1488" t="n">
        <v>0</v>
      </c>
      <c r="R1488" s="2" t="inlineStr"/>
    </row>
    <row r="1489" ht="15" customHeight="1">
      <c r="A1489" t="inlineStr">
        <is>
          <t>A 14407-2021</t>
        </is>
      </c>
      <c r="B1489" s="1" t="n">
        <v>44279</v>
      </c>
      <c r="C1489" s="1" t="n">
        <v>45724</v>
      </c>
      <c r="D1489" t="inlineStr">
        <is>
          <t>VÄSTMANLANDS LÄN</t>
        </is>
      </c>
      <c r="E1489" t="inlineStr">
        <is>
          <t>FAGERSTA</t>
        </is>
      </c>
      <c r="F1489" t="inlineStr">
        <is>
          <t>Övriga Aktiebolag</t>
        </is>
      </c>
      <c r="G1489" t="n">
        <v>2.9</v>
      </c>
      <c r="H1489" t="n">
        <v>0</v>
      </c>
      <c r="I1489" t="n">
        <v>0</v>
      </c>
      <c r="J1489" t="n">
        <v>0</v>
      </c>
      <c r="K1489" t="n">
        <v>0</v>
      </c>
      <c r="L1489" t="n">
        <v>0</v>
      </c>
      <c r="M1489" t="n">
        <v>0</v>
      </c>
      <c r="N1489" t="n">
        <v>0</v>
      </c>
      <c r="O1489" t="n">
        <v>0</v>
      </c>
      <c r="P1489" t="n">
        <v>0</v>
      </c>
      <c r="Q1489" t="n">
        <v>0</v>
      </c>
      <c r="R1489" s="2" t="inlineStr"/>
    </row>
    <row r="1490" ht="15" customHeight="1">
      <c r="A1490" t="inlineStr">
        <is>
          <t>A 14405-2021</t>
        </is>
      </c>
      <c r="B1490" s="1" t="n">
        <v>44279</v>
      </c>
      <c r="C1490" s="1" t="n">
        <v>45724</v>
      </c>
      <c r="D1490" t="inlineStr">
        <is>
          <t>VÄSTMANLANDS LÄN</t>
        </is>
      </c>
      <c r="E1490" t="inlineStr">
        <is>
          <t>NORBERG</t>
        </is>
      </c>
      <c r="F1490" t="inlineStr">
        <is>
          <t>Övriga Aktiebolag</t>
        </is>
      </c>
      <c r="G1490" t="n">
        <v>1</v>
      </c>
      <c r="H1490" t="n">
        <v>0</v>
      </c>
      <c r="I1490" t="n">
        <v>0</v>
      </c>
      <c r="J1490" t="n">
        <v>0</v>
      </c>
      <c r="K1490" t="n">
        <v>0</v>
      </c>
      <c r="L1490" t="n">
        <v>0</v>
      </c>
      <c r="M1490" t="n">
        <v>0</v>
      </c>
      <c r="N1490" t="n">
        <v>0</v>
      </c>
      <c r="O1490" t="n">
        <v>0</v>
      </c>
      <c r="P1490" t="n">
        <v>0</v>
      </c>
      <c r="Q1490" t="n">
        <v>0</v>
      </c>
      <c r="R1490" s="2" t="inlineStr"/>
    </row>
    <row r="1491" ht="15" customHeight="1">
      <c r="A1491" t="inlineStr">
        <is>
          <t>A 15354-2021</t>
        </is>
      </c>
      <c r="B1491" s="1" t="n">
        <v>44284</v>
      </c>
      <c r="C1491" s="1" t="n">
        <v>45724</v>
      </c>
      <c r="D1491" t="inlineStr">
        <is>
          <t>VÄSTMANLANDS LÄN</t>
        </is>
      </c>
      <c r="E1491" t="inlineStr">
        <is>
          <t>SALA</t>
        </is>
      </c>
      <c r="F1491" t="inlineStr">
        <is>
          <t>Kyrkan</t>
        </is>
      </c>
      <c r="G1491" t="n">
        <v>8.5</v>
      </c>
      <c r="H1491" t="n">
        <v>0</v>
      </c>
      <c r="I1491" t="n">
        <v>0</v>
      </c>
      <c r="J1491" t="n">
        <v>0</v>
      </c>
      <c r="K1491" t="n">
        <v>0</v>
      </c>
      <c r="L1491" t="n">
        <v>0</v>
      </c>
      <c r="M1491" t="n">
        <v>0</v>
      </c>
      <c r="N1491" t="n">
        <v>0</v>
      </c>
      <c r="O1491" t="n">
        <v>0</v>
      </c>
      <c r="P1491" t="n">
        <v>0</v>
      </c>
      <c r="Q1491" t="n">
        <v>0</v>
      </c>
      <c r="R1491" s="2" t="inlineStr"/>
    </row>
    <row r="1492" ht="15" customHeight="1">
      <c r="A1492" t="inlineStr">
        <is>
          <t>A 15347-2021</t>
        </is>
      </c>
      <c r="B1492" s="1" t="n">
        <v>44284</v>
      </c>
      <c r="C1492" s="1" t="n">
        <v>45724</v>
      </c>
      <c r="D1492" t="inlineStr">
        <is>
          <t>VÄSTMANLANDS LÄN</t>
        </is>
      </c>
      <c r="E1492" t="inlineStr">
        <is>
          <t>VÄSTERÅS</t>
        </is>
      </c>
      <c r="G1492" t="n">
        <v>2.4</v>
      </c>
      <c r="H1492" t="n">
        <v>0</v>
      </c>
      <c r="I1492" t="n">
        <v>0</v>
      </c>
      <c r="J1492" t="n">
        <v>0</v>
      </c>
      <c r="K1492" t="n">
        <v>0</v>
      </c>
      <c r="L1492" t="n">
        <v>0</v>
      </c>
      <c r="M1492" t="n">
        <v>0</v>
      </c>
      <c r="N1492" t="n">
        <v>0</v>
      </c>
      <c r="O1492" t="n">
        <v>0</v>
      </c>
      <c r="P1492" t="n">
        <v>0</v>
      </c>
      <c r="Q1492" t="n">
        <v>0</v>
      </c>
      <c r="R1492" s="2" t="inlineStr"/>
    </row>
    <row r="1493" ht="15" customHeight="1">
      <c r="A1493" t="inlineStr">
        <is>
          <t>A 15483-2021</t>
        </is>
      </c>
      <c r="B1493" s="1" t="n">
        <v>44285</v>
      </c>
      <c r="C1493" s="1" t="n">
        <v>45724</v>
      </c>
      <c r="D1493" t="inlineStr">
        <is>
          <t>VÄSTMANLANDS LÄN</t>
        </is>
      </c>
      <c r="E1493" t="inlineStr">
        <is>
          <t>SALA</t>
        </is>
      </c>
      <c r="G1493" t="n">
        <v>1.6</v>
      </c>
      <c r="H1493" t="n">
        <v>0</v>
      </c>
      <c r="I1493" t="n">
        <v>0</v>
      </c>
      <c r="J1493" t="n">
        <v>0</v>
      </c>
      <c r="K1493" t="n">
        <v>0</v>
      </c>
      <c r="L1493" t="n">
        <v>0</v>
      </c>
      <c r="M1493" t="n">
        <v>0</v>
      </c>
      <c r="N1493" t="n">
        <v>0</v>
      </c>
      <c r="O1493" t="n">
        <v>0</v>
      </c>
      <c r="P1493" t="n">
        <v>0</v>
      </c>
      <c r="Q1493" t="n">
        <v>0</v>
      </c>
      <c r="R1493" s="2" t="inlineStr"/>
    </row>
    <row r="1494" ht="15" customHeight="1">
      <c r="A1494" t="inlineStr">
        <is>
          <t>A 15584-2021</t>
        </is>
      </c>
      <c r="B1494" s="1" t="n">
        <v>44285</v>
      </c>
      <c r="C1494" s="1" t="n">
        <v>45724</v>
      </c>
      <c r="D1494" t="inlineStr">
        <is>
          <t>VÄSTMANLANDS LÄN</t>
        </is>
      </c>
      <c r="E1494" t="inlineStr">
        <is>
          <t>SALA</t>
        </is>
      </c>
      <c r="G1494" t="n">
        <v>3.4</v>
      </c>
      <c r="H1494" t="n">
        <v>0</v>
      </c>
      <c r="I1494" t="n">
        <v>0</v>
      </c>
      <c r="J1494" t="n">
        <v>0</v>
      </c>
      <c r="K1494" t="n">
        <v>0</v>
      </c>
      <c r="L1494" t="n">
        <v>0</v>
      </c>
      <c r="M1494" t="n">
        <v>0</v>
      </c>
      <c r="N1494" t="n">
        <v>0</v>
      </c>
      <c r="O1494" t="n">
        <v>0</v>
      </c>
      <c r="P1494" t="n">
        <v>0</v>
      </c>
      <c r="Q1494" t="n">
        <v>0</v>
      </c>
      <c r="R1494" s="2" t="inlineStr"/>
    </row>
    <row r="1495" ht="15" customHeight="1">
      <c r="A1495" t="inlineStr">
        <is>
          <t>A 15575-2021</t>
        </is>
      </c>
      <c r="B1495" s="1" t="n">
        <v>44285</v>
      </c>
      <c r="C1495" s="1" t="n">
        <v>45724</v>
      </c>
      <c r="D1495" t="inlineStr">
        <is>
          <t>VÄSTMANLANDS LÄN</t>
        </is>
      </c>
      <c r="E1495" t="inlineStr">
        <is>
          <t>KÖPING</t>
        </is>
      </c>
      <c r="G1495" t="n">
        <v>0.8</v>
      </c>
      <c r="H1495" t="n">
        <v>0</v>
      </c>
      <c r="I1495" t="n">
        <v>0</v>
      </c>
      <c r="J1495" t="n">
        <v>0</v>
      </c>
      <c r="K1495" t="n">
        <v>0</v>
      </c>
      <c r="L1495" t="n">
        <v>0</v>
      </c>
      <c r="M1495" t="n">
        <v>0</v>
      </c>
      <c r="N1495" t="n">
        <v>0</v>
      </c>
      <c r="O1495" t="n">
        <v>0</v>
      </c>
      <c r="P1495" t="n">
        <v>0</v>
      </c>
      <c r="Q1495" t="n">
        <v>0</v>
      </c>
      <c r="R1495" s="2" t="inlineStr"/>
    </row>
    <row r="1496" ht="15" customHeight="1">
      <c r="A1496" t="inlineStr">
        <is>
          <t>A 15809-2021</t>
        </is>
      </c>
      <c r="B1496" s="1" t="n">
        <v>44286</v>
      </c>
      <c r="C1496" s="1" t="n">
        <v>45724</v>
      </c>
      <c r="D1496" t="inlineStr">
        <is>
          <t>VÄSTMANLANDS LÄN</t>
        </is>
      </c>
      <c r="E1496" t="inlineStr">
        <is>
          <t>KUNGSÖR</t>
        </is>
      </c>
      <c r="G1496" t="n">
        <v>0.9</v>
      </c>
      <c r="H1496" t="n">
        <v>0</v>
      </c>
      <c r="I1496" t="n">
        <v>0</v>
      </c>
      <c r="J1496" t="n">
        <v>0</v>
      </c>
      <c r="K1496" t="n">
        <v>0</v>
      </c>
      <c r="L1496" t="n">
        <v>0</v>
      </c>
      <c r="M1496" t="n">
        <v>0</v>
      </c>
      <c r="N1496" t="n">
        <v>0</v>
      </c>
      <c r="O1496" t="n">
        <v>0</v>
      </c>
      <c r="P1496" t="n">
        <v>0</v>
      </c>
      <c r="Q1496" t="n">
        <v>0</v>
      </c>
      <c r="R1496" s="2" t="inlineStr"/>
    </row>
    <row r="1497" ht="15" customHeight="1">
      <c r="A1497" t="inlineStr">
        <is>
          <t>A 15847-2021</t>
        </is>
      </c>
      <c r="B1497" s="1" t="n">
        <v>44286</v>
      </c>
      <c r="C1497" s="1" t="n">
        <v>45724</v>
      </c>
      <c r="D1497" t="inlineStr">
        <is>
          <t>VÄSTMANLANDS LÄN</t>
        </is>
      </c>
      <c r="E1497" t="inlineStr">
        <is>
          <t>KÖPING</t>
        </is>
      </c>
      <c r="G1497" t="n">
        <v>6.6</v>
      </c>
      <c r="H1497" t="n">
        <v>0</v>
      </c>
      <c r="I1497" t="n">
        <v>0</v>
      </c>
      <c r="J1497" t="n">
        <v>0</v>
      </c>
      <c r="K1497" t="n">
        <v>0</v>
      </c>
      <c r="L1497" t="n">
        <v>0</v>
      </c>
      <c r="M1497" t="n">
        <v>0</v>
      </c>
      <c r="N1497" t="n">
        <v>0</v>
      </c>
      <c r="O1497" t="n">
        <v>0</v>
      </c>
      <c r="P1497" t="n">
        <v>0</v>
      </c>
      <c r="Q1497" t="n">
        <v>0</v>
      </c>
      <c r="R1497" s="2" t="inlineStr"/>
    </row>
    <row r="1498" ht="15" customHeight="1">
      <c r="A1498" t="inlineStr">
        <is>
          <t>A 15793-2021</t>
        </is>
      </c>
      <c r="B1498" s="1" t="n">
        <v>44286</v>
      </c>
      <c r="C1498" s="1" t="n">
        <v>45724</v>
      </c>
      <c r="D1498" t="inlineStr">
        <is>
          <t>VÄSTMANLANDS LÄN</t>
        </is>
      </c>
      <c r="E1498" t="inlineStr">
        <is>
          <t>SKINNSKATTEBERG</t>
        </is>
      </c>
      <c r="F1498" t="inlineStr">
        <is>
          <t>Kyrkan</t>
        </is>
      </c>
      <c r="G1498" t="n">
        <v>0.8</v>
      </c>
      <c r="H1498" t="n">
        <v>0</v>
      </c>
      <c r="I1498" t="n">
        <v>0</v>
      </c>
      <c r="J1498" t="n">
        <v>0</v>
      </c>
      <c r="K1498" t="n">
        <v>0</v>
      </c>
      <c r="L1498" t="n">
        <v>0</v>
      </c>
      <c r="M1498" t="n">
        <v>0</v>
      </c>
      <c r="N1498" t="n">
        <v>0</v>
      </c>
      <c r="O1498" t="n">
        <v>0</v>
      </c>
      <c r="P1498" t="n">
        <v>0</v>
      </c>
      <c r="Q1498" t="n">
        <v>0</v>
      </c>
      <c r="R1498" s="2" t="inlineStr"/>
    </row>
    <row r="1499" ht="15" customHeight="1">
      <c r="A1499" t="inlineStr">
        <is>
          <t>A 15840-2021</t>
        </is>
      </c>
      <c r="B1499" s="1" t="n">
        <v>44286</v>
      </c>
      <c r="C1499" s="1" t="n">
        <v>45724</v>
      </c>
      <c r="D1499" t="inlineStr">
        <is>
          <t>VÄSTMANLANDS LÄN</t>
        </is>
      </c>
      <c r="E1499" t="inlineStr">
        <is>
          <t>SKINNSKATTEBERG</t>
        </is>
      </c>
      <c r="F1499" t="inlineStr">
        <is>
          <t>Sveaskog</t>
        </is>
      </c>
      <c r="G1499" t="n">
        <v>0.9</v>
      </c>
      <c r="H1499" t="n">
        <v>0</v>
      </c>
      <c r="I1499" t="n">
        <v>0</v>
      </c>
      <c r="J1499" t="n">
        <v>0</v>
      </c>
      <c r="K1499" t="n">
        <v>0</v>
      </c>
      <c r="L1499" t="n">
        <v>0</v>
      </c>
      <c r="M1499" t="n">
        <v>0</v>
      </c>
      <c r="N1499" t="n">
        <v>0</v>
      </c>
      <c r="O1499" t="n">
        <v>0</v>
      </c>
      <c r="P1499" t="n">
        <v>0</v>
      </c>
      <c r="Q1499" t="n">
        <v>0</v>
      </c>
      <c r="R1499" s="2" t="inlineStr"/>
    </row>
    <row r="1500" ht="15" customHeight="1">
      <c r="A1500" t="inlineStr">
        <is>
          <t>A 15832-2021</t>
        </is>
      </c>
      <c r="B1500" s="1" t="n">
        <v>44286</v>
      </c>
      <c r="C1500" s="1" t="n">
        <v>45724</v>
      </c>
      <c r="D1500" t="inlineStr">
        <is>
          <t>VÄSTMANLANDS LÄN</t>
        </is>
      </c>
      <c r="E1500" t="inlineStr">
        <is>
          <t>KUNGSÖR</t>
        </is>
      </c>
      <c r="G1500" t="n">
        <v>1.8</v>
      </c>
      <c r="H1500" t="n">
        <v>0</v>
      </c>
      <c r="I1500" t="n">
        <v>0</v>
      </c>
      <c r="J1500" t="n">
        <v>0</v>
      </c>
      <c r="K1500" t="n">
        <v>0</v>
      </c>
      <c r="L1500" t="n">
        <v>0</v>
      </c>
      <c r="M1500" t="n">
        <v>0</v>
      </c>
      <c r="N1500" t="n">
        <v>0</v>
      </c>
      <c r="O1500" t="n">
        <v>0</v>
      </c>
      <c r="P1500" t="n">
        <v>0</v>
      </c>
      <c r="Q1500" t="n">
        <v>0</v>
      </c>
      <c r="R1500" s="2" t="inlineStr"/>
    </row>
    <row r="1501" ht="15" customHeight="1">
      <c r="A1501" t="inlineStr">
        <is>
          <t>A 16315-2021</t>
        </is>
      </c>
      <c r="B1501" s="1" t="n">
        <v>44292</v>
      </c>
      <c r="C1501" s="1" t="n">
        <v>45724</v>
      </c>
      <c r="D1501" t="inlineStr">
        <is>
          <t>VÄSTMANLANDS LÄN</t>
        </is>
      </c>
      <c r="E1501" t="inlineStr">
        <is>
          <t>SKINNSKATTEBERG</t>
        </is>
      </c>
      <c r="F1501" t="inlineStr">
        <is>
          <t>Sveaskog</t>
        </is>
      </c>
      <c r="G1501" t="n">
        <v>1.6</v>
      </c>
      <c r="H1501" t="n">
        <v>0</v>
      </c>
      <c r="I1501" t="n">
        <v>0</v>
      </c>
      <c r="J1501" t="n">
        <v>0</v>
      </c>
      <c r="K1501" t="n">
        <v>0</v>
      </c>
      <c r="L1501" t="n">
        <v>0</v>
      </c>
      <c r="M1501" t="n">
        <v>0</v>
      </c>
      <c r="N1501" t="n">
        <v>0</v>
      </c>
      <c r="O1501" t="n">
        <v>0</v>
      </c>
      <c r="P1501" t="n">
        <v>0</v>
      </c>
      <c r="Q1501" t="n">
        <v>0</v>
      </c>
      <c r="R1501" s="2" t="inlineStr"/>
    </row>
    <row r="1502" ht="15" customHeight="1">
      <c r="A1502" t="inlineStr">
        <is>
          <t>A 16415-2021</t>
        </is>
      </c>
      <c r="B1502" s="1" t="n">
        <v>44293</v>
      </c>
      <c r="C1502" s="1" t="n">
        <v>45724</v>
      </c>
      <c r="D1502" t="inlineStr">
        <is>
          <t>VÄSTMANLANDS LÄN</t>
        </is>
      </c>
      <c r="E1502" t="inlineStr">
        <is>
          <t>SKINNSKATTEBERG</t>
        </is>
      </c>
      <c r="F1502" t="inlineStr">
        <is>
          <t>Sveaskog</t>
        </is>
      </c>
      <c r="G1502" t="n">
        <v>4.9</v>
      </c>
      <c r="H1502" t="n">
        <v>0</v>
      </c>
      <c r="I1502" t="n">
        <v>0</v>
      </c>
      <c r="J1502" t="n">
        <v>0</v>
      </c>
      <c r="K1502" t="n">
        <v>0</v>
      </c>
      <c r="L1502" t="n">
        <v>0</v>
      </c>
      <c r="M1502" t="n">
        <v>0</v>
      </c>
      <c r="N1502" t="n">
        <v>0</v>
      </c>
      <c r="O1502" t="n">
        <v>0</v>
      </c>
      <c r="P1502" t="n">
        <v>0</v>
      </c>
      <c r="Q1502" t="n">
        <v>0</v>
      </c>
      <c r="R1502" s="2" t="inlineStr"/>
    </row>
    <row r="1503" ht="15" customHeight="1">
      <c r="A1503" t="inlineStr">
        <is>
          <t>A 16450-2021</t>
        </is>
      </c>
      <c r="B1503" s="1" t="n">
        <v>44293</v>
      </c>
      <c r="C1503" s="1" t="n">
        <v>45724</v>
      </c>
      <c r="D1503" t="inlineStr">
        <is>
          <t>VÄSTMANLANDS LÄN</t>
        </is>
      </c>
      <c r="E1503" t="inlineStr">
        <is>
          <t>ARBOGA</t>
        </is>
      </c>
      <c r="G1503" t="n">
        <v>7.2</v>
      </c>
      <c r="H1503" t="n">
        <v>0</v>
      </c>
      <c r="I1503" t="n">
        <v>0</v>
      </c>
      <c r="J1503" t="n">
        <v>0</v>
      </c>
      <c r="K1503" t="n">
        <v>0</v>
      </c>
      <c r="L1503" t="n">
        <v>0</v>
      </c>
      <c r="M1503" t="n">
        <v>0</v>
      </c>
      <c r="N1503" t="n">
        <v>0</v>
      </c>
      <c r="O1503" t="n">
        <v>0</v>
      </c>
      <c r="P1503" t="n">
        <v>0</v>
      </c>
      <c r="Q1503" t="n">
        <v>0</v>
      </c>
      <c r="R1503" s="2" t="inlineStr"/>
    </row>
    <row r="1504" ht="15" customHeight="1">
      <c r="A1504" t="inlineStr">
        <is>
          <t>A 16601-2021</t>
        </is>
      </c>
      <c r="B1504" s="1" t="n">
        <v>44294</v>
      </c>
      <c r="C1504" s="1" t="n">
        <v>45724</v>
      </c>
      <c r="D1504" t="inlineStr">
        <is>
          <t>VÄSTMANLANDS LÄN</t>
        </is>
      </c>
      <c r="E1504" t="inlineStr">
        <is>
          <t>VÄSTERÅS</t>
        </is>
      </c>
      <c r="G1504" t="n">
        <v>0.8</v>
      </c>
      <c r="H1504" t="n">
        <v>0</v>
      </c>
      <c r="I1504" t="n">
        <v>0</v>
      </c>
      <c r="J1504" t="n">
        <v>0</v>
      </c>
      <c r="K1504" t="n">
        <v>0</v>
      </c>
      <c r="L1504" t="n">
        <v>0</v>
      </c>
      <c r="M1504" t="n">
        <v>0</v>
      </c>
      <c r="N1504" t="n">
        <v>0</v>
      </c>
      <c r="O1504" t="n">
        <v>0</v>
      </c>
      <c r="P1504" t="n">
        <v>0</v>
      </c>
      <c r="Q1504" t="n">
        <v>0</v>
      </c>
      <c r="R1504" s="2" t="inlineStr"/>
    </row>
    <row r="1505" ht="15" customHeight="1">
      <c r="A1505" t="inlineStr">
        <is>
          <t>A 16651-2021</t>
        </is>
      </c>
      <c r="B1505" s="1" t="n">
        <v>44294</v>
      </c>
      <c r="C1505" s="1" t="n">
        <v>45724</v>
      </c>
      <c r="D1505" t="inlineStr">
        <is>
          <t>VÄSTMANLANDS LÄN</t>
        </is>
      </c>
      <c r="E1505" t="inlineStr">
        <is>
          <t>SALA</t>
        </is>
      </c>
      <c r="G1505" t="n">
        <v>7.7</v>
      </c>
      <c r="H1505" t="n">
        <v>0</v>
      </c>
      <c r="I1505" t="n">
        <v>0</v>
      </c>
      <c r="J1505" t="n">
        <v>0</v>
      </c>
      <c r="K1505" t="n">
        <v>0</v>
      </c>
      <c r="L1505" t="n">
        <v>0</v>
      </c>
      <c r="M1505" t="n">
        <v>0</v>
      </c>
      <c r="N1505" t="n">
        <v>0</v>
      </c>
      <c r="O1505" t="n">
        <v>0</v>
      </c>
      <c r="P1505" t="n">
        <v>0</v>
      </c>
      <c r="Q1505" t="n">
        <v>0</v>
      </c>
      <c r="R1505" s="2" t="inlineStr"/>
    </row>
    <row r="1506" ht="15" customHeight="1">
      <c r="A1506" t="inlineStr">
        <is>
          <t>A 16798-2021</t>
        </is>
      </c>
      <c r="B1506" s="1" t="n">
        <v>44295</v>
      </c>
      <c r="C1506" s="1" t="n">
        <v>45724</v>
      </c>
      <c r="D1506" t="inlineStr">
        <is>
          <t>VÄSTMANLANDS LÄN</t>
        </is>
      </c>
      <c r="E1506" t="inlineStr">
        <is>
          <t>FAGERSTA</t>
        </is>
      </c>
      <c r="G1506" t="n">
        <v>7.9</v>
      </c>
      <c r="H1506" t="n">
        <v>0</v>
      </c>
      <c r="I1506" t="n">
        <v>0</v>
      </c>
      <c r="J1506" t="n">
        <v>0</v>
      </c>
      <c r="K1506" t="n">
        <v>0</v>
      </c>
      <c r="L1506" t="n">
        <v>0</v>
      </c>
      <c r="M1506" t="n">
        <v>0</v>
      </c>
      <c r="N1506" t="n">
        <v>0</v>
      </c>
      <c r="O1506" t="n">
        <v>0</v>
      </c>
      <c r="P1506" t="n">
        <v>0</v>
      </c>
      <c r="Q1506" t="n">
        <v>0</v>
      </c>
      <c r="R1506" s="2" t="inlineStr"/>
    </row>
    <row r="1507" ht="15" customHeight="1">
      <c r="A1507" t="inlineStr">
        <is>
          <t>A 17103-2021</t>
        </is>
      </c>
      <c r="B1507" s="1" t="n">
        <v>44298</v>
      </c>
      <c r="C1507" s="1" t="n">
        <v>45724</v>
      </c>
      <c r="D1507" t="inlineStr">
        <is>
          <t>VÄSTMANLANDS LÄN</t>
        </is>
      </c>
      <c r="E1507" t="inlineStr">
        <is>
          <t>NORBERG</t>
        </is>
      </c>
      <c r="F1507" t="inlineStr">
        <is>
          <t>Övriga Aktiebolag</t>
        </is>
      </c>
      <c r="G1507" t="n">
        <v>1</v>
      </c>
      <c r="H1507" t="n">
        <v>0</v>
      </c>
      <c r="I1507" t="n">
        <v>0</v>
      </c>
      <c r="J1507" t="n">
        <v>0</v>
      </c>
      <c r="K1507" t="n">
        <v>0</v>
      </c>
      <c r="L1507" t="n">
        <v>0</v>
      </c>
      <c r="M1507" t="n">
        <v>0</v>
      </c>
      <c r="N1507" t="n">
        <v>0</v>
      </c>
      <c r="O1507" t="n">
        <v>0</v>
      </c>
      <c r="P1507" t="n">
        <v>0</v>
      </c>
      <c r="Q1507" t="n">
        <v>0</v>
      </c>
      <c r="R1507" s="2" t="inlineStr"/>
    </row>
    <row r="1508" ht="15" customHeight="1">
      <c r="A1508" t="inlineStr">
        <is>
          <t>A 17506-2021</t>
        </is>
      </c>
      <c r="B1508" s="1" t="n">
        <v>44298</v>
      </c>
      <c r="C1508" s="1" t="n">
        <v>45724</v>
      </c>
      <c r="D1508" t="inlineStr">
        <is>
          <t>VÄSTMANLANDS LÄN</t>
        </is>
      </c>
      <c r="E1508" t="inlineStr">
        <is>
          <t>SKINNSKATTEBERG</t>
        </is>
      </c>
      <c r="G1508" t="n">
        <v>4.3</v>
      </c>
      <c r="H1508" t="n">
        <v>0</v>
      </c>
      <c r="I1508" t="n">
        <v>0</v>
      </c>
      <c r="J1508" t="n">
        <v>0</v>
      </c>
      <c r="K1508" t="n">
        <v>0</v>
      </c>
      <c r="L1508" t="n">
        <v>0</v>
      </c>
      <c r="M1508" t="n">
        <v>0</v>
      </c>
      <c r="N1508" t="n">
        <v>0</v>
      </c>
      <c r="O1508" t="n">
        <v>0</v>
      </c>
      <c r="P1508" t="n">
        <v>0</v>
      </c>
      <c r="Q1508" t="n">
        <v>0</v>
      </c>
      <c r="R1508" s="2" t="inlineStr"/>
    </row>
    <row r="1509" ht="15" customHeight="1">
      <c r="A1509" t="inlineStr">
        <is>
          <t>A 17786-2021</t>
        </is>
      </c>
      <c r="B1509" s="1" t="n">
        <v>44300</v>
      </c>
      <c r="C1509" s="1" t="n">
        <v>45724</v>
      </c>
      <c r="D1509" t="inlineStr">
        <is>
          <t>VÄSTMANLANDS LÄN</t>
        </is>
      </c>
      <c r="E1509" t="inlineStr">
        <is>
          <t>FAGERSTA</t>
        </is>
      </c>
      <c r="F1509" t="inlineStr">
        <is>
          <t>Sveaskog</t>
        </is>
      </c>
      <c r="G1509" t="n">
        <v>1.5</v>
      </c>
      <c r="H1509" t="n">
        <v>0</v>
      </c>
      <c r="I1509" t="n">
        <v>0</v>
      </c>
      <c r="J1509" t="n">
        <v>0</v>
      </c>
      <c r="K1509" t="n">
        <v>0</v>
      </c>
      <c r="L1509" t="n">
        <v>0</v>
      </c>
      <c r="M1509" t="n">
        <v>0</v>
      </c>
      <c r="N1509" t="n">
        <v>0</v>
      </c>
      <c r="O1509" t="n">
        <v>0</v>
      </c>
      <c r="P1509" t="n">
        <v>0</v>
      </c>
      <c r="Q1509" t="n">
        <v>0</v>
      </c>
      <c r="R1509" s="2" t="inlineStr"/>
    </row>
    <row r="1510" ht="15" customHeight="1">
      <c r="A1510" t="inlineStr">
        <is>
          <t>A 17778-2021</t>
        </is>
      </c>
      <c r="B1510" s="1" t="n">
        <v>44300</v>
      </c>
      <c r="C1510" s="1" t="n">
        <v>45724</v>
      </c>
      <c r="D1510" t="inlineStr">
        <is>
          <t>VÄSTMANLANDS LÄN</t>
        </is>
      </c>
      <c r="E1510" t="inlineStr">
        <is>
          <t>FAGERSTA</t>
        </is>
      </c>
      <c r="F1510" t="inlineStr">
        <is>
          <t>Sveaskog</t>
        </is>
      </c>
      <c r="G1510" t="n">
        <v>2.2</v>
      </c>
      <c r="H1510" t="n">
        <v>0</v>
      </c>
      <c r="I1510" t="n">
        <v>0</v>
      </c>
      <c r="J1510" t="n">
        <v>0</v>
      </c>
      <c r="K1510" t="n">
        <v>0</v>
      </c>
      <c r="L1510" t="n">
        <v>0</v>
      </c>
      <c r="M1510" t="n">
        <v>0</v>
      </c>
      <c r="N1510" t="n">
        <v>0</v>
      </c>
      <c r="O1510" t="n">
        <v>0</v>
      </c>
      <c r="P1510" t="n">
        <v>0</v>
      </c>
      <c r="Q1510" t="n">
        <v>0</v>
      </c>
      <c r="R1510" s="2" t="inlineStr"/>
    </row>
    <row r="1511" ht="15" customHeight="1">
      <c r="A1511" t="inlineStr">
        <is>
          <t>A 18046-2021</t>
        </is>
      </c>
      <c r="B1511" s="1" t="n">
        <v>44301</v>
      </c>
      <c r="C1511" s="1" t="n">
        <v>45724</v>
      </c>
      <c r="D1511" t="inlineStr">
        <is>
          <t>VÄSTMANLANDS LÄN</t>
        </is>
      </c>
      <c r="E1511" t="inlineStr">
        <is>
          <t>SALA</t>
        </is>
      </c>
      <c r="G1511" t="n">
        <v>3.5</v>
      </c>
      <c r="H1511" t="n">
        <v>0</v>
      </c>
      <c r="I1511" t="n">
        <v>0</v>
      </c>
      <c r="J1511" t="n">
        <v>0</v>
      </c>
      <c r="K1511" t="n">
        <v>0</v>
      </c>
      <c r="L1511" t="n">
        <v>0</v>
      </c>
      <c r="M1511" t="n">
        <v>0</v>
      </c>
      <c r="N1511" t="n">
        <v>0</v>
      </c>
      <c r="O1511" t="n">
        <v>0</v>
      </c>
      <c r="P1511" t="n">
        <v>0</v>
      </c>
      <c r="Q1511" t="n">
        <v>0</v>
      </c>
      <c r="R1511" s="2" t="inlineStr"/>
    </row>
    <row r="1512" ht="15" customHeight="1">
      <c r="A1512" t="inlineStr">
        <is>
          <t>A 18189-2021</t>
        </is>
      </c>
      <c r="B1512" s="1" t="n">
        <v>44302</v>
      </c>
      <c r="C1512" s="1" t="n">
        <v>45724</v>
      </c>
      <c r="D1512" t="inlineStr">
        <is>
          <t>VÄSTMANLANDS LÄN</t>
        </is>
      </c>
      <c r="E1512" t="inlineStr">
        <is>
          <t>SALA</t>
        </is>
      </c>
      <c r="G1512" t="n">
        <v>0.7</v>
      </c>
      <c r="H1512" t="n">
        <v>0</v>
      </c>
      <c r="I1512" t="n">
        <v>0</v>
      </c>
      <c r="J1512" t="n">
        <v>0</v>
      </c>
      <c r="K1512" t="n">
        <v>0</v>
      </c>
      <c r="L1512" t="n">
        <v>0</v>
      </c>
      <c r="M1512" t="n">
        <v>0</v>
      </c>
      <c r="N1512" t="n">
        <v>0</v>
      </c>
      <c r="O1512" t="n">
        <v>0</v>
      </c>
      <c r="P1512" t="n">
        <v>0</v>
      </c>
      <c r="Q1512" t="n">
        <v>0</v>
      </c>
      <c r="R1512" s="2" t="inlineStr"/>
    </row>
    <row r="1513" ht="15" customHeight="1">
      <c r="A1513" t="inlineStr">
        <is>
          <t>A 18259-2021</t>
        </is>
      </c>
      <c r="B1513" s="1" t="n">
        <v>44305</v>
      </c>
      <c r="C1513" s="1" t="n">
        <v>45724</v>
      </c>
      <c r="D1513" t="inlineStr">
        <is>
          <t>VÄSTMANLANDS LÄN</t>
        </is>
      </c>
      <c r="E1513" t="inlineStr">
        <is>
          <t>SALA</t>
        </is>
      </c>
      <c r="G1513" t="n">
        <v>0</v>
      </c>
      <c r="H1513" t="n">
        <v>0</v>
      </c>
      <c r="I1513" t="n">
        <v>0</v>
      </c>
      <c r="J1513" t="n">
        <v>0</v>
      </c>
      <c r="K1513" t="n">
        <v>0</v>
      </c>
      <c r="L1513" t="n">
        <v>0</v>
      </c>
      <c r="M1513" t="n">
        <v>0</v>
      </c>
      <c r="N1513" t="n">
        <v>0</v>
      </c>
      <c r="O1513" t="n">
        <v>0</v>
      </c>
      <c r="P1513" t="n">
        <v>0</v>
      </c>
      <c r="Q1513" t="n">
        <v>0</v>
      </c>
      <c r="R1513" s="2" t="inlineStr"/>
    </row>
    <row r="1514" ht="15" customHeight="1">
      <c r="A1514" t="inlineStr">
        <is>
          <t>A 18378-2021</t>
        </is>
      </c>
      <c r="B1514" s="1" t="n">
        <v>44305</v>
      </c>
      <c r="C1514" s="1" t="n">
        <v>45724</v>
      </c>
      <c r="D1514" t="inlineStr">
        <is>
          <t>VÄSTMANLANDS LÄN</t>
        </is>
      </c>
      <c r="E1514" t="inlineStr">
        <is>
          <t>SALA</t>
        </is>
      </c>
      <c r="F1514" t="inlineStr">
        <is>
          <t>Kommuner</t>
        </is>
      </c>
      <c r="G1514" t="n">
        <v>0.9</v>
      </c>
      <c r="H1514" t="n">
        <v>0</v>
      </c>
      <c r="I1514" t="n">
        <v>0</v>
      </c>
      <c r="J1514" t="n">
        <v>0</v>
      </c>
      <c r="K1514" t="n">
        <v>0</v>
      </c>
      <c r="L1514" t="n">
        <v>0</v>
      </c>
      <c r="M1514" t="n">
        <v>0</v>
      </c>
      <c r="N1514" t="n">
        <v>0</v>
      </c>
      <c r="O1514" t="n">
        <v>0</v>
      </c>
      <c r="P1514" t="n">
        <v>0</v>
      </c>
      <c r="Q1514" t="n">
        <v>0</v>
      </c>
      <c r="R1514" s="2" t="inlineStr"/>
    </row>
    <row r="1515" ht="15" customHeight="1">
      <c r="A1515" t="inlineStr">
        <is>
          <t>A 18385-2021</t>
        </is>
      </c>
      <c r="B1515" s="1" t="n">
        <v>44305</v>
      </c>
      <c r="C1515" s="1" t="n">
        <v>45724</v>
      </c>
      <c r="D1515" t="inlineStr">
        <is>
          <t>VÄSTMANLANDS LÄN</t>
        </is>
      </c>
      <c r="E1515" t="inlineStr">
        <is>
          <t>SALA</t>
        </is>
      </c>
      <c r="F1515" t="inlineStr">
        <is>
          <t>Kommuner</t>
        </is>
      </c>
      <c r="G1515" t="n">
        <v>0.6</v>
      </c>
      <c r="H1515" t="n">
        <v>0</v>
      </c>
      <c r="I1515" t="n">
        <v>0</v>
      </c>
      <c r="J1515" t="n">
        <v>0</v>
      </c>
      <c r="K1515" t="n">
        <v>0</v>
      </c>
      <c r="L1515" t="n">
        <v>0</v>
      </c>
      <c r="M1515" t="n">
        <v>0</v>
      </c>
      <c r="N1515" t="n">
        <v>0</v>
      </c>
      <c r="O1515" t="n">
        <v>0</v>
      </c>
      <c r="P1515" t="n">
        <v>0</v>
      </c>
      <c r="Q1515" t="n">
        <v>0</v>
      </c>
      <c r="R1515" s="2" t="inlineStr"/>
    </row>
    <row r="1516" ht="15" customHeight="1">
      <c r="A1516" t="inlineStr">
        <is>
          <t>A 18723-2021</t>
        </is>
      </c>
      <c r="B1516" s="1" t="n">
        <v>44306</v>
      </c>
      <c r="C1516" s="1" t="n">
        <v>45724</v>
      </c>
      <c r="D1516" t="inlineStr">
        <is>
          <t>VÄSTMANLANDS LÄN</t>
        </is>
      </c>
      <c r="E1516" t="inlineStr">
        <is>
          <t>SURAHAMMAR</t>
        </is>
      </c>
      <c r="F1516" t="inlineStr">
        <is>
          <t>Bergvik skog väst AB</t>
        </is>
      </c>
      <c r="G1516" t="n">
        <v>3.9</v>
      </c>
      <c r="H1516" t="n">
        <v>0</v>
      </c>
      <c r="I1516" t="n">
        <v>0</v>
      </c>
      <c r="J1516" t="n">
        <v>0</v>
      </c>
      <c r="K1516" t="n">
        <v>0</v>
      </c>
      <c r="L1516" t="n">
        <v>0</v>
      </c>
      <c r="M1516" t="n">
        <v>0</v>
      </c>
      <c r="N1516" t="n">
        <v>0</v>
      </c>
      <c r="O1516" t="n">
        <v>0</v>
      </c>
      <c r="P1516" t="n">
        <v>0</v>
      </c>
      <c r="Q1516" t="n">
        <v>0</v>
      </c>
      <c r="R1516" s="2" t="inlineStr"/>
    </row>
    <row r="1517" ht="15" customHeight="1">
      <c r="A1517" t="inlineStr">
        <is>
          <t>A 18951-2021</t>
        </is>
      </c>
      <c r="B1517" s="1" t="n">
        <v>44308</v>
      </c>
      <c r="C1517" s="1" t="n">
        <v>45724</v>
      </c>
      <c r="D1517" t="inlineStr">
        <is>
          <t>VÄSTMANLANDS LÄN</t>
        </is>
      </c>
      <c r="E1517" t="inlineStr">
        <is>
          <t>SALA</t>
        </is>
      </c>
      <c r="G1517" t="n">
        <v>0.3</v>
      </c>
      <c r="H1517" t="n">
        <v>0</v>
      </c>
      <c r="I1517" t="n">
        <v>0</v>
      </c>
      <c r="J1517" t="n">
        <v>0</v>
      </c>
      <c r="K1517" t="n">
        <v>0</v>
      </c>
      <c r="L1517" t="n">
        <v>0</v>
      </c>
      <c r="M1517" t="n">
        <v>0</v>
      </c>
      <c r="N1517" t="n">
        <v>0</v>
      </c>
      <c r="O1517" t="n">
        <v>0</v>
      </c>
      <c r="P1517" t="n">
        <v>0</v>
      </c>
      <c r="Q1517" t="n">
        <v>0</v>
      </c>
      <c r="R1517" s="2" t="inlineStr"/>
    </row>
    <row r="1518" ht="15" customHeight="1">
      <c r="A1518" t="inlineStr">
        <is>
          <t>A 19002-2021</t>
        </is>
      </c>
      <c r="B1518" s="1" t="n">
        <v>44308</v>
      </c>
      <c r="C1518" s="1" t="n">
        <v>45724</v>
      </c>
      <c r="D1518" t="inlineStr">
        <is>
          <t>VÄSTMANLANDS LÄN</t>
        </is>
      </c>
      <c r="E1518" t="inlineStr">
        <is>
          <t>SKINNSKATTEBERG</t>
        </is>
      </c>
      <c r="F1518" t="inlineStr">
        <is>
          <t>Sveaskog</t>
        </is>
      </c>
      <c r="G1518" t="n">
        <v>2.5</v>
      </c>
      <c r="H1518" t="n">
        <v>0</v>
      </c>
      <c r="I1518" t="n">
        <v>0</v>
      </c>
      <c r="J1518" t="n">
        <v>0</v>
      </c>
      <c r="K1518" t="n">
        <v>0</v>
      </c>
      <c r="L1518" t="n">
        <v>0</v>
      </c>
      <c r="M1518" t="n">
        <v>0</v>
      </c>
      <c r="N1518" t="n">
        <v>0</v>
      </c>
      <c r="O1518" t="n">
        <v>0</v>
      </c>
      <c r="P1518" t="n">
        <v>0</v>
      </c>
      <c r="Q1518" t="n">
        <v>0</v>
      </c>
      <c r="R1518" s="2" t="inlineStr"/>
    </row>
    <row r="1519" ht="15" customHeight="1">
      <c r="A1519" t="inlineStr">
        <is>
          <t>A 19030-2021</t>
        </is>
      </c>
      <c r="B1519" s="1" t="n">
        <v>44308</v>
      </c>
      <c r="C1519" s="1" t="n">
        <v>45724</v>
      </c>
      <c r="D1519" t="inlineStr">
        <is>
          <t>VÄSTMANLANDS LÄN</t>
        </is>
      </c>
      <c r="E1519" t="inlineStr">
        <is>
          <t>NORBERG</t>
        </is>
      </c>
      <c r="G1519" t="n">
        <v>0.9</v>
      </c>
      <c r="H1519" t="n">
        <v>0</v>
      </c>
      <c r="I1519" t="n">
        <v>0</v>
      </c>
      <c r="J1519" t="n">
        <v>0</v>
      </c>
      <c r="K1519" t="n">
        <v>0</v>
      </c>
      <c r="L1519" t="n">
        <v>0</v>
      </c>
      <c r="M1519" t="n">
        <v>0</v>
      </c>
      <c r="N1519" t="n">
        <v>0</v>
      </c>
      <c r="O1519" t="n">
        <v>0</v>
      </c>
      <c r="P1519" t="n">
        <v>0</v>
      </c>
      <c r="Q1519" t="n">
        <v>0</v>
      </c>
      <c r="R1519" s="2" t="inlineStr"/>
    </row>
    <row r="1520" ht="15" customHeight="1">
      <c r="A1520" t="inlineStr">
        <is>
          <t>A 19038-2021</t>
        </is>
      </c>
      <c r="B1520" s="1" t="n">
        <v>44308</v>
      </c>
      <c r="C1520" s="1" t="n">
        <v>45724</v>
      </c>
      <c r="D1520" t="inlineStr">
        <is>
          <t>VÄSTMANLANDS LÄN</t>
        </is>
      </c>
      <c r="E1520" t="inlineStr">
        <is>
          <t>SKINNSKATTEBERG</t>
        </is>
      </c>
      <c r="F1520" t="inlineStr">
        <is>
          <t>Sveaskog</t>
        </is>
      </c>
      <c r="G1520" t="n">
        <v>2.2</v>
      </c>
      <c r="H1520" t="n">
        <v>0</v>
      </c>
      <c r="I1520" t="n">
        <v>0</v>
      </c>
      <c r="J1520" t="n">
        <v>0</v>
      </c>
      <c r="K1520" t="n">
        <v>0</v>
      </c>
      <c r="L1520" t="n">
        <v>0</v>
      </c>
      <c r="M1520" t="n">
        <v>0</v>
      </c>
      <c r="N1520" t="n">
        <v>0</v>
      </c>
      <c r="O1520" t="n">
        <v>0</v>
      </c>
      <c r="P1520" t="n">
        <v>0</v>
      </c>
      <c r="Q1520" t="n">
        <v>0</v>
      </c>
      <c r="R1520" s="2" t="inlineStr"/>
    </row>
    <row r="1521" ht="15" customHeight="1">
      <c r="A1521" t="inlineStr">
        <is>
          <t>A 19000-2021</t>
        </is>
      </c>
      <c r="B1521" s="1" t="n">
        <v>44308</v>
      </c>
      <c r="C1521" s="1" t="n">
        <v>45724</v>
      </c>
      <c r="D1521" t="inlineStr">
        <is>
          <t>VÄSTMANLANDS LÄN</t>
        </is>
      </c>
      <c r="E1521" t="inlineStr">
        <is>
          <t>SKINNSKATTEBERG</t>
        </is>
      </c>
      <c r="F1521" t="inlineStr">
        <is>
          <t>Sveaskog</t>
        </is>
      </c>
      <c r="G1521" t="n">
        <v>2</v>
      </c>
      <c r="H1521" t="n">
        <v>0</v>
      </c>
      <c r="I1521" t="n">
        <v>0</v>
      </c>
      <c r="J1521" t="n">
        <v>0</v>
      </c>
      <c r="K1521" t="n">
        <v>0</v>
      </c>
      <c r="L1521" t="n">
        <v>0</v>
      </c>
      <c r="M1521" t="n">
        <v>0</v>
      </c>
      <c r="N1521" t="n">
        <v>0</v>
      </c>
      <c r="O1521" t="n">
        <v>0</v>
      </c>
      <c r="P1521" t="n">
        <v>0</v>
      </c>
      <c r="Q1521" t="n">
        <v>0</v>
      </c>
      <c r="R1521" s="2" t="inlineStr"/>
    </row>
    <row r="1522" ht="15" customHeight="1">
      <c r="A1522" t="inlineStr">
        <is>
          <t>A 19016-2021</t>
        </is>
      </c>
      <c r="B1522" s="1" t="n">
        <v>44308</v>
      </c>
      <c r="C1522" s="1" t="n">
        <v>45724</v>
      </c>
      <c r="D1522" t="inlineStr">
        <is>
          <t>VÄSTMANLANDS LÄN</t>
        </is>
      </c>
      <c r="E1522" t="inlineStr">
        <is>
          <t>SKINNSKATTEBERG</t>
        </is>
      </c>
      <c r="F1522" t="inlineStr">
        <is>
          <t>Sveaskog</t>
        </is>
      </c>
      <c r="G1522" t="n">
        <v>1.6</v>
      </c>
      <c r="H1522" t="n">
        <v>0</v>
      </c>
      <c r="I1522" t="n">
        <v>0</v>
      </c>
      <c r="J1522" t="n">
        <v>0</v>
      </c>
      <c r="K1522" t="n">
        <v>0</v>
      </c>
      <c r="L1522" t="n">
        <v>0</v>
      </c>
      <c r="M1522" t="n">
        <v>0</v>
      </c>
      <c r="N1522" t="n">
        <v>0</v>
      </c>
      <c r="O1522" t="n">
        <v>0</v>
      </c>
      <c r="P1522" t="n">
        <v>0</v>
      </c>
      <c r="Q1522" t="n">
        <v>0</v>
      </c>
      <c r="R1522" s="2" t="inlineStr"/>
    </row>
    <row r="1523" ht="15" customHeight="1">
      <c r="A1523" t="inlineStr">
        <is>
          <t>A 19035-2021</t>
        </is>
      </c>
      <c r="B1523" s="1" t="n">
        <v>44308</v>
      </c>
      <c r="C1523" s="1" t="n">
        <v>45724</v>
      </c>
      <c r="D1523" t="inlineStr">
        <is>
          <t>VÄSTMANLANDS LÄN</t>
        </is>
      </c>
      <c r="E1523" t="inlineStr">
        <is>
          <t>SKINNSKATTEBERG</t>
        </is>
      </c>
      <c r="F1523" t="inlineStr">
        <is>
          <t>Sveaskog</t>
        </is>
      </c>
      <c r="G1523" t="n">
        <v>9</v>
      </c>
      <c r="H1523" t="n">
        <v>0</v>
      </c>
      <c r="I1523" t="n">
        <v>0</v>
      </c>
      <c r="J1523" t="n">
        <v>0</v>
      </c>
      <c r="K1523" t="n">
        <v>0</v>
      </c>
      <c r="L1523" t="n">
        <v>0</v>
      </c>
      <c r="M1523" t="n">
        <v>0</v>
      </c>
      <c r="N1523" t="n">
        <v>0</v>
      </c>
      <c r="O1523" t="n">
        <v>0</v>
      </c>
      <c r="P1523" t="n">
        <v>0</v>
      </c>
      <c r="Q1523" t="n">
        <v>0</v>
      </c>
      <c r="R1523" s="2" t="inlineStr"/>
    </row>
    <row r="1524" ht="15" customHeight="1">
      <c r="A1524" t="inlineStr">
        <is>
          <t>A 19013-2021</t>
        </is>
      </c>
      <c r="B1524" s="1" t="n">
        <v>44308</v>
      </c>
      <c r="C1524" s="1" t="n">
        <v>45724</v>
      </c>
      <c r="D1524" t="inlineStr">
        <is>
          <t>VÄSTMANLANDS LÄN</t>
        </is>
      </c>
      <c r="E1524" t="inlineStr">
        <is>
          <t>SKINNSKATTEBERG</t>
        </is>
      </c>
      <c r="F1524" t="inlineStr">
        <is>
          <t>Sveaskog</t>
        </is>
      </c>
      <c r="G1524" t="n">
        <v>3.7</v>
      </c>
      <c r="H1524" t="n">
        <v>0</v>
      </c>
      <c r="I1524" t="n">
        <v>0</v>
      </c>
      <c r="J1524" t="n">
        <v>0</v>
      </c>
      <c r="K1524" t="n">
        <v>0</v>
      </c>
      <c r="L1524" t="n">
        <v>0</v>
      </c>
      <c r="M1524" t="n">
        <v>0</v>
      </c>
      <c r="N1524" t="n">
        <v>0</v>
      </c>
      <c r="O1524" t="n">
        <v>0</v>
      </c>
      <c r="P1524" t="n">
        <v>0</v>
      </c>
      <c r="Q1524" t="n">
        <v>0</v>
      </c>
      <c r="R1524" s="2" t="inlineStr"/>
    </row>
    <row r="1525" ht="15" customHeight="1">
      <c r="A1525" t="inlineStr">
        <is>
          <t>A 18957-2021</t>
        </is>
      </c>
      <c r="B1525" s="1" t="n">
        <v>44308</v>
      </c>
      <c r="C1525" s="1" t="n">
        <v>45724</v>
      </c>
      <c r="D1525" t="inlineStr">
        <is>
          <t>VÄSTMANLANDS LÄN</t>
        </is>
      </c>
      <c r="E1525" t="inlineStr">
        <is>
          <t>SKINNSKATTEBERG</t>
        </is>
      </c>
      <c r="G1525" t="n">
        <v>1</v>
      </c>
      <c r="H1525" t="n">
        <v>0</v>
      </c>
      <c r="I1525" t="n">
        <v>0</v>
      </c>
      <c r="J1525" t="n">
        <v>0</v>
      </c>
      <c r="K1525" t="n">
        <v>0</v>
      </c>
      <c r="L1525" t="n">
        <v>0</v>
      </c>
      <c r="M1525" t="n">
        <v>0</v>
      </c>
      <c r="N1525" t="n">
        <v>0</v>
      </c>
      <c r="O1525" t="n">
        <v>0</v>
      </c>
      <c r="P1525" t="n">
        <v>0</v>
      </c>
      <c r="Q1525" t="n">
        <v>0</v>
      </c>
      <c r="R1525" s="2" t="inlineStr"/>
    </row>
    <row r="1526" ht="15" customHeight="1">
      <c r="A1526" t="inlineStr">
        <is>
          <t>A 18965-2021</t>
        </is>
      </c>
      <c r="B1526" s="1" t="n">
        <v>44308</v>
      </c>
      <c r="C1526" s="1" t="n">
        <v>45724</v>
      </c>
      <c r="D1526" t="inlineStr">
        <is>
          <t>VÄSTMANLANDS LÄN</t>
        </is>
      </c>
      <c r="E1526" t="inlineStr">
        <is>
          <t>HALLSTAHAMMAR</t>
        </is>
      </c>
      <c r="G1526" t="n">
        <v>1</v>
      </c>
      <c r="H1526" t="n">
        <v>0</v>
      </c>
      <c r="I1526" t="n">
        <v>0</v>
      </c>
      <c r="J1526" t="n">
        <v>0</v>
      </c>
      <c r="K1526" t="n">
        <v>0</v>
      </c>
      <c r="L1526" t="n">
        <v>0</v>
      </c>
      <c r="M1526" t="n">
        <v>0</v>
      </c>
      <c r="N1526" t="n">
        <v>0</v>
      </c>
      <c r="O1526" t="n">
        <v>0</v>
      </c>
      <c r="P1526" t="n">
        <v>0</v>
      </c>
      <c r="Q1526" t="n">
        <v>0</v>
      </c>
      <c r="R1526" s="2" t="inlineStr"/>
    </row>
    <row r="1527" ht="15" customHeight="1">
      <c r="A1527" t="inlineStr">
        <is>
          <t>A 20478-2021</t>
        </is>
      </c>
      <c r="B1527" s="1" t="n">
        <v>44315</v>
      </c>
      <c r="C1527" s="1" t="n">
        <v>45724</v>
      </c>
      <c r="D1527" t="inlineStr">
        <is>
          <t>VÄSTMANLANDS LÄN</t>
        </is>
      </c>
      <c r="E1527" t="inlineStr">
        <is>
          <t>SURAHAMMAR</t>
        </is>
      </c>
      <c r="F1527" t="inlineStr">
        <is>
          <t>Sveaskog</t>
        </is>
      </c>
      <c r="G1527" t="n">
        <v>6.2</v>
      </c>
      <c r="H1527" t="n">
        <v>0</v>
      </c>
      <c r="I1527" t="n">
        <v>0</v>
      </c>
      <c r="J1527" t="n">
        <v>0</v>
      </c>
      <c r="K1527" t="n">
        <v>0</v>
      </c>
      <c r="L1527" t="n">
        <v>0</v>
      </c>
      <c r="M1527" t="n">
        <v>0</v>
      </c>
      <c r="N1527" t="n">
        <v>0</v>
      </c>
      <c r="O1527" t="n">
        <v>0</v>
      </c>
      <c r="P1527" t="n">
        <v>0</v>
      </c>
      <c r="Q1527" t="n">
        <v>0</v>
      </c>
      <c r="R1527" s="2" t="inlineStr"/>
    </row>
    <row r="1528" ht="15" customHeight="1">
      <c r="A1528" t="inlineStr">
        <is>
          <t>A 20871-2021</t>
        </is>
      </c>
      <c r="B1528" s="1" t="n">
        <v>44316</v>
      </c>
      <c r="C1528" s="1" t="n">
        <v>45724</v>
      </c>
      <c r="D1528" t="inlineStr">
        <is>
          <t>VÄSTMANLANDS LÄN</t>
        </is>
      </c>
      <c r="E1528" t="inlineStr">
        <is>
          <t>KÖPING</t>
        </is>
      </c>
      <c r="G1528" t="n">
        <v>1</v>
      </c>
      <c r="H1528" t="n">
        <v>0</v>
      </c>
      <c r="I1528" t="n">
        <v>0</v>
      </c>
      <c r="J1528" t="n">
        <v>0</v>
      </c>
      <c r="K1528" t="n">
        <v>0</v>
      </c>
      <c r="L1528" t="n">
        <v>0</v>
      </c>
      <c r="M1528" t="n">
        <v>0</v>
      </c>
      <c r="N1528" t="n">
        <v>0</v>
      </c>
      <c r="O1528" t="n">
        <v>0</v>
      </c>
      <c r="P1528" t="n">
        <v>0</v>
      </c>
      <c r="Q1528" t="n">
        <v>0</v>
      </c>
      <c r="R1528" s="2" t="inlineStr"/>
    </row>
    <row r="1529" ht="15" customHeight="1">
      <c r="A1529" t="inlineStr">
        <is>
          <t>A 21043-2021</t>
        </is>
      </c>
      <c r="B1529" s="1" t="n">
        <v>44319</v>
      </c>
      <c r="C1529" s="1" t="n">
        <v>45724</v>
      </c>
      <c r="D1529" t="inlineStr">
        <is>
          <t>VÄSTMANLANDS LÄN</t>
        </is>
      </c>
      <c r="E1529" t="inlineStr">
        <is>
          <t>ARBOGA</t>
        </is>
      </c>
      <c r="F1529" t="inlineStr">
        <is>
          <t>Sveaskog</t>
        </is>
      </c>
      <c r="G1529" t="n">
        <v>9.1</v>
      </c>
      <c r="H1529" t="n">
        <v>0</v>
      </c>
      <c r="I1529" t="n">
        <v>0</v>
      </c>
      <c r="J1529" t="n">
        <v>0</v>
      </c>
      <c r="K1529" t="n">
        <v>0</v>
      </c>
      <c r="L1529" t="n">
        <v>0</v>
      </c>
      <c r="M1529" t="n">
        <v>0</v>
      </c>
      <c r="N1529" t="n">
        <v>0</v>
      </c>
      <c r="O1529" t="n">
        <v>0</v>
      </c>
      <c r="P1529" t="n">
        <v>0</v>
      </c>
      <c r="Q1529" t="n">
        <v>0</v>
      </c>
      <c r="R1529" s="2" t="inlineStr"/>
    </row>
    <row r="1530" ht="15" customHeight="1">
      <c r="A1530" t="inlineStr">
        <is>
          <t>A 20878-2021</t>
        </is>
      </c>
      <c r="B1530" s="1" t="n">
        <v>44319</v>
      </c>
      <c r="C1530" s="1" t="n">
        <v>45724</v>
      </c>
      <c r="D1530" t="inlineStr">
        <is>
          <t>VÄSTMANLANDS LÄN</t>
        </is>
      </c>
      <c r="E1530" t="inlineStr">
        <is>
          <t>ARBOGA</t>
        </is>
      </c>
      <c r="G1530" t="n">
        <v>0.8</v>
      </c>
      <c r="H1530" t="n">
        <v>0</v>
      </c>
      <c r="I1530" t="n">
        <v>0</v>
      </c>
      <c r="J1530" t="n">
        <v>0</v>
      </c>
      <c r="K1530" t="n">
        <v>0</v>
      </c>
      <c r="L1530" t="n">
        <v>0</v>
      </c>
      <c r="M1530" t="n">
        <v>0</v>
      </c>
      <c r="N1530" t="n">
        <v>0</v>
      </c>
      <c r="O1530" t="n">
        <v>0</v>
      </c>
      <c r="P1530" t="n">
        <v>0</v>
      </c>
      <c r="Q1530" t="n">
        <v>0</v>
      </c>
      <c r="R1530" s="2" t="inlineStr"/>
    </row>
    <row r="1531" ht="15" customHeight="1">
      <c r="A1531" t="inlineStr">
        <is>
          <t>A 21045-2021</t>
        </is>
      </c>
      <c r="B1531" s="1" t="n">
        <v>44319</v>
      </c>
      <c r="C1531" s="1" t="n">
        <v>45724</v>
      </c>
      <c r="D1531" t="inlineStr">
        <is>
          <t>VÄSTMANLANDS LÄN</t>
        </is>
      </c>
      <c r="E1531" t="inlineStr">
        <is>
          <t>ARBOGA</t>
        </is>
      </c>
      <c r="F1531" t="inlineStr">
        <is>
          <t>Sveaskog</t>
        </is>
      </c>
      <c r="G1531" t="n">
        <v>5.2</v>
      </c>
      <c r="H1531" t="n">
        <v>0</v>
      </c>
      <c r="I1531" t="n">
        <v>0</v>
      </c>
      <c r="J1531" t="n">
        <v>0</v>
      </c>
      <c r="K1531" t="n">
        <v>0</v>
      </c>
      <c r="L1531" t="n">
        <v>0</v>
      </c>
      <c r="M1531" t="n">
        <v>0</v>
      </c>
      <c r="N1531" t="n">
        <v>0</v>
      </c>
      <c r="O1531" t="n">
        <v>0</v>
      </c>
      <c r="P1531" t="n">
        <v>0</v>
      </c>
      <c r="Q1531" t="n">
        <v>0</v>
      </c>
      <c r="R1531" s="2" t="inlineStr"/>
    </row>
    <row r="1532" ht="15" customHeight="1">
      <c r="A1532" t="inlineStr">
        <is>
          <t>A 21435-2021</t>
        </is>
      </c>
      <c r="B1532" s="1" t="n">
        <v>44321</v>
      </c>
      <c r="C1532" s="1" t="n">
        <v>45724</v>
      </c>
      <c r="D1532" t="inlineStr">
        <is>
          <t>VÄSTMANLANDS LÄN</t>
        </is>
      </c>
      <c r="E1532" t="inlineStr">
        <is>
          <t>KÖPING</t>
        </is>
      </c>
      <c r="G1532" t="n">
        <v>4.6</v>
      </c>
      <c r="H1532" t="n">
        <v>0</v>
      </c>
      <c r="I1532" t="n">
        <v>0</v>
      </c>
      <c r="J1532" t="n">
        <v>0</v>
      </c>
      <c r="K1532" t="n">
        <v>0</v>
      </c>
      <c r="L1532" t="n">
        <v>0</v>
      </c>
      <c r="M1532" t="n">
        <v>0</v>
      </c>
      <c r="N1532" t="n">
        <v>0</v>
      </c>
      <c r="O1532" t="n">
        <v>0</v>
      </c>
      <c r="P1532" t="n">
        <v>0</v>
      </c>
      <c r="Q1532" t="n">
        <v>0</v>
      </c>
      <c r="R1532" s="2" t="inlineStr"/>
    </row>
    <row r="1533" ht="15" customHeight="1">
      <c r="A1533" t="inlineStr">
        <is>
          <t>A 21458-2021</t>
        </is>
      </c>
      <c r="B1533" s="1" t="n">
        <v>44321</v>
      </c>
      <c r="C1533" s="1" t="n">
        <v>45724</v>
      </c>
      <c r="D1533" t="inlineStr">
        <is>
          <t>VÄSTMANLANDS LÄN</t>
        </is>
      </c>
      <c r="E1533" t="inlineStr">
        <is>
          <t>SALA</t>
        </is>
      </c>
      <c r="G1533" t="n">
        <v>0.3</v>
      </c>
      <c r="H1533" t="n">
        <v>0</v>
      </c>
      <c r="I1533" t="n">
        <v>0</v>
      </c>
      <c r="J1533" t="n">
        <v>0</v>
      </c>
      <c r="K1533" t="n">
        <v>0</v>
      </c>
      <c r="L1533" t="n">
        <v>0</v>
      </c>
      <c r="M1533" t="n">
        <v>0</v>
      </c>
      <c r="N1533" t="n">
        <v>0</v>
      </c>
      <c r="O1533" t="n">
        <v>0</v>
      </c>
      <c r="P1533" t="n">
        <v>0</v>
      </c>
      <c r="Q1533" t="n">
        <v>0</v>
      </c>
      <c r="R1533" s="2" t="inlineStr"/>
    </row>
    <row r="1534" ht="15" customHeight="1">
      <c r="A1534" t="inlineStr">
        <is>
          <t>A 21478-2021</t>
        </is>
      </c>
      <c r="B1534" s="1" t="n">
        <v>44321</v>
      </c>
      <c r="C1534" s="1" t="n">
        <v>45724</v>
      </c>
      <c r="D1534" t="inlineStr">
        <is>
          <t>VÄSTMANLANDS LÄN</t>
        </is>
      </c>
      <c r="E1534" t="inlineStr">
        <is>
          <t>SALA</t>
        </is>
      </c>
      <c r="G1534" t="n">
        <v>0.8</v>
      </c>
      <c r="H1534" t="n">
        <v>0</v>
      </c>
      <c r="I1534" t="n">
        <v>0</v>
      </c>
      <c r="J1534" t="n">
        <v>0</v>
      </c>
      <c r="K1534" t="n">
        <v>0</v>
      </c>
      <c r="L1534" t="n">
        <v>0</v>
      </c>
      <c r="M1534" t="n">
        <v>0</v>
      </c>
      <c r="N1534" t="n">
        <v>0</v>
      </c>
      <c r="O1534" t="n">
        <v>0</v>
      </c>
      <c r="P1534" t="n">
        <v>0</v>
      </c>
      <c r="Q1534" t="n">
        <v>0</v>
      </c>
      <c r="R1534" s="2" t="inlineStr"/>
    </row>
    <row r="1535" ht="15" customHeight="1">
      <c r="A1535" t="inlineStr">
        <is>
          <t>A 21551-2021</t>
        </is>
      </c>
      <c r="B1535" s="1" t="n">
        <v>44321</v>
      </c>
      <c r="C1535" s="1" t="n">
        <v>45724</v>
      </c>
      <c r="D1535" t="inlineStr">
        <is>
          <t>VÄSTMANLANDS LÄN</t>
        </is>
      </c>
      <c r="E1535" t="inlineStr">
        <is>
          <t>VÄSTERÅS</t>
        </is>
      </c>
      <c r="G1535" t="n">
        <v>2.5</v>
      </c>
      <c r="H1535" t="n">
        <v>0</v>
      </c>
      <c r="I1535" t="n">
        <v>0</v>
      </c>
      <c r="J1535" t="n">
        <v>0</v>
      </c>
      <c r="K1535" t="n">
        <v>0</v>
      </c>
      <c r="L1535" t="n">
        <v>0</v>
      </c>
      <c r="M1535" t="n">
        <v>0</v>
      </c>
      <c r="N1535" t="n">
        <v>0</v>
      </c>
      <c r="O1535" t="n">
        <v>0</v>
      </c>
      <c r="P1535" t="n">
        <v>0</v>
      </c>
      <c r="Q1535" t="n">
        <v>0</v>
      </c>
      <c r="R1535" s="2" t="inlineStr"/>
    </row>
    <row r="1536" ht="15" customHeight="1">
      <c r="A1536" t="inlineStr">
        <is>
          <t>A 21595-2021</t>
        </is>
      </c>
      <c r="B1536" s="1" t="n">
        <v>44321</v>
      </c>
      <c r="C1536" s="1" t="n">
        <v>45724</v>
      </c>
      <c r="D1536" t="inlineStr">
        <is>
          <t>VÄSTMANLANDS LÄN</t>
        </is>
      </c>
      <c r="E1536" t="inlineStr">
        <is>
          <t>KÖPING</t>
        </is>
      </c>
      <c r="G1536" t="n">
        <v>1.7</v>
      </c>
      <c r="H1536" t="n">
        <v>0</v>
      </c>
      <c r="I1536" t="n">
        <v>0</v>
      </c>
      <c r="J1536" t="n">
        <v>0</v>
      </c>
      <c r="K1536" t="n">
        <v>0</v>
      </c>
      <c r="L1536" t="n">
        <v>0</v>
      </c>
      <c r="M1536" t="n">
        <v>0</v>
      </c>
      <c r="N1536" t="n">
        <v>0</v>
      </c>
      <c r="O1536" t="n">
        <v>0</v>
      </c>
      <c r="P1536" t="n">
        <v>0</v>
      </c>
      <c r="Q1536" t="n">
        <v>0</v>
      </c>
      <c r="R1536" s="2" t="inlineStr"/>
    </row>
    <row r="1537" ht="15" customHeight="1">
      <c r="A1537" t="inlineStr">
        <is>
          <t>A 21839-2021</t>
        </is>
      </c>
      <c r="B1537" s="1" t="n">
        <v>44322</v>
      </c>
      <c r="C1537" s="1" t="n">
        <v>45724</v>
      </c>
      <c r="D1537" t="inlineStr">
        <is>
          <t>VÄSTMANLANDS LÄN</t>
        </is>
      </c>
      <c r="E1537" t="inlineStr">
        <is>
          <t>SURAHAMMAR</t>
        </is>
      </c>
      <c r="G1537" t="n">
        <v>1.6</v>
      </c>
      <c r="H1537" t="n">
        <v>0</v>
      </c>
      <c r="I1537" t="n">
        <v>0</v>
      </c>
      <c r="J1537" t="n">
        <v>0</v>
      </c>
      <c r="K1537" t="n">
        <v>0</v>
      </c>
      <c r="L1537" t="n">
        <v>0</v>
      </c>
      <c r="M1537" t="n">
        <v>0</v>
      </c>
      <c r="N1537" t="n">
        <v>0</v>
      </c>
      <c r="O1537" t="n">
        <v>0</v>
      </c>
      <c r="P1537" t="n">
        <v>0</v>
      </c>
      <c r="Q1537" t="n">
        <v>0</v>
      </c>
      <c r="R1537" s="2" t="inlineStr"/>
    </row>
    <row r="1538" ht="15" customHeight="1">
      <c r="A1538" t="inlineStr">
        <is>
          <t>A 22019-2021</t>
        </is>
      </c>
      <c r="B1538" s="1" t="n">
        <v>44323</v>
      </c>
      <c r="C1538" s="1" t="n">
        <v>45724</v>
      </c>
      <c r="D1538" t="inlineStr">
        <is>
          <t>VÄSTMANLANDS LÄN</t>
        </is>
      </c>
      <c r="E1538" t="inlineStr">
        <is>
          <t>SALA</t>
        </is>
      </c>
      <c r="G1538" t="n">
        <v>1.9</v>
      </c>
      <c r="H1538" t="n">
        <v>0</v>
      </c>
      <c r="I1538" t="n">
        <v>0</v>
      </c>
      <c r="J1538" t="n">
        <v>0</v>
      </c>
      <c r="K1538" t="n">
        <v>0</v>
      </c>
      <c r="L1538" t="n">
        <v>0</v>
      </c>
      <c r="M1538" t="n">
        <v>0</v>
      </c>
      <c r="N1538" t="n">
        <v>0</v>
      </c>
      <c r="O1538" t="n">
        <v>0</v>
      </c>
      <c r="P1538" t="n">
        <v>0</v>
      </c>
      <c r="Q1538" t="n">
        <v>0</v>
      </c>
      <c r="R1538" s="2" t="inlineStr"/>
    </row>
    <row r="1539" ht="15" customHeight="1">
      <c r="A1539" t="inlineStr">
        <is>
          <t>A 22026-2021</t>
        </is>
      </c>
      <c r="B1539" s="1" t="n">
        <v>44323</v>
      </c>
      <c r="C1539" s="1" t="n">
        <v>45724</v>
      </c>
      <c r="D1539" t="inlineStr">
        <is>
          <t>VÄSTMANLANDS LÄN</t>
        </is>
      </c>
      <c r="E1539" t="inlineStr">
        <is>
          <t>SALA</t>
        </is>
      </c>
      <c r="G1539" t="n">
        <v>2.9</v>
      </c>
      <c r="H1539" t="n">
        <v>0</v>
      </c>
      <c r="I1539" t="n">
        <v>0</v>
      </c>
      <c r="J1539" t="n">
        <v>0</v>
      </c>
      <c r="K1539" t="n">
        <v>0</v>
      </c>
      <c r="L1539" t="n">
        <v>0</v>
      </c>
      <c r="M1539" t="n">
        <v>0</v>
      </c>
      <c r="N1539" t="n">
        <v>0</v>
      </c>
      <c r="O1539" t="n">
        <v>0</v>
      </c>
      <c r="P1539" t="n">
        <v>0</v>
      </c>
      <c r="Q1539" t="n">
        <v>0</v>
      </c>
      <c r="R1539" s="2" t="inlineStr"/>
    </row>
    <row r="1540" ht="15" customHeight="1">
      <c r="A1540" t="inlineStr">
        <is>
          <t>A 22097-2021</t>
        </is>
      </c>
      <c r="B1540" s="1" t="n">
        <v>44323</v>
      </c>
      <c r="C1540" s="1" t="n">
        <v>45724</v>
      </c>
      <c r="D1540" t="inlineStr">
        <is>
          <t>VÄSTMANLANDS LÄN</t>
        </is>
      </c>
      <c r="E1540" t="inlineStr">
        <is>
          <t>SKINNSKATTEBERG</t>
        </is>
      </c>
      <c r="F1540" t="inlineStr">
        <is>
          <t>Sveaskog</t>
        </is>
      </c>
      <c r="G1540" t="n">
        <v>5</v>
      </c>
      <c r="H1540" t="n">
        <v>0</v>
      </c>
      <c r="I1540" t="n">
        <v>0</v>
      </c>
      <c r="J1540" t="n">
        <v>0</v>
      </c>
      <c r="K1540" t="n">
        <v>0</v>
      </c>
      <c r="L1540" t="n">
        <v>0</v>
      </c>
      <c r="M1540" t="n">
        <v>0</v>
      </c>
      <c r="N1540" t="n">
        <v>0</v>
      </c>
      <c r="O1540" t="n">
        <v>0</v>
      </c>
      <c r="P1540" t="n">
        <v>0</v>
      </c>
      <c r="Q1540" t="n">
        <v>0</v>
      </c>
      <c r="R1540" s="2" t="inlineStr"/>
    </row>
    <row r="1541" ht="15" customHeight="1">
      <c r="A1541" t="inlineStr">
        <is>
          <t>A 22017-2021</t>
        </is>
      </c>
      <c r="B1541" s="1" t="n">
        <v>44323</v>
      </c>
      <c r="C1541" s="1" t="n">
        <v>45724</v>
      </c>
      <c r="D1541" t="inlineStr">
        <is>
          <t>VÄSTMANLANDS LÄN</t>
        </is>
      </c>
      <c r="E1541" t="inlineStr">
        <is>
          <t>SALA</t>
        </is>
      </c>
      <c r="G1541" t="n">
        <v>0.5</v>
      </c>
      <c r="H1541" t="n">
        <v>0</v>
      </c>
      <c r="I1541" t="n">
        <v>0</v>
      </c>
      <c r="J1541" t="n">
        <v>0</v>
      </c>
      <c r="K1541" t="n">
        <v>0</v>
      </c>
      <c r="L1541" t="n">
        <v>0</v>
      </c>
      <c r="M1541" t="n">
        <v>0</v>
      </c>
      <c r="N1541" t="n">
        <v>0</v>
      </c>
      <c r="O1541" t="n">
        <v>0</v>
      </c>
      <c r="P1541" t="n">
        <v>0</v>
      </c>
      <c r="Q1541" t="n">
        <v>0</v>
      </c>
      <c r="R1541" s="2" t="inlineStr"/>
    </row>
    <row r="1542" ht="15" customHeight="1">
      <c r="A1542" t="inlineStr">
        <is>
          <t>A 22154-2021</t>
        </is>
      </c>
      <c r="B1542" s="1" t="n">
        <v>44325</v>
      </c>
      <c r="C1542" s="1" t="n">
        <v>45724</v>
      </c>
      <c r="D1542" t="inlineStr">
        <is>
          <t>VÄSTMANLANDS LÄN</t>
        </is>
      </c>
      <c r="E1542" t="inlineStr">
        <is>
          <t>ARBOGA</t>
        </is>
      </c>
      <c r="G1542" t="n">
        <v>19.3</v>
      </c>
      <c r="H1542" t="n">
        <v>0</v>
      </c>
      <c r="I1542" t="n">
        <v>0</v>
      </c>
      <c r="J1542" t="n">
        <v>0</v>
      </c>
      <c r="K1542" t="n">
        <v>0</v>
      </c>
      <c r="L1542" t="n">
        <v>0</v>
      </c>
      <c r="M1542" t="n">
        <v>0</v>
      </c>
      <c r="N1542" t="n">
        <v>0</v>
      </c>
      <c r="O1542" t="n">
        <v>0</v>
      </c>
      <c r="P1542" t="n">
        <v>0</v>
      </c>
      <c r="Q1542" t="n">
        <v>0</v>
      </c>
      <c r="R1542" s="2" t="inlineStr"/>
    </row>
    <row r="1543" ht="15" customHeight="1">
      <c r="A1543" t="inlineStr">
        <is>
          <t>A 22362-2021</t>
        </is>
      </c>
      <c r="B1543" s="1" t="n">
        <v>44326</v>
      </c>
      <c r="C1543" s="1" t="n">
        <v>45724</v>
      </c>
      <c r="D1543" t="inlineStr">
        <is>
          <t>VÄSTMANLANDS LÄN</t>
        </is>
      </c>
      <c r="E1543" t="inlineStr">
        <is>
          <t>SALA</t>
        </is>
      </c>
      <c r="G1543" t="n">
        <v>1.7</v>
      </c>
      <c r="H1543" t="n">
        <v>0</v>
      </c>
      <c r="I1543" t="n">
        <v>0</v>
      </c>
      <c r="J1543" t="n">
        <v>0</v>
      </c>
      <c r="K1543" t="n">
        <v>0</v>
      </c>
      <c r="L1543" t="n">
        <v>0</v>
      </c>
      <c r="M1543" t="n">
        <v>0</v>
      </c>
      <c r="N1543" t="n">
        <v>0</v>
      </c>
      <c r="O1543" t="n">
        <v>0</v>
      </c>
      <c r="P1543" t="n">
        <v>0</v>
      </c>
      <c r="Q1543" t="n">
        <v>0</v>
      </c>
      <c r="R1543" s="2" t="inlineStr"/>
    </row>
    <row r="1544" ht="15" customHeight="1">
      <c r="A1544" t="inlineStr">
        <is>
          <t>A 23098-2021</t>
        </is>
      </c>
      <c r="B1544" s="1" t="n">
        <v>44330</v>
      </c>
      <c r="C1544" s="1" t="n">
        <v>45724</v>
      </c>
      <c r="D1544" t="inlineStr">
        <is>
          <t>VÄSTMANLANDS LÄN</t>
        </is>
      </c>
      <c r="E1544" t="inlineStr">
        <is>
          <t>VÄSTERÅS</t>
        </is>
      </c>
      <c r="G1544" t="n">
        <v>1.7</v>
      </c>
      <c r="H1544" t="n">
        <v>0</v>
      </c>
      <c r="I1544" t="n">
        <v>0</v>
      </c>
      <c r="J1544" t="n">
        <v>0</v>
      </c>
      <c r="K1544" t="n">
        <v>0</v>
      </c>
      <c r="L1544" t="n">
        <v>0</v>
      </c>
      <c r="M1544" t="n">
        <v>0</v>
      </c>
      <c r="N1544" t="n">
        <v>0</v>
      </c>
      <c r="O1544" t="n">
        <v>0</v>
      </c>
      <c r="P1544" t="n">
        <v>0</v>
      </c>
      <c r="Q1544" t="n">
        <v>0</v>
      </c>
      <c r="R1544" s="2" t="inlineStr"/>
    </row>
    <row r="1545" ht="15" customHeight="1">
      <c r="A1545" t="inlineStr">
        <is>
          <t>A 23110-2021</t>
        </is>
      </c>
      <c r="B1545" s="1" t="n">
        <v>44330</v>
      </c>
      <c r="C1545" s="1" t="n">
        <v>45724</v>
      </c>
      <c r="D1545" t="inlineStr">
        <is>
          <t>VÄSTMANLANDS LÄN</t>
        </is>
      </c>
      <c r="E1545" t="inlineStr">
        <is>
          <t>SKINNSKATTEBERG</t>
        </is>
      </c>
      <c r="F1545" t="inlineStr">
        <is>
          <t>Sveaskog</t>
        </is>
      </c>
      <c r="G1545" t="n">
        <v>0.6</v>
      </c>
      <c r="H1545" t="n">
        <v>0</v>
      </c>
      <c r="I1545" t="n">
        <v>0</v>
      </c>
      <c r="J1545" t="n">
        <v>0</v>
      </c>
      <c r="K1545" t="n">
        <v>0</v>
      </c>
      <c r="L1545" t="n">
        <v>0</v>
      </c>
      <c r="M1545" t="n">
        <v>0</v>
      </c>
      <c r="N1545" t="n">
        <v>0</v>
      </c>
      <c r="O1545" t="n">
        <v>0</v>
      </c>
      <c r="P1545" t="n">
        <v>0</v>
      </c>
      <c r="Q1545" t="n">
        <v>0</v>
      </c>
      <c r="R1545" s="2" t="inlineStr"/>
    </row>
    <row r="1546" ht="15" customHeight="1">
      <c r="A1546" t="inlineStr">
        <is>
          <t>A 23240-2021</t>
        </is>
      </c>
      <c r="B1546" s="1" t="n">
        <v>44333</v>
      </c>
      <c r="C1546" s="1" t="n">
        <v>45724</v>
      </c>
      <c r="D1546" t="inlineStr">
        <is>
          <t>VÄSTMANLANDS LÄN</t>
        </is>
      </c>
      <c r="E1546" t="inlineStr">
        <is>
          <t>SKINNSKATTEBERG</t>
        </is>
      </c>
      <c r="F1546" t="inlineStr">
        <is>
          <t>Sveaskog</t>
        </is>
      </c>
      <c r="G1546" t="n">
        <v>0.9</v>
      </c>
      <c r="H1546" t="n">
        <v>0</v>
      </c>
      <c r="I1546" t="n">
        <v>0</v>
      </c>
      <c r="J1546" t="n">
        <v>0</v>
      </c>
      <c r="K1546" t="n">
        <v>0</v>
      </c>
      <c r="L1546" t="n">
        <v>0</v>
      </c>
      <c r="M1546" t="n">
        <v>0</v>
      </c>
      <c r="N1546" t="n">
        <v>0</v>
      </c>
      <c r="O1546" t="n">
        <v>0</v>
      </c>
      <c r="P1546" t="n">
        <v>0</v>
      </c>
      <c r="Q1546" t="n">
        <v>0</v>
      </c>
      <c r="R1546" s="2" t="inlineStr"/>
    </row>
    <row r="1547" ht="15" customHeight="1">
      <c r="A1547" t="inlineStr">
        <is>
          <t>A 23374-2021</t>
        </is>
      </c>
      <c r="B1547" s="1" t="n">
        <v>44333</v>
      </c>
      <c r="C1547" s="1" t="n">
        <v>45724</v>
      </c>
      <c r="D1547" t="inlineStr">
        <is>
          <t>VÄSTMANLANDS LÄN</t>
        </is>
      </c>
      <c r="E1547" t="inlineStr">
        <is>
          <t>HALLSTAHAMMAR</t>
        </is>
      </c>
      <c r="F1547" t="inlineStr">
        <is>
          <t>Kommuner</t>
        </is>
      </c>
      <c r="G1547" t="n">
        <v>2.9</v>
      </c>
      <c r="H1547" t="n">
        <v>0</v>
      </c>
      <c r="I1547" t="n">
        <v>0</v>
      </c>
      <c r="J1547" t="n">
        <v>0</v>
      </c>
      <c r="K1547" t="n">
        <v>0</v>
      </c>
      <c r="L1547" t="n">
        <v>0</v>
      </c>
      <c r="M1547" t="n">
        <v>0</v>
      </c>
      <c r="N1547" t="n">
        <v>0</v>
      </c>
      <c r="O1547" t="n">
        <v>0</v>
      </c>
      <c r="P1547" t="n">
        <v>0</v>
      </c>
      <c r="Q1547" t="n">
        <v>0</v>
      </c>
      <c r="R1547" s="2" t="inlineStr"/>
    </row>
    <row r="1548" ht="15" customHeight="1">
      <c r="A1548" t="inlineStr">
        <is>
          <t>A 23592-2021</t>
        </is>
      </c>
      <c r="B1548" s="1" t="n">
        <v>44333</v>
      </c>
      <c r="C1548" s="1" t="n">
        <v>45724</v>
      </c>
      <c r="D1548" t="inlineStr">
        <is>
          <t>VÄSTMANLANDS LÄN</t>
        </is>
      </c>
      <c r="E1548" t="inlineStr">
        <is>
          <t>KÖPING</t>
        </is>
      </c>
      <c r="G1548" t="n">
        <v>1.2</v>
      </c>
      <c r="H1548" t="n">
        <v>0</v>
      </c>
      <c r="I1548" t="n">
        <v>0</v>
      </c>
      <c r="J1548" t="n">
        <v>0</v>
      </c>
      <c r="K1548" t="n">
        <v>0</v>
      </c>
      <c r="L1548" t="n">
        <v>0</v>
      </c>
      <c r="M1548" t="n">
        <v>0</v>
      </c>
      <c r="N1548" t="n">
        <v>0</v>
      </c>
      <c r="O1548" t="n">
        <v>0</v>
      </c>
      <c r="P1548" t="n">
        <v>0</v>
      </c>
      <c r="Q1548" t="n">
        <v>0</v>
      </c>
      <c r="R1548" s="2" t="inlineStr"/>
    </row>
    <row r="1549" ht="15" customHeight="1">
      <c r="A1549" t="inlineStr">
        <is>
          <t>A 23596-2021</t>
        </is>
      </c>
      <c r="B1549" s="1" t="n">
        <v>44333</v>
      </c>
      <c r="C1549" s="1" t="n">
        <v>45724</v>
      </c>
      <c r="D1549" t="inlineStr">
        <is>
          <t>VÄSTMANLANDS LÄN</t>
        </is>
      </c>
      <c r="E1549" t="inlineStr">
        <is>
          <t>KÖPING</t>
        </is>
      </c>
      <c r="G1549" t="n">
        <v>2.2</v>
      </c>
      <c r="H1549" t="n">
        <v>0</v>
      </c>
      <c r="I1549" t="n">
        <v>0</v>
      </c>
      <c r="J1549" t="n">
        <v>0</v>
      </c>
      <c r="K1549" t="n">
        <v>0</v>
      </c>
      <c r="L1549" t="n">
        <v>0</v>
      </c>
      <c r="M1549" t="n">
        <v>0</v>
      </c>
      <c r="N1549" t="n">
        <v>0</v>
      </c>
      <c r="O1549" t="n">
        <v>0</v>
      </c>
      <c r="P1549" t="n">
        <v>0</v>
      </c>
      <c r="Q1549" t="n">
        <v>0</v>
      </c>
      <c r="R1549" s="2" t="inlineStr"/>
    </row>
    <row r="1550" ht="15" customHeight="1">
      <c r="A1550" t="inlineStr">
        <is>
          <t>A 23696-2021</t>
        </is>
      </c>
      <c r="B1550" s="1" t="n">
        <v>44334</v>
      </c>
      <c r="C1550" s="1" t="n">
        <v>45724</v>
      </c>
      <c r="D1550" t="inlineStr">
        <is>
          <t>VÄSTMANLANDS LÄN</t>
        </is>
      </c>
      <c r="E1550" t="inlineStr">
        <is>
          <t>SALA</t>
        </is>
      </c>
      <c r="G1550" t="n">
        <v>2.4</v>
      </c>
      <c r="H1550" t="n">
        <v>0</v>
      </c>
      <c r="I1550" t="n">
        <v>0</v>
      </c>
      <c r="J1550" t="n">
        <v>0</v>
      </c>
      <c r="K1550" t="n">
        <v>0</v>
      </c>
      <c r="L1550" t="n">
        <v>0</v>
      </c>
      <c r="M1550" t="n">
        <v>0</v>
      </c>
      <c r="N1550" t="n">
        <v>0</v>
      </c>
      <c r="O1550" t="n">
        <v>0</v>
      </c>
      <c r="P1550" t="n">
        <v>0</v>
      </c>
      <c r="Q1550" t="n">
        <v>0</v>
      </c>
      <c r="R1550" s="2" t="inlineStr"/>
    </row>
    <row r="1551" ht="15" customHeight="1">
      <c r="A1551" t="inlineStr">
        <is>
          <t>A 23693-2021</t>
        </is>
      </c>
      <c r="B1551" s="1" t="n">
        <v>44334</v>
      </c>
      <c r="C1551" s="1" t="n">
        <v>45724</v>
      </c>
      <c r="D1551" t="inlineStr">
        <is>
          <t>VÄSTMANLANDS LÄN</t>
        </is>
      </c>
      <c r="E1551" t="inlineStr">
        <is>
          <t>SALA</t>
        </is>
      </c>
      <c r="G1551" t="n">
        <v>8.4</v>
      </c>
      <c r="H1551" t="n">
        <v>0</v>
      </c>
      <c r="I1551" t="n">
        <v>0</v>
      </c>
      <c r="J1551" t="n">
        <v>0</v>
      </c>
      <c r="K1551" t="n">
        <v>0</v>
      </c>
      <c r="L1551" t="n">
        <v>0</v>
      </c>
      <c r="M1551" t="n">
        <v>0</v>
      </c>
      <c r="N1551" t="n">
        <v>0</v>
      </c>
      <c r="O1551" t="n">
        <v>0</v>
      </c>
      <c r="P1551" t="n">
        <v>0</v>
      </c>
      <c r="Q1551" t="n">
        <v>0</v>
      </c>
      <c r="R1551" s="2" t="inlineStr"/>
    </row>
    <row r="1552" ht="15" customHeight="1">
      <c r="A1552" t="inlineStr">
        <is>
          <t>A 23795-2021</t>
        </is>
      </c>
      <c r="B1552" s="1" t="n">
        <v>44335</v>
      </c>
      <c r="C1552" s="1" t="n">
        <v>45724</v>
      </c>
      <c r="D1552" t="inlineStr">
        <is>
          <t>VÄSTMANLANDS LÄN</t>
        </is>
      </c>
      <c r="E1552" t="inlineStr">
        <is>
          <t>SKINNSKATTEBERG</t>
        </is>
      </c>
      <c r="F1552" t="inlineStr">
        <is>
          <t>Sveaskog</t>
        </is>
      </c>
      <c r="G1552" t="n">
        <v>0.9</v>
      </c>
      <c r="H1552" t="n">
        <v>0</v>
      </c>
      <c r="I1552" t="n">
        <v>0</v>
      </c>
      <c r="J1552" t="n">
        <v>0</v>
      </c>
      <c r="K1552" t="n">
        <v>0</v>
      </c>
      <c r="L1552" t="n">
        <v>0</v>
      </c>
      <c r="M1552" t="n">
        <v>0</v>
      </c>
      <c r="N1552" t="n">
        <v>0</v>
      </c>
      <c r="O1552" t="n">
        <v>0</v>
      </c>
      <c r="P1552" t="n">
        <v>0</v>
      </c>
      <c r="Q1552" t="n">
        <v>0</v>
      </c>
      <c r="R1552" s="2" t="inlineStr"/>
    </row>
    <row r="1553" ht="15" customHeight="1">
      <c r="A1553" t="inlineStr">
        <is>
          <t>A 23965-2021</t>
        </is>
      </c>
      <c r="B1553" s="1" t="n">
        <v>44335</v>
      </c>
      <c r="C1553" s="1" t="n">
        <v>45724</v>
      </c>
      <c r="D1553" t="inlineStr">
        <is>
          <t>VÄSTMANLANDS LÄN</t>
        </is>
      </c>
      <c r="E1553" t="inlineStr">
        <is>
          <t>SKINNSKATTEBERG</t>
        </is>
      </c>
      <c r="F1553" t="inlineStr">
        <is>
          <t>Sveaskog</t>
        </is>
      </c>
      <c r="G1553" t="n">
        <v>7.7</v>
      </c>
      <c r="H1553" t="n">
        <v>0</v>
      </c>
      <c r="I1553" t="n">
        <v>0</v>
      </c>
      <c r="J1553" t="n">
        <v>0</v>
      </c>
      <c r="K1553" t="n">
        <v>0</v>
      </c>
      <c r="L1553" t="n">
        <v>0</v>
      </c>
      <c r="M1553" t="n">
        <v>0</v>
      </c>
      <c r="N1553" t="n">
        <v>0</v>
      </c>
      <c r="O1553" t="n">
        <v>0</v>
      </c>
      <c r="P1553" t="n">
        <v>0</v>
      </c>
      <c r="Q1553" t="n">
        <v>0</v>
      </c>
      <c r="R1553" s="2" t="inlineStr"/>
    </row>
    <row r="1554" ht="15" customHeight="1">
      <c r="A1554" t="inlineStr">
        <is>
          <t>A 24163-2021</t>
        </is>
      </c>
      <c r="B1554" s="1" t="n">
        <v>44336</v>
      </c>
      <c r="C1554" s="1" t="n">
        <v>45724</v>
      </c>
      <c r="D1554" t="inlineStr">
        <is>
          <t>VÄSTMANLANDS LÄN</t>
        </is>
      </c>
      <c r="E1554" t="inlineStr">
        <is>
          <t>ARBOGA</t>
        </is>
      </c>
      <c r="G1554" t="n">
        <v>3</v>
      </c>
      <c r="H1554" t="n">
        <v>0</v>
      </c>
      <c r="I1554" t="n">
        <v>0</v>
      </c>
      <c r="J1554" t="n">
        <v>0</v>
      </c>
      <c r="K1554" t="n">
        <v>0</v>
      </c>
      <c r="L1554" t="n">
        <v>0</v>
      </c>
      <c r="M1554" t="n">
        <v>0</v>
      </c>
      <c r="N1554" t="n">
        <v>0</v>
      </c>
      <c r="O1554" t="n">
        <v>0</v>
      </c>
      <c r="P1554" t="n">
        <v>0</v>
      </c>
      <c r="Q1554" t="n">
        <v>0</v>
      </c>
      <c r="R1554" s="2" t="inlineStr"/>
    </row>
    <row r="1555" ht="15" customHeight="1">
      <c r="A1555" t="inlineStr">
        <is>
          <t>A 24229-2021</t>
        </is>
      </c>
      <c r="B1555" s="1" t="n">
        <v>44336</v>
      </c>
      <c r="C1555" s="1" t="n">
        <v>45724</v>
      </c>
      <c r="D1555" t="inlineStr">
        <is>
          <t>VÄSTMANLANDS LÄN</t>
        </is>
      </c>
      <c r="E1555" t="inlineStr">
        <is>
          <t>VÄSTERÅS</t>
        </is>
      </c>
      <c r="F1555" t="inlineStr">
        <is>
          <t>Sveaskog</t>
        </is>
      </c>
      <c r="G1555" t="n">
        <v>2.8</v>
      </c>
      <c r="H1555" t="n">
        <v>0</v>
      </c>
      <c r="I1555" t="n">
        <v>0</v>
      </c>
      <c r="J1555" t="n">
        <v>0</v>
      </c>
      <c r="K1555" t="n">
        <v>0</v>
      </c>
      <c r="L1555" t="n">
        <v>0</v>
      </c>
      <c r="M1555" t="n">
        <v>0</v>
      </c>
      <c r="N1555" t="n">
        <v>0</v>
      </c>
      <c r="O1555" t="n">
        <v>0</v>
      </c>
      <c r="P1555" t="n">
        <v>0</v>
      </c>
      <c r="Q1555" t="n">
        <v>0</v>
      </c>
      <c r="R1555" s="2" t="inlineStr"/>
    </row>
    <row r="1556" ht="15" customHeight="1">
      <c r="A1556" t="inlineStr">
        <is>
          <t>A 24740-2021</t>
        </is>
      </c>
      <c r="B1556" s="1" t="n">
        <v>44340</v>
      </c>
      <c r="C1556" s="1" t="n">
        <v>45724</v>
      </c>
      <c r="D1556" t="inlineStr">
        <is>
          <t>VÄSTMANLANDS LÄN</t>
        </is>
      </c>
      <c r="E1556" t="inlineStr">
        <is>
          <t>SALA</t>
        </is>
      </c>
      <c r="G1556" t="n">
        <v>2.1</v>
      </c>
      <c r="H1556" t="n">
        <v>0</v>
      </c>
      <c r="I1556" t="n">
        <v>0</v>
      </c>
      <c r="J1556" t="n">
        <v>0</v>
      </c>
      <c r="K1556" t="n">
        <v>0</v>
      </c>
      <c r="L1556" t="n">
        <v>0</v>
      </c>
      <c r="M1556" t="n">
        <v>0</v>
      </c>
      <c r="N1556" t="n">
        <v>0</v>
      </c>
      <c r="O1556" t="n">
        <v>0</v>
      </c>
      <c r="P1556" t="n">
        <v>0</v>
      </c>
      <c r="Q1556" t="n">
        <v>0</v>
      </c>
      <c r="R1556" s="2" t="inlineStr"/>
    </row>
    <row r="1557" ht="15" customHeight="1">
      <c r="A1557" t="inlineStr">
        <is>
          <t>A 24804-2021</t>
        </is>
      </c>
      <c r="B1557" s="1" t="n">
        <v>44340</v>
      </c>
      <c r="C1557" s="1" t="n">
        <v>45724</v>
      </c>
      <c r="D1557" t="inlineStr">
        <is>
          <t>VÄSTMANLANDS LÄN</t>
        </is>
      </c>
      <c r="E1557" t="inlineStr">
        <is>
          <t>SURAHAMMAR</t>
        </is>
      </c>
      <c r="F1557" t="inlineStr">
        <is>
          <t>Bergvik skog väst AB</t>
        </is>
      </c>
      <c r="G1557" t="n">
        <v>1.6</v>
      </c>
      <c r="H1557" t="n">
        <v>0</v>
      </c>
      <c r="I1557" t="n">
        <v>0</v>
      </c>
      <c r="J1557" t="n">
        <v>0</v>
      </c>
      <c r="K1557" t="n">
        <v>0</v>
      </c>
      <c r="L1557" t="n">
        <v>0</v>
      </c>
      <c r="M1557" t="n">
        <v>0</v>
      </c>
      <c r="N1557" t="n">
        <v>0</v>
      </c>
      <c r="O1557" t="n">
        <v>0</v>
      </c>
      <c r="P1557" t="n">
        <v>0</v>
      </c>
      <c r="Q1557" t="n">
        <v>0</v>
      </c>
      <c r="R1557" s="2" t="inlineStr"/>
    </row>
    <row r="1558" ht="15" customHeight="1">
      <c r="A1558" t="inlineStr">
        <is>
          <t>A 24823-2021</t>
        </is>
      </c>
      <c r="B1558" s="1" t="n">
        <v>44340</v>
      </c>
      <c r="C1558" s="1" t="n">
        <v>45724</v>
      </c>
      <c r="D1558" t="inlineStr">
        <is>
          <t>VÄSTMANLANDS LÄN</t>
        </is>
      </c>
      <c r="E1558" t="inlineStr">
        <is>
          <t>SALA</t>
        </is>
      </c>
      <c r="G1558" t="n">
        <v>4.9</v>
      </c>
      <c r="H1558" t="n">
        <v>0</v>
      </c>
      <c r="I1558" t="n">
        <v>0</v>
      </c>
      <c r="J1558" t="n">
        <v>0</v>
      </c>
      <c r="K1558" t="n">
        <v>0</v>
      </c>
      <c r="L1558" t="n">
        <v>0</v>
      </c>
      <c r="M1558" t="n">
        <v>0</v>
      </c>
      <c r="N1558" t="n">
        <v>0</v>
      </c>
      <c r="O1558" t="n">
        <v>0</v>
      </c>
      <c r="P1558" t="n">
        <v>0</v>
      </c>
      <c r="Q1558" t="n">
        <v>0</v>
      </c>
      <c r="R1558" s="2" t="inlineStr"/>
    </row>
    <row r="1559" ht="15" customHeight="1">
      <c r="A1559" t="inlineStr">
        <is>
          <t>A 24755-2021</t>
        </is>
      </c>
      <c r="B1559" s="1" t="n">
        <v>44340</v>
      </c>
      <c r="C1559" s="1" t="n">
        <v>45724</v>
      </c>
      <c r="D1559" t="inlineStr">
        <is>
          <t>VÄSTMANLANDS LÄN</t>
        </is>
      </c>
      <c r="E1559" t="inlineStr">
        <is>
          <t>SALA</t>
        </is>
      </c>
      <c r="G1559" t="n">
        <v>1.2</v>
      </c>
      <c r="H1559" t="n">
        <v>0</v>
      </c>
      <c r="I1559" t="n">
        <v>0</v>
      </c>
      <c r="J1559" t="n">
        <v>0</v>
      </c>
      <c r="K1559" t="n">
        <v>0</v>
      </c>
      <c r="L1559" t="n">
        <v>0</v>
      </c>
      <c r="M1559" t="n">
        <v>0</v>
      </c>
      <c r="N1559" t="n">
        <v>0</v>
      </c>
      <c r="O1559" t="n">
        <v>0</v>
      </c>
      <c r="P1559" t="n">
        <v>0</v>
      </c>
      <c r="Q1559" t="n">
        <v>0</v>
      </c>
      <c r="R1559" s="2" t="inlineStr"/>
    </row>
    <row r="1560" ht="15" customHeight="1">
      <c r="A1560" t="inlineStr">
        <is>
          <t>A 24834-2021</t>
        </is>
      </c>
      <c r="B1560" s="1" t="n">
        <v>44340</v>
      </c>
      <c r="C1560" s="1" t="n">
        <v>45724</v>
      </c>
      <c r="D1560" t="inlineStr">
        <is>
          <t>VÄSTMANLANDS LÄN</t>
        </is>
      </c>
      <c r="E1560" t="inlineStr">
        <is>
          <t>VÄSTERÅS</t>
        </is>
      </c>
      <c r="G1560" t="n">
        <v>4.8</v>
      </c>
      <c r="H1560" t="n">
        <v>0</v>
      </c>
      <c r="I1560" t="n">
        <v>0</v>
      </c>
      <c r="J1560" t="n">
        <v>0</v>
      </c>
      <c r="K1560" t="n">
        <v>0</v>
      </c>
      <c r="L1560" t="n">
        <v>0</v>
      </c>
      <c r="M1560" t="n">
        <v>0</v>
      </c>
      <c r="N1560" t="n">
        <v>0</v>
      </c>
      <c r="O1560" t="n">
        <v>0</v>
      </c>
      <c r="P1560" t="n">
        <v>0</v>
      </c>
      <c r="Q1560" t="n">
        <v>0</v>
      </c>
      <c r="R1560" s="2" t="inlineStr"/>
    </row>
    <row r="1561" ht="15" customHeight="1">
      <c r="A1561" t="inlineStr">
        <is>
          <t>A 24838-2021</t>
        </is>
      </c>
      <c r="B1561" s="1" t="n">
        <v>44340</v>
      </c>
      <c r="C1561" s="1" t="n">
        <v>45724</v>
      </c>
      <c r="D1561" t="inlineStr">
        <is>
          <t>VÄSTMANLANDS LÄN</t>
        </is>
      </c>
      <c r="E1561" t="inlineStr">
        <is>
          <t>VÄSTERÅS</t>
        </is>
      </c>
      <c r="G1561" t="n">
        <v>0.9</v>
      </c>
      <c r="H1561" t="n">
        <v>0</v>
      </c>
      <c r="I1561" t="n">
        <v>0</v>
      </c>
      <c r="J1561" t="n">
        <v>0</v>
      </c>
      <c r="K1561" t="n">
        <v>0</v>
      </c>
      <c r="L1561" t="n">
        <v>0</v>
      </c>
      <c r="M1561" t="n">
        <v>0</v>
      </c>
      <c r="N1561" t="n">
        <v>0</v>
      </c>
      <c r="O1561" t="n">
        <v>0</v>
      </c>
      <c r="P1561" t="n">
        <v>0</v>
      </c>
      <c r="Q1561" t="n">
        <v>0</v>
      </c>
      <c r="R1561" s="2" t="inlineStr"/>
    </row>
    <row r="1562" ht="15" customHeight="1">
      <c r="A1562" t="inlineStr">
        <is>
          <t>A 25052-2021</t>
        </is>
      </c>
      <c r="B1562" s="1" t="n">
        <v>44341</v>
      </c>
      <c r="C1562" s="1" t="n">
        <v>45724</v>
      </c>
      <c r="D1562" t="inlineStr">
        <is>
          <t>VÄSTMANLANDS LÄN</t>
        </is>
      </c>
      <c r="E1562" t="inlineStr">
        <is>
          <t>ARBOGA</t>
        </is>
      </c>
      <c r="G1562" t="n">
        <v>0.4</v>
      </c>
      <c r="H1562" t="n">
        <v>0</v>
      </c>
      <c r="I1562" t="n">
        <v>0</v>
      </c>
      <c r="J1562" t="n">
        <v>0</v>
      </c>
      <c r="K1562" t="n">
        <v>0</v>
      </c>
      <c r="L1562" t="n">
        <v>0</v>
      </c>
      <c r="M1562" t="n">
        <v>0</v>
      </c>
      <c r="N1562" t="n">
        <v>0</v>
      </c>
      <c r="O1562" t="n">
        <v>0</v>
      </c>
      <c r="P1562" t="n">
        <v>0</v>
      </c>
      <c r="Q1562" t="n">
        <v>0</v>
      </c>
      <c r="R1562" s="2" t="inlineStr"/>
    </row>
    <row r="1563" ht="15" customHeight="1">
      <c r="A1563" t="inlineStr">
        <is>
          <t>A 25015-2021</t>
        </is>
      </c>
      <c r="B1563" s="1" t="n">
        <v>44341</v>
      </c>
      <c r="C1563" s="1" t="n">
        <v>45724</v>
      </c>
      <c r="D1563" t="inlineStr">
        <is>
          <t>VÄSTMANLANDS LÄN</t>
        </is>
      </c>
      <c r="E1563" t="inlineStr">
        <is>
          <t>VÄSTERÅS</t>
        </is>
      </c>
      <c r="G1563" t="n">
        <v>2.4</v>
      </c>
      <c r="H1563" t="n">
        <v>0</v>
      </c>
      <c r="I1563" t="n">
        <v>0</v>
      </c>
      <c r="J1563" t="n">
        <v>0</v>
      </c>
      <c r="K1563" t="n">
        <v>0</v>
      </c>
      <c r="L1563" t="n">
        <v>0</v>
      </c>
      <c r="M1563" t="n">
        <v>0</v>
      </c>
      <c r="N1563" t="n">
        <v>0</v>
      </c>
      <c r="O1563" t="n">
        <v>0</v>
      </c>
      <c r="P1563" t="n">
        <v>0</v>
      </c>
      <c r="Q1563" t="n">
        <v>0</v>
      </c>
      <c r="R1563" s="2" t="inlineStr"/>
    </row>
    <row r="1564" ht="15" customHeight="1">
      <c r="A1564" t="inlineStr">
        <is>
          <t>A 25219-2021</t>
        </is>
      </c>
      <c r="B1564" s="1" t="n">
        <v>44342</v>
      </c>
      <c r="C1564" s="1" t="n">
        <v>45724</v>
      </c>
      <c r="D1564" t="inlineStr">
        <is>
          <t>VÄSTMANLANDS LÄN</t>
        </is>
      </c>
      <c r="E1564" t="inlineStr">
        <is>
          <t>SKINNSKATTEBERG</t>
        </is>
      </c>
      <c r="F1564" t="inlineStr">
        <is>
          <t>Sveaskog</t>
        </is>
      </c>
      <c r="G1564" t="n">
        <v>0.7</v>
      </c>
      <c r="H1564" t="n">
        <v>0</v>
      </c>
      <c r="I1564" t="n">
        <v>0</v>
      </c>
      <c r="J1564" t="n">
        <v>0</v>
      </c>
      <c r="K1564" t="n">
        <v>0</v>
      </c>
      <c r="L1564" t="n">
        <v>0</v>
      </c>
      <c r="M1564" t="n">
        <v>0</v>
      </c>
      <c r="N1564" t="n">
        <v>0</v>
      </c>
      <c r="O1564" t="n">
        <v>0</v>
      </c>
      <c r="P1564" t="n">
        <v>0</v>
      </c>
      <c r="Q1564" t="n">
        <v>0</v>
      </c>
      <c r="R1564" s="2" t="inlineStr"/>
    </row>
    <row r="1565" ht="15" customHeight="1">
      <c r="A1565" t="inlineStr">
        <is>
          <t>A 25340-2021</t>
        </is>
      </c>
      <c r="B1565" s="1" t="n">
        <v>44342</v>
      </c>
      <c r="C1565" s="1" t="n">
        <v>45724</v>
      </c>
      <c r="D1565" t="inlineStr">
        <is>
          <t>VÄSTMANLANDS LÄN</t>
        </is>
      </c>
      <c r="E1565" t="inlineStr">
        <is>
          <t>VÄSTERÅS</t>
        </is>
      </c>
      <c r="G1565" t="n">
        <v>5.4</v>
      </c>
      <c r="H1565" t="n">
        <v>0</v>
      </c>
      <c r="I1565" t="n">
        <v>0</v>
      </c>
      <c r="J1565" t="n">
        <v>0</v>
      </c>
      <c r="K1565" t="n">
        <v>0</v>
      </c>
      <c r="L1565" t="n">
        <v>0</v>
      </c>
      <c r="M1565" t="n">
        <v>0</v>
      </c>
      <c r="N1565" t="n">
        <v>0</v>
      </c>
      <c r="O1565" t="n">
        <v>0</v>
      </c>
      <c r="P1565" t="n">
        <v>0</v>
      </c>
      <c r="Q1565" t="n">
        <v>0</v>
      </c>
      <c r="R1565" s="2" t="inlineStr"/>
    </row>
    <row r="1566" ht="15" customHeight="1">
      <c r="A1566" t="inlineStr">
        <is>
          <t>A 25382-2021</t>
        </is>
      </c>
      <c r="B1566" s="1" t="n">
        <v>44342</v>
      </c>
      <c r="C1566" s="1" t="n">
        <v>45724</v>
      </c>
      <c r="D1566" t="inlineStr">
        <is>
          <t>VÄSTMANLANDS LÄN</t>
        </is>
      </c>
      <c r="E1566" t="inlineStr">
        <is>
          <t>VÄSTERÅS</t>
        </is>
      </c>
      <c r="G1566" t="n">
        <v>1.4</v>
      </c>
      <c r="H1566" t="n">
        <v>0</v>
      </c>
      <c r="I1566" t="n">
        <v>0</v>
      </c>
      <c r="J1566" t="n">
        <v>0</v>
      </c>
      <c r="K1566" t="n">
        <v>0</v>
      </c>
      <c r="L1566" t="n">
        <v>0</v>
      </c>
      <c r="M1566" t="n">
        <v>0</v>
      </c>
      <c r="N1566" t="n">
        <v>0</v>
      </c>
      <c r="O1566" t="n">
        <v>0</v>
      </c>
      <c r="P1566" t="n">
        <v>0</v>
      </c>
      <c r="Q1566" t="n">
        <v>0</v>
      </c>
      <c r="R1566" s="2" t="inlineStr"/>
    </row>
    <row r="1567" ht="15" customHeight="1">
      <c r="A1567" t="inlineStr">
        <is>
          <t>A 25386-2021</t>
        </is>
      </c>
      <c r="B1567" s="1" t="n">
        <v>44342</v>
      </c>
      <c r="C1567" s="1" t="n">
        <v>45724</v>
      </c>
      <c r="D1567" t="inlineStr">
        <is>
          <t>VÄSTMANLANDS LÄN</t>
        </is>
      </c>
      <c r="E1567" t="inlineStr">
        <is>
          <t>SKINNSKATTEBERG</t>
        </is>
      </c>
      <c r="F1567" t="inlineStr">
        <is>
          <t>Sveaskog</t>
        </is>
      </c>
      <c r="G1567" t="n">
        <v>5.8</v>
      </c>
      <c r="H1567" t="n">
        <v>0</v>
      </c>
      <c r="I1567" t="n">
        <v>0</v>
      </c>
      <c r="J1567" t="n">
        <v>0</v>
      </c>
      <c r="K1567" t="n">
        <v>0</v>
      </c>
      <c r="L1567" t="n">
        <v>0</v>
      </c>
      <c r="M1567" t="n">
        <v>0</v>
      </c>
      <c r="N1567" t="n">
        <v>0</v>
      </c>
      <c r="O1567" t="n">
        <v>0</v>
      </c>
      <c r="P1567" t="n">
        <v>0</v>
      </c>
      <c r="Q1567" t="n">
        <v>0</v>
      </c>
      <c r="R1567" s="2" t="inlineStr"/>
    </row>
    <row r="1568" ht="15" customHeight="1">
      <c r="A1568" t="inlineStr">
        <is>
          <t>A 25364-2021</t>
        </is>
      </c>
      <c r="B1568" s="1" t="n">
        <v>44342</v>
      </c>
      <c r="C1568" s="1" t="n">
        <v>45724</v>
      </c>
      <c r="D1568" t="inlineStr">
        <is>
          <t>VÄSTMANLANDS LÄN</t>
        </is>
      </c>
      <c r="E1568" t="inlineStr">
        <is>
          <t>NORBERG</t>
        </is>
      </c>
      <c r="G1568" t="n">
        <v>4</v>
      </c>
      <c r="H1568" t="n">
        <v>0</v>
      </c>
      <c r="I1568" t="n">
        <v>0</v>
      </c>
      <c r="J1568" t="n">
        <v>0</v>
      </c>
      <c r="K1568" t="n">
        <v>0</v>
      </c>
      <c r="L1568" t="n">
        <v>0</v>
      </c>
      <c r="M1568" t="n">
        <v>0</v>
      </c>
      <c r="N1568" t="n">
        <v>0</v>
      </c>
      <c r="O1568" t="n">
        <v>0</v>
      </c>
      <c r="P1568" t="n">
        <v>0</v>
      </c>
      <c r="Q1568" t="n">
        <v>0</v>
      </c>
      <c r="R1568" s="2" t="inlineStr"/>
    </row>
    <row r="1569" ht="15" customHeight="1">
      <c r="A1569" t="inlineStr">
        <is>
          <t>A 25421-2021</t>
        </is>
      </c>
      <c r="B1569" s="1" t="n">
        <v>44342</v>
      </c>
      <c r="C1569" s="1" t="n">
        <v>45724</v>
      </c>
      <c r="D1569" t="inlineStr">
        <is>
          <t>VÄSTMANLANDS LÄN</t>
        </is>
      </c>
      <c r="E1569" t="inlineStr">
        <is>
          <t>HALLSTAHAMMAR</t>
        </is>
      </c>
      <c r="G1569" t="n">
        <v>0.8</v>
      </c>
      <c r="H1569" t="n">
        <v>0</v>
      </c>
      <c r="I1569" t="n">
        <v>0</v>
      </c>
      <c r="J1569" t="n">
        <v>0</v>
      </c>
      <c r="K1569" t="n">
        <v>0</v>
      </c>
      <c r="L1569" t="n">
        <v>0</v>
      </c>
      <c r="M1569" t="n">
        <v>0</v>
      </c>
      <c r="N1569" t="n">
        <v>0</v>
      </c>
      <c r="O1569" t="n">
        <v>0</v>
      </c>
      <c r="P1569" t="n">
        <v>0</v>
      </c>
      <c r="Q1569" t="n">
        <v>0</v>
      </c>
      <c r="R1569" s="2" t="inlineStr"/>
    </row>
    <row r="1570" ht="15" customHeight="1">
      <c r="A1570" t="inlineStr">
        <is>
          <t>A 25536-2021</t>
        </is>
      </c>
      <c r="B1570" s="1" t="n">
        <v>44343</v>
      </c>
      <c r="C1570" s="1" t="n">
        <v>45724</v>
      </c>
      <c r="D1570" t="inlineStr">
        <is>
          <t>VÄSTMANLANDS LÄN</t>
        </is>
      </c>
      <c r="E1570" t="inlineStr">
        <is>
          <t>SKINNSKATTEBERG</t>
        </is>
      </c>
      <c r="G1570" t="n">
        <v>1.8</v>
      </c>
      <c r="H1570" t="n">
        <v>0</v>
      </c>
      <c r="I1570" t="n">
        <v>0</v>
      </c>
      <c r="J1570" t="n">
        <v>0</v>
      </c>
      <c r="K1570" t="n">
        <v>0</v>
      </c>
      <c r="L1570" t="n">
        <v>0</v>
      </c>
      <c r="M1570" t="n">
        <v>0</v>
      </c>
      <c r="N1570" t="n">
        <v>0</v>
      </c>
      <c r="O1570" t="n">
        <v>0</v>
      </c>
      <c r="P1570" t="n">
        <v>0</v>
      </c>
      <c r="Q1570" t="n">
        <v>0</v>
      </c>
      <c r="R1570" s="2" t="inlineStr"/>
    </row>
    <row r="1571" ht="15" customHeight="1">
      <c r="A1571" t="inlineStr">
        <is>
          <t>A 26579-2021</t>
        </is>
      </c>
      <c r="B1571" s="1" t="n">
        <v>44348</v>
      </c>
      <c r="C1571" s="1" t="n">
        <v>45724</v>
      </c>
      <c r="D1571" t="inlineStr">
        <is>
          <t>VÄSTMANLANDS LÄN</t>
        </is>
      </c>
      <c r="E1571" t="inlineStr">
        <is>
          <t>SALA</t>
        </is>
      </c>
      <c r="G1571" t="n">
        <v>1.6</v>
      </c>
      <c r="H1571" t="n">
        <v>0</v>
      </c>
      <c r="I1571" t="n">
        <v>0</v>
      </c>
      <c r="J1571" t="n">
        <v>0</v>
      </c>
      <c r="K1571" t="n">
        <v>0</v>
      </c>
      <c r="L1571" t="n">
        <v>0</v>
      </c>
      <c r="M1571" t="n">
        <v>0</v>
      </c>
      <c r="N1571" t="n">
        <v>0</v>
      </c>
      <c r="O1571" t="n">
        <v>0</v>
      </c>
      <c r="P1571" t="n">
        <v>0</v>
      </c>
      <c r="Q1571" t="n">
        <v>0</v>
      </c>
      <c r="R1571" s="2" t="inlineStr"/>
    </row>
    <row r="1572" ht="15" customHeight="1">
      <c r="A1572" t="inlineStr">
        <is>
          <t>A 26520-2021</t>
        </is>
      </c>
      <c r="B1572" s="1" t="n">
        <v>44348</v>
      </c>
      <c r="C1572" s="1" t="n">
        <v>45724</v>
      </c>
      <c r="D1572" t="inlineStr">
        <is>
          <t>VÄSTMANLANDS LÄN</t>
        </is>
      </c>
      <c r="E1572" t="inlineStr">
        <is>
          <t>VÄSTERÅS</t>
        </is>
      </c>
      <c r="G1572" t="n">
        <v>1.3</v>
      </c>
      <c r="H1572" t="n">
        <v>0</v>
      </c>
      <c r="I1572" t="n">
        <v>0</v>
      </c>
      <c r="J1572" t="n">
        <v>0</v>
      </c>
      <c r="K1572" t="n">
        <v>0</v>
      </c>
      <c r="L1572" t="n">
        <v>0</v>
      </c>
      <c r="M1572" t="n">
        <v>0</v>
      </c>
      <c r="N1572" t="n">
        <v>0</v>
      </c>
      <c r="O1572" t="n">
        <v>0</v>
      </c>
      <c r="P1572" t="n">
        <v>0</v>
      </c>
      <c r="Q1572" t="n">
        <v>0</v>
      </c>
      <c r="R1572" s="2" t="inlineStr"/>
    </row>
    <row r="1573" ht="15" customHeight="1">
      <c r="A1573" t="inlineStr">
        <is>
          <t>A 26444-2021</t>
        </is>
      </c>
      <c r="B1573" s="1" t="n">
        <v>44348</v>
      </c>
      <c r="C1573" s="1" t="n">
        <v>45724</v>
      </c>
      <c r="D1573" t="inlineStr">
        <is>
          <t>VÄSTMANLANDS LÄN</t>
        </is>
      </c>
      <c r="E1573" t="inlineStr">
        <is>
          <t>NORBERG</t>
        </is>
      </c>
      <c r="F1573" t="inlineStr">
        <is>
          <t>Övriga Aktiebolag</t>
        </is>
      </c>
      <c r="G1573" t="n">
        <v>1.6</v>
      </c>
      <c r="H1573" t="n">
        <v>0</v>
      </c>
      <c r="I1573" t="n">
        <v>0</v>
      </c>
      <c r="J1573" t="n">
        <v>0</v>
      </c>
      <c r="K1573" t="n">
        <v>0</v>
      </c>
      <c r="L1573" t="n">
        <v>0</v>
      </c>
      <c r="M1573" t="n">
        <v>0</v>
      </c>
      <c r="N1573" t="n">
        <v>0</v>
      </c>
      <c r="O1573" t="n">
        <v>0</v>
      </c>
      <c r="P1573" t="n">
        <v>0</v>
      </c>
      <c r="Q1573" t="n">
        <v>0</v>
      </c>
      <c r="R1573" s="2" t="inlineStr"/>
    </row>
    <row r="1574" ht="15" customHeight="1">
      <c r="A1574" t="inlineStr">
        <is>
          <t>A 26495-2021</t>
        </is>
      </c>
      <c r="B1574" s="1" t="n">
        <v>44348</v>
      </c>
      <c r="C1574" s="1" t="n">
        <v>45724</v>
      </c>
      <c r="D1574" t="inlineStr">
        <is>
          <t>VÄSTMANLANDS LÄN</t>
        </is>
      </c>
      <c r="E1574" t="inlineStr">
        <is>
          <t>KUNGSÖR</t>
        </is>
      </c>
      <c r="G1574" t="n">
        <v>5.7</v>
      </c>
      <c r="H1574" t="n">
        <v>0</v>
      </c>
      <c r="I1574" t="n">
        <v>0</v>
      </c>
      <c r="J1574" t="n">
        <v>0</v>
      </c>
      <c r="K1574" t="n">
        <v>0</v>
      </c>
      <c r="L1574" t="n">
        <v>0</v>
      </c>
      <c r="M1574" t="n">
        <v>0</v>
      </c>
      <c r="N1574" t="n">
        <v>0</v>
      </c>
      <c r="O1574" t="n">
        <v>0</v>
      </c>
      <c r="P1574" t="n">
        <v>0</v>
      </c>
      <c r="Q1574" t="n">
        <v>0</v>
      </c>
      <c r="R1574" s="2" t="inlineStr"/>
    </row>
    <row r="1575" ht="15" customHeight="1">
      <c r="A1575" t="inlineStr">
        <is>
          <t>A 26570-2021</t>
        </is>
      </c>
      <c r="B1575" s="1" t="n">
        <v>44348</v>
      </c>
      <c r="C1575" s="1" t="n">
        <v>45724</v>
      </c>
      <c r="D1575" t="inlineStr">
        <is>
          <t>VÄSTMANLANDS LÄN</t>
        </is>
      </c>
      <c r="E1575" t="inlineStr">
        <is>
          <t>SALA</t>
        </is>
      </c>
      <c r="G1575" t="n">
        <v>2.5</v>
      </c>
      <c r="H1575" t="n">
        <v>0</v>
      </c>
      <c r="I1575" t="n">
        <v>0</v>
      </c>
      <c r="J1575" t="n">
        <v>0</v>
      </c>
      <c r="K1575" t="n">
        <v>0</v>
      </c>
      <c r="L1575" t="n">
        <v>0</v>
      </c>
      <c r="M1575" t="n">
        <v>0</v>
      </c>
      <c r="N1575" t="n">
        <v>0</v>
      </c>
      <c r="O1575" t="n">
        <v>0</v>
      </c>
      <c r="P1575" t="n">
        <v>0</v>
      </c>
      <c r="Q1575" t="n">
        <v>0</v>
      </c>
      <c r="R1575" s="2" t="inlineStr"/>
    </row>
    <row r="1576" ht="15" customHeight="1">
      <c r="A1576" t="inlineStr">
        <is>
          <t>A 26575-2021</t>
        </is>
      </c>
      <c r="B1576" s="1" t="n">
        <v>44348</v>
      </c>
      <c r="C1576" s="1" t="n">
        <v>45724</v>
      </c>
      <c r="D1576" t="inlineStr">
        <is>
          <t>VÄSTMANLANDS LÄN</t>
        </is>
      </c>
      <c r="E1576" t="inlineStr">
        <is>
          <t>SALA</t>
        </is>
      </c>
      <c r="G1576" t="n">
        <v>2.7</v>
      </c>
      <c r="H1576" t="n">
        <v>0</v>
      </c>
      <c r="I1576" t="n">
        <v>0</v>
      </c>
      <c r="J1576" t="n">
        <v>0</v>
      </c>
      <c r="K1576" t="n">
        <v>0</v>
      </c>
      <c r="L1576" t="n">
        <v>0</v>
      </c>
      <c r="M1576" t="n">
        <v>0</v>
      </c>
      <c r="N1576" t="n">
        <v>0</v>
      </c>
      <c r="O1576" t="n">
        <v>0</v>
      </c>
      <c r="P1576" t="n">
        <v>0</v>
      </c>
      <c r="Q1576" t="n">
        <v>0</v>
      </c>
      <c r="R1576" s="2" t="inlineStr"/>
    </row>
    <row r="1577" ht="15" customHeight="1">
      <c r="A1577" t="inlineStr">
        <is>
          <t>A 26859-2021</t>
        </is>
      </c>
      <c r="B1577" s="1" t="n">
        <v>44349</v>
      </c>
      <c r="C1577" s="1" t="n">
        <v>45724</v>
      </c>
      <c r="D1577" t="inlineStr">
        <is>
          <t>VÄSTMANLANDS LÄN</t>
        </is>
      </c>
      <c r="E1577" t="inlineStr">
        <is>
          <t>ARBOGA</t>
        </is>
      </c>
      <c r="G1577" t="n">
        <v>2</v>
      </c>
      <c r="H1577" t="n">
        <v>0</v>
      </c>
      <c r="I1577" t="n">
        <v>0</v>
      </c>
      <c r="J1577" t="n">
        <v>0</v>
      </c>
      <c r="K1577" t="n">
        <v>0</v>
      </c>
      <c r="L1577" t="n">
        <v>0</v>
      </c>
      <c r="M1577" t="n">
        <v>0</v>
      </c>
      <c r="N1577" t="n">
        <v>0</v>
      </c>
      <c r="O1577" t="n">
        <v>0</v>
      </c>
      <c r="P1577" t="n">
        <v>0</v>
      </c>
      <c r="Q1577" t="n">
        <v>0</v>
      </c>
      <c r="R1577" s="2" t="inlineStr"/>
    </row>
    <row r="1578" ht="15" customHeight="1">
      <c r="A1578" t="inlineStr">
        <is>
          <t>A 26910-2021</t>
        </is>
      </c>
      <c r="B1578" s="1" t="n">
        <v>44349</v>
      </c>
      <c r="C1578" s="1" t="n">
        <v>45724</v>
      </c>
      <c r="D1578" t="inlineStr">
        <is>
          <t>VÄSTMANLANDS LÄN</t>
        </is>
      </c>
      <c r="E1578" t="inlineStr">
        <is>
          <t>NORBERG</t>
        </is>
      </c>
      <c r="G1578" t="n">
        <v>0.3</v>
      </c>
      <c r="H1578" t="n">
        <v>0</v>
      </c>
      <c r="I1578" t="n">
        <v>0</v>
      </c>
      <c r="J1578" t="n">
        <v>0</v>
      </c>
      <c r="K1578" t="n">
        <v>0</v>
      </c>
      <c r="L1578" t="n">
        <v>0</v>
      </c>
      <c r="M1578" t="n">
        <v>0</v>
      </c>
      <c r="N1578" t="n">
        <v>0</v>
      </c>
      <c r="O1578" t="n">
        <v>0</v>
      </c>
      <c r="P1578" t="n">
        <v>0</v>
      </c>
      <c r="Q1578" t="n">
        <v>0</v>
      </c>
      <c r="R1578" s="2" t="inlineStr"/>
    </row>
    <row r="1579" ht="15" customHeight="1">
      <c r="A1579" t="inlineStr">
        <is>
          <t>A 26891-2021</t>
        </is>
      </c>
      <c r="B1579" s="1" t="n">
        <v>44349</v>
      </c>
      <c r="C1579" s="1" t="n">
        <v>45724</v>
      </c>
      <c r="D1579" t="inlineStr">
        <is>
          <t>VÄSTMANLANDS LÄN</t>
        </is>
      </c>
      <c r="E1579" t="inlineStr">
        <is>
          <t>NORBERG</t>
        </is>
      </c>
      <c r="G1579" t="n">
        <v>0.5</v>
      </c>
      <c r="H1579" t="n">
        <v>0</v>
      </c>
      <c r="I1579" t="n">
        <v>0</v>
      </c>
      <c r="J1579" t="n">
        <v>0</v>
      </c>
      <c r="K1579" t="n">
        <v>0</v>
      </c>
      <c r="L1579" t="n">
        <v>0</v>
      </c>
      <c r="M1579" t="n">
        <v>0</v>
      </c>
      <c r="N1579" t="n">
        <v>0</v>
      </c>
      <c r="O1579" t="n">
        <v>0</v>
      </c>
      <c r="P1579" t="n">
        <v>0</v>
      </c>
      <c r="Q1579" t="n">
        <v>0</v>
      </c>
      <c r="R1579" s="2" t="inlineStr"/>
    </row>
    <row r="1580" ht="15" customHeight="1">
      <c r="A1580" t="inlineStr">
        <is>
          <t>A 26899-2021</t>
        </is>
      </c>
      <c r="B1580" s="1" t="n">
        <v>44349</v>
      </c>
      <c r="C1580" s="1" t="n">
        <v>45724</v>
      </c>
      <c r="D1580" t="inlineStr">
        <is>
          <t>VÄSTMANLANDS LÄN</t>
        </is>
      </c>
      <c r="E1580" t="inlineStr">
        <is>
          <t>NORBERG</t>
        </is>
      </c>
      <c r="G1580" t="n">
        <v>4.7</v>
      </c>
      <c r="H1580" t="n">
        <v>0</v>
      </c>
      <c r="I1580" t="n">
        <v>0</v>
      </c>
      <c r="J1580" t="n">
        <v>0</v>
      </c>
      <c r="K1580" t="n">
        <v>0</v>
      </c>
      <c r="L1580" t="n">
        <v>0</v>
      </c>
      <c r="M1580" t="n">
        <v>0</v>
      </c>
      <c r="N1580" t="n">
        <v>0</v>
      </c>
      <c r="O1580" t="n">
        <v>0</v>
      </c>
      <c r="P1580" t="n">
        <v>0</v>
      </c>
      <c r="Q1580" t="n">
        <v>0</v>
      </c>
      <c r="R1580" s="2" t="inlineStr"/>
    </row>
    <row r="1581" ht="15" customHeight="1">
      <c r="A1581" t="inlineStr">
        <is>
          <t>A 27213-2021</t>
        </is>
      </c>
      <c r="B1581" s="1" t="n">
        <v>44350</v>
      </c>
      <c r="C1581" s="1" t="n">
        <v>45724</v>
      </c>
      <c r="D1581" t="inlineStr">
        <is>
          <t>VÄSTMANLANDS LÄN</t>
        </is>
      </c>
      <c r="E1581" t="inlineStr">
        <is>
          <t>SKINNSKATTEBERG</t>
        </is>
      </c>
      <c r="F1581" t="inlineStr">
        <is>
          <t>Sveaskog</t>
        </is>
      </c>
      <c r="G1581" t="n">
        <v>2</v>
      </c>
      <c r="H1581" t="n">
        <v>0</v>
      </c>
      <c r="I1581" t="n">
        <v>0</v>
      </c>
      <c r="J1581" t="n">
        <v>0</v>
      </c>
      <c r="K1581" t="n">
        <v>0</v>
      </c>
      <c r="L1581" t="n">
        <v>0</v>
      </c>
      <c r="M1581" t="n">
        <v>0</v>
      </c>
      <c r="N1581" t="n">
        <v>0</v>
      </c>
      <c r="O1581" t="n">
        <v>0</v>
      </c>
      <c r="P1581" t="n">
        <v>0</v>
      </c>
      <c r="Q1581" t="n">
        <v>0</v>
      </c>
      <c r="R1581" s="2" t="inlineStr"/>
    </row>
    <row r="1582" ht="15" customHeight="1">
      <c r="A1582" t="inlineStr">
        <is>
          <t>A 27212-2021</t>
        </is>
      </c>
      <c r="B1582" s="1" t="n">
        <v>44350</v>
      </c>
      <c r="C1582" s="1" t="n">
        <v>45724</v>
      </c>
      <c r="D1582" t="inlineStr">
        <is>
          <t>VÄSTMANLANDS LÄN</t>
        </is>
      </c>
      <c r="E1582" t="inlineStr">
        <is>
          <t>KÖPING</t>
        </is>
      </c>
      <c r="F1582" t="inlineStr">
        <is>
          <t>Sveaskog</t>
        </is>
      </c>
      <c r="G1582" t="n">
        <v>5.2</v>
      </c>
      <c r="H1582" t="n">
        <v>0</v>
      </c>
      <c r="I1582" t="n">
        <v>0</v>
      </c>
      <c r="J1582" t="n">
        <v>0</v>
      </c>
      <c r="K1582" t="n">
        <v>0</v>
      </c>
      <c r="L1582" t="n">
        <v>0</v>
      </c>
      <c r="M1582" t="n">
        <v>0</v>
      </c>
      <c r="N1582" t="n">
        <v>0</v>
      </c>
      <c r="O1582" t="n">
        <v>0</v>
      </c>
      <c r="P1582" t="n">
        <v>0</v>
      </c>
      <c r="Q1582" t="n">
        <v>0</v>
      </c>
      <c r="R1582" s="2" t="inlineStr"/>
    </row>
    <row r="1583" ht="15" customHeight="1">
      <c r="A1583" t="inlineStr">
        <is>
          <t>A 27065-2021</t>
        </is>
      </c>
      <c r="B1583" s="1" t="n">
        <v>44350</v>
      </c>
      <c r="C1583" s="1" t="n">
        <v>45724</v>
      </c>
      <c r="D1583" t="inlineStr">
        <is>
          <t>VÄSTMANLANDS LÄN</t>
        </is>
      </c>
      <c r="E1583" t="inlineStr">
        <is>
          <t>KÖPING</t>
        </is>
      </c>
      <c r="G1583" t="n">
        <v>1.9</v>
      </c>
      <c r="H1583" t="n">
        <v>0</v>
      </c>
      <c r="I1583" t="n">
        <v>0</v>
      </c>
      <c r="J1583" t="n">
        <v>0</v>
      </c>
      <c r="K1583" t="n">
        <v>0</v>
      </c>
      <c r="L1583" t="n">
        <v>0</v>
      </c>
      <c r="M1583" t="n">
        <v>0</v>
      </c>
      <c r="N1583" t="n">
        <v>0</v>
      </c>
      <c r="O1583" t="n">
        <v>0</v>
      </c>
      <c r="P1583" t="n">
        <v>0</v>
      </c>
      <c r="Q1583" t="n">
        <v>0</v>
      </c>
      <c r="R1583" s="2" t="inlineStr"/>
    </row>
    <row r="1584" ht="15" customHeight="1">
      <c r="A1584" t="inlineStr">
        <is>
          <t>A 27209-2021</t>
        </is>
      </c>
      <c r="B1584" s="1" t="n">
        <v>44350</v>
      </c>
      <c r="C1584" s="1" t="n">
        <v>45724</v>
      </c>
      <c r="D1584" t="inlineStr">
        <is>
          <t>VÄSTMANLANDS LÄN</t>
        </is>
      </c>
      <c r="E1584" t="inlineStr">
        <is>
          <t>KÖPING</t>
        </is>
      </c>
      <c r="F1584" t="inlineStr">
        <is>
          <t>Sveaskog</t>
        </is>
      </c>
      <c r="G1584" t="n">
        <v>3.4</v>
      </c>
      <c r="H1584" t="n">
        <v>0</v>
      </c>
      <c r="I1584" t="n">
        <v>0</v>
      </c>
      <c r="J1584" t="n">
        <v>0</v>
      </c>
      <c r="K1584" t="n">
        <v>0</v>
      </c>
      <c r="L1584" t="n">
        <v>0</v>
      </c>
      <c r="M1584" t="n">
        <v>0</v>
      </c>
      <c r="N1584" t="n">
        <v>0</v>
      </c>
      <c r="O1584" t="n">
        <v>0</v>
      </c>
      <c r="P1584" t="n">
        <v>0</v>
      </c>
      <c r="Q1584" t="n">
        <v>0</v>
      </c>
      <c r="R1584" s="2" t="inlineStr"/>
    </row>
    <row r="1585" ht="15" customHeight="1">
      <c r="A1585" t="inlineStr">
        <is>
          <t>A 27402-2021</t>
        </is>
      </c>
      <c r="B1585" s="1" t="n">
        <v>44351</v>
      </c>
      <c r="C1585" s="1" t="n">
        <v>45724</v>
      </c>
      <c r="D1585" t="inlineStr">
        <is>
          <t>VÄSTMANLANDS LÄN</t>
        </is>
      </c>
      <c r="E1585" t="inlineStr">
        <is>
          <t>KÖPING</t>
        </is>
      </c>
      <c r="G1585" t="n">
        <v>0.8</v>
      </c>
      <c r="H1585" t="n">
        <v>0</v>
      </c>
      <c r="I1585" t="n">
        <v>0</v>
      </c>
      <c r="J1585" t="n">
        <v>0</v>
      </c>
      <c r="K1585" t="n">
        <v>0</v>
      </c>
      <c r="L1585" t="n">
        <v>0</v>
      </c>
      <c r="M1585" t="n">
        <v>0</v>
      </c>
      <c r="N1585" t="n">
        <v>0</v>
      </c>
      <c r="O1585" t="n">
        <v>0</v>
      </c>
      <c r="P1585" t="n">
        <v>0</v>
      </c>
      <c r="Q1585" t="n">
        <v>0</v>
      </c>
      <c r="R1585" s="2" t="inlineStr"/>
    </row>
    <row r="1586" ht="15" customHeight="1">
      <c r="A1586" t="inlineStr">
        <is>
          <t>A 27525-2021</t>
        </is>
      </c>
      <c r="B1586" s="1" t="n">
        <v>44351</v>
      </c>
      <c r="C1586" s="1" t="n">
        <v>45724</v>
      </c>
      <c r="D1586" t="inlineStr">
        <is>
          <t>VÄSTMANLANDS LÄN</t>
        </is>
      </c>
      <c r="E1586" t="inlineStr">
        <is>
          <t>FAGERSTA</t>
        </is>
      </c>
      <c r="F1586" t="inlineStr">
        <is>
          <t>Sveaskog</t>
        </is>
      </c>
      <c r="G1586" t="n">
        <v>9.1</v>
      </c>
      <c r="H1586" t="n">
        <v>0</v>
      </c>
      <c r="I1586" t="n">
        <v>0</v>
      </c>
      <c r="J1586" t="n">
        <v>0</v>
      </c>
      <c r="K1586" t="n">
        <v>0</v>
      </c>
      <c r="L1586" t="n">
        <v>0</v>
      </c>
      <c r="M1586" t="n">
        <v>0</v>
      </c>
      <c r="N1586" t="n">
        <v>0</v>
      </c>
      <c r="O1586" t="n">
        <v>0</v>
      </c>
      <c r="P1586" t="n">
        <v>0</v>
      </c>
      <c r="Q1586" t="n">
        <v>0</v>
      </c>
      <c r="R1586" s="2" t="inlineStr"/>
    </row>
    <row r="1587" ht="15" customHeight="1">
      <c r="A1587" t="inlineStr">
        <is>
          <t>A 27604-2021</t>
        </is>
      </c>
      <c r="B1587" s="1" t="n">
        <v>44351</v>
      </c>
      <c r="C1587" s="1" t="n">
        <v>45724</v>
      </c>
      <c r="D1587" t="inlineStr">
        <is>
          <t>VÄSTMANLANDS LÄN</t>
        </is>
      </c>
      <c r="E1587" t="inlineStr">
        <is>
          <t>KÖPING</t>
        </is>
      </c>
      <c r="G1587" t="n">
        <v>1.9</v>
      </c>
      <c r="H1587" t="n">
        <v>0</v>
      </c>
      <c r="I1587" t="n">
        <v>0</v>
      </c>
      <c r="J1587" t="n">
        <v>0</v>
      </c>
      <c r="K1587" t="n">
        <v>0</v>
      </c>
      <c r="L1587" t="n">
        <v>0</v>
      </c>
      <c r="M1587" t="n">
        <v>0</v>
      </c>
      <c r="N1587" t="n">
        <v>0</v>
      </c>
      <c r="O1587" t="n">
        <v>0</v>
      </c>
      <c r="P1587" t="n">
        <v>0</v>
      </c>
      <c r="Q1587" t="n">
        <v>0</v>
      </c>
      <c r="R1587" s="2" t="inlineStr"/>
    </row>
    <row r="1588" ht="15" customHeight="1">
      <c r="A1588" t="inlineStr">
        <is>
          <t>A 27793-2021</t>
        </is>
      </c>
      <c r="B1588" s="1" t="n">
        <v>44354</v>
      </c>
      <c r="C1588" s="1" t="n">
        <v>45724</v>
      </c>
      <c r="D1588" t="inlineStr">
        <is>
          <t>VÄSTMANLANDS LÄN</t>
        </is>
      </c>
      <c r="E1588" t="inlineStr">
        <is>
          <t>ARBOGA</t>
        </is>
      </c>
      <c r="F1588" t="inlineStr">
        <is>
          <t>Allmännings- och besparingsskogar</t>
        </is>
      </c>
      <c r="G1588" t="n">
        <v>3.3</v>
      </c>
      <c r="H1588" t="n">
        <v>0</v>
      </c>
      <c r="I1588" t="n">
        <v>0</v>
      </c>
      <c r="J1588" t="n">
        <v>0</v>
      </c>
      <c r="K1588" t="n">
        <v>0</v>
      </c>
      <c r="L1588" t="n">
        <v>0</v>
      </c>
      <c r="M1588" t="n">
        <v>0</v>
      </c>
      <c r="N1588" t="n">
        <v>0</v>
      </c>
      <c r="O1588" t="n">
        <v>0</v>
      </c>
      <c r="P1588" t="n">
        <v>0</v>
      </c>
      <c r="Q1588" t="n">
        <v>0</v>
      </c>
      <c r="R1588" s="2" t="inlineStr"/>
    </row>
    <row r="1589" ht="15" customHeight="1">
      <c r="A1589" t="inlineStr">
        <is>
          <t>A 27911-2021</t>
        </is>
      </c>
      <c r="B1589" s="1" t="n">
        <v>44354</v>
      </c>
      <c r="C1589" s="1" t="n">
        <v>45724</v>
      </c>
      <c r="D1589" t="inlineStr">
        <is>
          <t>VÄSTMANLANDS LÄN</t>
        </is>
      </c>
      <c r="E1589" t="inlineStr">
        <is>
          <t>KÖPING</t>
        </is>
      </c>
      <c r="F1589" t="inlineStr">
        <is>
          <t>Sveaskog</t>
        </is>
      </c>
      <c r="G1589" t="n">
        <v>1.3</v>
      </c>
      <c r="H1589" t="n">
        <v>0</v>
      </c>
      <c r="I1589" t="n">
        <v>0</v>
      </c>
      <c r="J1589" t="n">
        <v>0</v>
      </c>
      <c r="K1589" t="n">
        <v>0</v>
      </c>
      <c r="L1589" t="n">
        <v>0</v>
      </c>
      <c r="M1589" t="n">
        <v>0</v>
      </c>
      <c r="N1589" t="n">
        <v>0</v>
      </c>
      <c r="O1589" t="n">
        <v>0</v>
      </c>
      <c r="P1589" t="n">
        <v>0</v>
      </c>
      <c r="Q1589" t="n">
        <v>0</v>
      </c>
      <c r="R1589" s="2" t="inlineStr"/>
    </row>
    <row r="1590" ht="15" customHeight="1">
      <c r="A1590" t="inlineStr">
        <is>
          <t>A 28054-2021</t>
        </is>
      </c>
      <c r="B1590" s="1" t="n">
        <v>44355</v>
      </c>
      <c r="C1590" s="1" t="n">
        <v>45724</v>
      </c>
      <c r="D1590" t="inlineStr">
        <is>
          <t>VÄSTMANLANDS LÄN</t>
        </is>
      </c>
      <c r="E1590" t="inlineStr">
        <is>
          <t>ARBOGA</t>
        </is>
      </c>
      <c r="G1590" t="n">
        <v>1.7</v>
      </c>
      <c r="H1590" t="n">
        <v>0</v>
      </c>
      <c r="I1590" t="n">
        <v>0</v>
      </c>
      <c r="J1590" t="n">
        <v>0</v>
      </c>
      <c r="K1590" t="n">
        <v>0</v>
      </c>
      <c r="L1590" t="n">
        <v>0</v>
      </c>
      <c r="M1590" t="n">
        <v>0</v>
      </c>
      <c r="N1590" t="n">
        <v>0</v>
      </c>
      <c r="O1590" t="n">
        <v>0</v>
      </c>
      <c r="P1590" t="n">
        <v>0</v>
      </c>
      <c r="Q1590" t="n">
        <v>0</v>
      </c>
      <c r="R1590" s="2" t="inlineStr"/>
    </row>
    <row r="1591" ht="15" customHeight="1">
      <c r="A1591" t="inlineStr">
        <is>
          <t>A 28051-2021</t>
        </is>
      </c>
      <c r="B1591" s="1" t="n">
        <v>44355</v>
      </c>
      <c r="C1591" s="1" t="n">
        <v>45724</v>
      </c>
      <c r="D1591" t="inlineStr">
        <is>
          <t>VÄSTMANLANDS LÄN</t>
        </is>
      </c>
      <c r="E1591" t="inlineStr">
        <is>
          <t>ARBOGA</t>
        </is>
      </c>
      <c r="G1591" t="n">
        <v>0.3</v>
      </c>
      <c r="H1591" t="n">
        <v>0</v>
      </c>
      <c r="I1591" t="n">
        <v>0</v>
      </c>
      <c r="J1591" t="n">
        <v>0</v>
      </c>
      <c r="K1591" t="n">
        <v>0</v>
      </c>
      <c r="L1591" t="n">
        <v>0</v>
      </c>
      <c r="M1591" t="n">
        <v>0</v>
      </c>
      <c r="N1591" t="n">
        <v>0</v>
      </c>
      <c r="O1591" t="n">
        <v>0</v>
      </c>
      <c r="P1591" t="n">
        <v>0</v>
      </c>
      <c r="Q1591" t="n">
        <v>0</v>
      </c>
      <c r="R1591" s="2" t="inlineStr"/>
    </row>
    <row r="1592" ht="15" customHeight="1">
      <c r="A1592" t="inlineStr">
        <is>
          <t>A 28173-2021</t>
        </is>
      </c>
      <c r="B1592" s="1" t="n">
        <v>44355</v>
      </c>
      <c r="C1592" s="1" t="n">
        <v>45724</v>
      </c>
      <c r="D1592" t="inlineStr">
        <is>
          <t>VÄSTMANLANDS LÄN</t>
        </is>
      </c>
      <c r="E1592" t="inlineStr">
        <is>
          <t>SKINNSKATTEBERG</t>
        </is>
      </c>
      <c r="G1592" t="n">
        <v>9.199999999999999</v>
      </c>
      <c r="H1592" t="n">
        <v>0</v>
      </c>
      <c r="I1592" t="n">
        <v>0</v>
      </c>
      <c r="J1592" t="n">
        <v>0</v>
      </c>
      <c r="K1592" t="n">
        <v>0</v>
      </c>
      <c r="L1592" t="n">
        <v>0</v>
      </c>
      <c r="M1592" t="n">
        <v>0</v>
      </c>
      <c r="N1592" t="n">
        <v>0</v>
      </c>
      <c r="O1592" t="n">
        <v>0</v>
      </c>
      <c r="P1592" t="n">
        <v>0</v>
      </c>
      <c r="Q1592" t="n">
        <v>0</v>
      </c>
      <c r="R1592" s="2" t="inlineStr"/>
    </row>
    <row r="1593" ht="15" customHeight="1">
      <c r="A1593" t="inlineStr">
        <is>
          <t>A 28232-2021</t>
        </is>
      </c>
      <c r="B1593" s="1" t="n">
        <v>44355</v>
      </c>
      <c r="C1593" s="1" t="n">
        <v>45724</v>
      </c>
      <c r="D1593" t="inlineStr">
        <is>
          <t>VÄSTMANLANDS LÄN</t>
        </is>
      </c>
      <c r="E1593" t="inlineStr">
        <is>
          <t>KÖPING</t>
        </is>
      </c>
      <c r="G1593" t="n">
        <v>9.9</v>
      </c>
      <c r="H1593" t="n">
        <v>0</v>
      </c>
      <c r="I1593" t="n">
        <v>0</v>
      </c>
      <c r="J1593" t="n">
        <v>0</v>
      </c>
      <c r="K1593" t="n">
        <v>0</v>
      </c>
      <c r="L1593" t="n">
        <v>0</v>
      </c>
      <c r="M1593" t="n">
        <v>0</v>
      </c>
      <c r="N1593" t="n">
        <v>0</v>
      </c>
      <c r="O1593" t="n">
        <v>0</v>
      </c>
      <c r="P1593" t="n">
        <v>0</v>
      </c>
      <c r="Q1593" t="n">
        <v>0</v>
      </c>
      <c r="R1593" s="2" t="inlineStr"/>
    </row>
    <row r="1594" ht="15" customHeight="1">
      <c r="A1594" t="inlineStr">
        <is>
          <t>A 28324-2021</t>
        </is>
      </c>
      <c r="B1594" s="1" t="n">
        <v>44356</v>
      </c>
      <c r="C1594" s="1" t="n">
        <v>45724</v>
      </c>
      <c r="D1594" t="inlineStr">
        <is>
          <t>VÄSTMANLANDS LÄN</t>
        </is>
      </c>
      <c r="E1594" t="inlineStr">
        <is>
          <t>ARBOGA</t>
        </is>
      </c>
      <c r="G1594" t="n">
        <v>1.3</v>
      </c>
      <c r="H1594" t="n">
        <v>0</v>
      </c>
      <c r="I1594" t="n">
        <v>0</v>
      </c>
      <c r="J1594" t="n">
        <v>0</v>
      </c>
      <c r="K1594" t="n">
        <v>0</v>
      </c>
      <c r="L1594" t="n">
        <v>0</v>
      </c>
      <c r="M1594" t="n">
        <v>0</v>
      </c>
      <c r="N1594" t="n">
        <v>0</v>
      </c>
      <c r="O1594" t="n">
        <v>0</v>
      </c>
      <c r="P1594" t="n">
        <v>0</v>
      </c>
      <c r="Q1594" t="n">
        <v>0</v>
      </c>
      <c r="R1594" s="2" t="inlineStr"/>
    </row>
    <row r="1595" ht="15" customHeight="1">
      <c r="A1595" t="inlineStr">
        <is>
          <t>A 28425-2021</t>
        </is>
      </c>
      <c r="B1595" s="1" t="n">
        <v>44356</v>
      </c>
      <c r="C1595" s="1" t="n">
        <v>45724</v>
      </c>
      <c r="D1595" t="inlineStr">
        <is>
          <t>VÄSTMANLANDS LÄN</t>
        </is>
      </c>
      <c r="E1595" t="inlineStr">
        <is>
          <t>SALA</t>
        </is>
      </c>
      <c r="G1595" t="n">
        <v>3.7</v>
      </c>
      <c r="H1595" t="n">
        <v>0</v>
      </c>
      <c r="I1595" t="n">
        <v>0</v>
      </c>
      <c r="J1595" t="n">
        <v>0</v>
      </c>
      <c r="K1595" t="n">
        <v>0</v>
      </c>
      <c r="L1595" t="n">
        <v>0</v>
      </c>
      <c r="M1595" t="n">
        <v>0</v>
      </c>
      <c r="N1595" t="n">
        <v>0</v>
      </c>
      <c r="O1595" t="n">
        <v>0</v>
      </c>
      <c r="P1595" t="n">
        <v>0</v>
      </c>
      <c r="Q1595" t="n">
        <v>0</v>
      </c>
      <c r="R1595" s="2" t="inlineStr"/>
    </row>
    <row r="1596" ht="15" customHeight="1">
      <c r="A1596" t="inlineStr">
        <is>
          <t>A 28458-2021</t>
        </is>
      </c>
      <c r="B1596" s="1" t="n">
        <v>44356</v>
      </c>
      <c r="C1596" s="1" t="n">
        <v>45724</v>
      </c>
      <c r="D1596" t="inlineStr">
        <is>
          <t>VÄSTMANLANDS LÄN</t>
        </is>
      </c>
      <c r="E1596" t="inlineStr">
        <is>
          <t>NORBERG</t>
        </is>
      </c>
      <c r="G1596" t="n">
        <v>1</v>
      </c>
      <c r="H1596" t="n">
        <v>0</v>
      </c>
      <c r="I1596" t="n">
        <v>0</v>
      </c>
      <c r="J1596" t="n">
        <v>0</v>
      </c>
      <c r="K1596" t="n">
        <v>0</v>
      </c>
      <c r="L1596" t="n">
        <v>0</v>
      </c>
      <c r="M1596" t="n">
        <v>0</v>
      </c>
      <c r="N1596" t="n">
        <v>0</v>
      </c>
      <c r="O1596" t="n">
        <v>0</v>
      </c>
      <c r="P1596" t="n">
        <v>0</v>
      </c>
      <c r="Q1596" t="n">
        <v>0</v>
      </c>
      <c r="R1596" s="2" t="inlineStr"/>
    </row>
    <row r="1597" ht="15" customHeight="1">
      <c r="A1597" t="inlineStr">
        <is>
          <t>A 29035-2021</t>
        </is>
      </c>
      <c r="B1597" s="1" t="n">
        <v>44358</v>
      </c>
      <c r="C1597" s="1" t="n">
        <v>45724</v>
      </c>
      <c r="D1597" t="inlineStr">
        <is>
          <t>VÄSTMANLANDS LÄN</t>
        </is>
      </c>
      <c r="E1597" t="inlineStr">
        <is>
          <t>HALLSTAHAMMAR</t>
        </is>
      </c>
      <c r="F1597" t="inlineStr">
        <is>
          <t>Allmännings- och besparingsskogar</t>
        </is>
      </c>
      <c r="G1597" t="n">
        <v>2.3</v>
      </c>
      <c r="H1597" t="n">
        <v>0</v>
      </c>
      <c r="I1597" t="n">
        <v>0</v>
      </c>
      <c r="J1597" t="n">
        <v>0</v>
      </c>
      <c r="K1597" t="n">
        <v>0</v>
      </c>
      <c r="L1597" t="n">
        <v>0</v>
      </c>
      <c r="M1597" t="n">
        <v>0</v>
      </c>
      <c r="N1597" t="n">
        <v>0</v>
      </c>
      <c r="O1597" t="n">
        <v>0</v>
      </c>
      <c r="P1597" t="n">
        <v>0</v>
      </c>
      <c r="Q1597" t="n">
        <v>0</v>
      </c>
      <c r="R1597" s="2" t="inlineStr"/>
    </row>
    <row r="1598" ht="15" customHeight="1">
      <c r="A1598" t="inlineStr">
        <is>
          <t>A 29197-2021</t>
        </is>
      </c>
      <c r="B1598" s="1" t="n">
        <v>44359</v>
      </c>
      <c r="C1598" s="1" t="n">
        <v>45724</v>
      </c>
      <c r="D1598" t="inlineStr">
        <is>
          <t>VÄSTMANLANDS LÄN</t>
        </is>
      </c>
      <c r="E1598" t="inlineStr">
        <is>
          <t>FAGERSTA</t>
        </is>
      </c>
      <c r="G1598" t="n">
        <v>0.6</v>
      </c>
      <c r="H1598" t="n">
        <v>0</v>
      </c>
      <c r="I1598" t="n">
        <v>0</v>
      </c>
      <c r="J1598" t="n">
        <v>0</v>
      </c>
      <c r="K1598" t="n">
        <v>0</v>
      </c>
      <c r="L1598" t="n">
        <v>0</v>
      </c>
      <c r="M1598" t="n">
        <v>0</v>
      </c>
      <c r="N1598" t="n">
        <v>0</v>
      </c>
      <c r="O1598" t="n">
        <v>0</v>
      </c>
      <c r="P1598" t="n">
        <v>0</v>
      </c>
      <c r="Q1598" t="n">
        <v>0</v>
      </c>
      <c r="R1598" s="2" t="inlineStr"/>
    </row>
    <row r="1599" ht="15" customHeight="1">
      <c r="A1599" t="inlineStr">
        <is>
          <t>A 29244-2021</t>
        </is>
      </c>
      <c r="B1599" s="1" t="n">
        <v>44360</v>
      </c>
      <c r="C1599" s="1" t="n">
        <v>45724</v>
      </c>
      <c r="D1599" t="inlineStr">
        <is>
          <t>VÄSTMANLANDS LÄN</t>
        </is>
      </c>
      <c r="E1599" t="inlineStr">
        <is>
          <t>NORBERG</t>
        </is>
      </c>
      <c r="F1599" t="inlineStr">
        <is>
          <t>Kyrkan</t>
        </is>
      </c>
      <c r="G1599" t="n">
        <v>0.8</v>
      </c>
      <c r="H1599" t="n">
        <v>0</v>
      </c>
      <c r="I1599" t="n">
        <v>0</v>
      </c>
      <c r="J1599" t="n">
        <v>0</v>
      </c>
      <c r="K1599" t="n">
        <v>0</v>
      </c>
      <c r="L1599" t="n">
        <v>0</v>
      </c>
      <c r="M1599" t="n">
        <v>0</v>
      </c>
      <c r="N1599" t="n">
        <v>0</v>
      </c>
      <c r="O1599" t="n">
        <v>0</v>
      </c>
      <c r="P1599" t="n">
        <v>0</v>
      </c>
      <c r="Q1599" t="n">
        <v>0</v>
      </c>
      <c r="R1599" s="2" t="inlineStr"/>
    </row>
    <row r="1600" ht="15" customHeight="1">
      <c r="A1600" t="inlineStr">
        <is>
          <t>A 29791-2021</t>
        </is>
      </c>
      <c r="B1600" s="1" t="n">
        <v>44362</v>
      </c>
      <c r="C1600" s="1" t="n">
        <v>45724</v>
      </c>
      <c r="D1600" t="inlineStr">
        <is>
          <t>VÄSTMANLANDS LÄN</t>
        </is>
      </c>
      <c r="E1600" t="inlineStr">
        <is>
          <t>VÄSTERÅS</t>
        </is>
      </c>
      <c r="G1600" t="n">
        <v>2.4</v>
      </c>
      <c r="H1600" t="n">
        <v>0</v>
      </c>
      <c r="I1600" t="n">
        <v>0</v>
      </c>
      <c r="J1600" t="n">
        <v>0</v>
      </c>
      <c r="K1600" t="n">
        <v>0</v>
      </c>
      <c r="L1600" t="n">
        <v>0</v>
      </c>
      <c r="M1600" t="n">
        <v>0</v>
      </c>
      <c r="N1600" t="n">
        <v>0</v>
      </c>
      <c r="O1600" t="n">
        <v>0</v>
      </c>
      <c r="P1600" t="n">
        <v>0</v>
      </c>
      <c r="Q1600" t="n">
        <v>0</v>
      </c>
      <c r="R1600" s="2" t="inlineStr"/>
    </row>
    <row r="1601" ht="15" customHeight="1">
      <c r="A1601" t="inlineStr">
        <is>
          <t>A 29894-2021</t>
        </is>
      </c>
      <c r="B1601" s="1" t="n">
        <v>44362</v>
      </c>
      <c r="C1601" s="1" t="n">
        <v>45724</v>
      </c>
      <c r="D1601" t="inlineStr">
        <is>
          <t>VÄSTMANLANDS LÄN</t>
        </is>
      </c>
      <c r="E1601" t="inlineStr">
        <is>
          <t>KÖPING</t>
        </is>
      </c>
      <c r="G1601" t="n">
        <v>0.8</v>
      </c>
      <c r="H1601" t="n">
        <v>0</v>
      </c>
      <c r="I1601" t="n">
        <v>0</v>
      </c>
      <c r="J1601" t="n">
        <v>0</v>
      </c>
      <c r="K1601" t="n">
        <v>0</v>
      </c>
      <c r="L1601" t="n">
        <v>0</v>
      </c>
      <c r="M1601" t="n">
        <v>0</v>
      </c>
      <c r="N1601" t="n">
        <v>0</v>
      </c>
      <c r="O1601" t="n">
        <v>0</v>
      </c>
      <c r="P1601" t="n">
        <v>0</v>
      </c>
      <c r="Q1601" t="n">
        <v>0</v>
      </c>
      <c r="R1601" s="2" t="inlineStr"/>
    </row>
    <row r="1602" ht="15" customHeight="1">
      <c r="A1602" t="inlineStr">
        <is>
          <t>A 30087-2021</t>
        </is>
      </c>
      <c r="B1602" s="1" t="n">
        <v>44363</v>
      </c>
      <c r="C1602" s="1" t="n">
        <v>45724</v>
      </c>
      <c r="D1602" t="inlineStr">
        <is>
          <t>VÄSTMANLANDS LÄN</t>
        </is>
      </c>
      <c r="E1602" t="inlineStr">
        <is>
          <t>KÖPING</t>
        </is>
      </c>
      <c r="G1602" t="n">
        <v>0.5</v>
      </c>
      <c r="H1602" t="n">
        <v>0</v>
      </c>
      <c r="I1602" t="n">
        <v>0</v>
      </c>
      <c r="J1602" t="n">
        <v>0</v>
      </c>
      <c r="K1602" t="n">
        <v>0</v>
      </c>
      <c r="L1602" t="n">
        <v>0</v>
      </c>
      <c r="M1602" t="n">
        <v>0</v>
      </c>
      <c r="N1602" t="n">
        <v>0</v>
      </c>
      <c r="O1602" t="n">
        <v>0</v>
      </c>
      <c r="P1602" t="n">
        <v>0</v>
      </c>
      <c r="Q1602" t="n">
        <v>0</v>
      </c>
      <c r="R1602" s="2" t="inlineStr"/>
    </row>
    <row r="1603" ht="15" customHeight="1">
      <c r="A1603" t="inlineStr">
        <is>
          <t>A 30170-2021</t>
        </is>
      </c>
      <c r="B1603" s="1" t="n">
        <v>44363</v>
      </c>
      <c r="C1603" s="1" t="n">
        <v>45724</v>
      </c>
      <c r="D1603" t="inlineStr">
        <is>
          <t>VÄSTMANLANDS LÄN</t>
        </is>
      </c>
      <c r="E1603" t="inlineStr">
        <is>
          <t>SALA</t>
        </is>
      </c>
      <c r="G1603" t="n">
        <v>7.2</v>
      </c>
      <c r="H1603" t="n">
        <v>0</v>
      </c>
      <c r="I1603" t="n">
        <v>0</v>
      </c>
      <c r="J1603" t="n">
        <v>0</v>
      </c>
      <c r="K1603" t="n">
        <v>0</v>
      </c>
      <c r="L1603" t="n">
        <v>0</v>
      </c>
      <c r="M1603" t="n">
        <v>0</v>
      </c>
      <c r="N1603" t="n">
        <v>0</v>
      </c>
      <c r="O1603" t="n">
        <v>0</v>
      </c>
      <c r="P1603" t="n">
        <v>0</v>
      </c>
      <c r="Q1603" t="n">
        <v>0</v>
      </c>
      <c r="R1603" s="2" t="inlineStr"/>
    </row>
    <row r="1604" ht="15" customHeight="1">
      <c r="A1604" t="inlineStr">
        <is>
          <t>A 30174-2021</t>
        </is>
      </c>
      <c r="B1604" s="1" t="n">
        <v>44363</v>
      </c>
      <c r="C1604" s="1" t="n">
        <v>45724</v>
      </c>
      <c r="D1604" t="inlineStr">
        <is>
          <t>VÄSTMANLANDS LÄN</t>
        </is>
      </c>
      <c r="E1604" t="inlineStr">
        <is>
          <t>HALLSTAHAMMAR</t>
        </is>
      </c>
      <c r="G1604" t="n">
        <v>1.8</v>
      </c>
      <c r="H1604" t="n">
        <v>0</v>
      </c>
      <c r="I1604" t="n">
        <v>0</v>
      </c>
      <c r="J1604" t="n">
        <v>0</v>
      </c>
      <c r="K1604" t="n">
        <v>0</v>
      </c>
      <c r="L1604" t="n">
        <v>0</v>
      </c>
      <c r="M1604" t="n">
        <v>0</v>
      </c>
      <c r="N1604" t="n">
        <v>0</v>
      </c>
      <c r="O1604" t="n">
        <v>0</v>
      </c>
      <c r="P1604" t="n">
        <v>0</v>
      </c>
      <c r="Q1604" t="n">
        <v>0</v>
      </c>
      <c r="R1604" s="2" t="inlineStr"/>
    </row>
    <row r="1605" ht="15" customHeight="1">
      <c r="A1605" t="inlineStr">
        <is>
          <t>A 30465-2021</t>
        </is>
      </c>
      <c r="B1605" s="1" t="n">
        <v>44364</v>
      </c>
      <c r="C1605" s="1" t="n">
        <v>45724</v>
      </c>
      <c r="D1605" t="inlineStr">
        <is>
          <t>VÄSTMANLANDS LÄN</t>
        </is>
      </c>
      <c r="E1605" t="inlineStr">
        <is>
          <t>VÄSTERÅS</t>
        </is>
      </c>
      <c r="G1605" t="n">
        <v>2.2</v>
      </c>
      <c r="H1605" t="n">
        <v>0</v>
      </c>
      <c r="I1605" t="n">
        <v>0</v>
      </c>
      <c r="J1605" t="n">
        <v>0</v>
      </c>
      <c r="K1605" t="n">
        <v>0</v>
      </c>
      <c r="L1605" t="n">
        <v>0</v>
      </c>
      <c r="M1605" t="n">
        <v>0</v>
      </c>
      <c r="N1605" t="n">
        <v>0</v>
      </c>
      <c r="O1605" t="n">
        <v>0</v>
      </c>
      <c r="P1605" t="n">
        <v>0</v>
      </c>
      <c r="Q1605" t="n">
        <v>0</v>
      </c>
      <c r="R1605" s="2" t="inlineStr"/>
    </row>
    <row r="1606" ht="15" customHeight="1">
      <c r="A1606" t="inlineStr">
        <is>
          <t>A 30482-2021</t>
        </is>
      </c>
      <c r="B1606" s="1" t="n">
        <v>44364</v>
      </c>
      <c r="C1606" s="1" t="n">
        <v>45724</v>
      </c>
      <c r="D1606" t="inlineStr">
        <is>
          <t>VÄSTMANLANDS LÄN</t>
        </is>
      </c>
      <c r="E1606" t="inlineStr">
        <is>
          <t>KÖPING</t>
        </is>
      </c>
      <c r="G1606" t="n">
        <v>2.7</v>
      </c>
      <c r="H1606" t="n">
        <v>0</v>
      </c>
      <c r="I1606" t="n">
        <v>0</v>
      </c>
      <c r="J1606" t="n">
        <v>0</v>
      </c>
      <c r="K1606" t="n">
        <v>0</v>
      </c>
      <c r="L1606" t="n">
        <v>0</v>
      </c>
      <c r="M1606" t="n">
        <v>0</v>
      </c>
      <c r="N1606" t="n">
        <v>0</v>
      </c>
      <c r="O1606" t="n">
        <v>0</v>
      </c>
      <c r="P1606" t="n">
        <v>0</v>
      </c>
      <c r="Q1606" t="n">
        <v>0</v>
      </c>
      <c r="R1606" s="2" t="inlineStr"/>
    </row>
    <row r="1607" ht="15" customHeight="1">
      <c r="A1607" t="inlineStr">
        <is>
          <t>A 30503-2021</t>
        </is>
      </c>
      <c r="B1607" s="1" t="n">
        <v>44364</v>
      </c>
      <c r="C1607" s="1" t="n">
        <v>45724</v>
      </c>
      <c r="D1607" t="inlineStr">
        <is>
          <t>VÄSTMANLANDS LÄN</t>
        </is>
      </c>
      <c r="E1607" t="inlineStr">
        <is>
          <t>FAGERSTA</t>
        </is>
      </c>
      <c r="G1607" t="n">
        <v>0.9</v>
      </c>
      <c r="H1607" t="n">
        <v>0</v>
      </c>
      <c r="I1607" t="n">
        <v>0</v>
      </c>
      <c r="J1607" t="n">
        <v>0</v>
      </c>
      <c r="K1607" t="n">
        <v>0</v>
      </c>
      <c r="L1607" t="n">
        <v>0</v>
      </c>
      <c r="M1607" t="n">
        <v>0</v>
      </c>
      <c r="N1607" t="n">
        <v>0</v>
      </c>
      <c r="O1607" t="n">
        <v>0</v>
      </c>
      <c r="P1607" t="n">
        <v>0</v>
      </c>
      <c r="Q1607" t="n">
        <v>0</v>
      </c>
      <c r="R1607" s="2" t="inlineStr"/>
    </row>
    <row r="1608" ht="15" customHeight="1">
      <c r="A1608" t="inlineStr">
        <is>
          <t>A 30743-2021</t>
        </is>
      </c>
      <c r="B1608" s="1" t="n">
        <v>44365</v>
      </c>
      <c r="C1608" s="1" t="n">
        <v>45724</v>
      </c>
      <c r="D1608" t="inlineStr">
        <is>
          <t>VÄSTMANLANDS LÄN</t>
        </is>
      </c>
      <c r="E1608" t="inlineStr">
        <is>
          <t>HALLSTAHAMMAR</t>
        </is>
      </c>
      <c r="G1608" t="n">
        <v>3</v>
      </c>
      <c r="H1608" t="n">
        <v>0</v>
      </c>
      <c r="I1608" t="n">
        <v>0</v>
      </c>
      <c r="J1608" t="n">
        <v>0</v>
      </c>
      <c r="K1608" t="n">
        <v>0</v>
      </c>
      <c r="L1608" t="n">
        <v>0</v>
      </c>
      <c r="M1608" t="n">
        <v>0</v>
      </c>
      <c r="N1608" t="n">
        <v>0</v>
      </c>
      <c r="O1608" t="n">
        <v>0</v>
      </c>
      <c r="P1608" t="n">
        <v>0</v>
      </c>
      <c r="Q1608" t="n">
        <v>0</v>
      </c>
      <c r="R1608" s="2" t="inlineStr"/>
    </row>
    <row r="1609" ht="15" customHeight="1">
      <c r="A1609" t="inlineStr">
        <is>
          <t>A 30782-2021</t>
        </is>
      </c>
      <c r="B1609" s="1" t="n">
        <v>44365</v>
      </c>
      <c r="C1609" s="1" t="n">
        <v>45724</v>
      </c>
      <c r="D1609" t="inlineStr">
        <is>
          <t>VÄSTMANLANDS LÄN</t>
        </is>
      </c>
      <c r="E1609" t="inlineStr">
        <is>
          <t>HALLSTAHAMMAR</t>
        </is>
      </c>
      <c r="G1609" t="n">
        <v>0.8</v>
      </c>
      <c r="H1609" t="n">
        <v>0</v>
      </c>
      <c r="I1609" t="n">
        <v>0</v>
      </c>
      <c r="J1609" t="n">
        <v>0</v>
      </c>
      <c r="K1609" t="n">
        <v>0</v>
      </c>
      <c r="L1609" t="n">
        <v>0</v>
      </c>
      <c r="M1609" t="n">
        <v>0</v>
      </c>
      <c r="N1609" t="n">
        <v>0</v>
      </c>
      <c r="O1609" t="n">
        <v>0</v>
      </c>
      <c r="P1609" t="n">
        <v>0</v>
      </c>
      <c r="Q1609" t="n">
        <v>0</v>
      </c>
      <c r="R1609" s="2" t="inlineStr"/>
    </row>
    <row r="1610" ht="15" customHeight="1">
      <c r="A1610" t="inlineStr">
        <is>
          <t>A 30859-2021</t>
        </is>
      </c>
      <c r="B1610" s="1" t="n">
        <v>44365</v>
      </c>
      <c r="C1610" s="1" t="n">
        <v>45724</v>
      </c>
      <c r="D1610" t="inlineStr">
        <is>
          <t>VÄSTMANLANDS LÄN</t>
        </is>
      </c>
      <c r="E1610" t="inlineStr">
        <is>
          <t>SALA</t>
        </is>
      </c>
      <c r="G1610" t="n">
        <v>3.1</v>
      </c>
      <c r="H1610" t="n">
        <v>0</v>
      </c>
      <c r="I1610" t="n">
        <v>0</v>
      </c>
      <c r="J1610" t="n">
        <v>0</v>
      </c>
      <c r="K1610" t="n">
        <v>0</v>
      </c>
      <c r="L1610" t="n">
        <v>0</v>
      </c>
      <c r="M1610" t="n">
        <v>0</v>
      </c>
      <c r="N1610" t="n">
        <v>0</v>
      </c>
      <c r="O1610" t="n">
        <v>0</v>
      </c>
      <c r="P1610" t="n">
        <v>0</v>
      </c>
      <c r="Q1610" t="n">
        <v>0</v>
      </c>
      <c r="R1610" s="2" t="inlineStr"/>
    </row>
    <row r="1611" ht="15" customHeight="1">
      <c r="A1611" t="inlineStr">
        <is>
          <t>A 30904-2021</t>
        </is>
      </c>
      <c r="B1611" s="1" t="n">
        <v>44365</v>
      </c>
      <c r="C1611" s="1" t="n">
        <v>45724</v>
      </c>
      <c r="D1611" t="inlineStr">
        <is>
          <t>VÄSTMANLANDS LÄN</t>
        </is>
      </c>
      <c r="E1611" t="inlineStr">
        <is>
          <t>SALA</t>
        </is>
      </c>
      <c r="G1611" t="n">
        <v>1.9</v>
      </c>
      <c r="H1611" t="n">
        <v>0</v>
      </c>
      <c r="I1611" t="n">
        <v>0</v>
      </c>
      <c r="J1611" t="n">
        <v>0</v>
      </c>
      <c r="K1611" t="n">
        <v>0</v>
      </c>
      <c r="L1611" t="n">
        <v>0</v>
      </c>
      <c r="M1611" t="n">
        <v>0</v>
      </c>
      <c r="N1611" t="n">
        <v>0</v>
      </c>
      <c r="O1611" t="n">
        <v>0</v>
      </c>
      <c r="P1611" t="n">
        <v>0</v>
      </c>
      <c r="Q1611" t="n">
        <v>0</v>
      </c>
      <c r="R1611" s="2" t="inlineStr"/>
    </row>
    <row r="1612" ht="15" customHeight="1">
      <c r="A1612" t="inlineStr">
        <is>
          <t>A 30915-2021</t>
        </is>
      </c>
      <c r="B1612" s="1" t="n">
        <v>44365</v>
      </c>
      <c r="C1612" s="1" t="n">
        <v>45724</v>
      </c>
      <c r="D1612" t="inlineStr">
        <is>
          <t>VÄSTMANLANDS LÄN</t>
        </is>
      </c>
      <c r="E1612" t="inlineStr">
        <is>
          <t>SALA</t>
        </is>
      </c>
      <c r="G1612" t="n">
        <v>0.5</v>
      </c>
      <c r="H1612" t="n">
        <v>0</v>
      </c>
      <c r="I1612" t="n">
        <v>0</v>
      </c>
      <c r="J1612" t="n">
        <v>0</v>
      </c>
      <c r="K1612" t="n">
        <v>0</v>
      </c>
      <c r="L1612" t="n">
        <v>0</v>
      </c>
      <c r="M1612" t="n">
        <v>0</v>
      </c>
      <c r="N1612" t="n">
        <v>0</v>
      </c>
      <c r="O1612" t="n">
        <v>0</v>
      </c>
      <c r="P1612" t="n">
        <v>0</v>
      </c>
      <c r="Q1612" t="n">
        <v>0</v>
      </c>
      <c r="R1612" s="2" t="inlineStr"/>
    </row>
    <row r="1613" ht="15" customHeight="1">
      <c r="A1613" t="inlineStr">
        <is>
          <t>A 30925-2021</t>
        </is>
      </c>
      <c r="B1613" s="1" t="n">
        <v>44365</v>
      </c>
      <c r="C1613" s="1" t="n">
        <v>45724</v>
      </c>
      <c r="D1613" t="inlineStr">
        <is>
          <t>VÄSTMANLANDS LÄN</t>
        </is>
      </c>
      <c r="E1613" t="inlineStr">
        <is>
          <t>SALA</t>
        </is>
      </c>
      <c r="G1613" t="n">
        <v>0.9</v>
      </c>
      <c r="H1613" t="n">
        <v>0</v>
      </c>
      <c r="I1613" t="n">
        <v>0</v>
      </c>
      <c r="J1613" t="n">
        <v>0</v>
      </c>
      <c r="K1613" t="n">
        <v>0</v>
      </c>
      <c r="L1613" t="n">
        <v>0</v>
      </c>
      <c r="M1613" t="n">
        <v>0</v>
      </c>
      <c r="N1613" t="n">
        <v>0</v>
      </c>
      <c r="O1613" t="n">
        <v>0</v>
      </c>
      <c r="P1613" t="n">
        <v>0</v>
      </c>
      <c r="Q1613" t="n">
        <v>0</v>
      </c>
      <c r="R1613" s="2" t="inlineStr"/>
    </row>
    <row r="1614" ht="15" customHeight="1">
      <c r="A1614" t="inlineStr">
        <is>
          <t>A 30918-2021</t>
        </is>
      </c>
      <c r="B1614" s="1" t="n">
        <v>44365</v>
      </c>
      <c r="C1614" s="1" t="n">
        <v>45724</v>
      </c>
      <c r="D1614" t="inlineStr">
        <is>
          <t>VÄSTMANLANDS LÄN</t>
        </is>
      </c>
      <c r="E1614" t="inlineStr">
        <is>
          <t>SALA</t>
        </is>
      </c>
      <c r="G1614" t="n">
        <v>0.7</v>
      </c>
      <c r="H1614" t="n">
        <v>0</v>
      </c>
      <c r="I1614" t="n">
        <v>0</v>
      </c>
      <c r="J1614" t="n">
        <v>0</v>
      </c>
      <c r="K1614" t="n">
        <v>0</v>
      </c>
      <c r="L1614" t="n">
        <v>0</v>
      </c>
      <c r="M1614" t="n">
        <v>0</v>
      </c>
      <c r="N1614" t="n">
        <v>0</v>
      </c>
      <c r="O1614" t="n">
        <v>0</v>
      </c>
      <c r="P1614" t="n">
        <v>0</v>
      </c>
      <c r="Q1614" t="n">
        <v>0</v>
      </c>
      <c r="R1614" s="2" t="inlineStr"/>
    </row>
    <row r="1615" ht="15" customHeight="1">
      <c r="A1615" t="inlineStr">
        <is>
          <t>A 31072-2021</t>
        </is>
      </c>
      <c r="B1615" s="1" t="n">
        <v>44368</v>
      </c>
      <c r="C1615" s="1" t="n">
        <v>45724</v>
      </c>
      <c r="D1615" t="inlineStr">
        <is>
          <t>VÄSTMANLANDS LÄN</t>
        </is>
      </c>
      <c r="E1615" t="inlineStr">
        <is>
          <t>SALA</t>
        </is>
      </c>
      <c r="G1615" t="n">
        <v>1.1</v>
      </c>
      <c r="H1615" t="n">
        <v>0</v>
      </c>
      <c r="I1615" t="n">
        <v>0</v>
      </c>
      <c r="J1615" t="n">
        <v>0</v>
      </c>
      <c r="K1615" t="n">
        <v>0</v>
      </c>
      <c r="L1615" t="n">
        <v>0</v>
      </c>
      <c r="M1615" t="n">
        <v>0</v>
      </c>
      <c r="N1615" t="n">
        <v>0</v>
      </c>
      <c r="O1615" t="n">
        <v>0</v>
      </c>
      <c r="P1615" t="n">
        <v>0</v>
      </c>
      <c r="Q1615" t="n">
        <v>0</v>
      </c>
      <c r="R1615" s="2" t="inlineStr"/>
    </row>
    <row r="1616" ht="15" customHeight="1">
      <c r="A1616" t="inlineStr">
        <is>
          <t>A 31082-2021</t>
        </is>
      </c>
      <c r="B1616" s="1" t="n">
        <v>44368</v>
      </c>
      <c r="C1616" s="1" t="n">
        <v>45724</v>
      </c>
      <c r="D1616" t="inlineStr">
        <is>
          <t>VÄSTMANLANDS LÄN</t>
        </is>
      </c>
      <c r="E1616" t="inlineStr">
        <is>
          <t>SALA</t>
        </is>
      </c>
      <c r="G1616" t="n">
        <v>2</v>
      </c>
      <c r="H1616" t="n">
        <v>0</v>
      </c>
      <c r="I1616" t="n">
        <v>0</v>
      </c>
      <c r="J1616" t="n">
        <v>0</v>
      </c>
      <c r="K1616" t="n">
        <v>0</v>
      </c>
      <c r="L1616" t="n">
        <v>0</v>
      </c>
      <c r="M1616" t="n">
        <v>0</v>
      </c>
      <c r="N1616" t="n">
        <v>0</v>
      </c>
      <c r="O1616" t="n">
        <v>0</v>
      </c>
      <c r="P1616" t="n">
        <v>0</v>
      </c>
      <c r="Q1616" t="n">
        <v>0</v>
      </c>
      <c r="R1616" s="2" t="inlineStr"/>
    </row>
    <row r="1617" ht="15" customHeight="1">
      <c r="A1617" t="inlineStr">
        <is>
          <t>A 31257-2021</t>
        </is>
      </c>
      <c r="B1617" s="1" t="n">
        <v>44368</v>
      </c>
      <c r="C1617" s="1" t="n">
        <v>45724</v>
      </c>
      <c r="D1617" t="inlineStr">
        <is>
          <t>VÄSTMANLANDS LÄN</t>
        </is>
      </c>
      <c r="E1617" t="inlineStr">
        <is>
          <t>NORBERG</t>
        </is>
      </c>
      <c r="F1617" t="inlineStr">
        <is>
          <t>Sveaskog</t>
        </is>
      </c>
      <c r="G1617" t="n">
        <v>1.5</v>
      </c>
      <c r="H1617" t="n">
        <v>0</v>
      </c>
      <c r="I1617" t="n">
        <v>0</v>
      </c>
      <c r="J1617" t="n">
        <v>0</v>
      </c>
      <c r="K1617" t="n">
        <v>0</v>
      </c>
      <c r="L1617" t="n">
        <v>0</v>
      </c>
      <c r="M1617" t="n">
        <v>0</v>
      </c>
      <c r="N1617" t="n">
        <v>0</v>
      </c>
      <c r="O1617" t="n">
        <v>0</v>
      </c>
      <c r="P1617" t="n">
        <v>0</v>
      </c>
      <c r="Q1617" t="n">
        <v>0</v>
      </c>
      <c r="R1617" s="2" t="inlineStr"/>
    </row>
    <row r="1618" ht="15" customHeight="1">
      <c r="A1618" t="inlineStr">
        <is>
          <t>A 31452-2021</t>
        </is>
      </c>
      <c r="B1618" s="1" t="n">
        <v>44369</v>
      </c>
      <c r="C1618" s="1" t="n">
        <v>45724</v>
      </c>
      <c r="D1618" t="inlineStr">
        <is>
          <t>VÄSTMANLANDS LÄN</t>
        </is>
      </c>
      <c r="E1618" t="inlineStr">
        <is>
          <t>SALA</t>
        </is>
      </c>
      <c r="F1618" t="inlineStr">
        <is>
          <t>Sveaskog</t>
        </is>
      </c>
      <c r="G1618" t="n">
        <v>0.6</v>
      </c>
      <c r="H1618" t="n">
        <v>0</v>
      </c>
      <c r="I1618" t="n">
        <v>0</v>
      </c>
      <c r="J1618" t="n">
        <v>0</v>
      </c>
      <c r="K1618" t="n">
        <v>0</v>
      </c>
      <c r="L1618" t="n">
        <v>0</v>
      </c>
      <c r="M1618" t="n">
        <v>0</v>
      </c>
      <c r="N1618" t="n">
        <v>0</v>
      </c>
      <c r="O1618" t="n">
        <v>0</v>
      </c>
      <c r="P1618" t="n">
        <v>0</v>
      </c>
      <c r="Q1618" t="n">
        <v>0</v>
      </c>
      <c r="R1618" s="2" t="inlineStr"/>
    </row>
    <row r="1619" ht="15" customHeight="1">
      <c r="A1619" t="inlineStr">
        <is>
          <t>A 31470-2021</t>
        </is>
      </c>
      <c r="B1619" s="1" t="n">
        <v>44369</v>
      </c>
      <c r="C1619" s="1" t="n">
        <v>45724</v>
      </c>
      <c r="D1619" t="inlineStr">
        <is>
          <t>VÄSTMANLANDS LÄN</t>
        </is>
      </c>
      <c r="E1619" t="inlineStr">
        <is>
          <t>SALA</t>
        </is>
      </c>
      <c r="F1619" t="inlineStr">
        <is>
          <t>Sveaskog</t>
        </is>
      </c>
      <c r="G1619" t="n">
        <v>2.1</v>
      </c>
      <c r="H1619" t="n">
        <v>0</v>
      </c>
      <c r="I1619" t="n">
        <v>0</v>
      </c>
      <c r="J1619" t="n">
        <v>0</v>
      </c>
      <c r="K1619" t="n">
        <v>0</v>
      </c>
      <c r="L1619" t="n">
        <v>0</v>
      </c>
      <c r="M1619" t="n">
        <v>0</v>
      </c>
      <c r="N1619" t="n">
        <v>0</v>
      </c>
      <c r="O1619" t="n">
        <v>0</v>
      </c>
      <c r="P1619" t="n">
        <v>0</v>
      </c>
      <c r="Q1619" t="n">
        <v>0</v>
      </c>
      <c r="R1619" s="2" t="inlineStr"/>
    </row>
    <row r="1620" ht="15" customHeight="1">
      <c r="A1620" t="inlineStr">
        <is>
          <t>A 31468-2021</t>
        </is>
      </c>
      <c r="B1620" s="1" t="n">
        <v>44369</v>
      </c>
      <c r="C1620" s="1" t="n">
        <v>45724</v>
      </c>
      <c r="D1620" t="inlineStr">
        <is>
          <t>VÄSTMANLANDS LÄN</t>
        </is>
      </c>
      <c r="E1620" t="inlineStr">
        <is>
          <t>SURAHAMMAR</t>
        </is>
      </c>
      <c r="G1620" t="n">
        <v>1.1</v>
      </c>
      <c r="H1620" t="n">
        <v>0</v>
      </c>
      <c r="I1620" t="n">
        <v>0</v>
      </c>
      <c r="J1620" t="n">
        <v>0</v>
      </c>
      <c r="K1620" t="n">
        <v>0</v>
      </c>
      <c r="L1620" t="n">
        <v>0</v>
      </c>
      <c r="M1620" t="n">
        <v>0</v>
      </c>
      <c r="N1620" t="n">
        <v>0</v>
      </c>
      <c r="O1620" t="n">
        <v>0</v>
      </c>
      <c r="P1620" t="n">
        <v>0</v>
      </c>
      <c r="Q1620" t="n">
        <v>0</v>
      </c>
      <c r="R1620" s="2" t="inlineStr"/>
    </row>
    <row r="1621" ht="15" customHeight="1">
      <c r="A1621" t="inlineStr">
        <is>
          <t>A 31424-2021</t>
        </is>
      </c>
      <c r="B1621" s="1" t="n">
        <v>44369</v>
      </c>
      <c r="C1621" s="1" t="n">
        <v>45724</v>
      </c>
      <c r="D1621" t="inlineStr">
        <is>
          <t>VÄSTMANLANDS LÄN</t>
        </is>
      </c>
      <c r="E1621" t="inlineStr">
        <is>
          <t>SKINNSKATTEBERG</t>
        </is>
      </c>
      <c r="F1621" t="inlineStr">
        <is>
          <t>Sveaskog</t>
        </is>
      </c>
      <c r="G1621" t="n">
        <v>0.7</v>
      </c>
      <c r="H1621" t="n">
        <v>0</v>
      </c>
      <c r="I1621" t="n">
        <v>0</v>
      </c>
      <c r="J1621" t="n">
        <v>0</v>
      </c>
      <c r="K1621" t="n">
        <v>0</v>
      </c>
      <c r="L1621" t="n">
        <v>0</v>
      </c>
      <c r="M1621" t="n">
        <v>0</v>
      </c>
      <c r="N1621" t="n">
        <v>0</v>
      </c>
      <c r="O1621" t="n">
        <v>0</v>
      </c>
      <c r="P1621" t="n">
        <v>0</v>
      </c>
      <c r="Q1621" t="n">
        <v>0</v>
      </c>
      <c r="R1621" s="2" t="inlineStr"/>
    </row>
    <row r="1622" ht="15" customHeight="1">
      <c r="A1622" t="inlineStr">
        <is>
          <t>A 31626-2021</t>
        </is>
      </c>
      <c r="B1622" s="1" t="n">
        <v>44369</v>
      </c>
      <c r="C1622" s="1" t="n">
        <v>45724</v>
      </c>
      <c r="D1622" t="inlineStr">
        <is>
          <t>VÄSTMANLANDS LÄN</t>
        </is>
      </c>
      <c r="E1622" t="inlineStr">
        <is>
          <t>VÄSTERÅS</t>
        </is>
      </c>
      <c r="G1622" t="n">
        <v>2.1</v>
      </c>
      <c r="H1622" t="n">
        <v>0</v>
      </c>
      <c r="I1622" t="n">
        <v>0</v>
      </c>
      <c r="J1622" t="n">
        <v>0</v>
      </c>
      <c r="K1622" t="n">
        <v>0</v>
      </c>
      <c r="L1622" t="n">
        <v>0</v>
      </c>
      <c r="M1622" t="n">
        <v>0</v>
      </c>
      <c r="N1622" t="n">
        <v>0</v>
      </c>
      <c r="O1622" t="n">
        <v>0</v>
      </c>
      <c r="P1622" t="n">
        <v>0</v>
      </c>
      <c r="Q1622" t="n">
        <v>0</v>
      </c>
      <c r="R1622" s="2" t="inlineStr"/>
    </row>
    <row r="1623" ht="15" customHeight="1">
      <c r="A1623" t="inlineStr">
        <is>
          <t>A 31680-2021</t>
        </is>
      </c>
      <c r="B1623" s="1" t="n">
        <v>44369</v>
      </c>
      <c r="C1623" s="1" t="n">
        <v>45724</v>
      </c>
      <c r="D1623" t="inlineStr">
        <is>
          <t>VÄSTMANLANDS LÄN</t>
        </is>
      </c>
      <c r="E1623" t="inlineStr">
        <is>
          <t>VÄSTERÅS</t>
        </is>
      </c>
      <c r="G1623" t="n">
        <v>3.1</v>
      </c>
      <c r="H1623" t="n">
        <v>0</v>
      </c>
      <c r="I1623" t="n">
        <v>0</v>
      </c>
      <c r="J1623" t="n">
        <v>0</v>
      </c>
      <c r="K1623" t="n">
        <v>0</v>
      </c>
      <c r="L1623" t="n">
        <v>0</v>
      </c>
      <c r="M1623" t="n">
        <v>0</v>
      </c>
      <c r="N1623" t="n">
        <v>0</v>
      </c>
      <c r="O1623" t="n">
        <v>0</v>
      </c>
      <c r="P1623" t="n">
        <v>0</v>
      </c>
      <c r="Q1623" t="n">
        <v>0</v>
      </c>
      <c r="R1623" s="2" t="inlineStr"/>
    </row>
    <row r="1624" ht="15" customHeight="1">
      <c r="A1624" t="inlineStr">
        <is>
          <t>A 31904-2021</t>
        </is>
      </c>
      <c r="B1624" s="1" t="n">
        <v>44370</v>
      </c>
      <c r="C1624" s="1" t="n">
        <v>45724</v>
      </c>
      <c r="D1624" t="inlineStr">
        <is>
          <t>VÄSTMANLANDS LÄN</t>
        </is>
      </c>
      <c r="E1624" t="inlineStr">
        <is>
          <t>SALA</t>
        </is>
      </c>
      <c r="G1624" t="n">
        <v>0.5</v>
      </c>
      <c r="H1624" t="n">
        <v>0</v>
      </c>
      <c r="I1624" t="n">
        <v>0</v>
      </c>
      <c r="J1624" t="n">
        <v>0</v>
      </c>
      <c r="K1624" t="n">
        <v>0</v>
      </c>
      <c r="L1624" t="n">
        <v>0</v>
      </c>
      <c r="M1624" t="n">
        <v>0</v>
      </c>
      <c r="N1624" t="n">
        <v>0</v>
      </c>
      <c r="O1624" t="n">
        <v>0</v>
      </c>
      <c r="P1624" t="n">
        <v>0</v>
      </c>
      <c r="Q1624" t="n">
        <v>0</v>
      </c>
      <c r="R1624" s="2" t="inlineStr"/>
    </row>
    <row r="1625" ht="15" customHeight="1">
      <c r="A1625" t="inlineStr">
        <is>
          <t>A 31880-2021</t>
        </is>
      </c>
      <c r="B1625" s="1" t="n">
        <v>44370</v>
      </c>
      <c r="C1625" s="1" t="n">
        <v>45724</v>
      </c>
      <c r="D1625" t="inlineStr">
        <is>
          <t>VÄSTMANLANDS LÄN</t>
        </is>
      </c>
      <c r="E1625" t="inlineStr">
        <is>
          <t>VÄSTERÅS</t>
        </is>
      </c>
      <c r="G1625" t="n">
        <v>6.6</v>
      </c>
      <c r="H1625" t="n">
        <v>0</v>
      </c>
      <c r="I1625" t="n">
        <v>0</v>
      </c>
      <c r="J1625" t="n">
        <v>0</v>
      </c>
      <c r="K1625" t="n">
        <v>0</v>
      </c>
      <c r="L1625" t="n">
        <v>0</v>
      </c>
      <c r="M1625" t="n">
        <v>0</v>
      </c>
      <c r="N1625" t="n">
        <v>0</v>
      </c>
      <c r="O1625" t="n">
        <v>0</v>
      </c>
      <c r="P1625" t="n">
        <v>0</v>
      </c>
      <c r="Q1625" t="n">
        <v>0</v>
      </c>
      <c r="R1625" s="2" t="inlineStr"/>
    </row>
    <row r="1626" ht="15" customHeight="1">
      <c r="A1626" t="inlineStr">
        <is>
          <t>A 31918-2021</t>
        </is>
      </c>
      <c r="B1626" s="1" t="n">
        <v>44370</v>
      </c>
      <c r="C1626" s="1" t="n">
        <v>45724</v>
      </c>
      <c r="D1626" t="inlineStr">
        <is>
          <t>VÄSTMANLANDS LÄN</t>
        </is>
      </c>
      <c r="E1626" t="inlineStr">
        <is>
          <t>KÖPING</t>
        </is>
      </c>
      <c r="G1626" t="n">
        <v>2</v>
      </c>
      <c r="H1626" t="n">
        <v>0</v>
      </c>
      <c r="I1626" t="n">
        <v>0</v>
      </c>
      <c r="J1626" t="n">
        <v>0</v>
      </c>
      <c r="K1626" t="n">
        <v>0</v>
      </c>
      <c r="L1626" t="n">
        <v>0</v>
      </c>
      <c r="M1626" t="n">
        <v>0</v>
      </c>
      <c r="N1626" t="n">
        <v>0</v>
      </c>
      <c r="O1626" t="n">
        <v>0</v>
      </c>
      <c r="P1626" t="n">
        <v>0</v>
      </c>
      <c r="Q1626" t="n">
        <v>0</v>
      </c>
      <c r="R1626" s="2" t="inlineStr"/>
    </row>
    <row r="1627" ht="15" customHeight="1">
      <c r="A1627" t="inlineStr">
        <is>
          <t>A 32312-2021</t>
        </is>
      </c>
      <c r="B1627" s="1" t="n">
        <v>44371</v>
      </c>
      <c r="C1627" s="1" t="n">
        <v>45724</v>
      </c>
      <c r="D1627" t="inlineStr">
        <is>
          <t>VÄSTMANLANDS LÄN</t>
        </is>
      </c>
      <c r="E1627" t="inlineStr">
        <is>
          <t>VÄSTERÅS</t>
        </is>
      </c>
      <c r="F1627" t="inlineStr">
        <is>
          <t>Övriga Aktiebolag</t>
        </is>
      </c>
      <c r="G1627" t="n">
        <v>9.4</v>
      </c>
      <c r="H1627" t="n">
        <v>0</v>
      </c>
      <c r="I1627" t="n">
        <v>0</v>
      </c>
      <c r="J1627" t="n">
        <v>0</v>
      </c>
      <c r="K1627" t="n">
        <v>0</v>
      </c>
      <c r="L1627" t="n">
        <v>0</v>
      </c>
      <c r="M1627" t="n">
        <v>0</v>
      </c>
      <c r="N1627" t="n">
        <v>0</v>
      </c>
      <c r="O1627" t="n">
        <v>0</v>
      </c>
      <c r="P1627" t="n">
        <v>0</v>
      </c>
      <c r="Q1627" t="n">
        <v>0</v>
      </c>
      <c r="R1627" s="2" t="inlineStr"/>
    </row>
    <row r="1628" ht="15" customHeight="1">
      <c r="A1628" t="inlineStr">
        <is>
          <t>A 32436-2021</t>
        </is>
      </c>
      <c r="B1628" s="1" t="n">
        <v>44371</v>
      </c>
      <c r="C1628" s="1" t="n">
        <v>45724</v>
      </c>
      <c r="D1628" t="inlineStr">
        <is>
          <t>VÄSTMANLANDS LÄN</t>
        </is>
      </c>
      <c r="E1628" t="inlineStr">
        <is>
          <t>VÄSTERÅS</t>
        </is>
      </c>
      <c r="F1628" t="inlineStr">
        <is>
          <t>Övriga Aktiebolag</t>
        </is>
      </c>
      <c r="G1628" t="n">
        <v>4.7</v>
      </c>
      <c r="H1628" t="n">
        <v>0</v>
      </c>
      <c r="I1628" t="n">
        <v>0</v>
      </c>
      <c r="J1628" t="n">
        <v>0</v>
      </c>
      <c r="K1628" t="n">
        <v>0</v>
      </c>
      <c r="L1628" t="n">
        <v>0</v>
      </c>
      <c r="M1628" t="n">
        <v>0</v>
      </c>
      <c r="N1628" t="n">
        <v>0</v>
      </c>
      <c r="O1628" t="n">
        <v>0</v>
      </c>
      <c r="P1628" t="n">
        <v>0</v>
      </c>
      <c r="Q1628" t="n">
        <v>0</v>
      </c>
      <c r="R1628" s="2" t="inlineStr"/>
    </row>
    <row r="1629" ht="15" customHeight="1">
      <c r="A1629" t="inlineStr">
        <is>
          <t>A 32610-2021</t>
        </is>
      </c>
      <c r="B1629" s="1" t="n">
        <v>44375</v>
      </c>
      <c r="C1629" s="1" t="n">
        <v>45724</v>
      </c>
      <c r="D1629" t="inlineStr">
        <is>
          <t>VÄSTMANLANDS LÄN</t>
        </is>
      </c>
      <c r="E1629" t="inlineStr">
        <is>
          <t>SALA</t>
        </is>
      </c>
      <c r="F1629" t="inlineStr">
        <is>
          <t>Sveaskog</t>
        </is>
      </c>
      <c r="G1629" t="n">
        <v>4.1</v>
      </c>
      <c r="H1629" t="n">
        <v>0</v>
      </c>
      <c r="I1629" t="n">
        <v>0</v>
      </c>
      <c r="J1629" t="n">
        <v>0</v>
      </c>
      <c r="K1629" t="n">
        <v>0</v>
      </c>
      <c r="L1629" t="n">
        <v>0</v>
      </c>
      <c r="M1629" t="n">
        <v>0</v>
      </c>
      <c r="N1629" t="n">
        <v>0</v>
      </c>
      <c r="O1629" t="n">
        <v>0</v>
      </c>
      <c r="P1629" t="n">
        <v>0</v>
      </c>
      <c r="Q1629" t="n">
        <v>0</v>
      </c>
      <c r="R1629" s="2" t="inlineStr"/>
    </row>
    <row r="1630" ht="15" customHeight="1">
      <c r="A1630" t="inlineStr">
        <is>
          <t>A 33512-2021</t>
        </is>
      </c>
      <c r="B1630" s="1" t="n">
        <v>44377</v>
      </c>
      <c r="C1630" s="1" t="n">
        <v>45724</v>
      </c>
      <c r="D1630" t="inlineStr">
        <is>
          <t>VÄSTMANLANDS LÄN</t>
        </is>
      </c>
      <c r="E1630" t="inlineStr">
        <is>
          <t>VÄSTERÅS</t>
        </is>
      </c>
      <c r="G1630" t="n">
        <v>2</v>
      </c>
      <c r="H1630" t="n">
        <v>0</v>
      </c>
      <c r="I1630" t="n">
        <v>0</v>
      </c>
      <c r="J1630" t="n">
        <v>0</v>
      </c>
      <c r="K1630" t="n">
        <v>0</v>
      </c>
      <c r="L1630" t="n">
        <v>0</v>
      </c>
      <c r="M1630" t="n">
        <v>0</v>
      </c>
      <c r="N1630" t="n">
        <v>0</v>
      </c>
      <c r="O1630" t="n">
        <v>0</v>
      </c>
      <c r="P1630" t="n">
        <v>0</v>
      </c>
      <c r="Q1630" t="n">
        <v>0</v>
      </c>
      <c r="R1630" s="2" t="inlineStr"/>
    </row>
    <row r="1631" ht="15" customHeight="1">
      <c r="A1631" t="inlineStr">
        <is>
          <t>A 33762-2021</t>
        </is>
      </c>
      <c r="B1631" s="1" t="n">
        <v>44378</v>
      </c>
      <c r="C1631" s="1" t="n">
        <v>45724</v>
      </c>
      <c r="D1631" t="inlineStr">
        <is>
          <t>VÄSTMANLANDS LÄN</t>
        </is>
      </c>
      <c r="E1631" t="inlineStr">
        <is>
          <t>SALA</t>
        </is>
      </c>
      <c r="G1631" t="n">
        <v>3.4</v>
      </c>
      <c r="H1631" t="n">
        <v>0</v>
      </c>
      <c r="I1631" t="n">
        <v>0</v>
      </c>
      <c r="J1631" t="n">
        <v>0</v>
      </c>
      <c r="K1631" t="n">
        <v>0</v>
      </c>
      <c r="L1631" t="n">
        <v>0</v>
      </c>
      <c r="M1631" t="n">
        <v>0</v>
      </c>
      <c r="N1631" t="n">
        <v>0</v>
      </c>
      <c r="O1631" t="n">
        <v>0</v>
      </c>
      <c r="P1631" t="n">
        <v>0</v>
      </c>
      <c r="Q1631" t="n">
        <v>0</v>
      </c>
      <c r="R1631" s="2" t="inlineStr"/>
    </row>
    <row r="1632" ht="15" customHeight="1">
      <c r="A1632" t="inlineStr">
        <is>
          <t>A 33998-2021</t>
        </is>
      </c>
      <c r="B1632" s="1" t="n">
        <v>44378</v>
      </c>
      <c r="C1632" s="1" t="n">
        <v>45724</v>
      </c>
      <c r="D1632" t="inlineStr">
        <is>
          <t>VÄSTMANLANDS LÄN</t>
        </is>
      </c>
      <c r="E1632" t="inlineStr">
        <is>
          <t>SURAHAMMAR</t>
        </is>
      </c>
      <c r="F1632" t="inlineStr">
        <is>
          <t>Bergvik skog väst AB</t>
        </is>
      </c>
      <c r="G1632" t="n">
        <v>3.2</v>
      </c>
      <c r="H1632" t="n">
        <v>0</v>
      </c>
      <c r="I1632" t="n">
        <v>0</v>
      </c>
      <c r="J1632" t="n">
        <v>0</v>
      </c>
      <c r="K1632" t="n">
        <v>0</v>
      </c>
      <c r="L1632" t="n">
        <v>0</v>
      </c>
      <c r="M1632" t="n">
        <v>0</v>
      </c>
      <c r="N1632" t="n">
        <v>0</v>
      </c>
      <c r="O1632" t="n">
        <v>0</v>
      </c>
      <c r="P1632" t="n">
        <v>0</v>
      </c>
      <c r="Q1632" t="n">
        <v>0</v>
      </c>
      <c r="R1632" s="2" t="inlineStr"/>
    </row>
    <row r="1633" ht="15" customHeight="1">
      <c r="A1633" t="inlineStr">
        <is>
          <t>A 34001-2021</t>
        </is>
      </c>
      <c r="B1633" s="1" t="n">
        <v>44378</v>
      </c>
      <c r="C1633" s="1" t="n">
        <v>45724</v>
      </c>
      <c r="D1633" t="inlineStr">
        <is>
          <t>VÄSTMANLANDS LÄN</t>
        </is>
      </c>
      <c r="E1633" t="inlineStr">
        <is>
          <t>SURAHAMMAR</t>
        </is>
      </c>
      <c r="F1633" t="inlineStr">
        <is>
          <t>Bergvik skog väst AB</t>
        </is>
      </c>
      <c r="G1633" t="n">
        <v>1.9</v>
      </c>
      <c r="H1633" t="n">
        <v>0</v>
      </c>
      <c r="I1633" t="n">
        <v>0</v>
      </c>
      <c r="J1633" t="n">
        <v>0</v>
      </c>
      <c r="K1633" t="n">
        <v>0</v>
      </c>
      <c r="L1633" t="n">
        <v>0</v>
      </c>
      <c r="M1633" t="n">
        <v>0</v>
      </c>
      <c r="N1633" t="n">
        <v>0</v>
      </c>
      <c r="O1633" t="n">
        <v>0</v>
      </c>
      <c r="P1633" t="n">
        <v>0</v>
      </c>
      <c r="Q1633" t="n">
        <v>0</v>
      </c>
      <c r="R1633" s="2" t="inlineStr"/>
    </row>
    <row r="1634" ht="15" customHeight="1">
      <c r="A1634" t="inlineStr">
        <is>
          <t>A 33953-2021</t>
        </is>
      </c>
      <c r="B1634" s="1" t="n">
        <v>44378</v>
      </c>
      <c r="C1634" s="1" t="n">
        <v>45724</v>
      </c>
      <c r="D1634" t="inlineStr">
        <is>
          <t>VÄSTMANLANDS LÄN</t>
        </is>
      </c>
      <c r="E1634" t="inlineStr">
        <is>
          <t>HALLSTAHAMMAR</t>
        </is>
      </c>
      <c r="G1634" t="n">
        <v>5</v>
      </c>
      <c r="H1634" t="n">
        <v>0</v>
      </c>
      <c r="I1634" t="n">
        <v>0</v>
      </c>
      <c r="J1634" t="n">
        <v>0</v>
      </c>
      <c r="K1634" t="n">
        <v>0</v>
      </c>
      <c r="L1634" t="n">
        <v>0</v>
      </c>
      <c r="M1634" t="n">
        <v>0</v>
      </c>
      <c r="N1634" t="n">
        <v>0</v>
      </c>
      <c r="O1634" t="n">
        <v>0</v>
      </c>
      <c r="P1634" t="n">
        <v>0</v>
      </c>
      <c r="Q1634" t="n">
        <v>0</v>
      </c>
      <c r="R1634" s="2" t="inlineStr"/>
    </row>
    <row r="1635" ht="15" customHeight="1">
      <c r="A1635" t="inlineStr">
        <is>
          <t>A 34215-2021</t>
        </is>
      </c>
      <c r="B1635" s="1" t="n">
        <v>44379</v>
      </c>
      <c r="C1635" s="1" t="n">
        <v>45724</v>
      </c>
      <c r="D1635" t="inlineStr">
        <is>
          <t>VÄSTMANLANDS LÄN</t>
        </is>
      </c>
      <c r="E1635" t="inlineStr">
        <is>
          <t>KÖPING</t>
        </is>
      </c>
      <c r="F1635" t="inlineStr">
        <is>
          <t>Sveaskog</t>
        </is>
      </c>
      <c r="G1635" t="n">
        <v>1.2</v>
      </c>
      <c r="H1635" t="n">
        <v>0</v>
      </c>
      <c r="I1635" t="n">
        <v>0</v>
      </c>
      <c r="J1635" t="n">
        <v>0</v>
      </c>
      <c r="K1635" t="n">
        <v>0</v>
      </c>
      <c r="L1635" t="n">
        <v>0</v>
      </c>
      <c r="M1635" t="n">
        <v>0</v>
      </c>
      <c r="N1635" t="n">
        <v>0</v>
      </c>
      <c r="O1635" t="n">
        <v>0</v>
      </c>
      <c r="P1635" t="n">
        <v>0</v>
      </c>
      <c r="Q1635" t="n">
        <v>0</v>
      </c>
      <c r="R1635" s="2" t="inlineStr"/>
    </row>
    <row r="1636" ht="15" customHeight="1">
      <c r="A1636" t="inlineStr">
        <is>
          <t>A 34426-2021</t>
        </is>
      </c>
      <c r="B1636" s="1" t="n">
        <v>44380</v>
      </c>
      <c r="C1636" s="1" t="n">
        <v>45724</v>
      </c>
      <c r="D1636" t="inlineStr">
        <is>
          <t>VÄSTMANLANDS LÄN</t>
        </is>
      </c>
      <c r="E1636" t="inlineStr">
        <is>
          <t>FAGERSTA</t>
        </is>
      </c>
      <c r="G1636" t="n">
        <v>2.5</v>
      </c>
      <c r="H1636" t="n">
        <v>0</v>
      </c>
      <c r="I1636" t="n">
        <v>0</v>
      </c>
      <c r="J1636" t="n">
        <v>0</v>
      </c>
      <c r="K1636" t="n">
        <v>0</v>
      </c>
      <c r="L1636" t="n">
        <v>0</v>
      </c>
      <c r="M1636" t="n">
        <v>0</v>
      </c>
      <c r="N1636" t="n">
        <v>0</v>
      </c>
      <c r="O1636" t="n">
        <v>0</v>
      </c>
      <c r="P1636" t="n">
        <v>0</v>
      </c>
      <c r="Q1636" t="n">
        <v>0</v>
      </c>
      <c r="R1636" s="2" t="inlineStr"/>
    </row>
    <row r="1637" ht="15" customHeight="1">
      <c r="A1637" t="inlineStr">
        <is>
          <t>A 34897-2021</t>
        </is>
      </c>
      <c r="B1637" s="1" t="n">
        <v>44383</v>
      </c>
      <c r="C1637" s="1" t="n">
        <v>45724</v>
      </c>
      <c r="D1637" t="inlineStr">
        <is>
          <t>VÄSTMANLANDS LÄN</t>
        </is>
      </c>
      <c r="E1637" t="inlineStr">
        <is>
          <t>SKINNSKATTEBERG</t>
        </is>
      </c>
      <c r="G1637" t="n">
        <v>1.1</v>
      </c>
      <c r="H1637" t="n">
        <v>0</v>
      </c>
      <c r="I1637" t="n">
        <v>0</v>
      </c>
      <c r="J1637" t="n">
        <v>0</v>
      </c>
      <c r="K1637" t="n">
        <v>0</v>
      </c>
      <c r="L1637" t="n">
        <v>0</v>
      </c>
      <c r="M1637" t="n">
        <v>0</v>
      </c>
      <c r="N1637" t="n">
        <v>0</v>
      </c>
      <c r="O1637" t="n">
        <v>0</v>
      </c>
      <c r="P1637" t="n">
        <v>0</v>
      </c>
      <c r="Q1637" t="n">
        <v>0</v>
      </c>
      <c r="R1637" s="2" t="inlineStr"/>
    </row>
    <row r="1638" ht="15" customHeight="1">
      <c r="A1638" t="inlineStr">
        <is>
          <t>A 34814-2021</t>
        </is>
      </c>
      <c r="B1638" s="1" t="n">
        <v>44383</v>
      </c>
      <c r="C1638" s="1" t="n">
        <v>45724</v>
      </c>
      <c r="D1638" t="inlineStr">
        <is>
          <t>VÄSTMANLANDS LÄN</t>
        </is>
      </c>
      <c r="E1638" t="inlineStr">
        <is>
          <t>SALA</t>
        </is>
      </c>
      <c r="F1638" t="inlineStr">
        <is>
          <t>Sveaskog</t>
        </is>
      </c>
      <c r="G1638" t="n">
        <v>0.5</v>
      </c>
      <c r="H1638" t="n">
        <v>0</v>
      </c>
      <c r="I1638" t="n">
        <v>0</v>
      </c>
      <c r="J1638" t="n">
        <v>0</v>
      </c>
      <c r="K1638" t="n">
        <v>0</v>
      </c>
      <c r="L1638" t="n">
        <v>0</v>
      </c>
      <c r="M1638" t="n">
        <v>0</v>
      </c>
      <c r="N1638" t="n">
        <v>0</v>
      </c>
      <c r="O1638" t="n">
        <v>0</v>
      </c>
      <c r="P1638" t="n">
        <v>0</v>
      </c>
      <c r="Q1638" t="n">
        <v>0</v>
      </c>
      <c r="R1638" s="2" t="inlineStr"/>
    </row>
    <row r="1639" ht="15" customHeight="1">
      <c r="A1639" t="inlineStr">
        <is>
          <t>A 35207-2021</t>
        </is>
      </c>
      <c r="B1639" s="1" t="n">
        <v>44384</v>
      </c>
      <c r="C1639" s="1" t="n">
        <v>45724</v>
      </c>
      <c r="D1639" t="inlineStr">
        <is>
          <t>VÄSTMANLANDS LÄN</t>
        </is>
      </c>
      <c r="E1639" t="inlineStr">
        <is>
          <t>SALA</t>
        </is>
      </c>
      <c r="G1639" t="n">
        <v>2.2</v>
      </c>
      <c r="H1639" t="n">
        <v>0</v>
      </c>
      <c r="I1639" t="n">
        <v>0</v>
      </c>
      <c r="J1639" t="n">
        <v>0</v>
      </c>
      <c r="K1639" t="n">
        <v>0</v>
      </c>
      <c r="L1639" t="n">
        <v>0</v>
      </c>
      <c r="M1639" t="n">
        <v>0</v>
      </c>
      <c r="N1639" t="n">
        <v>0</v>
      </c>
      <c r="O1639" t="n">
        <v>0</v>
      </c>
      <c r="P1639" t="n">
        <v>0</v>
      </c>
      <c r="Q1639" t="n">
        <v>0</v>
      </c>
      <c r="R1639" s="2" t="inlineStr"/>
    </row>
    <row r="1640" ht="15" customHeight="1">
      <c r="A1640" t="inlineStr">
        <is>
          <t>A 35211-2021</t>
        </is>
      </c>
      <c r="B1640" s="1" t="n">
        <v>44384</v>
      </c>
      <c r="C1640" s="1" t="n">
        <v>45724</v>
      </c>
      <c r="D1640" t="inlineStr">
        <is>
          <t>VÄSTMANLANDS LÄN</t>
        </is>
      </c>
      <c r="E1640" t="inlineStr">
        <is>
          <t>SALA</t>
        </is>
      </c>
      <c r="G1640" t="n">
        <v>1.4</v>
      </c>
      <c r="H1640" t="n">
        <v>0</v>
      </c>
      <c r="I1640" t="n">
        <v>0</v>
      </c>
      <c r="J1640" t="n">
        <v>0</v>
      </c>
      <c r="K1640" t="n">
        <v>0</v>
      </c>
      <c r="L1640" t="n">
        <v>0</v>
      </c>
      <c r="M1640" t="n">
        <v>0</v>
      </c>
      <c r="N1640" t="n">
        <v>0</v>
      </c>
      <c r="O1640" t="n">
        <v>0</v>
      </c>
      <c r="P1640" t="n">
        <v>0</v>
      </c>
      <c r="Q1640" t="n">
        <v>0</v>
      </c>
      <c r="R1640" s="2" t="inlineStr"/>
    </row>
    <row r="1641" ht="15" customHeight="1">
      <c r="A1641" t="inlineStr">
        <is>
          <t>A 35451-2021</t>
        </is>
      </c>
      <c r="B1641" s="1" t="n">
        <v>44384</v>
      </c>
      <c r="C1641" s="1" t="n">
        <v>45724</v>
      </c>
      <c r="D1641" t="inlineStr">
        <is>
          <t>VÄSTMANLANDS LÄN</t>
        </is>
      </c>
      <c r="E1641" t="inlineStr">
        <is>
          <t>SALA</t>
        </is>
      </c>
      <c r="G1641" t="n">
        <v>2.5</v>
      </c>
      <c r="H1641" t="n">
        <v>0</v>
      </c>
      <c r="I1641" t="n">
        <v>0</v>
      </c>
      <c r="J1641" t="n">
        <v>0</v>
      </c>
      <c r="K1641" t="n">
        <v>0</v>
      </c>
      <c r="L1641" t="n">
        <v>0</v>
      </c>
      <c r="M1641" t="n">
        <v>0</v>
      </c>
      <c r="N1641" t="n">
        <v>0</v>
      </c>
      <c r="O1641" t="n">
        <v>0</v>
      </c>
      <c r="P1641" t="n">
        <v>0</v>
      </c>
      <c r="Q1641" t="n">
        <v>0</v>
      </c>
      <c r="R1641" s="2" t="inlineStr"/>
    </row>
    <row r="1642" ht="15" customHeight="1">
      <c r="A1642" t="inlineStr">
        <is>
          <t>A 35487-2021</t>
        </is>
      </c>
      <c r="B1642" s="1" t="n">
        <v>44384</v>
      </c>
      <c r="C1642" s="1" t="n">
        <v>45724</v>
      </c>
      <c r="D1642" t="inlineStr">
        <is>
          <t>VÄSTMANLANDS LÄN</t>
        </is>
      </c>
      <c r="E1642" t="inlineStr">
        <is>
          <t>SALA</t>
        </is>
      </c>
      <c r="G1642" t="n">
        <v>1.8</v>
      </c>
      <c r="H1642" t="n">
        <v>0</v>
      </c>
      <c r="I1642" t="n">
        <v>0</v>
      </c>
      <c r="J1642" t="n">
        <v>0</v>
      </c>
      <c r="K1642" t="n">
        <v>0</v>
      </c>
      <c r="L1642" t="n">
        <v>0</v>
      </c>
      <c r="M1642" t="n">
        <v>0</v>
      </c>
      <c r="N1642" t="n">
        <v>0</v>
      </c>
      <c r="O1642" t="n">
        <v>0</v>
      </c>
      <c r="P1642" t="n">
        <v>0</v>
      </c>
      <c r="Q1642" t="n">
        <v>0</v>
      </c>
      <c r="R1642" s="2" t="inlineStr"/>
    </row>
    <row r="1643" ht="15" customHeight="1">
      <c r="A1643" t="inlineStr">
        <is>
          <t>A 35482-2021</t>
        </is>
      </c>
      <c r="B1643" s="1" t="n">
        <v>44384</v>
      </c>
      <c r="C1643" s="1" t="n">
        <v>45724</v>
      </c>
      <c r="D1643" t="inlineStr">
        <is>
          <t>VÄSTMANLANDS LÄN</t>
        </is>
      </c>
      <c r="E1643" t="inlineStr">
        <is>
          <t>SALA</t>
        </is>
      </c>
      <c r="G1643" t="n">
        <v>1.5</v>
      </c>
      <c r="H1643" t="n">
        <v>0</v>
      </c>
      <c r="I1643" t="n">
        <v>0</v>
      </c>
      <c r="J1643" t="n">
        <v>0</v>
      </c>
      <c r="K1643" t="n">
        <v>0</v>
      </c>
      <c r="L1643" t="n">
        <v>0</v>
      </c>
      <c r="M1643" t="n">
        <v>0</v>
      </c>
      <c r="N1643" t="n">
        <v>0</v>
      </c>
      <c r="O1643" t="n">
        <v>0</v>
      </c>
      <c r="P1643" t="n">
        <v>0</v>
      </c>
      <c r="Q1643" t="n">
        <v>0</v>
      </c>
      <c r="R1643" s="2" t="inlineStr"/>
    </row>
    <row r="1644" ht="15" customHeight="1">
      <c r="A1644" t="inlineStr">
        <is>
          <t>A 35656-2021</t>
        </is>
      </c>
      <c r="B1644" s="1" t="n">
        <v>44386</v>
      </c>
      <c r="C1644" s="1" t="n">
        <v>45724</v>
      </c>
      <c r="D1644" t="inlineStr">
        <is>
          <t>VÄSTMANLANDS LÄN</t>
        </is>
      </c>
      <c r="E1644" t="inlineStr">
        <is>
          <t>NORBERG</t>
        </is>
      </c>
      <c r="F1644" t="inlineStr">
        <is>
          <t>Sveaskog</t>
        </is>
      </c>
      <c r="G1644" t="n">
        <v>1.8</v>
      </c>
      <c r="H1644" t="n">
        <v>0</v>
      </c>
      <c r="I1644" t="n">
        <v>0</v>
      </c>
      <c r="J1644" t="n">
        <v>0</v>
      </c>
      <c r="K1644" t="n">
        <v>0</v>
      </c>
      <c r="L1644" t="n">
        <v>0</v>
      </c>
      <c r="M1644" t="n">
        <v>0</v>
      </c>
      <c r="N1644" t="n">
        <v>0</v>
      </c>
      <c r="O1644" t="n">
        <v>0</v>
      </c>
      <c r="P1644" t="n">
        <v>0</v>
      </c>
      <c r="Q1644" t="n">
        <v>0</v>
      </c>
      <c r="R1644" s="2" t="inlineStr"/>
    </row>
    <row r="1645" ht="15" customHeight="1">
      <c r="A1645" t="inlineStr">
        <is>
          <t>A 35600-2021</t>
        </is>
      </c>
      <c r="B1645" s="1" t="n">
        <v>44386</v>
      </c>
      <c r="C1645" s="1" t="n">
        <v>45724</v>
      </c>
      <c r="D1645" t="inlineStr">
        <is>
          <t>VÄSTMANLANDS LÄN</t>
        </is>
      </c>
      <c r="E1645" t="inlineStr">
        <is>
          <t>ARBOGA</t>
        </is>
      </c>
      <c r="G1645" t="n">
        <v>0.3</v>
      </c>
      <c r="H1645" t="n">
        <v>0</v>
      </c>
      <c r="I1645" t="n">
        <v>0</v>
      </c>
      <c r="J1645" t="n">
        <v>0</v>
      </c>
      <c r="K1645" t="n">
        <v>0</v>
      </c>
      <c r="L1645" t="n">
        <v>0</v>
      </c>
      <c r="M1645" t="n">
        <v>0</v>
      </c>
      <c r="N1645" t="n">
        <v>0</v>
      </c>
      <c r="O1645" t="n">
        <v>0</v>
      </c>
      <c r="P1645" t="n">
        <v>0</v>
      </c>
      <c r="Q1645" t="n">
        <v>0</v>
      </c>
      <c r="R1645" s="2" t="inlineStr"/>
    </row>
    <row r="1646" ht="15" customHeight="1">
      <c r="A1646" t="inlineStr">
        <is>
          <t>A 35905-2021</t>
        </is>
      </c>
      <c r="B1646" s="1" t="n">
        <v>44387</v>
      </c>
      <c r="C1646" s="1" t="n">
        <v>45724</v>
      </c>
      <c r="D1646" t="inlineStr">
        <is>
          <t>VÄSTMANLANDS LÄN</t>
        </is>
      </c>
      <c r="E1646" t="inlineStr">
        <is>
          <t>FAGERSTA</t>
        </is>
      </c>
      <c r="G1646" t="n">
        <v>0.9</v>
      </c>
      <c r="H1646" t="n">
        <v>0</v>
      </c>
      <c r="I1646" t="n">
        <v>0</v>
      </c>
      <c r="J1646" t="n">
        <v>0</v>
      </c>
      <c r="K1646" t="n">
        <v>0</v>
      </c>
      <c r="L1646" t="n">
        <v>0</v>
      </c>
      <c r="M1646" t="n">
        <v>0</v>
      </c>
      <c r="N1646" t="n">
        <v>0</v>
      </c>
      <c r="O1646" t="n">
        <v>0</v>
      </c>
      <c r="P1646" t="n">
        <v>0</v>
      </c>
      <c r="Q1646" t="n">
        <v>0</v>
      </c>
      <c r="R1646" s="2" t="inlineStr"/>
    </row>
    <row r="1647" ht="15" customHeight="1">
      <c r="A1647" t="inlineStr">
        <is>
          <t>A 35896-2021</t>
        </is>
      </c>
      <c r="B1647" s="1" t="n">
        <v>44387</v>
      </c>
      <c r="C1647" s="1" t="n">
        <v>45724</v>
      </c>
      <c r="D1647" t="inlineStr">
        <is>
          <t>VÄSTMANLANDS LÄN</t>
        </is>
      </c>
      <c r="E1647" t="inlineStr">
        <is>
          <t>FAGERSTA</t>
        </is>
      </c>
      <c r="G1647" t="n">
        <v>6.2</v>
      </c>
      <c r="H1647" t="n">
        <v>0</v>
      </c>
      <c r="I1647" t="n">
        <v>0</v>
      </c>
      <c r="J1647" t="n">
        <v>0</v>
      </c>
      <c r="K1647" t="n">
        <v>0</v>
      </c>
      <c r="L1647" t="n">
        <v>0</v>
      </c>
      <c r="M1647" t="n">
        <v>0</v>
      </c>
      <c r="N1647" t="n">
        <v>0</v>
      </c>
      <c r="O1647" t="n">
        <v>0</v>
      </c>
      <c r="P1647" t="n">
        <v>0</v>
      </c>
      <c r="Q1647" t="n">
        <v>0</v>
      </c>
      <c r="R1647" s="2" t="inlineStr"/>
    </row>
    <row r="1648" ht="15" customHeight="1">
      <c r="A1648" t="inlineStr">
        <is>
          <t>A 35921-2021</t>
        </is>
      </c>
      <c r="B1648" s="1" t="n">
        <v>44388</v>
      </c>
      <c r="C1648" s="1" t="n">
        <v>45724</v>
      </c>
      <c r="D1648" t="inlineStr">
        <is>
          <t>VÄSTMANLANDS LÄN</t>
        </is>
      </c>
      <c r="E1648" t="inlineStr">
        <is>
          <t>SALA</t>
        </is>
      </c>
      <c r="G1648" t="n">
        <v>1.1</v>
      </c>
      <c r="H1648" t="n">
        <v>0</v>
      </c>
      <c r="I1648" t="n">
        <v>0</v>
      </c>
      <c r="J1648" t="n">
        <v>0</v>
      </c>
      <c r="K1648" t="n">
        <v>0</v>
      </c>
      <c r="L1648" t="n">
        <v>0</v>
      </c>
      <c r="M1648" t="n">
        <v>0</v>
      </c>
      <c r="N1648" t="n">
        <v>0</v>
      </c>
      <c r="O1648" t="n">
        <v>0</v>
      </c>
      <c r="P1648" t="n">
        <v>0</v>
      </c>
      <c r="Q1648" t="n">
        <v>0</v>
      </c>
      <c r="R1648" s="2" t="inlineStr"/>
    </row>
    <row r="1649" ht="15" customHeight="1">
      <c r="A1649" t="inlineStr">
        <is>
          <t>A 36507-2021</t>
        </is>
      </c>
      <c r="B1649" s="1" t="n">
        <v>44391</v>
      </c>
      <c r="C1649" s="1" t="n">
        <v>45724</v>
      </c>
      <c r="D1649" t="inlineStr">
        <is>
          <t>VÄSTMANLANDS LÄN</t>
        </is>
      </c>
      <c r="E1649" t="inlineStr">
        <is>
          <t>VÄSTERÅS</t>
        </is>
      </c>
      <c r="G1649" t="n">
        <v>0.3</v>
      </c>
      <c r="H1649" t="n">
        <v>0</v>
      </c>
      <c r="I1649" t="n">
        <v>0</v>
      </c>
      <c r="J1649" t="n">
        <v>0</v>
      </c>
      <c r="K1649" t="n">
        <v>0</v>
      </c>
      <c r="L1649" t="n">
        <v>0</v>
      </c>
      <c r="M1649" t="n">
        <v>0</v>
      </c>
      <c r="N1649" t="n">
        <v>0</v>
      </c>
      <c r="O1649" t="n">
        <v>0</v>
      </c>
      <c r="P1649" t="n">
        <v>0</v>
      </c>
      <c r="Q1649" t="n">
        <v>0</v>
      </c>
      <c r="R1649" s="2" t="inlineStr"/>
    </row>
    <row r="1650" ht="15" customHeight="1">
      <c r="A1650" t="inlineStr">
        <is>
          <t>A 36539-2021</t>
        </is>
      </c>
      <c r="B1650" s="1" t="n">
        <v>44391</v>
      </c>
      <c r="C1650" s="1" t="n">
        <v>45724</v>
      </c>
      <c r="D1650" t="inlineStr">
        <is>
          <t>VÄSTMANLANDS LÄN</t>
        </is>
      </c>
      <c r="E1650" t="inlineStr">
        <is>
          <t>KUNGSÖR</t>
        </is>
      </c>
      <c r="G1650" t="n">
        <v>0.7</v>
      </c>
      <c r="H1650" t="n">
        <v>0</v>
      </c>
      <c r="I1650" t="n">
        <v>0</v>
      </c>
      <c r="J1650" t="n">
        <v>0</v>
      </c>
      <c r="K1650" t="n">
        <v>0</v>
      </c>
      <c r="L1650" t="n">
        <v>0</v>
      </c>
      <c r="M1650" t="n">
        <v>0</v>
      </c>
      <c r="N1650" t="n">
        <v>0</v>
      </c>
      <c r="O1650" t="n">
        <v>0</v>
      </c>
      <c r="P1650" t="n">
        <v>0</v>
      </c>
      <c r="Q1650" t="n">
        <v>0</v>
      </c>
      <c r="R1650" s="2" t="inlineStr"/>
    </row>
    <row r="1651" ht="15" customHeight="1">
      <c r="A1651" t="inlineStr">
        <is>
          <t>A 36532-2021</t>
        </is>
      </c>
      <c r="B1651" s="1" t="n">
        <v>44391</v>
      </c>
      <c r="C1651" s="1" t="n">
        <v>45724</v>
      </c>
      <c r="D1651" t="inlineStr">
        <is>
          <t>VÄSTMANLANDS LÄN</t>
        </is>
      </c>
      <c r="E1651" t="inlineStr">
        <is>
          <t>KUNGSÖR</t>
        </is>
      </c>
      <c r="G1651" t="n">
        <v>2.6</v>
      </c>
      <c r="H1651" t="n">
        <v>0</v>
      </c>
      <c r="I1651" t="n">
        <v>0</v>
      </c>
      <c r="J1651" t="n">
        <v>0</v>
      </c>
      <c r="K1651" t="n">
        <v>0</v>
      </c>
      <c r="L1651" t="n">
        <v>0</v>
      </c>
      <c r="M1651" t="n">
        <v>0</v>
      </c>
      <c r="N1651" t="n">
        <v>0</v>
      </c>
      <c r="O1651" t="n">
        <v>0</v>
      </c>
      <c r="P1651" t="n">
        <v>0</v>
      </c>
      <c r="Q1651" t="n">
        <v>0</v>
      </c>
      <c r="R1651" s="2" t="inlineStr"/>
    </row>
    <row r="1652" ht="15" customHeight="1">
      <c r="A1652" t="inlineStr">
        <is>
          <t>A 36639-2021</t>
        </is>
      </c>
      <c r="B1652" s="1" t="n">
        <v>44392</v>
      </c>
      <c r="C1652" s="1" t="n">
        <v>45724</v>
      </c>
      <c r="D1652" t="inlineStr">
        <is>
          <t>VÄSTMANLANDS LÄN</t>
        </is>
      </c>
      <c r="E1652" t="inlineStr">
        <is>
          <t>KUNGSÖR</t>
        </is>
      </c>
      <c r="G1652" t="n">
        <v>1.9</v>
      </c>
      <c r="H1652" t="n">
        <v>0</v>
      </c>
      <c r="I1652" t="n">
        <v>0</v>
      </c>
      <c r="J1652" t="n">
        <v>0</v>
      </c>
      <c r="K1652" t="n">
        <v>0</v>
      </c>
      <c r="L1652" t="n">
        <v>0</v>
      </c>
      <c r="M1652" t="n">
        <v>0</v>
      </c>
      <c r="N1652" t="n">
        <v>0</v>
      </c>
      <c r="O1652" t="n">
        <v>0</v>
      </c>
      <c r="P1652" t="n">
        <v>0</v>
      </c>
      <c r="Q1652" t="n">
        <v>0</v>
      </c>
      <c r="R1652" s="2" t="inlineStr"/>
    </row>
    <row r="1653" ht="15" customHeight="1">
      <c r="A1653" t="inlineStr">
        <is>
          <t>A 36638-2021</t>
        </is>
      </c>
      <c r="B1653" s="1" t="n">
        <v>44392</v>
      </c>
      <c r="C1653" s="1" t="n">
        <v>45724</v>
      </c>
      <c r="D1653" t="inlineStr">
        <is>
          <t>VÄSTMANLANDS LÄN</t>
        </is>
      </c>
      <c r="E1653" t="inlineStr">
        <is>
          <t>KUNGSÖR</t>
        </is>
      </c>
      <c r="G1653" t="n">
        <v>1.8</v>
      </c>
      <c r="H1653" t="n">
        <v>0</v>
      </c>
      <c r="I1653" t="n">
        <v>0</v>
      </c>
      <c r="J1653" t="n">
        <v>0</v>
      </c>
      <c r="K1653" t="n">
        <v>0</v>
      </c>
      <c r="L1653" t="n">
        <v>0</v>
      </c>
      <c r="M1653" t="n">
        <v>0</v>
      </c>
      <c r="N1653" t="n">
        <v>0</v>
      </c>
      <c r="O1653" t="n">
        <v>0</v>
      </c>
      <c r="P1653" t="n">
        <v>0</v>
      </c>
      <c r="Q1653" t="n">
        <v>0</v>
      </c>
      <c r="R1653" s="2" t="inlineStr"/>
    </row>
    <row r="1654" ht="15" customHeight="1">
      <c r="A1654" t="inlineStr">
        <is>
          <t>A 36866-2021</t>
        </is>
      </c>
      <c r="B1654" s="1" t="n">
        <v>44393</v>
      </c>
      <c r="C1654" s="1" t="n">
        <v>45724</v>
      </c>
      <c r="D1654" t="inlineStr">
        <is>
          <t>VÄSTMANLANDS LÄN</t>
        </is>
      </c>
      <c r="E1654" t="inlineStr">
        <is>
          <t>KÖPING</t>
        </is>
      </c>
      <c r="G1654" t="n">
        <v>3.4</v>
      </c>
      <c r="H1654" t="n">
        <v>0</v>
      </c>
      <c r="I1654" t="n">
        <v>0</v>
      </c>
      <c r="J1654" t="n">
        <v>0</v>
      </c>
      <c r="K1654" t="n">
        <v>0</v>
      </c>
      <c r="L1654" t="n">
        <v>0</v>
      </c>
      <c r="M1654" t="n">
        <v>0</v>
      </c>
      <c r="N1654" t="n">
        <v>0</v>
      </c>
      <c r="O1654" t="n">
        <v>0</v>
      </c>
      <c r="P1654" t="n">
        <v>0</v>
      </c>
      <c r="Q1654" t="n">
        <v>0</v>
      </c>
      <c r="R1654" s="2" t="inlineStr"/>
    </row>
    <row r="1655" ht="15" customHeight="1">
      <c r="A1655" t="inlineStr">
        <is>
          <t>A 37414-2021</t>
        </is>
      </c>
      <c r="B1655" s="1" t="n">
        <v>44398</v>
      </c>
      <c r="C1655" s="1" t="n">
        <v>45724</v>
      </c>
      <c r="D1655" t="inlineStr">
        <is>
          <t>VÄSTMANLANDS LÄN</t>
        </is>
      </c>
      <c r="E1655" t="inlineStr">
        <is>
          <t>ARBOGA</t>
        </is>
      </c>
      <c r="F1655" t="inlineStr">
        <is>
          <t>Kyrkan</t>
        </is>
      </c>
      <c r="G1655" t="n">
        <v>8.1</v>
      </c>
      <c r="H1655" t="n">
        <v>0</v>
      </c>
      <c r="I1655" t="n">
        <v>0</v>
      </c>
      <c r="J1655" t="n">
        <v>0</v>
      </c>
      <c r="K1655" t="n">
        <v>0</v>
      </c>
      <c r="L1655" t="n">
        <v>0</v>
      </c>
      <c r="M1655" t="n">
        <v>0</v>
      </c>
      <c r="N1655" t="n">
        <v>0</v>
      </c>
      <c r="O1655" t="n">
        <v>0</v>
      </c>
      <c r="P1655" t="n">
        <v>0</v>
      </c>
      <c r="Q1655" t="n">
        <v>0</v>
      </c>
      <c r="R1655" s="2" t="inlineStr"/>
    </row>
    <row r="1656" ht="15" customHeight="1">
      <c r="A1656" t="inlineStr">
        <is>
          <t>A 37602-2021</t>
        </is>
      </c>
      <c r="B1656" s="1" t="n">
        <v>44399</v>
      </c>
      <c r="C1656" s="1" t="n">
        <v>45724</v>
      </c>
      <c r="D1656" t="inlineStr">
        <is>
          <t>VÄSTMANLANDS LÄN</t>
        </is>
      </c>
      <c r="E1656" t="inlineStr">
        <is>
          <t>FAGERSTA</t>
        </is>
      </c>
      <c r="G1656" t="n">
        <v>1.5</v>
      </c>
      <c r="H1656" t="n">
        <v>0</v>
      </c>
      <c r="I1656" t="n">
        <v>0</v>
      </c>
      <c r="J1656" t="n">
        <v>0</v>
      </c>
      <c r="K1656" t="n">
        <v>0</v>
      </c>
      <c r="L1656" t="n">
        <v>0</v>
      </c>
      <c r="M1656" t="n">
        <v>0</v>
      </c>
      <c r="N1656" t="n">
        <v>0</v>
      </c>
      <c r="O1656" t="n">
        <v>0</v>
      </c>
      <c r="P1656" t="n">
        <v>0</v>
      </c>
      <c r="Q1656" t="n">
        <v>0</v>
      </c>
      <c r="R1656" s="2" t="inlineStr"/>
    </row>
    <row r="1657" ht="15" customHeight="1">
      <c r="A1657" t="inlineStr">
        <is>
          <t>A 37653-2021</t>
        </is>
      </c>
      <c r="B1657" s="1" t="n">
        <v>44400</v>
      </c>
      <c r="C1657" s="1" t="n">
        <v>45724</v>
      </c>
      <c r="D1657" t="inlineStr">
        <is>
          <t>VÄSTMANLANDS LÄN</t>
        </is>
      </c>
      <c r="E1657" t="inlineStr">
        <is>
          <t>ARBOGA</t>
        </is>
      </c>
      <c r="F1657" t="inlineStr">
        <is>
          <t>Sveaskog</t>
        </is>
      </c>
      <c r="G1657" t="n">
        <v>1.5</v>
      </c>
      <c r="H1657" t="n">
        <v>0</v>
      </c>
      <c r="I1657" t="n">
        <v>0</v>
      </c>
      <c r="J1657" t="n">
        <v>0</v>
      </c>
      <c r="K1657" t="n">
        <v>0</v>
      </c>
      <c r="L1657" t="n">
        <v>0</v>
      </c>
      <c r="M1657" t="n">
        <v>0</v>
      </c>
      <c r="N1657" t="n">
        <v>0</v>
      </c>
      <c r="O1657" t="n">
        <v>0</v>
      </c>
      <c r="P1657" t="n">
        <v>0</v>
      </c>
      <c r="Q1657" t="n">
        <v>0</v>
      </c>
      <c r="R1657" s="2" t="inlineStr"/>
    </row>
    <row r="1658" ht="15" customHeight="1">
      <c r="A1658" t="inlineStr">
        <is>
          <t>A 37703-2021</t>
        </is>
      </c>
      <c r="B1658" s="1" t="n">
        <v>44400</v>
      </c>
      <c r="C1658" s="1" t="n">
        <v>45724</v>
      </c>
      <c r="D1658" t="inlineStr">
        <is>
          <t>VÄSTMANLANDS LÄN</t>
        </is>
      </c>
      <c r="E1658" t="inlineStr">
        <is>
          <t>SALA</t>
        </is>
      </c>
      <c r="G1658" t="n">
        <v>2.7</v>
      </c>
      <c r="H1658" t="n">
        <v>0</v>
      </c>
      <c r="I1658" t="n">
        <v>0</v>
      </c>
      <c r="J1658" t="n">
        <v>0</v>
      </c>
      <c r="K1658" t="n">
        <v>0</v>
      </c>
      <c r="L1658" t="n">
        <v>0</v>
      </c>
      <c r="M1658" t="n">
        <v>0</v>
      </c>
      <c r="N1658" t="n">
        <v>0</v>
      </c>
      <c r="O1658" t="n">
        <v>0</v>
      </c>
      <c r="P1658" t="n">
        <v>0</v>
      </c>
      <c r="Q1658" t="n">
        <v>0</v>
      </c>
      <c r="R1658" s="2" t="inlineStr"/>
    </row>
    <row r="1659" ht="15" customHeight="1">
      <c r="A1659" t="inlineStr">
        <is>
          <t>A 37798-2021</t>
        </is>
      </c>
      <c r="B1659" s="1" t="n">
        <v>44402</v>
      </c>
      <c r="C1659" s="1" t="n">
        <v>45724</v>
      </c>
      <c r="D1659" t="inlineStr">
        <is>
          <t>VÄSTMANLANDS LÄN</t>
        </is>
      </c>
      <c r="E1659" t="inlineStr">
        <is>
          <t>SURAHAMMAR</t>
        </is>
      </c>
      <c r="F1659" t="inlineStr">
        <is>
          <t>Kommuner</t>
        </is>
      </c>
      <c r="G1659" t="n">
        <v>1.2</v>
      </c>
      <c r="H1659" t="n">
        <v>0</v>
      </c>
      <c r="I1659" t="n">
        <v>0</v>
      </c>
      <c r="J1659" t="n">
        <v>0</v>
      </c>
      <c r="K1659" t="n">
        <v>0</v>
      </c>
      <c r="L1659" t="n">
        <v>0</v>
      </c>
      <c r="M1659" t="n">
        <v>0</v>
      </c>
      <c r="N1659" t="n">
        <v>0</v>
      </c>
      <c r="O1659" t="n">
        <v>0</v>
      </c>
      <c r="P1659" t="n">
        <v>0</v>
      </c>
      <c r="Q1659" t="n">
        <v>0</v>
      </c>
      <c r="R1659" s="2" t="inlineStr"/>
    </row>
    <row r="1660" ht="15" customHeight="1">
      <c r="A1660" t="inlineStr">
        <is>
          <t>A 37799-2021</t>
        </is>
      </c>
      <c r="B1660" s="1" t="n">
        <v>44402</v>
      </c>
      <c r="C1660" s="1" t="n">
        <v>45724</v>
      </c>
      <c r="D1660" t="inlineStr">
        <is>
          <t>VÄSTMANLANDS LÄN</t>
        </is>
      </c>
      <c r="E1660" t="inlineStr">
        <is>
          <t>SURAHAMMAR</t>
        </is>
      </c>
      <c r="F1660" t="inlineStr">
        <is>
          <t>Kommuner</t>
        </is>
      </c>
      <c r="G1660" t="n">
        <v>2.1</v>
      </c>
      <c r="H1660" t="n">
        <v>0</v>
      </c>
      <c r="I1660" t="n">
        <v>0</v>
      </c>
      <c r="J1660" t="n">
        <v>0</v>
      </c>
      <c r="K1660" t="n">
        <v>0</v>
      </c>
      <c r="L1660" t="n">
        <v>0</v>
      </c>
      <c r="M1660" t="n">
        <v>0</v>
      </c>
      <c r="N1660" t="n">
        <v>0</v>
      </c>
      <c r="O1660" t="n">
        <v>0</v>
      </c>
      <c r="P1660" t="n">
        <v>0</v>
      </c>
      <c r="Q1660" t="n">
        <v>0</v>
      </c>
      <c r="R1660" s="2" t="inlineStr"/>
    </row>
    <row r="1661" ht="15" customHeight="1">
      <c r="A1661" t="inlineStr">
        <is>
          <t>A 37856-2021</t>
        </is>
      </c>
      <c r="B1661" s="1" t="n">
        <v>44403</v>
      </c>
      <c r="C1661" s="1" t="n">
        <v>45724</v>
      </c>
      <c r="D1661" t="inlineStr">
        <is>
          <t>VÄSTMANLANDS LÄN</t>
        </is>
      </c>
      <c r="E1661" t="inlineStr">
        <is>
          <t>SALA</t>
        </is>
      </c>
      <c r="G1661" t="n">
        <v>3.1</v>
      </c>
      <c r="H1661" t="n">
        <v>0</v>
      </c>
      <c r="I1661" t="n">
        <v>0</v>
      </c>
      <c r="J1661" t="n">
        <v>0</v>
      </c>
      <c r="K1661" t="n">
        <v>0</v>
      </c>
      <c r="L1661" t="n">
        <v>0</v>
      </c>
      <c r="M1661" t="n">
        <v>0</v>
      </c>
      <c r="N1661" t="n">
        <v>0</v>
      </c>
      <c r="O1661" t="n">
        <v>0</v>
      </c>
      <c r="P1661" t="n">
        <v>0</v>
      </c>
      <c r="Q1661" t="n">
        <v>0</v>
      </c>
      <c r="R1661" s="2" t="inlineStr"/>
    </row>
    <row r="1662" ht="15" customHeight="1">
      <c r="A1662" t="inlineStr">
        <is>
          <t>A 37872-2021</t>
        </is>
      </c>
      <c r="B1662" s="1" t="n">
        <v>44403</v>
      </c>
      <c r="C1662" s="1" t="n">
        <v>45724</v>
      </c>
      <c r="D1662" t="inlineStr">
        <is>
          <t>VÄSTMANLANDS LÄN</t>
        </is>
      </c>
      <c r="E1662" t="inlineStr">
        <is>
          <t>SALA</t>
        </is>
      </c>
      <c r="G1662" t="n">
        <v>1.9</v>
      </c>
      <c r="H1662" t="n">
        <v>0</v>
      </c>
      <c r="I1662" t="n">
        <v>0</v>
      </c>
      <c r="J1662" t="n">
        <v>0</v>
      </c>
      <c r="K1662" t="n">
        <v>0</v>
      </c>
      <c r="L1662" t="n">
        <v>0</v>
      </c>
      <c r="M1662" t="n">
        <v>0</v>
      </c>
      <c r="N1662" t="n">
        <v>0</v>
      </c>
      <c r="O1662" t="n">
        <v>0</v>
      </c>
      <c r="P1662" t="n">
        <v>0</v>
      </c>
      <c r="Q1662" t="n">
        <v>0</v>
      </c>
      <c r="R1662" s="2" t="inlineStr"/>
    </row>
    <row r="1663" ht="15" customHeight="1">
      <c r="A1663" t="inlineStr">
        <is>
          <t>A 37881-2021</t>
        </is>
      </c>
      <c r="B1663" s="1" t="n">
        <v>44403</v>
      </c>
      <c r="C1663" s="1" t="n">
        <v>45724</v>
      </c>
      <c r="D1663" t="inlineStr">
        <is>
          <t>VÄSTMANLANDS LÄN</t>
        </is>
      </c>
      <c r="E1663" t="inlineStr">
        <is>
          <t>SALA</t>
        </is>
      </c>
      <c r="G1663" t="n">
        <v>4.6</v>
      </c>
      <c r="H1663" t="n">
        <v>0</v>
      </c>
      <c r="I1663" t="n">
        <v>0</v>
      </c>
      <c r="J1663" t="n">
        <v>0</v>
      </c>
      <c r="K1663" t="n">
        <v>0</v>
      </c>
      <c r="L1663" t="n">
        <v>0</v>
      </c>
      <c r="M1663" t="n">
        <v>0</v>
      </c>
      <c r="N1663" t="n">
        <v>0</v>
      </c>
      <c r="O1663" t="n">
        <v>0</v>
      </c>
      <c r="P1663" t="n">
        <v>0</v>
      </c>
      <c r="Q1663" t="n">
        <v>0</v>
      </c>
      <c r="R1663" s="2" t="inlineStr"/>
    </row>
    <row r="1664" ht="15" customHeight="1">
      <c r="A1664" t="inlineStr">
        <is>
          <t>A 38067-2021</t>
        </is>
      </c>
      <c r="B1664" s="1" t="n">
        <v>44404</v>
      </c>
      <c r="C1664" s="1" t="n">
        <v>45724</v>
      </c>
      <c r="D1664" t="inlineStr">
        <is>
          <t>VÄSTMANLANDS LÄN</t>
        </is>
      </c>
      <c r="E1664" t="inlineStr">
        <is>
          <t>ARBOGA</t>
        </is>
      </c>
      <c r="G1664" t="n">
        <v>0.7</v>
      </c>
      <c r="H1664" t="n">
        <v>0</v>
      </c>
      <c r="I1664" t="n">
        <v>0</v>
      </c>
      <c r="J1664" t="n">
        <v>0</v>
      </c>
      <c r="K1664" t="n">
        <v>0</v>
      </c>
      <c r="L1664" t="n">
        <v>0</v>
      </c>
      <c r="M1664" t="n">
        <v>0</v>
      </c>
      <c r="N1664" t="n">
        <v>0</v>
      </c>
      <c r="O1664" t="n">
        <v>0</v>
      </c>
      <c r="P1664" t="n">
        <v>0</v>
      </c>
      <c r="Q1664" t="n">
        <v>0</v>
      </c>
      <c r="R1664" s="2" t="inlineStr"/>
    </row>
    <row r="1665" ht="15" customHeight="1">
      <c r="A1665" t="inlineStr">
        <is>
          <t>A 38068-2021</t>
        </is>
      </c>
      <c r="B1665" s="1" t="n">
        <v>44404</v>
      </c>
      <c r="C1665" s="1" t="n">
        <v>45724</v>
      </c>
      <c r="D1665" t="inlineStr">
        <is>
          <t>VÄSTMANLANDS LÄN</t>
        </is>
      </c>
      <c r="E1665" t="inlineStr">
        <is>
          <t>ARBOGA</t>
        </is>
      </c>
      <c r="G1665" t="n">
        <v>0.1</v>
      </c>
      <c r="H1665" t="n">
        <v>0</v>
      </c>
      <c r="I1665" t="n">
        <v>0</v>
      </c>
      <c r="J1665" t="n">
        <v>0</v>
      </c>
      <c r="K1665" t="n">
        <v>0</v>
      </c>
      <c r="L1665" t="n">
        <v>0</v>
      </c>
      <c r="M1665" t="n">
        <v>0</v>
      </c>
      <c r="N1665" t="n">
        <v>0</v>
      </c>
      <c r="O1665" t="n">
        <v>0</v>
      </c>
      <c r="P1665" t="n">
        <v>0</v>
      </c>
      <c r="Q1665" t="n">
        <v>0</v>
      </c>
      <c r="R1665" s="2" t="inlineStr"/>
    </row>
    <row r="1666" ht="15" customHeight="1">
      <c r="A1666" t="inlineStr">
        <is>
          <t>A 38066-2021</t>
        </is>
      </c>
      <c r="B1666" s="1" t="n">
        <v>44404</v>
      </c>
      <c r="C1666" s="1" t="n">
        <v>45724</v>
      </c>
      <c r="D1666" t="inlineStr">
        <is>
          <t>VÄSTMANLANDS LÄN</t>
        </is>
      </c>
      <c r="E1666" t="inlineStr">
        <is>
          <t>ARBOGA</t>
        </is>
      </c>
      <c r="G1666" t="n">
        <v>5.1</v>
      </c>
      <c r="H1666" t="n">
        <v>0</v>
      </c>
      <c r="I1666" t="n">
        <v>0</v>
      </c>
      <c r="J1666" t="n">
        <v>0</v>
      </c>
      <c r="K1666" t="n">
        <v>0</v>
      </c>
      <c r="L1666" t="n">
        <v>0</v>
      </c>
      <c r="M1666" t="n">
        <v>0</v>
      </c>
      <c r="N1666" t="n">
        <v>0</v>
      </c>
      <c r="O1666" t="n">
        <v>0</v>
      </c>
      <c r="P1666" t="n">
        <v>0</v>
      </c>
      <c r="Q1666" t="n">
        <v>0</v>
      </c>
      <c r="R1666" s="2" t="inlineStr"/>
    </row>
    <row r="1667" ht="15" customHeight="1">
      <c r="A1667" t="inlineStr">
        <is>
          <t>A 38074-2021</t>
        </is>
      </c>
      <c r="B1667" s="1" t="n">
        <v>44404</v>
      </c>
      <c r="C1667" s="1" t="n">
        <v>45724</v>
      </c>
      <c r="D1667" t="inlineStr">
        <is>
          <t>VÄSTMANLANDS LÄN</t>
        </is>
      </c>
      <c r="E1667" t="inlineStr">
        <is>
          <t>ARBOGA</t>
        </is>
      </c>
      <c r="G1667" t="n">
        <v>3.7</v>
      </c>
      <c r="H1667" t="n">
        <v>0</v>
      </c>
      <c r="I1667" t="n">
        <v>0</v>
      </c>
      <c r="J1667" t="n">
        <v>0</v>
      </c>
      <c r="K1667" t="n">
        <v>0</v>
      </c>
      <c r="L1667" t="n">
        <v>0</v>
      </c>
      <c r="M1667" t="n">
        <v>0</v>
      </c>
      <c r="N1667" t="n">
        <v>0</v>
      </c>
      <c r="O1667" t="n">
        <v>0</v>
      </c>
      <c r="P1667" t="n">
        <v>0</v>
      </c>
      <c r="Q1667" t="n">
        <v>0</v>
      </c>
      <c r="R1667" s="2" t="inlineStr"/>
    </row>
    <row r="1668" ht="15" customHeight="1">
      <c r="A1668" t="inlineStr">
        <is>
          <t>A 38195-2021</t>
        </is>
      </c>
      <c r="B1668" s="1" t="n">
        <v>44405</v>
      </c>
      <c r="C1668" s="1" t="n">
        <v>45724</v>
      </c>
      <c r="D1668" t="inlineStr">
        <is>
          <t>VÄSTMANLANDS LÄN</t>
        </is>
      </c>
      <c r="E1668" t="inlineStr">
        <is>
          <t>SALA</t>
        </is>
      </c>
      <c r="F1668" t="inlineStr">
        <is>
          <t>Sveaskog</t>
        </is>
      </c>
      <c r="G1668" t="n">
        <v>1</v>
      </c>
      <c r="H1668" t="n">
        <v>0</v>
      </c>
      <c r="I1668" t="n">
        <v>0</v>
      </c>
      <c r="J1668" t="n">
        <v>0</v>
      </c>
      <c r="K1668" t="n">
        <v>0</v>
      </c>
      <c r="L1668" t="n">
        <v>0</v>
      </c>
      <c r="M1668" t="n">
        <v>0</v>
      </c>
      <c r="N1668" t="n">
        <v>0</v>
      </c>
      <c r="O1668" t="n">
        <v>0</v>
      </c>
      <c r="P1668" t="n">
        <v>0</v>
      </c>
      <c r="Q1668" t="n">
        <v>0</v>
      </c>
      <c r="R1668" s="2" t="inlineStr"/>
    </row>
    <row r="1669" ht="15" customHeight="1">
      <c r="A1669" t="inlineStr">
        <is>
          <t>A 38126-2021</t>
        </is>
      </c>
      <c r="B1669" s="1" t="n">
        <v>44405</v>
      </c>
      <c r="C1669" s="1" t="n">
        <v>45724</v>
      </c>
      <c r="D1669" t="inlineStr">
        <is>
          <t>VÄSTMANLANDS LÄN</t>
        </is>
      </c>
      <c r="E1669" t="inlineStr">
        <is>
          <t>FAGERSTA</t>
        </is>
      </c>
      <c r="F1669" t="inlineStr">
        <is>
          <t>Sveaskog</t>
        </is>
      </c>
      <c r="G1669" t="n">
        <v>6.1</v>
      </c>
      <c r="H1669" t="n">
        <v>0</v>
      </c>
      <c r="I1669" t="n">
        <v>0</v>
      </c>
      <c r="J1669" t="n">
        <v>0</v>
      </c>
      <c r="K1669" t="n">
        <v>0</v>
      </c>
      <c r="L1669" t="n">
        <v>0</v>
      </c>
      <c r="M1669" t="n">
        <v>0</v>
      </c>
      <c r="N1669" t="n">
        <v>0</v>
      </c>
      <c r="O1669" t="n">
        <v>0</v>
      </c>
      <c r="P1669" t="n">
        <v>0</v>
      </c>
      <c r="Q1669" t="n">
        <v>0</v>
      </c>
      <c r="R1669" s="2" t="inlineStr"/>
    </row>
    <row r="1670" ht="15" customHeight="1">
      <c r="A1670" t="inlineStr">
        <is>
          <t>A 38150-2021</t>
        </is>
      </c>
      <c r="B1670" s="1" t="n">
        <v>44405</v>
      </c>
      <c r="C1670" s="1" t="n">
        <v>45724</v>
      </c>
      <c r="D1670" t="inlineStr">
        <is>
          <t>VÄSTMANLANDS LÄN</t>
        </is>
      </c>
      <c r="E1670" t="inlineStr">
        <is>
          <t>SURAHAMMAR</t>
        </is>
      </c>
      <c r="F1670" t="inlineStr">
        <is>
          <t>Sveaskog</t>
        </is>
      </c>
      <c r="G1670" t="n">
        <v>1.1</v>
      </c>
      <c r="H1670" t="n">
        <v>0</v>
      </c>
      <c r="I1670" t="n">
        <v>0</v>
      </c>
      <c r="J1670" t="n">
        <v>0</v>
      </c>
      <c r="K1670" t="n">
        <v>0</v>
      </c>
      <c r="L1670" t="n">
        <v>0</v>
      </c>
      <c r="M1670" t="n">
        <v>0</v>
      </c>
      <c r="N1670" t="n">
        <v>0</v>
      </c>
      <c r="O1670" t="n">
        <v>0</v>
      </c>
      <c r="P1670" t="n">
        <v>0</v>
      </c>
      <c r="Q1670" t="n">
        <v>0</v>
      </c>
      <c r="R1670" s="2" t="inlineStr"/>
    </row>
    <row r="1671" ht="15" customHeight="1">
      <c r="A1671" t="inlineStr">
        <is>
          <t>A 38178-2021</t>
        </is>
      </c>
      <c r="B1671" s="1" t="n">
        <v>44405</v>
      </c>
      <c r="C1671" s="1" t="n">
        <v>45724</v>
      </c>
      <c r="D1671" t="inlineStr">
        <is>
          <t>VÄSTMANLANDS LÄN</t>
        </is>
      </c>
      <c r="E1671" t="inlineStr">
        <is>
          <t>SURAHAMMAR</t>
        </is>
      </c>
      <c r="F1671" t="inlineStr">
        <is>
          <t>Sveaskog</t>
        </is>
      </c>
      <c r="G1671" t="n">
        <v>1.3</v>
      </c>
      <c r="H1671" t="n">
        <v>0</v>
      </c>
      <c r="I1671" t="n">
        <v>0</v>
      </c>
      <c r="J1671" t="n">
        <v>0</v>
      </c>
      <c r="K1671" t="n">
        <v>0</v>
      </c>
      <c r="L1671" t="n">
        <v>0</v>
      </c>
      <c r="M1671" t="n">
        <v>0</v>
      </c>
      <c r="N1671" t="n">
        <v>0</v>
      </c>
      <c r="O1671" t="n">
        <v>0</v>
      </c>
      <c r="P1671" t="n">
        <v>0</v>
      </c>
      <c r="Q1671" t="n">
        <v>0</v>
      </c>
      <c r="R1671" s="2" t="inlineStr"/>
    </row>
    <row r="1672" ht="15" customHeight="1">
      <c r="A1672" t="inlineStr">
        <is>
          <t>A 38128-2021</t>
        </is>
      </c>
      <c r="B1672" s="1" t="n">
        <v>44405</v>
      </c>
      <c r="C1672" s="1" t="n">
        <v>45724</v>
      </c>
      <c r="D1672" t="inlineStr">
        <is>
          <t>VÄSTMANLANDS LÄN</t>
        </is>
      </c>
      <c r="E1672" t="inlineStr">
        <is>
          <t>FAGERSTA</t>
        </is>
      </c>
      <c r="F1672" t="inlineStr">
        <is>
          <t>Sveaskog</t>
        </is>
      </c>
      <c r="G1672" t="n">
        <v>0.8</v>
      </c>
      <c r="H1672" t="n">
        <v>0</v>
      </c>
      <c r="I1672" t="n">
        <v>0</v>
      </c>
      <c r="J1672" t="n">
        <v>0</v>
      </c>
      <c r="K1672" t="n">
        <v>0</v>
      </c>
      <c r="L1672" t="n">
        <v>0</v>
      </c>
      <c r="M1672" t="n">
        <v>0</v>
      </c>
      <c r="N1672" t="n">
        <v>0</v>
      </c>
      <c r="O1672" t="n">
        <v>0</v>
      </c>
      <c r="P1672" t="n">
        <v>0</v>
      </c>
      <c r="Q1672" t="n">
        <v>0</v>
      </c>
      <c r="R1672" s="2" t="inlineStr"/>
      <c r="U1672">
        <f>HYPERLINK("https://klasma.github.io/Logging_1982/knärot/A 38128-2021 karta knärot.png", "A 38128-2021")</f>
        <v/>
      </c>
      <c r="V1672">
        <f>HYPERLINK("https://klasma.github.io/Logging_1982/klagomål/A 38128-2021 FSC-klagomål.docx", "A 38128-2021")</f>
        <v/>
      </c>
      <c r="W1672">
        <f>HYPERLINK("https://klasma.github.io/Logging_1982/klagomålsmail/A 38128-2021 FSC-klagomål mail.docx", "A 38128-2021")</f>
        <v/>
      </c>
      <c r="X1672">
        <f>HYPERLINK("https://klasma.github.io/Logging_1982/tillsyn/A 38128-2021 tillsynsbegäran.docx", "A 38128-2021")</f>
        <v/>
      </c>
      <c r="Y1672">
        <f>HYPERLINK("https://klasma.github.io/Logging_1982/tillsynsmail/A 38128-2021 tillsynsbegäran mail.docx", "A 38128-2021")</f>
        <v/>
      </c>
    </row>
    <row r="1673" ht="15" customHeight="1">
      <c r="A1673" t="inlineStr">
        <is>
          <t>A 38149-2021</t>
        </is>
      </c>
      <c r="B1673" s="1" t="n">
        <v>44405</v>
      </c>
      <c r="C1673" s="1" t="n">
        <v>45724</v>
      </c>
      <c r="D1673" t="inlineStr">
        <is>
          <t>VÄSTMANLANDS LÄN</t>
        </is>
      </c>
      <c r="E1673" t="inlineStr">
        <is>
          <t>SURAHAMMAR</t>
        </is>
      </c>
      <c r="F1673" t="inlineStr">
        <is>
          <t>Sveaskog</t>
        </is>
      </c>
      <c r="G1673" t="n">
        <v>4.9</v>
      </c>
      <c r="H1673" t="n">
        <v>0</v>
      </c>
      <c r="I1673" t="n">
        <v>0</v>
      </c>
      <c r="J1673" t="n">
        <v>0</v>
      </c>
      <c r="K1673" t="n">
        <v>0</v>
      </c>
      <c r="L1673" t="n">
        <v>0</v>
      </c>
      <c r="M1673" t="n">
        <v>0</v>
      </c>
      <c r="N1673" t="n">
        <v>0</v>
      </c>
      <c r="O1673" t="n">
        <v>0</v>
      </c>
      <c r="P1673" t="n">
        <v>0</v>
      </c>
      <c r="Q1673" t="n">
        <v>0</v>
      </c>
      <c r="R1673" s="2" t="inlineStr"/>
    </row>
    <row r="1674" ht="15" customHeight="1">
      <c r="A1674" t="inlineStr">
        <is>
          <t>A 38163-2021</t>
        </is>
      </c>
      <c r="B1674" s="1" t="n">
        <v>44405</v>
      </c>
      <c r="C1674" s="1" t="n">
        <v>45724</v>
      </c>
      <c r="D1674" t="inlineStr">
        <is>
          <t>VÄSTMANLANDS LÄN</t>
        </is>
      </c>
      <c r="E1674" t="inlineStr">
        <is>
          <t>SURAHAMMAR</t>
        </is>
      </c>
      <c r="F1674" t="inlineStr">
        <is>
          <t>Sveaskog</t>
        </is>
      </c>
      <c r="G1674" t="n">
        <v>1.2</v>
      </c>
      <c r="H1674" t="n">
        <v>0</v>
      </c>
      <c r="I1674" t="n">
        <v>0</v>
      </c>
      <c r="J1674" t="n">
        <v>0</v>
      </c>
      <c r="K1674" t="n">
        <v>0</v>
      </c>
      <c r="L1674" t="n">
        <v>0</v>
      </c>
      <c r="M1674" t="n">
        <v>0</v>
      </c>
      <c r="N1674" t="n">
        <v>0</v>
      </c>
      <c r="O1674" t="n">
        <v>0</v>
      </c>
      <c r="P1674" t="n">
        <v>0</v>
      </c>
      <c r="Q1674" t="n">
        <v>0</v>
      </c>
      <c r="R1674" s="2" t="inlineStr"/>
    </row>
    <row r="1675" ht="15" customHeight="1">
      <c r="A1675" t="inlineStr">
        <is>
          <t>A 38176-2021</t>
        </is>
      </c>
      <c r="B1675" s="1" t="n">
        <v>44405</v>
      </c>
      <c r="C1675" s="1" t="n">
        <v>45724</v>
      </c>
      <c r="D1675" t="inlineStr">
        <is>
          <t>VÄSTMANLANDS LÄN</t>
        </is>
      </c>
      <c r="E1675" t="inlineStr">
        <is>
          <t>VÄSTERÅS</t>
        </is>
      </c>
      <c r="G1675" t="n">
        <v>1.4</v>
      </c>
      <c r="H1675" t="n">
        <v>0</v>
      </c>
      <c r="I1675" t="n">
        <v>0</v>
      </c>
      <c r="J1675" t="n">
        <v>0</v>
      </c>
      <c r="K1675" t="n">
        <v>0</v>
      </c>
      <c r="L1675" t="n">
        <v>0</v>
      </c>
      <c r="M1675" t="n">
        <v>0</v>
      </c>
      <c r="N1675" t="n">
        <v>0</v>
      </c>
      <c r="O1675" t="n">
        <v>0</v>
      </c>
      <c r="P1675" t="n">
        <v>0</v>
      </c>
      <c r="Q1675" t="n">
        <v>0</v>
      </c>
      <c r="R1675" s="2" t="inlineStr"/>
    </row>
    <row r="1676" ht="15" customHeight="1">
      <c r="A1676" t="inlineStr">
        <is>
          <t>A 38154-2021</t>
        </is>
      </c>
      <c r="B1676" s="1" t="n">
        <v>44405</v>
      </c>
      <c r="C1676" s="1" t="n">
        <v>45724</v>
      </c>
      <c r="D1676" t="inlineStr">
        <is>
          <t>VÄSTMANLANDS LÄN</t>
        </is>
      </c>
      <c r="E1676" t="inlineStr">
        <is>
          <t>SURAHAMMAR</t>
        </is>
      </c>
      <c r="F1676" t="inlineStr">
        <is>
          <t>Sveaskog</t>
        </is>
      </c>
      <c r="G1676" t="n">
        <v>1.3</v>
      </c>
      <c r="H1676" t="n">
        <v>0</v>
      </c>
      <c r="I1676" t="n">
        <v>0</v>
      </c>
      <c r="J1676" t="n">
        <v>0</v>
      </c>
      <c r="K1676" t="n">
        <v>0</v>
      </c>
      <c r="L1676" t="n">
        <v>0</v>
      </c>
      <c r="M1676" t="n">
        <v>0</v>
      </c>
      <c r="N1676" t="n">
        <v>0</v>
      </c>
      <c r="O1676" t="n">
        <v>0</v>
      </c>
      <c r="P1676" t="n">
        <v>0</v>
      </c>
      <c r="Q1676" t="n">
        <v>0</v>
      </c>
      <c r="R1676" s="2" t="inlineStr"/>
    </row>
    <row r="1677" ht="15" customHeight="1">
      <c r="A1677" t="inlineStr">
        <is>
          <t>A 38329-2021</t>
        </is>
      </c>
      <c r="B1677" s="1" t="n">
        <v>44405</v>
      </c>
      <c r="C1677" s="1" t="n">
        <v>45724</v>
      </c>
      <c r="D1677" t="inlineStr">
        <is>
          <t>VÄSTMANLANDS LÄN</t>
        </is>
      </c>
      <c r="E1677" t="inlineStr">
        <is>
          <t>VÄSTERÅS</t>
        </is>
      </c>
      <c r="G1677" t="n">
        <v>3.4</v>
      </c>
      <c r="H1677" t="n">
        <v>0</v>
      </c>
      <c r="I1677" t="n">
        <v>0</v>
      </c>
      <c r="J1677" t="n">
        <v>0</v>
      </c>
      <c r="K1677" t="n">
        <v>0</v>
      </c>
      <c r="L1677" t="n">
        <v>0</v>
      </c>
      <c r="M1677" t="n">
        <v>0</v>
      </c>
      <c r="N1677" t="n">
        <v>0</v>
      </c>
      <c r="O1677" t="n">
        <v>0</v>
      </c>
      <c r="P1677" t="n">
        <v>0</v>
      </c>
      <c r="Q1677" t="n">
        <v>0</v>
      </c>
      <c r="R1677" s="2" t="inlineStr"/>
    </row>
    <row r="1678" ht="15" customHeight="1">
      <c r="A1678" t="inlineStr">
        <is>
          <t>A 38634-2021</t>
        </is>
      </c>
      <c r="B1678" s="1" t="n">
        <v>44410</v>
      </c>
      <c r="C1678" s="1" t="n">
        <v>45724</v>
      </c>
      <c r="D1678" t="inlineStr">
        <is>
          <t>VÄSTMANLANDS LÄN</t>
        </is>
      </c>
      <c r="E1678" t="inlineStr">
        <is>
          <t>SALA</t>
        </is>
      </c>
      <c r="F1678" t="inlineStr">
        <is>
          <t>Sveaskog</t>
        </is>
      </c>
      <c r="G1678" t="n">
        <v>2.1</v>
      </c>
      <c r="H1678" t="n">
        <v>0</v>
      </c>
      <c r="I1678" t="n">
        <v>0</v>
      </c>
      <c r="J1678" t="n">
        <v>0</v>
      </c>
      <c r="K1678" t="n">
        <v>0</v>
      </c>
      <c r="L1678" t="n">
        <v>0</v>
      </c>
      <c r="M1678" t="n">
        <v>0</v>
      </c>
      <c r="N1678" t="n">
        <v>0</v>
      </c>
      <c r="O1678" t="n">
        <v>0</v>
      </c>
      <c r="P1678" t="n">
        <v>0</v>
      </c>
      <c r="Q1678" t="n">
        <v>0</v>
      </c>
      <c r="R1678" s="2" t="inlineStr"/>
    </row>
    <row r="1679" ht="15" customHeight="1">
      <c r="A1679" t="inlineStr">
        <is>
          <t>A 38724-2021</t>
        </is>
      </c>
      <c r="B1679" s="1" t="n">
        <v>44410</v>
      </c>
      <c r="C1679" s="1" t="n">
        <v>45724</v>
      </c>
      <c r="D1679" t="inlineStr">
        <is>
          <t>VÄSTMANLANDS LÄN</t>
        </is>
      </c>
      <c r="E1679" t="inlineStr">
        <is>
          <t>SKINNSKATTEBERG</t>
        </is>
      </c>
      <c r="F1679" t="inlineStr">
        <is>
          <t>Sveaskog</t>
        </is>
      </c>
      <c r="G1679" t="n">
        <v>4.9</v>
      </c>
      <c r="H1679" t="n">
        <v>0</v>
      </c>
      <c r="I1679" t="n">
        <v>0</v>
      </c>
      <c r="J1679" t="n">
        <v>0</v>
      </c>
      <c r="K1679" t="n">
        <v>0</v>
      </c>
      <c r="L1679" t="n">
        <v>0</v>
      </c>
      <c r="M1679" t="n">
        <v>0</v>
      </c>
      <c r="N1679" t="n">
        <v>0</v>
      </c>
      <c r="O1679" t="n">
        <v>0</v>
      </c>
      <c r="P1679" t="n">
        <v>0</v>
      </c>
      <c r="Q1679" t="n">
        <v>0</v>
      </c>
      <c r="R1679" s="2" t="inlineStr"/>
    </row>
    <row r="1680" ht="15" customHeight="1">
      <c r="A1680" t="inlineStr">
        <is>
          <t>A 38738-2021</t>
        </is>
      </c>
      <c r="B1680" s="1" t="n">
        <v>44410</v>
      </c>
      <c r="C1680" s="1" t="n">
        <v>45724</v>
      </c>
      <c r="D1680" t="inlineStr">
        <is>
          <t>VÄSTMANLANDS LÄN</t>
        </is>
      </c>
      <c r="E1680" t="inlineStr">
        <is>
          <t>SKINNSKATTEBERG</t>
        </is>
      </c>
      <c r="F1680" t="inlineStr">
        <is>
          <t>Sveaskog</t>
        </is>
      </c>
      <c r="G1680" t="n">
        <v>3.3</v>
      </c>
      <c r="H1680" t="n">
        <v>0</v>
      </c>
      <c r="I1680" t="n">
        <v>0</v>
      </c>
      <c r="J1680" t="n">
        <v>0</v>
      </c>
      <c r="K1680" t="n">
        <v>0</v>
      </c>
      <c r="L1680" t="n">
        <v>0</v>
      </c>
      <c r="M1680" t="n">
        <v>0</v>
      </c>
      <c r="N1680" t="n">
        <v>0</v>
      </c>
      <c r="O1680" t="n">
        <v>0</v>
      </c>
      <c r="P1680" t="n">
        <v>0</v>
      </c>
      <c r="Q1680" t="n">
        <v>0</v>
      </c>
      <c r="R1680" s="2" t="inlineStr"/>
    </row>
    <row r="1681" ht="15" customHeight="1">
      <c r="A1681" t="inlineStr">
        <is>
          <t>A 38727-2021</t>
        </is>
      </c>
      <c r="B1681" s="1" t="n">
        <v>44410</v>
      </c>
      <c r="C1681" s="1" t="n">
        <v>45724</v>
      </c>
      <c r="D1681" t="inlineStr">
        <is>
          <t>VÄSTMANLANDS LÄN</t>
        </is>
      </c>
      <c r="E1681" t="inlineStr">
        <is>
          <t>SKINNSKATTEBERG</t>
        </is>
      </c>
      <c r="F1681" t="inlineStr">
        <is>
          <t>Sveaskog</t>
        </is>
      </c>
      <c r="G1681" t="n">
        <v>4.1</v>
      </c>
      <c r="H1681" t="n">
        <v>0</v>
      </c>
      <c r="I1681" t="n">
        <v>0</v>
      </c>
      <c r="J1681" t="n">
        <v>0</v>
      </c>
      <c r="K1681" t="n">
        <v>0</v>
      </c>
      <c r="L1681" t="n">
        <v>0</v>
      </c>
      <c r="M1681" t="n">
        <v>0</v>
      </c>
      <c r="N1681" t="n">
        <v>0</v>
      </c>
      <c r="O1681" t="n">
        <v>0</v>
      </c>
      <c r="P1681" t="n">
        <v>0</v>
      </c>
      <c r="Q1681" t="n">
        <v>0</v>
      </c>
      <c r="R1681" s="2" t="inlineStr"/>
    </row>
    <row r="1682" ht="15" customHeight="1">
      <c r="A1682" t="inlineStr">
        <is>
          <t>A 38732-2021</t>
        </is>
      </c>
      <c r="B1682" s="1" t="n">
        <v>44410</v>
      </c>
      <c r="C1682" s="1" t="n">
        <v>45724</v>
      </c>
      <c r="D1682" t="inlineStr">
        <is>
          <t>VÄSTMANLANDS LÄN</t>
        </is>
      </c>
      <c r="E1682" t="inlineStr">
        <is>
          <t>SKINNSKATTEBERG</t>
        </is>
      </c>
      <c r="G1682" t="n">
        <v>2.9</v>
      </c>
      <c r="H1682" t="n">
        <v>0</v>
      </c>
      <c r="I1682" t="n">
        <v>0</v>
      </c>
      <c r="J1682" t="n">
        <v>0</v>
      </c>
      <c r="K1682" t="n">
        <v>0</v>
      </c>
      <c r="L1682" t="n">
        <v>0</v>
      </c>
      <c r="M1682" t="n">
        <v>0</v>
      </c>
      <c r="N1682" t="n">
        <v>0</v>
      </c>
      <c r="O1682" t="n">
        <v>0</v>
      </c>
      <c r="P1682" t="n">
        <v>0</v>
      </c>
      <c r="Q1682" t="n">
        <v>0</v>
      </c>
      <c r="R1682" s="2" t="inlineStr"/>
    </row>
    <row r="1683" ht="15" customHeight="1">
      <c r="A1683" t="inlineStr">
        <is>
          <t>A 38728-2021</t>
        </is>
      </c>
      <c r="B1683" s="1" t="n">
        <v>44410</v>
      </c>
      <c r="C1683" s="1" t="n">
        <v>45724</v>
      </c>
      <c r="D1683" t="inlineStr">
        <is>
          <t>VÄSTMANLANDS LÄN</t>
        </is>
      </c>
      <c r="E1683" t="inlineStr">
        <is>
          <t>SKINNSKATTEBERG</t>
        </is>
      </c>
      <c r="F1683" t="inlineStr">
        <is>
          <t>Sveaskog</t>
        </is>
      </c>
      <c r="G1683" t="n">
        <v>8.6</v>
      </c>
      <c r="H1683" t="n">
        <v>0</v>
      </c>
      <c r="I1683" t="n">
        <v>0</v>
      </c>
      <c r="J1683" t="n">
        <v>0</v>
      </c>
      <c r="K1683" t="n">
        <v>0</v>
      </c>
      <c r="L1683" t="n">
        <v>0</v>
      </c>
      <c r="M1683" t="n">
        <v>0</v>
      </c>
      <c r="N1683" t="n">
        <v>0</v>
      </c>
      <c r="O1683" t="n">
        <v>0</v>
      </c>
      <c r="P1683" t="n">
        <v>0</v>
      </c>
      <c r="Q1683" t="n">
        <v>0</v>
      </c>
      <c r="R1683" s="2" t="inlineStr"/>
    </row>
    <row r="1684" ht="15" customHeight="1">
      <c r="A1684" t="inlineStr">
        <is>
          <t>A 38785-2021</t>
        </is>
      </c>
      <c r="B1684" s="1" t="n">
        <v>44410</v>
      </c>
      <c r="C1684" s="1" t="n">
        <v>45724</v>
      </c>
      <c r="D1684" t="inlineStr">
        <is>
          <t>VÄSTMANLANDS LÄN</t>
        </is>
      </c>
      <c r="E1684" t="inlineStr">
        <is>
          <t>ARBOGA</t>
        </is>
      </c>
      <c r="G1684" t="n">
        <v>0.8</v>
      </c>
      <c r="H1684" t="n">
        <v>0</v>
      </c>
      <c r="I1684" t="n">
        <v>0</v>
      </c>
      <c r="J1684" t="n">
        <v>0</v>
      </c>
      <c r="K1684" t="n">
        <v>0</v>
      </c>
      <c r="L1684" t="n">
        <v>0</v>
      </c>
      <c r="M1684" t="n">
        <v>0</v>
      </c>
      <c r="N1684" t="n">
        <v>0</v>
      </c>
      <c r="O1684" t="n">
        <v>0</v>
      </c>
      <c r="P1684" t="n">
        <v>0</v>
      </c>
      <c r="Q1684" t="n">
        <v>0</v>
      </c>
      <c r="R1684" s="2" t="inlineStr"/>
    </row>
    <row r="1685" ht="15" customHeight="1">
      <c r="A1685" t="inlineStr">
        <is>
          <t>A 38938-2021</t>
        </is>
      </c>
      <c r="B1685" s="1" t="n">
        <v>44411</v>
      </c>
      <c r="C1685" s="1" t="n">
        <v>45724</v>
      </c>
      <c r="D1685" t="inlineStr">
        <is>
          <t>VÄSTMANLANDS LÄN</t>
        </is>
      </c>
      <c r="E1685" t="inlineStr">
        <is>
          <t>KUNGSÖR</t>
        </is>
      </c>
      <c r="F1685" t="inlineStr">
        <is>
          <t>Allmännings- och besparingsskogar</t>
        </is>
      </c>
      <c r="G1685" t="n">
        <v>1.9</v>
      </c>
      <c r="H1685" t="n">
        <v>0</v>
      </c>
      <c r="I1685" t="n">
        <v>0</v>
      </c>
      <c r="J1685" t="n">
        <v>0</v>
      </c>
      <c r="K1685" t="n">
        <v>0</v>
      </c>
      <c r="L1685" t="n">
        <v>0</v>
      </c>
      <c r="M1685" t="n">
        <v>0</v>
      </c>
      <c r="N1685" t="n">
        <v>0</v>
      </c>
      <c r="O1685" t="n">
        <v>0</v>
      </c>
      <c r="P1685" t="n">
        <v>0</v>
      </c>
      <c r="Q1685" t="n">
        <v>0</v>
      </c>
      <c r="R1685" s="2" t="inlineStr"/>
    </row>
    <row r="1686" ht="15" customHeight="1">
      <c r="A1686" t="inlineStr">
        <is>
          <t>A 39206-2021</t>
        </is>
      </c>
      <c r="B1686" s="1" t="n">
        <v>44413</v>
      </c>
      <c r="C1686" s="1" t="n">
        <v>45724</v>
      </c>
      <c r="D1686" t="inlineStr">
        <is>
          <t>VÄSTMANLANDS LÄN</t>
        </is>
      </c>
      <c r="E1686" t="inlineStr">
        <is>
          <t>VÄSTERÅS</t>
        </is>
      </c>
      <c r="G1686" t="n">
        <v>1</v>
      </c>
      <c r="H1686" t="n">
        <v>0</v>
      </c>
      <c r="I1686" t="n">
        <v>0</v>
      </c>
      <c r="J1686" t="n">
        <v>0</v>
      </c>
      <c r="K1686" t="n">
        <v>0</v>
      </c>
      <c r="L1686" t="n">
        <v>0</v>
      </c>
      <c r="M1686" t="n">
        <v>0</v>
      </c>
      <c r="N1686" t="n">
        <v>0</v>
      </c>
      <c r="O1686" t="n">
        <v>0</v>
      </c>
      <c r="P1686" t="n">
        <v>0</v>
      </c>
      <c r="Q1686" t="n">
        <v>0</v>
      </c>
      <c r="R1686" s="2" t="inlineStr"/>
    </row>
    <row r="1687" ht="15" customHeight="1">
      <c r="A1687" t="inlineStr">
        <is>
          <t>A 39439-2021</t>
        </is>
      </c>
      <c r="B1687" s="1" t="n">
        <v>44414</v>
      </c>
      <c r="C1687" s="1" t="n">
        <v>45724</v>
      </c>
      <c r="D1687" t="inlineStr">
        <is>
          <t>VÄSTMANLANDS LÄN</t>
        </is>
      </c>
      <c r="E1687" t="inlineStr">
        <is>
          <t>SALA</t>
        </is>
      </c>
      <c r="G1687" t="n">
        <v>1.1</v>
      </c>
      <c r="H1687" t="n">
        <v>0</v>
      </c>
      <c r="I1687" t="n">
        <v>0</v>
      </c>
      <c r="J1687" t="n">
        <v>0</v>
      </c>
      <c r="K1687" t="n">
        <v>0</v>
      </c>
      <c r="L1687" t="n">
        <v>0</v>
      </c>
      <c r="M1687" t="n">
        <v>0</v>
      </c>
      <c r="N1687" t="n">
        <v>0</v>
      </c>
      <c r="O1687" t="n">
        <v>0</v>
      </c>
      <c r="P1687" t="n">
        <v>0</v>
      </c>
      <c r="Q1687" t="n">
        <v>0</v>
      </c>
      <c r="R1687" s="2" t="inlineStr"/>
    </row>
    <row r="1688" ht="15" customHeight="1">
      <c r="A1688" t="inlineStr">
        <is>
          <t>A 39807-2021</t>
        </is>
      </c>
      <c r="B1688" s="1" t="n">
        <v>44417</v>
      </c>
      <c r="C1688" s="1" t="n">
        <v>45724</v>
      </c>
      <c r="D1688" t="inlineStr">
        <is>
          <t>VÄSTMANLANDS LÄN</t>
        </is>
      </c>
      <c r="E1688" t="inlineStr">
        <is>
          <t>SALA</t>
        </is>
      </c>
      <c r="G1688" t="n">
        <v>0.7</v>
      </c>
      <c r="H1688" t="n">
        <v>0</v>
      </c>
      <c r="I1688" t="n">
        <v>0</v>
      </c>
      <c r="J1688" t="n">
        <v>0</v>
      </c>
      <c r="K1688" t="n">
        <v>0</v>
      </c>
      <c r="L1688" t="n">
        <v>0</v>
      </c>
      <c r="M1688" t="n">
        <v>0</v>
      </c>
      <c r="N1688" t="n">
        <v>0</v>
      </c>
      <c r="O1688" t="n">
        <v>0</v>
      </c>
      <c r="P1688" t="n">
        <v>0</v>
      </c>
      <c r="Q1688" t="n">
        <v>0</v>
      </c>
      <c r="R1688" s="2" t="inlineStr"/>
    </row>
    <row r="1689" ht="15" customHeight="1">
      <c r="A1689" t="inlineStr">
        <is>
          <t>A 40157-2021</t>
        </is>
      </c>
      <c r="B1689" s="1" t="n">
        <v>44418</v>
      </c>
      <c r="C1689" s="1" t="n">
        <v>45724</v>
      </c>
      <c r="D1689" t="inlineStr">
        <is>
          <t>VÄSTMANLANDS LÄN</t>
        </is>
      </c>
      <c r="E1689" t="inlineStr">
        <is>
          <t>SALA</t>
        </is>
      </c>
      <c r="G1689" t="n">
        <v>1.7</v>
      </c>
      <c r="H1689" t="n">
        <v>0</v>
      </c>
      <c r="I1689" t="n">
        <v>0</v>
      </c>
      <c r="J1689" t="n">
        <v>0</v>
      </c>
      <c r="K1689" t="n">
        <v>0</v>
      </c>
      <c r="L1689" t="n">
        <v>0</v>
      </c>
      <c r="M1689" t="n">
        <v>0</v>
      </c>
      <c r="N1689" t="n">
        <v>0</v>
      </c>
      <c r="O1689" t="n">
        <v>0</v>
      </c>
      <c r="P1689" t="n">
        <v>0</v>
      </c>
      <c r="Q1689" t="n">
        <v>0</v>
      </c>
      <c r="R1689" s="2" t="inlineStr"/>
    </row>
    <row r="1690" ht="15" customHeight="1">
      <c r="A1690" t="inlineStr">
        <is>
          <t>A 40153-2021</t>
        </is>
      </c>
      <c r="B1690" s="1" t="n">
        <v>44418</v>
      </c>
      <c r="C1690" s="1" t="n">
        <v>45724</v>
      </c>
      <c r="D1690" t="inlineStr">
        <is>
          <t>VÄSTMANLANDS LÄN</t>
        </is>
      </c>
      <c r="E1690" t="inlineStr">
        <is>
          <t>SALA</t>
        </is>
      </c>
      <c r="G1690" t="n">
        <v>2.8</v>
      </c>
      <c r="H1690" t="n">
        <v>0</v>
      </c>
      <c r="I1690" t="n">
        <v>0</v>
      </c>
      <c r="J1690" t="n">
        <v>0</v>
      </c>
      <c r="K1690" t="n">
        <v>0</v>
      </c>
      <c r="L1690" t="n">
        <v>0</v>
      </c>
      <c r="M1690" t="n">
        <v>0</v>
      </c>
      <c r="N1690" t="n">
        <v>0</v>
      </c>
      <c r="O1690" t="n">
        <v>0</v>
      </c>
      <c r="P1690" t="n">
        <v>0</v>
      </c>
      <c r="Q1690" t="n">
        <v>0</v>
      </c>
      <c r="R1690" s="2" t="inlineStr"/>
    </row>
    <row r="1691" ht="15" customHeight="1">
      <c r="A1691" t="inlineStr">
        <is>
          <t>A 40398-2021</t>
        </is>
      </c>
      <c r="B1691" s="1" t="n">
        <v>44419</v>
      </c>
      <c r="C1691" s="1" t="n">
        <v>45724</v>
      </c>
      <c r="D1691" t="inlineStr">
        <is>
          <t>VÄSTMANLANDS LÄN</t>
        </is>
      </c>
      <c r="E1691" t="inlineStr">
        <is>
          <t>SALA</t>
        </is>
      </c>
      <c r="F1691" t="inlineStr">
        <is>
          <t>Sveaskog</t>
        </is>
      </c>
      <c r="G1691" t="n">
        <v>1</v>
      </c>
      <c r="H1691" t="n">
        <v>0</v>
      </c>
      <c r="I1691" t="n">
        <v>0</v>
      </c>
      <c r="J1691" t="n">
        <v>0</v>
      </c>
      <c r="K1691" t="n">
        <v>0</v>
      </c>
      <c r="L1691" t="n">
        <v>0</v>
      </c>
      <c r="M1691" t="n">
        <v>0</v>
      </c>
      <c r="N1691" t="n">
        <v>0</v>
      </c>
      <c r="O1691" t="n">
        <v>0</v>
      </c>
      <c r="P1691" t="n">
        <v>0</v>
      </c>
      <c r="Q1691" t="n">
        <v>0</v>
      </c>
      <c r="R1691" s="2" t="inlineStr"/>
    </row>
    <row r="1692" ht="15" customHeight="1">
      <c r="A1692" t="inlineStr">
        <is>
          <t>A 40659-2021</t>
        </is>
      </c>
      <c r="B1692" s="1" t="n">
        <v>44420</v>
      </c>
      <c r="C1692" s="1" t="n">
        <v>45724</v>
      </c>
      <c r="D1692" t="inlineStr">
        <is>
          <t>VÄSTMANLANDS LÄN</t>
        </is>
      </c>
      <c r="E1692" t="inlineStr">
        <is>
          <t>SALA</t>
        </is>
      </c>
      <c r="G1692" t="n">
        <v>1.3</v>
      </c>
      <c r="H1692" t="n">
        <v>0</v>
      </c>
      <c r="I1692" t="n">
        <v>0</v>
      </c>
      <c r="J1692" t="n">
        <v>0</v>
      </c>
      <c r="K1692" t="n">
        <v>0</v>
      </c>
      <c r="L1692" t="n">
        <v>0</v>
      </c>
      <c r="M1692" t="n">
        <v>0</v>
      </c>
      <c r="N1692" t="n">
        <v>0</v>
      </c>
      <c r="O1692" t="n">
        <v>0</v>
      </c>
      <c r="P1692" t="n">
        <v>0</v>
      </c>
      <c r="Q1692" t="n">
        <v>0</v>
      </c>
      <c r="R1692" s="2" t="inlineStr"/>
    </row>
    <row r="1693" ht="15" customHeight="1">
      <c r="A1693" t="inlineStr">
        <is>
          <t>A 40910-2021</t>
        </is>
      </c>
      <c r="B1693" s="1" t="n">
        <v>44421</v>
      </c>
      <c r="C1693" s="1" t="n">
        <v>45724</v>
      </c>
      <c r="D1693" t="inlineStr">
        <is>
          <t>VÄSTMANLANDS LÄN</t>
        </is>
      </c>
      <c r="E1693" t="inlineStr">
        <is>
          <t>SKINNSKATTEBERG</t>
        </is>
      </c>
      <c r="F1693" t="inlineStr">
        <is>
          <t>Sveaskog</t>
        </is>
      </c>
      <c r="G1693" t="n">
        <v>2.7</v>
      </c>
      <c r="H1693" t="n">
        <v>0</v>
      </c>
      <c r="I1693" t="n">
        <v>0</v>
      </c>
      <c r="J1693" t="n">
        <v>0</v>
      </c>
      <c r="K1693" t="n">
        <v>0</v>
      </c>
      <c r="L1693" t="n">
        <v>0</v>
      </c>
      <c r="M1693" t="n">
        <v>0</v>
      </c>
      <c r="N1693" t="n">
        <v>0</v>
      </c>
      <c r="O1693" t="n">
        <v>0</v>
      </c>
      <c r="P1693" t="n">
        <v>0</v>
      </c>
      <c r="Q1693" t="n">
        <v>0</v>
      </c>
      <c r="R1693" s="2" t="inlineStr"/>
    </row>
    <row r="1694" ht="15" customHeight="1">
      <c r="A1694" t="inlineStr">
        <is>
          <t>A 40918-2021</t>
        </is>
      </c>
      <c r="B1694" s="1" t="n">
        <v>44421</v>
      </c>
      <c r="C1694" s="1" t="n">
        <v>45724</v>
      </c>
      <c r="D1694" t="inlineStr">
        <is>
          <t>VÄSTMANLANDS LÄN</t>
        </is>
      </c>
      <c r="E1694" t="inlineStr">
        <is>
          <t>SKINNSKATTEBERG</t>
        </is>
      </c>
      <c r="G1694" t="n">
        <v>1.3</v>
      </c>
      <c r="H1694" t="n">
        <v>0</v>
      </c>
      <c r="I1694" t="n">
        <v>0</v>
      </c>
      <c r="J1694" t="n">
        <v>0</v>
      </c>
      <c r="K1694" t="n">
        <v>0</v>
      </c>
      <c r="L1694" t="n">
        <v>0</v>
      </c>
      <c r="M1694" t="n">
        <v>0</v>
      </c>
      <c r="N1694" t="n">
        <v>0</v>
      </c>
      <c r="O1694" t="n">
        <v>0</v>
      </c>
      <c r="P1694" t="n">
        <v>0</v>
      </c>
      <c r="Q1694" t="n">
        <v>0</v>
      </c>
      <c r="R1694" s="2" t="inlineStr"/>
    </row>
    <row r="1695" ht="15" customHeight="1">
      <c r="A1695" t="inlineStr">
        <is>
          <t>A 40909-2021</t>
        </is>
      </c>
      <c r="B1695" s="1" t="n">
        <v>44421</v>
      </c>
      <c r="C1695" s="1" t="n">
        <v>45724</v>
      </c>
      <c r="D1695" t="inlineStr">
        <is>
          <t>VÄSTMANLANDS LÄN</t>
        </is>
      </c>
      <c r="E1695" t="inlineStr">
        <is>
          <t>SKINNSKATTEBERG</t>
        </is>
      </c>
      <c r="F1695" t="inlineStr">
        <is>
          <t>Sveaskog</t>
        </is>
      </c>
      <c r="G1695" t="n">
        <v>3.7</v>
      </c>
      <c r="H1695" t="n">
        <v>0</v>
      </c>
      <c r="I1695" t="n">
        <v>0</v>
      </c>
      <c r="J1695" t="n">
        <v>0</v>
      </c>
      <c r="K1695" t="n">
        <v>0</v>
      </c>
      <c r="L1695" t="n">
        <v>0</v>
      </c>
      <c r="M1695" t="n">
        <v>0</v>
      </c>
      <c r="N1695" t="n">
        <v>0</v>
      </c>
      <c r="O1695" t="n">
        <v>0</v>
      </c>
      <c r="P1695" t="n">
        <v>0</v>
      </c>
      <c r="Q1695" t="n">
        <v>0</v>
      </c>
      <c r="R1695" s="2" t="inlineStr"/>
    </row>
    <row r="1696" ht="15" customHeight="1">
      <c r="A1696" t="inlineStr">
        <is>
          <t>A 40871-2021</t>
        </is>
      </c>
      <c r="B1696" s="1" t="n">
        <v>44421</v>
      </c>
      <c r="C1696" s="1" t="n">
        <v>45724</v>
      </c>
      <c r="D1696" t="inlineStr">
        <is>
          <t>VÄSTMANLANDS LÄN</t>
        </is>
      </c>
      <c r="E1696" t="inlineStr">
        <is>
          <t>SALA</t>
        </is>
      </c>
      <c r="G1696" t="n">
        <v>1.4</v>
      </c>
      <c r="H1696" t="n">
        <v>0</v>
      </c>
      <c r="I1696" t="n">
        <v>0</v>
      </c>
      <c r="J1696" t="n">
        <v>0</v>
      </c>
      <c r="K1696" t="n">
        <v>0</v>
      </c>
      <c r="L1696" t="n">
        <v>0</v>
      </c>
      <c r="M1696" t="n">
        <v>0</v>
      </c>
      <c r="N1696" t="n">
        <v>0</v>
      </c>
      <c r="O1696" t="n">
        <v>0</v>
      </c>
      <c r="P1696" t="n">
        <v>0</v>
      </c>
      <c r="Q1696" t="n">
        <v>0</v>
      </c>
      <c r="R1696" s="2" t="inlineStr"/>
    </row>
    <row r="1697" ht="15" customHeight="1">
      <c r="A1697" t="inlineStr">
        <is>
          <t>A 40901-2021</t>
        </is>
      </c>
      <c r="B1697" s="1" t="n">
        <v>44421</v>
      </c>
      <c r="C1697" s="1" t="n">
        <v>45724</v>
      </c>
      <c r="D1697" t="inlineStr">
        <is>
          <t>VÄSTMANLANDS LÄN</t>
        </is>
      </c>
      <c r="E1697" t="inlineStr">
        <is>
          <t>SKINNSKATTEBERG</t>
        </is>
      </c>
      <c r="F1697" t="inlineStr">
        <is>
          <t>Sveaskog</t>
        </is>
      </c>
      <c r="G1697" t="n">
        <v>2.9</v>
      </c>
      <c r="H1697" t="n">
        <v>0</v>
      </c>
      <c r="I1697" t="n">
        <v>0</v>
      </c>
      <c r="J1697" t="n">
        <v>0</v>
      </c>
      <c r="K1697" t="n">
        <v>0</v>
      </c>
      <c r="L1697" t="n">
        <v>0</v>
      </c>
      <c r="M1697" t="n">
        <v>0</v>
      </c>
      <c r="N1697" t="n">
        <v>0</v>
      </c>
      <c r="O1697" t="n">
        <v>0</v>
      </c>
      <c r="P1697" t="n">
        <v>0</v>
      </c>
      <c r="Q1697" t="n">
        <v>0</v>
      </c>
      <c r="R1697" s="2" t="inlineStr"/>
    </row>
    <row r="1698" ht="15" customHeight="1">
      <c r="A1698" t="inlineStr">
        <is>
          <t>A 40907-2021</t>
        </is>
      </c>
      <c r="B1698" s="1" t="n">
        <v>44421</v>
      </c>
      <c r="C1698" s="1" t="n">
        <v>45724</v>
      </c>
      <c r="D1698" t="inlineStr">
        <is>
          <t>VÄSTMANLANDS LÄN</t>
        </is>
      </c>
      <c r="E1698" t="inlineStr">
        <is>
          <t>SKINNSKATTEBERG</t>
        </is>
      </c>
      <c r="F1698" t="inlineStr">
        <is>
          <t>Sveaskog</t>
        </is>
      </c>
      <c r="G1698" t="n">
        <v>1.2</v>
      </c>
      <c r="H1698" t="n">
        <v>0</v>
      </c>
      <c r="I1698" t="n">
        <v>0</v>
      </c>
      <c r="J1698" t="n">
        <v>0</v>
      </c>
      <c r="K1698" t="n">
        <v>0</v>
      </c>
      <c r="L1698" t="n">
        <v>0</v>
      </c>
      <c r="M1698" t="n">
        <v>0</v>
      </c>
      <c r="N1698" t="n">
        <v>0</v>
      </c>
      <c r="O1698" t="n">
        <v>0</v>
      </c>
      <c r="P1698" t="n">
        <v>0</v>
      </c>
      <c r="Q1698" t="n">
        <v>0</v>
      </c>
      <c r="R1698" s="2" t="inlineStr"/>
    </row>
    <row r="1699" ht="15" customHeight="1">
      <c r="A1699" t="inlineStr">
        <is>
          <t>A 40913-2021</t>
        </is>
      </c>
      <c r="B1699" s="1" t="n">
        <v>44421</v>
      </c>
      <c r="C1699" s="1" t="n">
        <v>45724</v>
      </c>
      <c r="D1699" t="inlineStr">
        <is>
          <t>VÄSTMANLANDS LÄN</t>
        </is>
      </c>
      <c r="E1699" t="inlineStr">
        <is>
          <t>SKINNSKATTEBERG</t>
        </is>
      </c>
      <c r="G1699" t="n">
        <v>4.5</v>
      </c>
      <c r="H1699" t="n">
        <v>0</v>
      </c>
      <c r="I1699" t="n">
        <v>0</v>
      </c>
      <c r="J1699" t="n">
        <v>0</v>
      </c>
      <c r="K1699" t="n">
        <v>0</v>
      </c>
      <c r="L1699" t="n">
        <v>0</v>
      </c>
      <c r="M1699" t="n">
        <v>0</v>
      </c>
      <c r="N1699" t="n">
        <v>0</v>
      </c>
      <c r="O1699" t="n">
        <v>0</v>
      </c>
      <c r="P1699" t="n">
        <v>0</v>
      </c>
      <c r="Q1699" t="n">
        <v>0</v>
      </c>
      <c r="R1699" s="2" t="inlineStr"/>
    </row>
    <row r="1700" ht="15" customHeight="1">
      <c r="A1700" t="inlineStr">
        <is>
          <t>A 41097-2021</t>
        </is>
      </c>
      <c r="B1700" s="1" t="n">
        <v>44422</v>
      </c>
      <c r="C1700" s="1" t="n">
        <v>45724</v>
      </c>
      <c r="D1700" t="inlineStr">
        <is>
          <t>VÄSTMANLANDS LÄN</t>
        </is>
      </c>
      <c r="E1700" t="inlineStr">
        <is>
          <t>FAGERSTA</t>
        </is>
      </c>
      <c r="G1700" t="n">
        <v>1</v>
      </c>
      <c r="H1700" t="n">
        <v>0</v>
      </c>
      <c r="I1700" t="n">
        <v>0</v>
      </c>
      <c r="J1700" t="n">
        <v>0</v>
      </c>
      <c r="K1700" t="n">
        <v>0</v>
      </c>
      <c r="L1700" t="n">
        <v>0</v>
      </c>
      <c r="M1700" t="n">
        <v>0</v>
      </c>
      <c r="N1700" t="n">
        <v>0</v>
      </c>
      <c r="O1700" t="n">
        <v>0</v>
      </c>
      <c r="P1700" t="n">
        <v>0</v>
      </c>
      <c r="Q1700" t="n">
        <v>0</v>
      </c>
      <c r="R1700" s="2" t="inlineStr"/>
    </row>
    <row r="1701" ht="15" customHeight="1">
      <c r="A1701" t="inlineStr">
        <is>
          <t>A 41292-2021</t>
        </is>
      </c>
      <c r="B1701" s="1" t="n">
        <v>44424</v>
      </c>
      <c r="C1701" s="1" t="n">
        <v>45724</v>
      </c>
      <c r="D1701" t="inlineStr">
        <is>
          <t>VÄSTMANLANDS LÄN</t>
        </is>
      </c>
      <c r="E1701" t="inlineStr">
        <is>
          <t>SALA</t>
        </is>
      </c>
      <c r="G1701" t="n">
        <v>0.3</v>
      </c>
      <c r="H1701" t="n">
        <v>0</v>
      </c>
      <c r="I1701" t="n">
        <v>0</v>
      </c>
      <c r="J1701" t="n">
        <v>0</v>
      </c>
      <c r="K1701" t="n">
        <v>0</v>
      </c>
      <c r="L1701" t="n">
        <v>0</v>
      </c>
      <c r="M1701" t="n">
        <v>0</v>
      </c>
      <c r="N1701" t="n">
        <v>0</v>
      </c>
      <c r="O1701" t="n">
        <v>0</v>
      </c>
      <c r="P1701" t="n">
        <v>0</v>
      </c>
      <c r="Q1701" t="n">
        <v>0</v>
      </c>
      <c r="R1701" s="2" t="inlineStr"/>
    </row>
    <row r="1702" ht="15" customHeight="1">
      <c r="A1702" t="inlineStr">
        <is>
          <t>A 41518-2021</t>
        </is>
      </c>
      <c r="B1702" s="1" t="n">
        <v>44425</v>
      </c>
      <c r="C1702" s="1" t="n">
        <v>45724</v>
      </c>
      <c r="D1702" t="inlineStr">
        <is>
          <t>VÄSTMANLANDS LÄN</t>
        </is>
      </c>
      <c r="E1702" t="inlineStr">
        <is>
          <t>NORBERG</t>
        </is>
      </c>
      <c r="G1702" t="n">
        <v>11.5</v>
      </c>
      <c r="H1702" t="n">
        <v>0</v>
      </c>
      <c r="I1702" t="n">
        <v>0</v>
      </c>
      <c r="J1702" t="n">
        <v>0</v>
      </c>
      <c r="K1702" t="n">
        <v>0</v>
      </c>
      <c r="L1702" t="n">
        <v>0</v>
      </c>
      <c r="M1702" t="n">
        <v>0</v>
      </c>
      <c r="N1702" t="n">
        <v>0</v>
      </c>
      <c r="O1702" t="n">
        <v>0</v>
      </c>
      <c r="P1702" t="n">
        <v>0</v>
      </c>
      <c r="Q1702" t="n">
        <v>0</v>
      </c>
      <c r="R1702" s="2" t="inlineStr"/>
    </row>
    <row r="1703" ht="15" customHeight="1">
      <c r="A1703" t="inlineStr">
        <is>
          <t>A 41583-2021</t>
        </is>
      </c>
      <c r="B1703" s="1" t="n">
        <v>44425</v>
      </c>
      <c r="C1703" s="1" t="n">
        <v>45724</v>
      </c>
      <c r="D1703" t="inlineStr">
        <is>
          <t>VÄSTMANLANDS LÄN</t>
        </is>
      </c>
      <c r="E1703" t="inlineStr">
        <is>
          <t>SALA</t>
        </is>
      </c>
      <c r="G1703" t="n">
        <v>5</v>
      </c>
      <c r="H1703" t="n">
        <v>0</v>
      </c>
      <c r="I1703" t="n">
        <v>0</v>
      </c>
      <c r="J1703" t="n">
        <v>0</v>
      </c>
      <c r="K1703" t="n">
        <v>0</v>
      </c>
      <c r="L1703" t="n">
        <v>0</v>
      </c>
      <c r="M1703" t="n">
        <v>0</v>
      </c>
      <c r="N1703" t="n">
        <v>0</v>
      </c>
      <c r="O1703" t="n">
        <v>0</v>
      </c>
      <c r="P1703" t="n">
        <v>0</v>
      </c>
      <c r="Q1703" t="n">
        <v>0</v>
      </c>
      <c r="R1703" s="2" t="inlineStr"/>
    </row>
    <row r="1704" ht="15" customHeight="1">
      <c r="A1704" t="inlineStr">
        <is>
          <t>A 42071-2021</t>
        </is>
      </c>
      <c r="B1704" s="1" t="n">
        <v>44426</v>
      </c>
      <c r="C1704" s="1" t="n">
        <v>45724</v>
      </c>
      <c r="D1704" t="inlineStr">
        <is>
          <t>VÄSTMANLANDS LÄN</t>
        </is>
      </c>
      <c r="E1704" t="inlineStr">
        <is>
          <t>SKINNSKATTEBERG</t>
        </is>
      </c>
      <c r="F1704" t="inlineStr">
        <is>
          <t>Sveaskog</t>
        </is>
      </c>
      <c r="G1704" t="n">
        <v>1.4</v>
      </c>
      <c r="H1704" t="n">
        <v>0</v>
      </c>
      <c r="I1704" t="n">
        <v>0</v>
      </c>
      <c r="J1704" t="n">
        <v>0</v>
      </c>
      <c r="K1704" t="n">
        <v>0</v>
      </c>
      <c r="L1704" t="n">
        <v>0</v>
      </c>
      <c r="M1704" t="n">
        <v>0</v>
      </c>
      <c r="N1704" t="n">
        <v>0</v>
      </c>
      <c r="O1704" t="n">
        <v>0</v>
      </c>
      <c r="P1704" t="n">
        <v>0</v>
      </c>
      <c r="Q1704" t="n">
        <v>0</v>
      </c>
      <c r="R1704" s="2" t="inlineStr"/>
    </row>
    <row r="1705" ht="15" customHeight="1">
      <c r="A1705" t="inlineStr">
        <is>
          <t>A 42078-2021</t>
        </is>
      </c>
      <c r="B1705" s="1" t="n">
        <v>44426</v>
      </c>
      <c r="C1705" s="1" t="n">
        <v>45724</v>
      </c>
      <c r="D1705" t="inlineStr">
        <is>
          <t>VÄSTMANLANDS LÄN</t>
        </is>
      </c>
      <c r="E1705" t="inlineStr">
        <is>
          <t>SKINNSKATTEBERG</t>
        </is>
      </c>
      <c r="F1705" t="inlineStr">
        <is>
          <t>Sveaskog</t>
        </is>
      </c>
      <c r="G1705" t="n">
        <v>1</v>
      </c>
      <c r="H1705" t="n">
        <v>0</v>
      </c>
      <c r="I1705" t="n">
        <v>0</v>
      </c>
      <c r="J1705" t="n">
        <v>0</v>
      </c>
      <c r="K1705" t="n">
        <v>0</v>
      </c>
      <c r="L1705" t="n">
        <v>0</v>
      </c>
      <c r="M1705" t="n">
        <v>0</v>
      </c>
      <c r="N1705" t="n">
        <v>0</v>
      </c>
      <c r="O1705" t="n">
        <v>0</v>
      </c>
      <c r="P1705" t="n">
        <v>0</v>
      </c>
      <c r="Q1705" t="n">
        <v>0</v>
      </c>
      <c r="R1705" s="2" t="inlineStr"/>
    </row>
    <row r="1706" ht="15" customHeight="1">
      <c r="A1706" t="inlineStr">
        <is>
          <t>A 42338-2021</t>
        </is>
      </c>
      <c r="B1706" s="1" t="n">
        <v>44427</v>
      </c>
      <c r="C1706" s="1" t="n">
        <v>45724</v>
      </c>
      <c r="D1706" t="inlineStr">
        <is>
          <t>VÄSTMANLANDS LÄN</t>
        </is>
      </c>
      <c r="E1706" t="inlineStr">
        <is>
          <t>ARBOGA</t>
        </is>
      </c>
      <c r="G1706" t="n">
        <v>2.2</v>
      </c>
      <c r="H1706" t="n">
        <v>0</v>
      </c>
      <c r="I1706" t="n">
        <v>0</v>
      </c>
      <c r="J1706" t="n">
        <v>0</v>
      </c>
      <c r="K1706" t="n">
        <v>0</v>
      </c>
      <c r="L1706" t="n">
        <v>0</v>
      </c>
      <c r="M1706" t="n">
        <v>0</v>
      </c>
      <c r="N1706" t="n">
        <v>0</v>
      </c>
      <c r="O1706" t="n">
        <v>0</v>
      </c>
      <c r="P1706" t="n">
        <v>0</v>
      </c>
      <c r="Q1706" t="n">
        <v>0</v>
      </c>
      <c r="R1706" s="2" t="inlineStr"/>
    </row>
    <row r="1707" ht="15" customHeight="1">
      <c r="A1707" t="inlineStr">
        <is>
          <t>A 42279-2021</t>
        </is>
      </c>
      <c r="B1707" s="1" t="n">
        <v>44427</v>
      </c>
      <c r="C1707" s="1" t="n">
        <v>45724</v>
      </c>
      <c r="D1707" t="inlineStr">
        <is>
          <t>VÄSTMANLANDS LÄN</t>
        </is>
      </c>
      <c r="E1707" t="inlineStr">
        <is>
          <t>ARBOGA</t>
        </is>
      </c>
      <c r="G1707" t="n">
        <v>0.5</v>
      </c>
      <c r="H1707" t="n">
        <v>0</v>
      </c>
      <c r="I1707" t="n">
        <v>0</v>
      </c>
      <c r="J1707" t="n">
        <v>0</v>
      </c>
      <c r="K1707" t="n">
        <v>0</v>
      </c>
      <c r="L1707" t="n">
        <v>0</v>
      </c>
      <c r="M1707" t="n">
        <v>0</v>
      </c>
      <c r="N1707" t="n">
        <v>0</v>
      </c>
      <c r="O1707" t="n">
        <v>0</v>
      </c>
      <c r="P1707" t="n">
        <v>0</v>
      </c>
      <c r="Q1707" t="n">
        <v>0</v>
      </c>
      <c r="R1707" s="2" t="inlineStr"/>
    </row>
    <row r="1708" ht="15" customHeight="1">
      <c r="A1708" t="inlineStr">
        <is>
          <t>A 42386-2021</t>
        </is>
      </c>
      <c r="B1708" s="1" t="n">
        <v>44427</v>
      </c>
      <c r="C1708" s="1" t="n">
        <v>45724</v>
      </c>
      <c r="D1708" t="inlineStr">
        <is>
          <t>VÄSTMANLANDS LÄN</t>
        </is>
      </c>
      <c r="E1708" t="inlineStr">
        <is>
          <t>ARBOGA</t>
        </is>
      </c>
      <c r="G1708" t="n">
        <v>0.8</v>
      </c>
      <c r="H1708" t="n">
        <v>0</v>
      </c>
      <c r="I1708" t="n">
        <v>0</v>
      </c>
      <c r="J1708" t="n">
        <v>0</v>
      </c>
      <c r="K1708" t="n">
        <v>0</v>
      </c>
      <c r="L1708" t="n">
        <v>0</v>
      </c>
      <c r="M1708" t="n">
        <v>0</v>
      </c>
      <c r="N1708" t="n">
        <v>0</v>
      </c>
      <c r="O1708" t="n">
        <v>0</v>
      </c>
      <c r="P1708" t="n">
        <v>0</v>
      </c>
      <c r="Q1708" t="n">
        <v>0</v>
      </c>
      <c r="R1708" s="2" t="inlineStr"/>
    </row>
    <row r="1709" ht="15" customHeight="1">
      <c r="A1709" t="inlineStr">
        <is>
          <t>A 42379-2021</t>
        </is>
      </c>
      <c r="B1709" s="1" t="n">
        <v>44427</v>
      </c>
      <c r="C1709" s="1" t="n">
        <v>45724</v>
      </c>
      <c r="D1709" t="inlineStr">
        <is>
          <t>VÄSTMANLANDS LÄN</t>
        </is>
      </c>
      <c r="E1709" t="inlineStr">
        <is>
          <t>ARBOGA</t>
        </is>
      </c>
      <c r="G1709" t="n">
        <v>2.3</v>
      </c>
      <c r="H1709" t="n">
        <v>0</v>
      </c>
      <c r="I1709" t="n">
        <v>0</v>
      </c>
      <c r="J1709" t="n">
        <v>0</v>
      </c>
      <c r="K1709" t="n">
        <v>0</v>
      </c>
      <c r="L1709" t="n">
        <v>0</v>
      </c>
      <c r="M1709" t="n">
        <v>0</v>
      </c>
      <c r="N1709" t="n">
        <v>0</v>
      </c>
      <c r="O1709" t="n">
        <v>0</v>
      </c>
      <c r="P1709" t="n">
        <v>0</v>
      </c>
      <c r="Q1709" t="n">
        <v>0</v>
      </c>
      <c r="R1709" s="2" t="inlineStr"/>
    </row>
    <row r="1710" ht="15" customHeight="1">
      <c r="A1710" t="inlineStr">
        <is>
          <t>A 42621-2021</t>
        </is>
      </c>
      <c r="B1710" s="1" t="n">
        <v>44428</v>
      </c>
      <c r="C1710" s="1" t="n">
        <v>45724</v>
      </c>
      <c r="D1710" t="inlineStr">
        <is>
          <t>VÄSTMANLANDS LÄN</t>
        </is>
      </c>
      <c r="E1710" t="inlineStr">
        <is>
          <t>KÖPING</t>
        </is>
      </c>
      <c r="G1710" t="n">
        <v>1.6</v>
      </c>
      <c r="H1710" t="n">
        <v>0</v>
      </c>
      <c r="I1710" t="n">
        <v>0</v>
      </c>
      <c r="J1710" t="n">
        <v>0</v>
      </c>
      <c r="K1710" t="n">
        <v>0</v>
      </c>
      <c r="L1710" t="n">
        <v>0</v>
      </c>
      <c r="M1710" t="n">
        <v>0</v>
      </c>
      <c r="N1710" t="n">
        <v>0</v>
      </c>
      <c r="O1710" t="n">
        <v>0</v>
      </c>
      <c r="P1710" t="n">
        <v>0</v>
      </c>
      <c r="Q1710" t="n">
        <v>0</v>
      </c>
      <c r="R1710" s="2" t="inlineStr"/>
    </row>
    <row r="1711" ht="15" customHeight="1">
      <c r="A1711" t="inlineStr">
        <is>
          <t>A 42650-2021</t>
        </is>
      </c>
      <c r="B1711" s="1" t="n">
        <v>44428</v>
      </c>
      <c r="C1711" s="1" t="n">
        <v>45724</v>
      </c>
      <c r="D1711" t="inlineStr">
        <is>
          <t>VÄSTMANLANDS LÄN</t>
        </is>
      </c>
      <c r="E1711" t="inlineStr">
        <is>
          <t>KÖPING</t>
        </is>
      </c>
      <c r="G1711" t="n">
        <v>1.2</v>
      </c>
      <c r="H1711" t="n">
        <v>0</v>
      </c>
      <c r="I1711" t="n">
        <v>0</v>
      </c>
      <c r="J1711" t="n">
        <v>0</v>
      </c>
      <c r="K1711" t="n">
        <v>0</v>
      </c>
      <c r="L1711" t="n">
        <v>0</v>
      </c>
      <c r="M1711" t="n">
        <v>0</v>
      </c>
      <c r="N1711" t="n">
        <v>0</v>
      </c>
      <c r="O1711" t="n">
        <v>0</v>
      </c>
      <c r="P1711" t="n">
        <v>0</v>
      </c>
      <c r="Q1711" t="n">
        <v>0</v>
      </c>
      <c r="R1711" s="2" t="inlineStr"/>
    </row>
    <row r="1712" ht="15" customHeight="1">
      <c r="A1712" t="inlineStr">
        <is>
          <t>A 42659-2021</t>
        </is>
      </c>
      <c r="B1712" s="1" t="n">
        <v>44428</v>
      </c>
      <c r="C1712" s="1" t="n">
        <v>45724</v>
      </c>
      <c r="D1712" t="inlineStr">
        <is>
          <t>VÄSTMANLANDS LÄN</t>
        </is>
      </c>
      <c r="E1712" t="inlineStr">
        <is>
          <t>VÄSTERÅS</t>
        </is>
      </c>
      <c r="G1712" t="n">
        <v>4.2</v>
      </c>
      <c r="H1712" t="n">
        <v>0</v>
      </c>
      <c r="I1712" t="n">
        <v>0</v>
      </c>
      <c r="J1712" t="n">
        <v>0</v>
      </c>
      <c r="K1712" t="n">
        <v>0</v>
      </c>
      <c r="L1712" t="n">
        <v>0</v>
      </c>
      <c r="M1712" t="n">
        <v>0</v>
      </c>
      <c r="N1712" t="n">
        <v>0</v>
      </c>
      <c r="O1712" t="n">
        <v>0</v>
      </c>
      <c r="P1712" t="n">
        <v>0</v>
      </c>
      <c r="Q1712" t="n">
        <v>0</v>
      </c>
      <c r="R1712" s="2" t="inlineStr"/>
    </row>
    <row r="1713" ht="15" customHeight="1">
      <c r="A1713" t="inlineStr">
        <is>
          <t>A 42645-2021</t>
        </is>
      </c>
      <c r="B1713" s="1" t="n">
        <v>44428</v>
      </c>
      <c r="C1713" s="1" t="n">
        <v>45724</v>
      </c>
      <c r="D1713" t="inlineStr">
        <is>
          <t>VÄSTMANLANDS LÄN</t>
        </is>
      </c>
      <c r="E1713" t="inlineStr">
        <is>
          <t>KÖPING</t>
        </is>
      </c>
      <c r="G1713" t="n">
        <v>2</v>
      </c>
      <c r="H1713" t="n">
        <v>0</v>
      </c>
      <c r="I1713" t="n">
        <v>0</v>
      </c>
      <c r="J1713" t="n">
        <v>0</v>
      </c>
      <c r="K1713" t="n">
        <v>0</v>
      </c>
      <c r="L1713" t="n">
        <v>0</v>
      </c>
      <c r="M1713" t="n">
        <v>0</v>
      </c>
      <c r="N1713" t="n">
        <v>0</v>
      </c>
      <c r="O1713" t="n">
        <v>0</v>
      </c>
      <c r="P1713" t="n">
        <v>0</v>
      </c>
      <c r="Q1713" t="n">
        <v>0</v>
      </c>
      <c r="R1713" s="2" t="inlineStr"/>
    </row>
    <row r="1714" ht="15" customHeight="1">
      <c r="A1714" t="inlineStr">
        <is>
          <t>A 42699-2021</t>
        </is>
      </c>
      <c r="B1714" s="1" t="n">
        <v>44428</v>
      </c>
      <c r="C1714" s="1" t="n">
        <v>45724</v>
      </c>
      <c r="D1714" t="inlineStr">
        <is>
          <t>VÄSTMANLANDS LÄN</t>
        </is>
      </c>
      <c r="E1714" t="inlineStr">
        <is>
          <t>NORBERG</t>
        </is>
      </c>
      <c r="F1714" t="inlineStr">
        <is>
          <t>Sveaskog</t>
        </is>
      </c>
      <c r="G1714" t="n">
        <v>4</v>
      </c>
      <c r="H1714" t="n">
        <v>0</v>
      </c>
      <c r="I1714" t="n">
        <v>0</v>
      </c>
      <c r="J1714" t="n">
        <v>0</v>
      </c>
      <c r="K1714" t="n">
        <v>0</v>
      </c>
      <c r="L1714" t="n">
        <v>0</v>
      </c>
      <c r="M1714" t="n">
        <v>0</v>
      </c>
      <c r="N1714" t="n">
        <v>0</v>
      </c>
      <c r="O1714" t="n">
        <v>0</v>
      </c>
      <c r="P1714" t="n">
        <v>0</v>
      </c>
      <c r="Q1714" t="n">
        <v>0</v>
      </c>
      <c r="R1714" s="2" t="inlineStr"/>
    </row>
    <row r="1715" ht="15" customHeight="1">
      <c r="A1715" t="inlineStr">
        <is>
          <t>A 43354-2021</t>
        </is>
      </c>
      <c r="B1715" s="1" t="n">
        <v>44432</v>
      </c>
      <c r="C1715" s="1" t="n">
        <v>45724</v>
      </c>
      <c r="D1715" t="inlineStr">
        <is>
          <t>VÄSTMANLANDS LÄN</t>
        </is>
      </c>
      <c r="E1715" t="inlineStr">
        <is>
          <t>VÄSTERÅS</t>
        </is>
      </c>
      <c r="G1715" t="n">
        <v>3.2</v>
      </c>
      <c r="H1715" t="n">
        <v>0</v>
      </c>
      <c r="I1715" t="n">
        <v>0</v>
      </c>
      <c r="J1715" t="n">
        <v>0</v>
      </c>
      <c r="K1715" t="n">
        <v>0</v>
      </c>
      <c r="L1715" t="n">
        <v>0</v>
      </c>
      <c r="M1715" t="n">
        <v>0</v>
      </c>
      <c r="N1715" t="n">
        <v>0</v>
      </c>
      <c r="O1715" t="n">
        <v>0</v>
      </c>
      <c r="P1715" t="n">
        <v>0</v>
      </c>
      <c r="Q1715" t="n">
        <v>0</v>
      </c>
      <c r="R1715" s="2" t="inlineStr"/>
    </row>
    <row r="1716" ht="15" customHeight="1">
      <c r="A1716" t="inlineStr">
        <is>
          <t>A 43355-2021</t>
        </is>
      </c>
      <c r="B1716" s="1" t="n">
        <v>44432</v>
      </c>
      <c r="C1716" s="1" t="n">
        <v>45724</v>
      </c>
      <c r="D1716" t="inlineStr">
        <is>
          <t>VÄSTMANLANDS LÄN</t>
        </is>
      </c>
      <c r="E1716" t="inlineStr">
        <is>
          <t>VÄSTERÅS</t>
        </is>
      </c>
      <c r="G1716" t="n">
        <v>1.1</v>
      </c>
      <c r="H1716" t="n">
        <v>0</v>
      </c>
      <c r="I1716" t="n">
        <v>0</v>
      </c>
      <c r="J1716" t="n">
        <v>0</v>
      </c>
      <c r="K1716" t="n">
        <v>0</v>
      </c>
      <c r="L1716" t="n">
        <v>0</v>
      </c>
      <c r="M1716" t="n">
        <v>0</v>
      </c>
      <c r="N1716" t="n">
        <v>0</v>
      </c>
      <c r="O1716" t="n">
        <v>0</v>
      </c>
      <c r="P1716" t="n">
        <v>0</v>
      </c>
      <c r="Q1716" t="n">
        <v>0</v>
      </c>
      <c r="R1716" s="2" t="inlineStr"/>
    </row>
    <row r="1717" ht="15" customHeight="1">
      <c r="A1717" t="inlineStr">
        <is>
          <t>A 43292-2021</t>
        </is>
      </c>
      <c r="B1717" s="1" t="n">
        <v>44432</v>
      </c>
      <c r="C1717" s="1" t="n">
        <v>45724</v>
      </c>
      <c r="D1717" t="inlineStr">
        <is>
          <t>VÄSTMANLANDS LÄN</t>
        </is>
      </c>
      <c r="E1717" t="inlineStr">
        <is>
          <t>SALA</t>
        </is>
      </c>
      <c r="G1717" t="n">
        <v>15</v>
      </c>
      <c r="H1717" t="n">
        <v>0</v>
      </c>
      <c r="I1717" t="n">
        <v>0</v>
      </c>
      <c r="J1717" t="n">
        <v>0</v>
      </c>
      <c r="K1717" t="n">
        <v>0</v>
      </c>
      <c r="L1717" t="n">
        <v>0</v>
      </c>
      <c r="M1717" t="n">
        <v>0</v>
      </c>
      <c r="N1717" t="n">
        <v>0</v>
      </c>
      <c r="O1717" t="n">
        <v>0</v>
      </c>
      <c r="P1717" t="n">
        <v>0</v>
      </c>
      <c r="Q1717" t="n">
        <v>0</v>
      </c>
      <c r="R1717" s="2" t="inlineStr"/>
    </row>
    <row r="1718" ht="15" customHeight="1">
      <c r="A1718" t="inlineStr">
        <is>
          <t>A 43509-2021</t>
        </is>
      </c>
      <c r="B1718" s="1" t="n">
        <v>44433</v>
      </c>
      <c r="C1718" s="1" t="n">
        <v>45724</v>
      </c>
      <c r="D1718" t="inlineStr">
        <is>
          <t>VÄSTMANLANDS LÄN</t>
        </is>
      </c>
      <c r="E1718" t="inlineStr">
        <is>
          <t>SALA</t>
        </is>
      </c>
      <c r="G1718" t="n">
        <v>0.8</v>
      </c>
      <c r="H1718" t="n">
        <v>0</v>
      </c>
      <c r="I1718" t="n">
        <v>0</v>
      </c>
      <c r="J1718" t="n">
        <v>0</v>
      </c>
      <c r="K1718" t="n">
        <v>0</v>
      </c>
      <c r="L1718" t="n">
        <v>0</v>
      </c>
      <c r="M1718" t="n">
        <v>0</v>
      </c>
      <c r="N1718" t="n">
        <v>0</v>
      </c>
      <c r="O1718" t="n">
        <v>0</v>
      </c>
      <c r="P1718" t="n">
        <v>0</v>
      </c>
      <c r="Q1718" t="n">
        <v>0</v>
      </c>
      <c r="R1718" s="2" t="inlineStr"/>
    </row>
    <row r="1719" ht="15" customHeight="1">
      <c r="A1719" t="inlineStr">
        <is>
          <t>A 43973-2021</t>
        </is>
      </c>
      <c r="B1719" s="1" t="n">
        <v>44434</v>
      </c>
      <c r="C1719" s="1" t="n">
        <v>45724</v>
      </c>
      <c r="D1719" t="inlineStr">
        <is>
          <t>VÄSTMANLANDS LÄN</t>
        </is>
      </c>
      <c r="E1719" t="inlineStr">
        <is>
          <t>KÖPING</t>
        </is>
      </c>
      <c r="G1719" t="n">
        <v>2</v>
      </c>
      <c r="H1719" t="n">
        <v>0</v>
      </c>
      <c r="I1719" t="n">
        <v>0</v>
      </c>
      <c r="J1719" t="n">
        <v>0</v>
      </c>
      <c r="K1719" t="n">
        <v>0</v>
      </c>
      <c r="L1719" t="n">
        <v>0</v>
      </c>
      <c r="M1719" t="n">
        <v>0</v>
      </c>
      <c r="N1719" t="n">
        <v>0</v>
      </c>
      <c r="O1719" t="n">
        <v>0</v>
      </c>
      <c r="P1719" t="n">
        <v>0</v>
      </c>
      <c r="Q1719" t="n">
        <v>0</v>
      </c>
      <c r="R1719" s="2" t="inlineStr"/>
    </row>
    <row r="1720" ht="15" customHeight="1">
      <c r="A1720" t="inlineStr">
        <is>
          <t>A 44075-2021</t>
        </is>
      </c>
      <c r="B1720" s="1" t="n">
        <v>44434</v>
      </c>
      <c r="C1720" s="1" t="n">
        <v>45724</v>
      </c>
      <c r="D1720" t="inlineStr">
        <is>
          <t>VÄSTMANLANDS LÄN</t>
        </is>
      </c>
      <c r="E1720" t="inlineStr">
        <is>
          <t>HALLSTAHAMMAR</t>
        </is>
      </c>
      <c r="G1720" t="n">
        <v>3.1</v>
      </c>
      <c r="H1720" t="n">
        <v>0</v>
      </c>
      <c r="I1720" t="n">
        <v>0</v>
      </c>
      <c r="J1720" t="n">
        <v>0</v>
      </c>
      <c r="K1720" t="n">
        <v>0</v>
      </c>
      <c r="L1720" t="n">
        <v>0</v>
      </c>
      <c r="M1720" t="n">
        <v>0</v>
      </c>
      <c r="N1720" t="n">
        <v>0</v>
      </c>
      <c r="O1720" t="n">
        <v>0</v>
      </c>
      <c r="P1720" t="n">
        <v>0</v>
      </c>
      <c r="Q1720" t="n">
        <v>0</v>
      </c>
      <c r="R1720" s="2" t="inlineStr"/>
    </row>
    <row r="1721" ht="15" customHeight="1">
      <c r="A1721" t="inlineStr">
        <is>
          <t>A 44069-2021</t>
        </is>
      </c>
      <c r="B1721" s="1" t="n">
        <v>44434</v>
      </c>
      <c r="C1721" s="1" t="n">
        <v>45724</v>
      </c>
      <c r="D1721" t="inlineStr">
        <is>
          <t>VÄSTMANLANDS LÄN</t>
        </is>
      </c>
      <c r="E1721" t="inlineStr">
        <is>
          <t>HALLSTAHAMMAR</t>
        </is>
      </c>
      <c r="G1721" t="n">
        <v>1.5</v>
      </c>
      <c r="H1721" t="n">
        <v>0</v>
      </c>
      <c r="I1721" t="n">
        <v>0</v>
      </c>
      <c r="J1721" t="n">
        <v>0</v>
      </c>
      <c r="K1721" t="n">
        <v>0</v>
      </c>
      <c r="L1721" t="n">
        <v>0</v>
      </c>
      <c r="M1721" t="n">
        <v>0</v>
      </c>
      <c r="N1721" t="n">
        <v>0</v>
      </c>
      <c r="O1721" t="n">
        <v>0</v>
      </c>
      <c r="P1721" t="n">
        <v>0</v>
      </c>
      <c r="Q1721" t="n">
        <v>0</v>
      </c>
      <c r="R1721" s="2" t="inlineStr"/>
    </row>
    <row r="1722" ht="15" customHeight="1">
      <c r="A1722" t="inlineStr">
        <is>
          <t>A 44720-2021</t>
        </is>
      </c>
      <c r="B1722" s="1" t="n">
        <v>44438</v>
      </c>
      <c r="C1722" s="1" t="n">
        <v>45724</v>
      </c>
      <c r="D1722" t="inlineStr">
        <is>
          <t>VÄSTMANLANDS LÄN</t>
        </is>
      </c>
      <c r="E1722" t="inlineStr">
        <is>
          <t>KUNGSÖR</t>
        </is>
      </c>
      <c r="G1722" t="n">
        <v>11.4</v>
      </c>
      <c r="H1722" t="n">
        <v>0</v>
      </c>
      <c r="I1722" t="n">
        <v>0</v>
      </c>
      <c r="J1722" t="n">
        <v>0</v>
      </c>
      <c r="K1722" t="n">
        <v>0</v>
      </c>
      <c r="L1722" t="n">
        <v>0</v>
      </c>
      <c r="M1722" t="n">
        <v>0</v>
      </c>
      <c r="N1722" t="n">
        <v>0</v>
      </c>
      <c r="O1722" t="n">
        <v>0</v>
      </c>
      <c r="P1722" t="n">
        <v>0</v>
      </c>
      <c r="Q1722" t="n">
        <v>0</v>
      </c>
      <c r="R1722" s="2" t="inlineStr"/>
    </row>
    <row r="1723" ht="15" customHeight="1">
      <c r="A1723" t="inlineStr">
        <is>
          <t>A 44749-2021</t>
        </is>
      </c>
      <c r="B1723" s="1" t="n">
        <v>44438</v>
      </c>
      <c r="C1723" s="1" t="n">
        <v>45724</v>
      </c>
      <c r="D1723" t="inlineStr">
        <is>
          <t>VÄSTMANLANDS LÄN</t>
        </is>
      </c>
      <c r="E1723" t="inlineStr">
        <is>
          <t>KÖPING</t>
        </is>
      </c>
      <c r="G1723" t="n">
        <v>2.1</v>
      </c>
      <c r="H1723" t="n">
        <v>0</v>
      </c>
      <c r="I1723" t="n">
        <v>0</v>
      </c>
      <c r="J1723" t="n">
        <v>0</v>
      </c>
      <c r="K1723" t="n">
        <v>0</v>
      </c>
      <c r="L1723" t="n">
        <v>0</v>
      </c>
      <c r="M1723" t="n">
        <v>0</v>
      </c>
      <c r="N1723" t="n">
        <v>0</v>
      </c>
      <c r="O1723" t="n">
        <v>0</v>
      </c>
      <c r="P1723" t="n">
        <v>0</v>
      </c>
      <c r="Q1723" t="n">
        <v>0</v>
      </c>
      <c r="R1723" s="2" t="inlineStr"/>
    </row>
    <row r="1724" ht="15" customHeight="1">
      <c r="A1724" t="inlineStr">
        <is>
          <t>A 45159-2021</t>
        </is>
      </c>
      <c r="B1724" s="1" t="n">
        <v>44439</v>
      </c>
      <c r="C1724" s="1" t="n">
        <v>45724</v>
      </c>
      <c r="D1724" t="inlineStr">
        <is>
          <t>VÄSTMANLANDS LÄN</t>
        </is>
      </c>
      <c r="E1724" t="inlineStr">
        <is>
          <t>KUNGSÖR</t>
        </is>
      </c>
      <c r="G1724" t="n">
        <v>7.3</v>
      </c>
      <c r="H1724" t="n">
        <v>0</v>
      </c>
      <c r="I1724" t="n">
        <v>0</v>
      </c>
      <c r="J1724" t="n">
        <v>0</v>
      </c>
      <c r="K1724" t="n">
        <v>0</v>
      </c>
      <c r="L1724" t="n">
        <v>0</v>
      </c>
      <c r="M1724" t="n">
        <v>0</v>
      </c>
      <c r="N1724" t="n">
        <v>0</v>
      </c>
      <c r="O1724" t="n">
        <v>0</v>
      </c>
      <c r="P1724" t="n">
        <v>0</v>
      </c>
      <c r="Q1724" t="n">
        <v>0</v>
      </c>
      <c r="R1724" s="2" t="inlineStr"/>
    </row>
    <row r="1725" ht="15" customHeight="1">
      <c r="A1725" t="inlineStr">
        <is>
          <t>A 45714-2021</t>
        </is>
      </c>
      <c r="B1725" s="1" t="n">
        <v>44441</v>
      </c>
      <c r="C1725" s="1" t="n">
        <v>45724</v>
      </c>
      <c r="D1725" t="inlineStr">
        <is>
          <t>VÄSTMANLANDS LÄN</t>
        </is>
      </c>
      <c r="E1725" t="inlineStr">
        <is>
          <t>KÖPING</t>
        </is>
      </c>
      <c r="G1725" t="n">
        <v>1.5</v>
      </c>
      <c r="H1725" t="n">
        <v>0</v>
      </c>
      <c r="I1725" t="n">
        <v>0</v>
      </c>
      <c r="J1725" t="n">
        <v>0</v>
      </c>
      <c r="K1725" t="n">
        <v>0</v>
      </c>
      <c r="L1725" t="n">
        <v>0</v>
      </c>
      <c r="M1725" t="n">
        <v>0</v>
      </c>
      <c r="N1725" t="n">
        <v>0</v>
      </c>
      <c r="O1725" t="n">
        <v>0</v>
      </c>
      <c r="P1725" t="n">
        <v>0</v>
      </c>
      <c r="Q1725" t="n">
        <v>0</v>
      </c>
      <c r="R1725" s="2" t="inlineStr"/>
    </row>
    <row r="1726" ht="15" customHeight="1">
      <c r="A1726" t="inlineStr">
        <is>
          <t>A 45904-2021</t>
        </is>
      </c>
      <c r="B1726" s="1" t="n">
        <v>44441</v>
      </c>
      <c r="C1726" s="1" t="n">
        <v>45724</v>
      </c>
      <c r="D1726" t="inlineStr">
        <is>
          <t>VÄSTMANLANDS LÄN</t>
        </is>
      </c>
      <c r="E1726" t="inlineStr">
        <is>
          <t>KÖPING</t>
        </is>
      </c>
      <c r="G1726" t="n">
        <v>3.2</v>
      </c>
      <c r="H1726" t="n">
        <v>0</v>
      </c>
      <c r="I1726" t="n">
        <v>0</v>
      </c>
      <c r="J1726" t="n">
        <v>0</v>
      </c>
      <c r="K1726" t="n">
        <v>0</v>
      </c>
      <c r="L1726" t="n">
        <v>0</v>
      </c>
      <c r="M1726" t="n">
        <v>0</v>
      </c>
      <c r="N1726" t="n">
        <v>0</v>
      </c>
      <c r="O1726" t="n">
        <v>0</v>
      </c>
      <c r="P1726" t="n">
        <v>0</v>
      </c>
      <c r="Q1726" t="n">
        <v>0</v>
      </c>
      <c r="R1726" s="2" t="inlineStr"/>
    </row>
    <row r="1727" ht="15" customHeight="1">
      <c r="A1727" t="inlineStr">
        <is>
          <t>A 45929-2021</t>
        </is>
      </c>
      <c r="B1727" s="1" t="n">
        <v>44441</v>
      </c>
      <c r="C1727" s="1" t="n">
        <v>45724</v>
      </c>
      <c r="D1727" t="inlineStr">
        <is>
          <t>VÄSTMANLANDS LÄN</t>
        </is>
      </c>
      <c r="E1727" t="inlineStr">
        <is>
          <t>NORBERG</t>
        </is>
      </c>
      <c r="G1727" t="n">
        <v>1.2</v>
      </c>
      <c r="H1727" t="n">
        <v>0</v>
      </c>
      <c r="I1727" t="n">
        <v>0</v>
      </c>
      <c r="J1727" t="n">
        <v>0</v>
      </c>
      <c r="K1727" t="n">
        <v>0</v>
      </c>
      <c r="L1727" t="n">
        <v>0</v>
      </c>
      <c r="M1727" t="n">
        <v>0</v>
      </c>
      <c r="N1727" t="n">
        <v>0</v>
      </c>
      <c r="O1727" t="n">
        <v>0</v>
      </c>
      <c r="P1727" t="n">
        <v>0</v>
      </c>
      <c r="Q1727" t="n">
        <v>0</v>
      </c>
      <c r="R1727" s="2" t="inlineStr"/>
    </row>
    <row r="1728" ht="15" customHeight="1">
      <c r="A1728" t="inlineStr">
        <is>
          <t>A 45910-2021</t>
        </is>
      </c>
      <c r="B1728" s="1" t="n">
        <v>44441</v>
      </c>
      <c r="C1728" s="1" t="n">
        <v>45724</v>
      </c>
      <c r="D1728" t="inlineStr">
        <is>
          <t>VÄSTMANLANDS LÄN</t>
        </is>
      </c>
      <c r="E1728" t="inlineStr">
        <is>
          <t>KÖPING</t>
        </is>
      </c>
      <c r="G1728" t="n">
        <v>5</v>
      </c>
      <c r="H1728" t="n">
        <v>0</v>
      </c>
      <c r="I1728" t="n">
        <v>0</v>
      </c>
      <c r="J1728" t="n">
        <v>0</v>
      </c>
      <c r="K1728" t="n">
        <v>0</v>
      </c>
      <c r="L1728" t="n">
        <v>0</v>
      </c>
      <c r="M1728" t="n">
        <v>0</v>
      </c>
      <c r="N1728" t="n">
        <v>0</v>
      </c>
      <c r="O1728" t="n">
        <v>0</v>
      </c>
      <c r="P1728" t="n">
        <v>0</v>
      </c>
      <c r="Q1728" t="n">
        <v>0</v>
      </c>
      <c r="R1728" s="2" t="inlineStr"/>
    </row>
    <row r="1729" ht="15" customHeight="1">
      <c r="A1729" t="inlineStr">
        <is>
          <t>A 45934-2021</t>
        </is>
      </c>
      <c r="B1729" s="1" t="n">
        <v>44441</v>
      </c>
      <c r="C1729" s="1" t="n">
        <v>45724</v>
      </c>
      <c r="D1729" t="inlineStr">
        <is>
          <t>VÄSTMANLANDS LÄN</t>
        </is>
      </c>
      <c r="E1729" t="inlineStr">
        <is>
          <t>NORBERG</t>
        </is>
      </c>
      <c r="G1729" t="n">
        <v>0.3</v>
      </c>
      <c r="H1729" t="n">
        <v>0</v>
      </c>
      <c r="I1729" t="n">
        <v>0</v>
      </c>
      <c r="J1729" t="n">
        <v>0</v>
      </c>
      <c r="K1729" t="n">
        <v>0</v>
      </c>
      <c r="L1729" t="n">
        <v>0</v>
      </c>
      <c r="M1729" t="n">
        <v>0</v>
      </c>
      <c r="N1729" t="n">
        <v>0</v>
      </c>
      <c r="O1729" t="n">
        <v>0</v>
      </c>
      <c r="P1729" t="n">
        <v>0</v>
      </c>
      <c r="Q1729" t="n">
        <v>0</v>
      </c>
      <c r="R1729" s="2" t="inlineStr"/>
    </row>
    <row r="1730" ht="15" customHeight="1">
      <c r="A1730" t="inlineStr">
        <is>
          <t>A 46200-2021</t>
        </is>
      </c>
      <c r="B1730" s="1" t="n">
        <v>44442</v>
      </c>
      <c r="C1730" s="1" t="n">
        <v>45724</v>
      </c>
      <c r="D1730" t="inlineStr">
        <is>
          <t>VÄSTMANLANDS LÄN</t>
        </is>
      </c>
      <c r="E1730" t="inlineStr">
        <is>
          <t>VÄSTERÅS</t>
        </is>
      </c>
      <c r="G1730" t="n">
        <v>1.2</v>
      </c>
      <c r="H1730" t="n">
        <v>0</v>
      </c>
      <c r="I1730" t="n">
        <v>0</v>
      </c>
      <c r="J1730" t="n">
        <v>0</v>
      </c>
      <c r="K1730" t="n">
        <v>0</v>
      </c>
      <c r="L1730" t="n">
        <v>0</v>
      </c>
      <c r="M1730" t="n">
        <v>0</v>
      </c>
      <c r="N1730" t="n">
        <v>0</v>
      </c>
      <c r="O1730" t="n">
        <v>0</v>
      </c>
      <c r="P1730" t="n">
        <v>0</v>
      </c>
      <c r="Q1730" t="n">
        <v>0</v>
      </c>
      <c r="R1730" s="2" t="inlineStr"/>
    </row>
    <row r="1731" ht="15" customHeight="1">
      <c r="A1731" t="inlineStr">
        <is>
          <t>A 46279-2021</t>
        </is>
      </c>
      <c r="B1731" s="1" t="n">
        <v>44442</v>
      </c>
      <c r="C1731" s="1" t="n">
        <v>45724</v>
      </c>
      <c r="D1731" t="inlineStr">
        <is>
          <t>VÄSTMANLANDS LÄN</t>
        </is>
      </c>
      <c r="E1731" t="inlineStr">
        <is>
          <t>SALA</t>
        </is>
      </c>
      <c r="G1731" t="n">
        <v>1.4</v>
      </c>
      <c r="H1731" t="n">
        <v>0</v>
      </c>
      <c r="I1731" t="n">
        <v>0</v>
      </c>
      <c r="J1731" t="n">
        <v>0</v>
      </c>
      <c r="K1731" t="n">
        <v>0</v>
      </c>
      <c r="L1731" t="n">
        <v>0</v>
      </c>
      <c r="M1731" t="n">
        <v>0</v>
      </c>
      <c r="N1731" t="n">
        <v>0</v>
      </c>
      <c r="O1731" t="n">
        <v>0</v>
      </c>
      <c r="P1731" t="n">
        <v>0</v>
      </c>
      <c r="Q1731" t="n">
        <v>0</v>
      </c>
      <c r="R1731" s="2" t="inlineStr"/>
    </row>
    <row r="1732" ht="15" customHeight="1">
      <c r="A1732" t="inlineStr">
        <is>
          <t>A 46343-2021</t>
        </is>
      </c>
      <c r="B1732" s="1" t="n">
        <v>44442</v>
      </c>
      <c r="C1732" s="1" t="n">
        <v>45724</v>
      </c>
      <c r="D1732" t="inlineStr">
        <is>
          <t>VÄSTMANLANDS LÄN</t>
        </is>
      </c>
      <c r="E1732" t="inlineStr">
        <is>
          <t>KÖPING</t>
        </is>
      </c>
      <c r="G1732" t="n">
        <v>0.6</v>
      </c>
      <c r="H1732" t="n">
        <v>0</v>
      </c>
      <c r="I1732" t="n">
        <v>0</v>
      </c>
      <c r="J1732" t="n">
        <v>0</v>
      </c>
      <c r="K1732" t="n">
        <v>0</v>
      </c>
      <c r="L1732" t="n">
        <v>0</v>
      </c>
      <c r="M1732" t="n">
        <v>0</v>
      </c>
      <c r="N1732" t="n">
        <v>0</v>
      </c>
      <c r="O1732" t="n">
        <v>0</v>
      </c>
      <c r="P1732" t="n">
        <v>0</v>
      </c>
      <c r="Q1732" t="n">
        <v>0</v>
      </c>
      <c r="R1732" s="2" t="inlineStr"/>
    </row>
    <row r="1733" ht="15" customHeight="1">
      <c r="A1733" t="inlineStr">
        <is>
          <t>A 46469-2021</t>
        </is>
      </c>
      <c r="B1733" s="1" t="n">
        <v>44445</v>
      </c>
      <c r="C1733" s="1" t="n">
        <v>45724</v>
      </c>
      <c r="D1733" t="inlineStr">
        <is>
          <t>VÄSTMANLANDS LÄN</t>
        </is>
      </c>
      <c r="E1733" t="inlineStr">
        <is>
          <t>SKINNSKATTEBERG</t>
        </is>
      </c>
      <c r="G1733" t="n">
        <v>6.2</v>
      </c>
      <c r="H1733" t="n">
        <v>0</v>
      </c>
      <c r="I1733" t="n">
        <v>0</v>
      </c>
      <c r="J1733" t="n">
        <v>0</v>
      </c>
      <c r="K1733" t="n">
        <v>0</v>
      </c>
      <c r="L1733" t="n">
        <v>0</v>
      </c>
      <c r="M1733" t="n">
        <v>0</v>
      </c>
      <c r="N1733" t="n">
        <v>0</v>
      </c>
      <c r="O1733" t="n">
        <v>0</v>
      </c>
      <c r="P1733" t="n">
        <v>0</v>
      </c>
      <c r="Q1733" t="n">
        <v>0</v>
      </c>
      <c r="R1733" s="2" t="inlineStr"/>
    </row>
    <row r="1734" ht="15" customHeight="1">
      <c r="A1734" t="inlineStr">
        <is>
          <t>A 46616-2021</t>
        </is>
      </c>
      <c r="B1734" s="1" t="n">
        <v>44445</v>
      </c>
      <c r="C1734" s="1" t="n">
        <v>45724</v>
      </c>
      <c r="D1734" t="inlineStr">
        <is>
          <t>VÄSTMANLANDS LÄN</t>
        </is>
      </c>
      <c r="E1734" t="inlineStr">
        <is>
          <t>KÖPING</t>
        </is>
      </c>
      <c r="G1734" t="n">
        <v>1</v>
      </c>
      <c r="H1734" t="n">
        <v>0</v>
      </c>
      <c r="I1734" t="n">
        <v>0</v>
      </c>
      <c r="J1734" t="n">
        <v>0</v>
      </c>
      <c r="K1734" t="n">
        <v>0</v>
      </c>
      <c r="L1734" t="n">
        <v>0</v>
      </c>
      <c r="M1734" t="n">
        <v>0</v>
      </c>
      <c r="N1734" t="n">
        <v>0</v>
      </c>
      <c r="O1734" t="n">
        <v>0</v>
      </c>
      <c r="P1734" t="n">
        <v>0</v>
      </c>
      <c r="Q1734" t="n">
        <v>0</v>
      </c>
      <c r="R1734" s="2" t="inlineStr"/>
    </row>
    <row r="1735" ht="15" customHeight="1">
      <c r="A1735" t="inlineStr">
        <is>
          <t>A 46661-2021</t>
        </is>
      </c>
      <c r="B1735" s="1" t="n">
        <v>44445</v>
      </c>
      <c r="C1735" s="1" t="n">
        <v>45724</v>
      </c>
      <c r="D1735" t="inlineStr">
        <is>
          <t>VÄSTMANLANDS LÄN</t>
        </is>
      </c>
      <c r="E1735" t="inlineStr">
        <is>
          <t>KÖPING</t>
        </is>
      </c>
      <c r="F1735" t="inlineStr">
        <is>
          <t>Sveaskog</t>
        </is>
      </c>
      <c r="G1735" t="n">
        <v>1.9</v>
      </c>
      <c r="H1735" t="n">
        <v>0</v>
      </c>
      <c r="I1735" t="n">
        <v>0</v>
      </c>
      <c r="J1735" t="n">
        <v>0</v>
      </c>
      <c r="K1735" t="n">
        <v>0</v>
      </c>
      <c r="L1735" t="n">
        <v>0</v>
      </c>
      <c r="M1735" t="n">
        <v>0</v>
      </c>
      <c r="N1735" t="n">
        <v>0</v>
      </c>
      <c r="O1735" t="n">
        <v>0</v>
      </c>
      <c r="P1735" t="n">
        <v>0</v>
      </c>
      <c r="Q1735" t="n">
        <v>0</v>
      </c>
      <c r="R1735" s="2" t="inlineStr"/>
    </row>
    <row r="1736" ht="15" customHeight="1">
      <c r="A1736" t="inlineStr">
        <is>
          <t>A 46658-2021</t>
        </is>
      </c>
      <c r="B1736" s="1" t="n">
        <v>44445</v>
      </c>
      <c r="C1736" s="1" t="n">
        <v>45724</v>
      </c>
      <c r="D1736" t="inlineStr">
        <is>
          <t>VÄSTMANLANDS LÄN</t>
        </is>
      </c>
      <c r="E1736" t="inlineStr">
        <is>
          <t>KÖPING</t>
        </is>
      </c>
      <c r="F1736" t="inlineStr">
        <is>
          <t>Sveaskog</t>
        </is>
      </c>
      <c r="G1736" t="n">
        <v>4.3</v>
      </c>
      <c r="H1736" t="n">
        <v>0</v>
      </c>
      <c r="I1736" t="n">
        <v>0</v>
      </c>
      <c r="J1736" t="n">
        <v>0</v>
      </c>
      <c r="K1736" t="n">
        <v>0</v>
      </c>
      <c r="L1736" t="n">
        <v>0</v>
      </c>
      <c r="M1736" t="n">
        <v>0</v>
      </c>
      <c r="N1736" t="n">
        <v>0</v>
      </c>
      <c r="O1736" t="n">
        <v>0</v>
      </c>
      <c r="P1736" t="n">
        <v>0</v>
      </c>
      <c r="Q1736" t="n">
        <v>0</v>
      </c>
      <c r="R1736" s="2" t="inlineStr"/>
    </row>
    <row r="1737" ht="15" customHeight="1">
      <c r="A1737" t="inlineStr">
        <is>
          <t>A 47136-2021</t>
        </is>
      </c>
      <c r="B1737" s="1" t="n">
        <v>44446</v>
      </c>
      <c r="C1737" s="1" t="n">
        <v>45724</v>
      </c>
      <c r="D1737" t="inlineStr">
        <is>
          <t>VÄSTMANLANDS LÄN</t>
        </is>
      </c>
      <c r="E1737" t="inlineStr">
        <is>
          <t>SKINNSKATTEBERG</t>
        </is>
      </c>
      <c r="G1737" t="n">
        <v>5</v>
      </c>
      <c r="H1737" t="n">
        <v>0</v>
      </c>
      <c r="I1737" t="n">
        <v>0</v>
      </c>
      <c r="J1737" t="n">
        <v>0</v>
      </c>
      <c r="K1737" t="n">
        <v>0</v>
      </c>
      <c r="L1737" t="n">
        <v>0</v>
      </c>
      <c r="M1737" t="n">
        <v>0</v>
      </c>
      <c r="N1737" t="n">
        <v>0</v>
      </c>
      <c r="O1737" t="n">
        <v>0</v>
      </c>
      <c r="P1737" t="n">
        <v>0</v>
      </c>
      <c r="Q1737" t="n">
        <v>0</v>
      </c>
      <c r="R1737" s="2" t="inlineStr"/>
    </row>
    <row r="1738" ht="15" customHeight="1">
      <c r="A1738" t="inlineStr">
        <is>
          <t>A 47701-2021</t>
        </is>
      </c>
      <c r="B1738" s="1" t="n">
        <v>44448</v>
      </c>
      <c r="C1738" s="1" t="n">
        <v>45724</v>
      </c>
      <c r="D1738" t="inlineStr">
        <is>
          <t>VÄSTMANLANDS LÄN</t>
        </is>
      </c>
      <c r="E1738" t="inlineStr">
        <is>
          <t>SALA</t>
        </is>
      </c>
      <c r="G1738" t="n">
        <v>2.3</v>
      </c>
      <c r="H1738" t="n">
        <v>0</v>
      </c>
      <c r="I1738" t="n">
        <v>0</v>
      </c>
      <c r="J1738" t="n">
        <v>0</v>
      </c>
      <c r="K1738" t="n">
        <v>0</v>
      </c>
      <c r="L1738" t="n">
        <v>0</v>
      </c>
      <c r="M1738" t="n">
        <v>0</v>
      </c>
      <c r="N1738" t="n">
        <v>0</v>
      </c>
      <c r="O1738" t="n">
        <v>0</v>
      </c>
      <c r="P1738" t="n">
        <v>0</v>
      </c>
      <c r="Q1738" t="n">
        <v>0</v>
      </c>
      <c r="R1738" s="2" t="inlineStr"/>
    </row>
    <row r="1739" ht="15" customHeight="1">
      <c r="A1739" t="inlineStr">
        <is>
          <t>A 47683-2021</t>
        </is>
      </c>
      <c r="B1739" s="1" t="n">
        <v>44448</v>
      </c>
      <c r="C1739" s="1" t="n">
        <v>45724</v>
      </c>
      <c r="D1739" t="inlineStr">
        <is>
          <t>VÄSTMANLANDS LÄN</t>
        </is>
      </c>
      <c r="E1739" t="inlineStr">
        <is>
          <t>SALA</t>
        </is>
      </c>
      <c r="G1739" t="n">
        <v>0.7</v>
      </c>
      <c r="H1739" t="n">
        <v>0</v>
      </c>
      <c r="I1739" t="n">
        <v>0</v>
      </c>
      <c r="J1739" t="n">
        <v>0</v>
      </c>
      <c r="K1739" t="n">
        <v>0</v>
      </c>
      <c r="L1739" t="n">
        <v>0</v>
      </c>
      <c r="M1739" t="n">
        <v>0</v>
      </c>
      <c r="N1739" t="n">
        <v>0</v>
      </c>
      <c r="O1739" t="n">
        <v>0</v>
      </c>
      <c r="P1739" t="n">
        <v>0</v>
      </c>
      <c r="Q1739" t="n">
        <v>0</v>
      </c>
      <c r="R1739" s="2" t="inlineStr"/>
    </row>
    <row r="1740" ht="15" customHeight="1">
      <c r="A1740" t="inlineStr">
        <is>
          <t>A 47852-2021</t>
        </is>
      </c>
      <c r="B1740" s="1" t="n">
        <v>44448</v>
      </c>
      <c r="C1740" s="1" t="n">
        <v>45724</v>
      </c>
      <c r="D1740" t="inlineStr">
        <is>
          <t>VÄSTMANLANDS LÄN</t>
        </is>
      </c>
      <c r="E1740" t="inlineStr">
        <is>
          <t>SURAHAMMAR</t>
        </is>
      </c>
      <c r="G1740" t="n">
        <v>4.1</v>
      </c>
      <c r="H1740" t="n">
        <v>0</v>
      </c>
      <c r="I1740" t="n">
        <v>0</v>
      </c>
      <c r="J1740" t="n">
        <v>0</v>
      </c>
      <c r="K1740" t="n">
        <v>0</v>
      </c>
      <c r="L1740" t="n">
        <v>0</v>
      </c>
      <c r="M1740" t="n">
        <v>0</v>
      </c>
      <c r="N1740" t="n">
        <v>0</v>
      </c>
      <c r="O1740" t="n">
        <v>0</v>
      </c>
      <c r="P1740" t="n">
        <v>0</v>
      </c>
      <c r="Q1740" t="n">
        <v>0</v>
      </c>
      <c r="R1740" s="2" t="inlineStr"/>
    </row>
    <row r="1741" ht="15" customHeight="1">
      <c r="A1741" t="inlineStr">
        <is>
          <t>A 47785-2021</t>
        </is>
      </c>
      <c r="B1741" s="1" t="n">
        <v>44448</v>
      </c>
      <c r="C1741" s="1" t="n">
        <v>45724</v>
      </c>
      <c r="D1741" t="inlineStr">
        <is>
          <t>VÄSTMANLANDS LÄN</t>
        </is>
      </c>
      <c r="E1741" t="inlineStr">
        <is>
          <t>SURAHAMMAR</t>
        </is>
      </c>
      <c r="F1741" t="inlineStr">
        <is>
          <t>Kommuner</t>
        </is>
      </c>
      <c r="G1741" t="n">
        <v>3.3</v>
      </c>
      <c r="H1741" t="n">
        <v>0</v>
      </c>
      <c r="I1741" t="n">
        <v>0</v>
      </c>
      <c r="J1741" t="n">
        <v>0</v>
      </c>
      <c r="K1741" t="n">
        <v>0</v>
      </c>
      <c r="L1741" t="n">
        <v>0</v>
      </c>
      <c r="M1741" t="n">
        <v>0</v>
      </c>
      <c r="N1741" t="n">
        <v>0</v>
      </c>
      <c r="O1741" t="n">
        <v>0</v>
      </c>
      <c r="P1741" t="n">
        <v>0</v>
      </c>
      <c r="Q1741" t="n">
        <v>0</v>
      </c>
      <c r="R1741" s="2" t="inlineStr"/>
    </row>
    <row r="1742" ht="15" customHeight="1">
      <c r="A1742" t="inlineStr">
        <is>
          <t>A 48055-2021</t>
        </is>
      </c>
      <c r="B1742" s="1" t="n">
        <v>44449</v>
      </c>
      <c r="C1742" s="1" t="n">
        <v>45724</v>
      </c>
      <c r="D1742" t="inlineStr">
        <is>
          <t>VÄSTMANLANDS LÄN</t>
        </is>
      </c>
      <c r="E1742" t="inlineStr">
        <is>
          <t>VÄSTERÅS</t>
        </is>
      </c>
      <c r="G1742" t="n">
        <v>1.5</v>
      </c>
      <c r="H1742" t="n">
        <v>0</v>
      </c>
      <c r="I1742" t="n">
        <v>0</v>
      </c>
      <c r="J1742" t="n">
        <v>0</v>
      </c>
      <c r="K1742" t="n">
        <v>0</v>
      </c>
      <c r="L1742" t="n">
        <v>0</v>
      </c>
      <c r="M1742" t="n">
        <v>0</v>
      </c>
      <c r="N1742" t="n">
        <v>0</v>
      </c>
      <c r="O1742" t="n">
        <v>0</v>
      </c>
      <c r="P1742" t="n">
        <v>0</v>
      </c>
      <c r="Q1742" t="n">
        <v>0</v>
      </c>
      <c r="R1742" s="2" t="inlineStr"/>
    </row>
    <row r="1743" ht="15" customHeight="1">
      <c r="A1743" t="inlineStr">
        <is>
          <t>A 48143-2021</t>
        </is>
      </c>
      <c r="B1743" s="1" t="n">
        <v>44449</v>
      </c>
      <c r="C1743" s="1" t="n">
        <v>45724</v>
      </c>
      <c r="D1743" t="inlineStr">
        <is>
          <t>VÄSTMANLANDS LÄN</t>
        </is>
      </c>
      <c r="E1743" t="inlineStr">
        <is>
          <t>NORBERG</t>
        </is>
      </c>
      <c r="F1743" t="inlineStr">
        <is>
          <t>Bergvik skog väst AB</t>
        </is>
      </c>
      <c r="G1743" t="n">
        <v>2.3</v>
      </c>
      <c r="H1743" t="n">
        <v>0</v>
      </c>
      <c r="I1743" t="n">
        <v>0</v>
      </c>
      <c r="J1743" t="n">
        <v>0</v>
      </c>
      <c r="K1743" t="n">
        <v>0</v>
      </c>
      <c r="L1743" t="n">
        <v>0</v>
      </c>
      <c r="M1743" t="n">
        <v>0</v>
      </c>
      <c r="N1743" t="n">
        <v>0</v>
      </c>
      <c r="O1743" t="n">
        <v>0</v>
      </c>
      <c r="P1743" t="n">
        <v>0</v>
      </c>
      <c r="Q1743" t="n">
        <v>0</v>
      </c>
      <c r="R1743" s="2" t="inlineStr"/>
    </row>
    <row r="1744" ht="15" customHeight="1">
      <c r="A1744" t="inlineStr">
        <is>
          <t>A 48400-2021</t>
        </is>
      </c>
      <c r="B1744" s="1" t="n">
        <v>44449</v>
      </c>
      <c r="C1744" s="1" t="n">
        <v>45724</v>
      </c>
      <c r="D1744" t="inlineStr">
        <is>
          <t>VÄSTMANLANDS LÄN</t>
        </is>
      </c>
      <c r="E1744" t="inlineStr">
        <is>
          <t>SALA</t>
        </is>
      </c>
      <c r="G1744" t="n">
        <v>3</v>
      </c>
      <c r="H1744" t="n">
        <v>0</v>
      </c>
      <c r="I1744" t="n">
        <v>0</v>
      </c>
      <c r="J1744" t="n">
        <v>0</v>
      </c>
      <c r="K1744" t="n">
        <v>0</v>
      </c>
      <c r="L1744" t="n">
        <v>0</v>
      </c>
      <c r="M1744" t="n">
        <v>0</v>
      </c>
      <c r="N1744" t="n">
        <v>0</v>
      </c>
      <c r="O1744" t="n">
        <v>0</v>
      </c>
      <c r="P1744" t="n">
        <v>0</v>
      </c>
      <c r="Q1744" t="n">
        <v>0</v>
      </c>
      <c r="R1744" s="2" t="inlineStr"/>
    </row>
    <row r="1745" ht="15" customHeight="1">
      <c r="A1745" t="inlineStr">
        <is>
          <t>A 48544-2021</t>
        </is>
      </c>
      <c r="B1745" s="1" t="n">
        <v>44452</v>
      </c>
      <c r="C1745" s="1" t="n">
        <v>45724</v>
      </c>
      <c r="D1745" t="inlineStr">
        <is>
          <t>VÄSTMANLANDS LÄN</t>
        </is>
      </c>
      <c r="E1745" t="inlineStr">
        <is>
          <t>NORBERG</t>
        </is>
      </c>
      <c r="G1745" t="n">
        <v>0.5</v>
      </c>
      <c r="H1745" t="n">
        <v>0</v>
      </c>
      <c r="I1745" t="n">
        <v>0</v>
      </c>
      <c r="J1745" t="n">
        <v>0</v>
      </c>
      <c r="K1745" t="n">
        <v>0</v>
      </c>
      <c r="L1745" t="n">
        <v>0</v>
      </c>
      <c r="M1745" t="n">
        <v>0</v>
      </c>
      <c r="N1745" t="n">
        <v>0</v>
      </c>
      <c r="O1745" t="n">
        <v>0</v>
      </c>
      <c r="P1745" t="n">
        <v>0</v>
      </c>
      <c r="Q1745" t="n">
        <v>0</v>
      </c>
      <c r="R1745" s="2" t="inlineStr"/>
    </row>
    <row r="1746" ht="15" customHeight="1">
      <c r="A1746" t="inlineStr">
        <is>
          <t>A 49284-2021</t>
        </is>
      </c>
      <c r="B1746" s="1" t="n">
        <v>44454</v>
      </c>
      <c r="C1746" s="1" t="n">
        <v>45724</v>
      </c>
      <c r="D1746" t="inlineStr">
        <is>
          <t>VÄSTMANLANDS LÄN</t>
        </is>
      </c>
      <c r="E1746" t="inlineStr">
        <is>
          <t>VÄSTERÅS</t>
        </is>
      </c>
      <c r="G1746" t="n">
        <v>2.3</v>
      </c>
      <c r="H1746" t="n">
        <v>0</v>
      </c>
      <c r="I1746" t="n">
        <v>0</v>
      </c>
      <c r="J1746" t="n">
        <v>0</v>
      </c>
      <c r="K1746" t="n">
        <v>0</v>
      </c>
      <c r="L1746" t="n">
        <v>0</v>
      </c>
      <c r="M1746" t="n">
        <v>0</v>
      </c>
      <c r="N1746" t="n">
        <v>0</v>
      </c>
      <c r="O1746" t="n">
        <v>0</v>
      </c>
      <c r="P1746" t="n">
        <v>0</v>
      </c>
      <c r="Q1746" t="n">
        <v>0</v>
      </c>
      <c r="R1746" s="2" t="inlineStr"/>
    </row>
    <row r="1747" ht="15" customHeight="1">
      <c r="A1747" t="inlineStr">
        <is>
          <t>A 49717-2021</t>
        </is>
      </c>
      <c r="B1747" s="1" t="n">
        <v>44455</v>
      </c>
      <c r="C1747" s="1" t="n">
        <v>45724</v>
      </c>
      <c r="D1747" t="inlineStr">
        <is>
          <t>VÄSTMANLANDS LÄN</t>
        </is>
      </c>
      <c r="E1747" t="inlineStr">
        <is>
          <t>KÖPING</t>
        </is>
      </c>
      <c r="G1747" t="n">
        <v>0.5</v>
      </c>
      <c r="H1747" t="n">
        <v>0</v>
      </c>
      <c r="I1747" t="n">
        <v>0</v>
      </c>
      <c r="J1747" t="n">
        <v>0</v>
      </c>
      <c r="K1747" t="n">
        <v>0</v>
      </c>
      <c r="L1747" t="n">
        <v>0</v>
      </c>
      <c r="M1747" t="n">
        <v>0</v>
      </c>
      <c r="N1747" t="n">
        <v>0</v>
      </c>
      <c r="O1747" t="n">
        <v>0</v>
      </c>
      <c r="P1747" t="n">
        <v>0</v>
      </c>
      <c r="Q1747" t="n">
        <v>0</v>
      </c>
      <c r="R1747" s="2" t="inlineStr"/>
    </row>
    <row r="1748" ht="15" customHeight="1">
      <c r="A1748" t="inlineStr">
        <is>
          <t>A 49847-2021</t>
        </is>
      </c>
      <c r="B1748" s="1" t="n">
        <v>44455</v>
      </c>
      <c r="C1748" s="1" t="n">
        <v>45724</v>
      </c>
      <c r="D1748" t="inlineStr">
        <is>
          <t>VÄSTMANLANDS LÄN</t>
        </is>
      </c>
      <c r="E1748" t="inlineStr">
        <is>
          <t>SKINNSKATTEBERG</t>
        </is>
      </c>
      <c r="F1748" t="inlineStr">
        <is>
          <t>Sveaskog</t>
        </is>
      </c>
      <c r="G1748" t="n">
        <v>0.6</v>
      </c>
      <c r="H1748" t="n">
        <v>0</v>
      </c>
      <c r="I1748" t="n">
        <v>0</v>
      </c>
      <c r="J1748" t="n">
        <v>0</v>
      </c>
      <c r="K1748" t="n">
        <v>0</v>
      </c>
      <c r="L1748" t="n">
        <v>0</v>
      </c>
      <c r="M1748" t="n">
        <v>0</v>
      </c>
      <c r="N1748" t="n">
        <v>0</v>
      </c>
      <c r="O1748" t="n">
        <v>0</v>
      </c>
      <c r="P1748" t="n">
        <v>0</v>
      </c>
      <c r="Q1748" t="n">
        <v>0</v>
      </c>
      <c r="R1748" s="2" t="inlineStr"/>
    </row>
    <row r="1749" ht="15" customHeight="1">
      <c r="A1749" t="inlineStr">
        <is>
          <t>A 50049-2021</t>
        </is>
      </c>
      <c r="B1749" s="1" t="n">
        <v>44456</v>
      </c>
      <c r="C1749" s="1" t="n">
        <v>45724</v>
      </c>
      <c r="D1749" t="inlineStr">
        <is>
          <t>VÄSTMANLANDS LÄN</t>
        </is>
      </c>
      <c r="E1749" t="inlineStr">
        <is>
          <t>ARBOGA</t>
        </is>
      </c>
      <c r="F1749" t="inlineStr">
        <is>
          <t>Allmännings- och besparingsskogar</t>
        </is>
      </c>
      <c r="G1749" t="n">
        <v>4.5</v>
      </c>
      <c r="H1749" t="n">
        <v>0</v>
      </c>
      <c r="I1749" t="n">
        <v>0</v>
      </c>
      <c r="J1749" t="n">
        <v>0</v>
      </c>
      <c r="K1749" t="n">
        <v>0</v>
      </c>
      <c r="L1749" t="n">
        <v>0</v>
      </c>
      <c r="M1749" t="n">
        <v>0</v>
      </c>
      <c r="N1749" t="n">
        <v>0</v>
      </c>
      <c r="O1749" t="n">
        <v>0</v>
      </c>
      <c r="P1749" t="n">
        <v>0</v>
      </c>
      <c r="Q1749" t="n">
        <v>0</v>
      </c>
      <c r="R1749" s="2" t="inlineStr"/>
    </row>
    <row r="1750" ht="15" customHeight="1">
      <c r="A1750" t="inlineStr">
        <is>
          <t>A 50058-2021</t>
        </is>
      </c>
      <c r="B1750" s="1" t="n">
        <v>44456</v>
      </c>
      <c r="C1750" s="1" t="n">
        <v>45724</v>
      </c>
      <c r="D1750" t="inlineStr">
        <is>
          <t>VÄSTMANLANDS LÄN</t>
        </is>
      </c>
      <c r="E1750" t="inlineStr">
        <is>
          <t>KUNGSÖR</t>
        </is>
      </c>
      <c r="F1750" t="inlineStr">
        <is>
          <t>Allmännings- och besparingsskogar</t>
        </is>
      </c>
      <c r="G1750" t="n">
        <v>6</v>
      </c>
      <c r="H1750" t="n">
        <v>0</v>
      </c>
      <c r="I1750" t="n">
        <v>0</v>
      </c>
      <c r="J1750" t="n">
        <v>0</v>
      </c>
      <c r="K1750" t="n">
        <v>0</v>
      </c>
      <c r="L1750" t="n">
        <v>0</v>
      </c>
      <c r="M1750" t="n">
        <v>0</v>
      </c>
      <c r="N1750" t="n">
        <v>0</v>
      </c>
      <c r="O1750" t="n">
        <v>0</v>
      </c>
      <c r="P1750" t="n">
        <v>0</v>
      </c>
      <c r="Q1750" t="n">
        <v>0</v>
      </c>
      <c r="R1750" s="2" t="inlineStr"/>
    </row>
    <row r="1751" ht="15" customHeight="1">
      <c r="A1751" t="inlineStr">
        <is>
          <t>A 50011-2021</t>
        </is>
      </c>
      <c r="B1751" s="1" t="n">
        <v>44456</v>
      </c>
      <c r="C1751" s="1" t="n">
        <v>45724</v>
      </c>
      <c r="D1751" t="inlineStr">
        <is>
          <t>VÄSTMANLANDS LÄN</t>
        </is>
      </c>
      <c r="E1751" t="inlineStr">
        <is>
          <t>ARBOGA</t>
        </is>
      </c>
      <c r="F1751" t="inlineStr">
        <is>
          <t>Allmännings- och besparingsskogar</t>
        </is>
      </c>
      <c r="G1751" t="n">
        <v>15.7</v>
      </c>
      <c r="H1751" t="n">
        <v>0</v>
      </c>
      <c r="I1751" t="n">
        <v>0</v>
      </c>
      <c r="J1751" t="n">
        <v>0</v>
      </c>
      <c r="K1751" t="n">
        <v>0</v>
      </c>
      <c r="L1751" t="n">
        <v>0</v>
      </c>
      <c r="M1751" t="n">
        <v>0</v>
      </c>
      <c r="N1751" t="n">
        <v>0</v>
      </c>
      <c r="O1751" t="n">
        <v>0</v>
      </c>
      <c r="P1751" t="n">
        <v>0</v>
      </c>
      <c r="Q1751" t="n">
        <v>0</v>
      </c>
      <c r="R1751" s="2" t="inlineStr"/>
    </row>
    <row r="1752" ht="15" customHeight="1">
      <c r="A1752" t="inlineStr">
        <is>
          <t>A 50007-2021</t>
        </is>
      </c>
      <c r="B1752" s="1" t="n">
        <v>44456</v>
      </c>
      <c r="C1752" s="1" t="n">
        <v>45724</v>
      </c>
      <c r="D1752" t="inlineStr">
        <is>
          <t>VÄSTMANLANDS LÄN</t>
        </is>
      </c>
      <c r="E1752" t="inlineStr">
        <is>
          <t>ARBOGA</t>
        </is>
      </c>
      <c r="F1752" t="inlineStr">
        <is>
          <t>Allmännings- och besparingsskogar</t>
        </is>
      </c>
      <c r="G1752" t="n">
        <v>6.5</v>
      </c>
      <c r="H1752" t="n">
        <v>0</v>
      </c>
      <c r="I1752" t="n">
        <v>0</v>
      </c>
      <c r="J1752" t="n">
        <v>0</v>
      </c>
      <c r="K1752" t="n">
        <v>0</v>
      </c>
      <c r="L1752" t="n">
        <v>0</v>
      </c>
      <c r="M1752" t="n">
        <v>0</v>
      </c>
      <c r="N1752" t="n">
        <v>0</v>
      </c>
      <c r="O1752" t="n">
        <v>0</v>
      </c>
      <c r="P1752" t="n">
        <v>0</v>
      </c>
      <c r="Q1752" t="n">
        <v>0</v>
      </c>
      <c r="R1752" s="2" t="inlineStr"/>
    </row>
    <row r="1753" ht="15" customHeight="1">
      <c r="A1753" t="inlineStr">
        <is>
          <t>A 50962-2021</t>
        </is>
      </c>
      <c r="B1753" s="1" t="n">
        <v>44460</v>
      </c>
      <c r="C1753" s="1" t="n">
        <v>45724</v>
      </c>
      <c r="D1753" t="inlineStr">
        <is>
          <t>VÄSTMANLANDS LÄN</t>
        </is>
      </c>
      <c r="E1753" t="inlineStr">
        <is>
          <t>SALA</t>
        </is>
      </c>
      <c r="G1753" t="n">
        <v>9.300000000000001</v>
      </c>
      <c r="H1753" t="n">
        <v>0</v>
      </c>
      <c r="I1753" t="n">
        <v>0</v>
      </c>
      <c r="J1753" t="n">
        <v>0</v>
      </c>
      <c r="K1753" t="n">
        <v>0</v>
      </c>
      <c r="L1753" t="n">
        <v>0</v>
      </c>
      <c r="M1753" t="n">
        <v>0</v>
      </c>
      <c r="N1753" t="n">
        <v>0</v>
      </c>
      <c r="O1753" t="n">
        <v>0</v>
      </c>
      <c r="P1753" t="n">
        <v>0</v>
      </c>
      <c r="Q1753" t="n">
        <v>0</v>
      </c>
      <c r="R1753" s="2" t="inlineStr"/>
    </row>
    <row r="1754" ht="15" customHeight="1">
      <c r="A1754" t="inlineStr">
        <is>
          <t>A 51112-2021</t>
        </is>
      </c>
      <c r="B1754" s="1" t="n">
        <v>44461</v>
      </c>
      <c r="C1754" s="1" t="n">
        <v>45724</v>
      </c>
      <c r="D1754" t="inlineStr">
        <is>
          <t>VÄSTMANLANDS LÄN</t>
        </is>
      </c>
      <c r="E1754" t="inlineStr">
        <is>
          <t>KÖPING</t>
        </is>
      </c>
      <c r="G1754" t="n">
        <v>0.8</v>
      </c>
      <c r="H1754" t="n">
        <v>0</v>
      </c>
      <c r="I1754" t="n">
        <v>0</v>
      </c>
      <c r="J1754" t="n">
        <v>0</v>
      </c>
      <c r="K1754" t="n">
        <v>0</v>
      </c>
      <c r="L1754" t="n">
        <v>0</v>
      </c>
      <c r="M1754" t="n">
        <v>0</v>
      </c>
      <c r="N1754" t="n">
        <v>0</v>
      </c>
      <c r="O1754" t="n">
        <v>0</v>
      </c>
      <c r="P1754" t="n">
        <v>0</v>
      </c>
      <c r="Q1754" t="n">
        <v>0</v>
      </c>
      <c r="R1754" s="2" t="inlineStr"/>
    </row>
    <row r="1755" ht="15" customHeight="1">
      <c r="A1755" t="inlineStr">
        <is>
          <t>A 51508-2021</t>
        </is>
      </c>
      <c r="B1755" s="1" t="n">
        <v>44462</v>
      </c>
      <c r="C1755" s="1" t="n">
        <v>45724</v>
      </c>
      <c r="D1755" t="inlineStr">
        <is>
          <t>VÄSTMANLANDS LÄN</t>
        </is>
      </c>
      <c r="E1755" t="inlineStr">
        <is>
          <t>SKINNSKATTEBERG</t>
        </is>
      </c>
      <c r="F1755" t="inlineStr">
        <is>
          <t>Sveaskog</t>
        </is>
      </c>
      <c r="G1755" t="n">
        <v>0.7</v>
      </c>
      <c r="H1755" t="n">
        <v>0</v>
      </c>
      <c r="I1755" t="n">
        <v>0</v>
      </c>
      <c r="J1755" t="n">
        <v>0</v>
      </c>
      <c r="K1755" t="n">
        <v>0</v>
      </c>
      <c r="L1755" t="n">
        <v>0</v>
      </c>
      <c r="M1755" t="n">
        <v>0</v>
      </c>
      <c r="N1755" t="n">
        <v>0</v>
      </c>
      <c r="O1755" t="n">
        <v>0</v>
      </c>
      <c r="P1755" t="n">
        <v>0</v>
      </c>
      <c r="Q1755" t="n">
        <v>0</v>
      </c>
      <c r="R1755" s="2" t="inlineStr"/>
    </row>
    <row r="1756" ht="15" customHeight="1">
      <c r="A1756" t="inlineStr">
        <is>
          <t>A 51861-2021</t>
        </is>
      </c>
      <c r="B1756" s="1" t="n">
        <v>44462</v>
      </c>
      <c r="C1756" s="1" t="n">
        <v>45724</v>
      </c>
      <c r="D1756" t="inlineStr">
        <is>
          <t>VÄSTMANLANDS LÄN</t>
        </is>
      </c>
      <c r="E1756" t="inlineStr">
        <is>
          <t>VÄSTERÅS</t>
        </is>
      </c>
      <c r="G1756" t="n">
        <v>1.2</v>
      </c>
      <c r="H1756" t="n">
        <v>0</v>
      </c>
      <c r="I1756" t="n">
        <v>0</v>
      </c>
      <c r="J1756" t="n">
        <v>0</v>
      </c>
      <c r="K1756" t="n">
        <v>0</v>
      </c>
      <c r="L1756" t="n">
        <v>0</v>
      </c>
      <c r="M1756" t="n">
        <v>0</v>
      </c>
      <c r="N1756" t="n">
        <v>0</v>
      </c>
      <c r="O1756" t="n">
        <v>0</v>
      </c>
      <c r="P1756" t="n">
        <v>0</v>
      </c>
      <c r="Q1756" t="n">
        <v>0</v>
      </c>
      <c r="R1756" s="2" t="inlineStr"/>
    </row>
    <row r="1757" ht="15" customHeight="1">
      <c r="A1757" t="inlineStr">
        <is>
          <t>A 52587-2021</t>
        </is>
      </c>
      <c r="B1757" s="1" t="n">
        <v>44466</v>
      </c>
      <c r="C1757" s="1" t="n">
        <v>45724</v>
      </c>
      <c r="D1757" t="inlineStr">
        <is>
          <t>VÄSTMANLANDS LÄN</t>
        </is>
      </c>
      <c r="E1757" t="inlineStr">
        <is>
          <t>SKINNSKATTEBERG</t>
        </is>
      </c>
      <c r="G1757" t="n">
        <v>3.9</v>
      </c>
      <c r="H1757" t="n">
        <v>0</v>
      </c>
      <c r="I1757" t="n">
        <v>0</v>
      </c>
      <c r="J1757" t="n">
        <v>0</v>
      </c>
      <c r="K1757" t="n">
        <v>0</v>
      </c>
      <c r="L1757" t="n">
        <v>0</v>
      </c>
      <c r="M1757" t="n">
        <v>0</v>
      </c>
      <c r="N1757" t="n">
        <v>0</v>
      </c>
      <c r="O1757" t="n">
        <v>0</v>
      </c>
      <c r="P1757" t="n">
        <v>0</v>
      </c>
      <c r="Q1757" t="n">
        <v>0</v>
      </c>
      <c r="R1757" s="2" t="inlineStr"/>
    </row>
    <row r="1758" ht="15" customHeight="1">
      <c r="A1758" t="inlineStr">
        <is>
          <t>A 52600-2021</t>
        </is>
      </c>
      <c r="B1758" s="1" t="n">
        <v>44466</v>
      </c>
      <c r="C1758" s="1" t="n">
        <v>45724</v>
      </c>
      <c r="D1758" t="inlineStr">
        <is>
          <t>VÄSTMANLANDS LÄN</t>
        </is>
      </c>
      <c r="E1758" t="inlineStr">
        <is>
          <t>SKINNSKATTEBERG</t>
        </is>
      </c>
      <c r="G1758" t="n">
        <v>0.8</v>
      </c>
      <c r="H1758" t="n">
        <v>0</v>
      </c>
      <c r="I1758" t="n">
        <v>0</v>
      </c>
      <c r="J1758" t="n">
        <v>0</v>
      </c>
      <c r="K1758" t="n">
        <v>0</v>
      </c>
      <c r="L1758" t="n">
        <v>0</v>
      </c>
      <c r="M1758" t="n">
        <v>0</v>
      </c>
      <c r="N1758" t="n">
        <v>0</v>
      </c>
      <c r="O1758" t="n">
        <v>0</v>
      </c>
      <c r="P1758" t="n">
        <v>0</v>
      </c>
      <c r="Q1758" t="n">
        <v>0</v>
      </c>
      <c r="R1758" s="2" t="inlineStr"/>
    </row>
    <row r="1759" ht="15" customHeight="1">
      <c r="A1759" t="inlineStr">
        <is>
          <t>A 52799-2021</t>
        </is>
      </c>
      <c r="B1759" s="1" t="n">
        <v>44467</v>
      </c>
      <c r="C1759" s="1" t="n">
        <v>45724</v>
      </c>
      <c r="D1759" t="inlineStr">
        <is>
          <t>VÄSTMANLANDS LÄN</t>
        </is>
      </c>
      <c r="E1759" t="inlineStr">
        <is>
          <t>KÖPING</t>
        </is>
      </c>
      <c r="G1759" t="n">
        <v>0.4</v>
      </c>
      <c r="H1759" t="n">
        <v>0</v>
      </c>
      <c r="I1759" t="n">
        <v>0</v>
      </c>
      <c r="J1759" t="n">
        <v>0</v>
      </c>
      <c r="K1759" t="n">
        <v>0</v>
      </c>
      <c r="L1759" t="n">
        <v>0</v>
      </c>
      <c r="M1759" t="n">
        <v>0</v>
      </c>
      <c r="N1759" t="n">
        <v>0</v>
      </c>
      <c r="O1759" t="n">
        <v>0</v>
      </c>
      <c r="P1759" t="n">
        <v>0</v>
      </c>
      <c r="Q1759" t="n">
        <v>0</v>
      </c>
      <c r="R1759" s="2" t="inlineStr"/>
    </row>
    <row r="1760" ht="15" customHeight="1">
      <c r="A1760" t="inlineStr">
        <is>
          <t>A 52811-2021</t>
        </is>
      </c>
      <c r="B1760" s="1" t="n">
        <v>44467</v>
      </c>
      <c r="C1760" s="1" t="n">
        <v>45724</v>
      </c>
      <c r="D1760" t="inlineStr">
        <is>
          <t>VÄSTMANLANDS LÄN</t>
        </is>
      </c>
      <c r="E1760" t="inlineStr">
        <is>
          <t>VÄSTERÅS</t>
        </is>
      </c>
      <c r="G1760" t="n">
        <v>1.9</v>
      </c>
      <c r="H1760" t="n">
        <v>0</v>
      </c>
      <c r="I1760" t="n">
        <v>0</v>
      </c>
      <c r="J1760" t="n">
        <v>0</v>
      </c>
      <c r="K1760" t="n">
        <v>0</v>
      </c>
      <c r="L1760" t="n">
        <v>0</v>
      </c>
      <c r="M1760" t="n">
        <v>0</v>
      </c>
      <c r="N1760" t="n">
        <v>0</v>
      </c>
      <c r="O1760" t="n">
        <v>0</v>
      </c>
      <c r="P1760" t="n">
        <v>0</v>
      </c>
      <c r="Q1760" t="n">
        <v>0</v>
      </c>
      <c r="R1760" s="2" t="inlineStr"/>
    </row>
    <row r="1761" ht="15" customHeight="1">
      <c r="A1761" t="inlineStr">
        <is>
          <t>A 53297-2021</t>
        </is>
      </c>
      <c r="B1761" s="1" t="n">
        <v>44467</v>
      </c>
      <c r="C1761" s="1" t="n">
        <v>45724</v>
      </c>
      <c r="D1761" t="inlineStr">
        <is>
          <t>VÄSTMANLANDS LÄN</t>
        </is>
      </c>
      <c r="E1761" t="inlineStr">
        <is>
          <t>NORBERG</t>
        </is>
      </c>
      <c r="G1761" t="n">
        <v>3.6</v>
      </c>
      <c r="H1761" t="n">
        <v>0</v>
      </c>
      <c r="I1761" t="n">
        <v>0</v>
      </c>
      <c r="J1761" t="n">
        <v>0</v>
      </c>
      <c r="K1761" t="n">
        <v>0</v>
      </c>
      <c r="L1761" t="n">
        <v>0</v>
      </c>
      <c r="M1761" t="n">
        <v>0</v>
      </c>
      <c r="N1761" t="n">
        <v>0</v>
      </c>
      <c r="O1761" t="n">
        <v>0</v>
      </c>
      <c r="P1761" t="n">
        <v>0</v>
      </c>
      <c r="Q1761" t="n">
        <v>0</v>
      </c>
      <c r="R1761" s="2" t="inlineStr"/>
    </row>
    <row r="1762" ht="15" customHeight="1">
      <c r="A1762" t="inlineStr">
        <is>
          <t>A 53183-2021</t>
        </is>
      </c>
      <c r="B1762" s="1" t="n">
        <v>44468</v>
      </c>
      <c r="C1762" s="1" t="n">
        <v>45724</v>
      </c>
      <c r="D1762" t="inlineStr">
        <is>
          <t>VÄSTMANLANDS LÄN</t>
        </is>
      </c>
      <c r="E1762" t="inlineStr">
        <is>
          <t>SKINNSKATTEBERG</t>
        </is>
      </c>
      <c r="F1762" t="inlineStr">
        <is>
          <t>Sveaskog</t>
        </is>
      </c>
      <c r="G1762" t="n">
        <v>2.2</v>
      </c>
      <c r="H1762" t="n">
        <v>0</v>
      </c>
      <c r="I1762" t="n">
        <v>0</v>
      </c>
      <c r="J1762" t="n">
        <v>0</v>
      </c>
      <c r="K1762" t="n">
        <v>0</v>
      </c>
      <c r="L1762" t="n">
        <v>0</v>
      </c>
      <c r="M1762" t="n">
        <v>0</v>
      </c>
      <c r="N1762" t="n">
        <v>0</v>
      </c>
      <c r="O1762" t="n">
        <v>0</v>
      </c>
      <c r="P1762" t="n">
        <v>0</v>
      </c>
      <c r="Q1762" t="n">
        <v>0</v>
      </c>
      <c r="R1762" s="2" t="inlineStr"/>
    </row>
    <row r="1763" ht="15" customHeight="1">
      <c r="A1763" t="inlineStr">
        <is>
          <t>A 53243-2021</t>
        </is>
      </c>
      <c r="B1763" s="1" t="n">
        <v>44468</v>
      </c>
      <c r="C1763" s="1" t="n">
        <v>45724</v>
      </c>
      <c r="D1763" t="inlineStr">
        <is>
          <t>VÄSTMANLANDS LÄN</t>
        </is>
      </c>
      <c r="E1763" t="inlineStr">
        <is>
          <t>SKINNSKATTEBERG</t>
        </is>
      </c>
      <c r="F1763" t="inlineStr">
        <is>
          <t>Sveaskog</t>
        </is>
      </c>
      <c r="G1763" t="n">
        <v>2.1</v>
      </c>
      <c r="H1763" t="n">
        <v>0</v>
      </c>
      <c r="I1763" t="n">
        <v>0</v>
      </c>
      <c r="J1763" t="n">
        <v>0</v>
      </c>
      <c r="K1763" t="n">
        <v>0</v>
      </c>
      <c r="L1763" t="n">
        <v>0</v>
      </c>
      <c r="M1763" t="n">
        <v>0</v>
      </c>
      <c r="N1763" t="n">
        <v>0</v>
      </c>
      <c r="O1763" t="n">
        <v>0</v>
      </c>
      <c r="P1763" t="n">
        <v>0</v>
      </c>
      <c r="Q1763" t="n">
        <v>0</v>
      </c>
      <c r="R1763" s="2" t="inlineStr"/>
    </row>
    <row r="1764" ht="15" customHeight="1">
      <c r="A1764" t="inlineStr">
        <is>
          <t>A 53148-2021</t>
        </is>
      </c>
      <c r="B1764" s="1" t="n">
        <v>44468</v>
      </c>
      <c r="C1764" s="1" t="n">
        <v>45724</v>
      </c>
      <c r="D1764" t="inlineStr">
        <is>
          <t>VÄSTMANLANDS LÄN</t>
        </is>
      </c>
      <c r="E1764" t="inlineStr">
        <is>
          <t>KÖPING</t>
        </is>
      </c>
      <c r="F1764" t="inlineStr">
        <is>
          <t>Sveaskog</t>
        </is>
      </c>
      <c r="G1764" t="n">
        <v>3.8</v>
      </c>
      <c r="H1764" t="n">
        <v>0</v>
      </c>
      <c r="I1764" t="n">
        <v>0</v>
      </c>
      <c r="J1764" t="n">
        <v>0</v>
      </c>
      <c r="K1764" t="n">
        <v>0</v>
      </c>
      <c r="L1764" t="n">
        <v>0</v>
      </c>
      <c r="M1764" t="n">
        <v>0</v>
      </c>
      <c r="N1764" t="n">
        <v>0</v>
      </c>
      <c r="O1764" t="n">
        <v>0</v>
      </c>
      <c r="P1764" t="n">
        <v>0</v>
      </c>
      <c r="Q1764" t="n">
        <v>0</v>
      </c>
      <c r="R1764" s="2" t="inlineStr"/>
    </row>
    <row r="1765" ht="15" customHeight="1">
      <c r="A1765" t="inlineStr">
        <is>
          <t>A 53142-2021</t>
        </is>
      </c>
      <c r="B1765" s="1" t="n">
        <v>44468</v>
      </c>
      <c r="C1765" s="1" t="n">
        <v>45724</v>
      </c>
      <c r="D1765" t="inlineStr">
        <is>
          <t>VÄSTMANLANDS LÄN</t>
        </is>
      </c>
      <c r="E1765" t="inlineStr">
        <is>
          <t>SKINNSKATTEBERG</t>
        </is>
      </c>
      <c r="F1765" t="inlineStr">
        <is>
          <t>Sveaskog</t>
        </is>
      </c>
      <c r="G1765" t="n">
        <v>1.5</v>
      </c>
      <c r="H1765" t="n">
        <v>0</v>
      </c>
      <c r="I1765" t="n">
        <v>0</v>
      </c>
      <c r="J1765" t="n">
        <v>0</v>
      </c>
      <c r="K1765" t="n">
        <v>0</v>
      </c>
      <c r="L1765" t="n">
        <v>0</v>
      </c>
      <c r="M1765" t="n">
        <v>0</v>
      </c>
      <c r="N1765" t="n">
        <v>0</v>
      </c>
      <c r="O1765" t="n">
        <v>0</v>
      </c>
      <c r="P1765" t="n">
        <v>0</v>
      </c>
      <c r="Q1765" t="n">
        <v>0</v>
      </c>
      <c r="R1765" s="2" t="inlineStr"/>
    </row>
    <row r="1766" ht="15" customHeight="1">
      <c r="A1766" t="inlineStr">
        <is>
          <t>A 53145-2021</t>
        </is>
      </c>
      <c r="B1766" s="1" t="n">
        <v>44468</v>
      </c>
      <c r="C1766" s="1" t="n">
        <v>45724</v>
      </c>
      <c r="D1766" t="inlineStr">
        <is>
          <t>VÄSTMANLANDS LÄN</t>
        </is>
      </c>
      <c r="E1766" t="inlineStr">
        <is>
          <t>SKINNSKATTEBERG</t>
        </is>
      </c>
      <c r="F1766" t="inlineStr">
        <is>
          <t>Sveaskog</t>
        </is>
      </c>
      <c r="G1766" t="n">
        <v>2.3</v>
      </c>
      <c r="H1766" t="n">
        <v>0</v>
      </c>
      <c r="I1766" t="n">
        <v>0</v>
      </c>
      <c r="J1766" t="n">
        <v>0</v>
      </c>
      <c r="K1766" t="n">
        <v>0</v>
      </c>
      <c r="L1766" t="n">
        <v>0</v>
      </c>
      <c r="M1766" t="n">
        <v>0</v>
      </c>
      <c r="N1766" t="n">
        <v>0</v>
      </c>
      <c r="O1766" t="n">
        <v>0</v>
      </c>
      <c r="P1766" t="n">
        <v>0</v>
      </c>
      <c r="Q1766" t="n">
        <v>0</v>
      </c>
      <c r="R1766" s="2" t="inlineStr"/>
    </row>
    <row r="1767" ht="15" customHeight="1">
      <c r="A1767" t="inlineStr">
        <is>
          <t>A 53686-2021</t>
        </is>
      </c>
      <c r="B1767" s="1" t="n">
        <v>44469</v>
      </c>
      <c r="C1767" s="1" t="n">
        <v>45724</v>
      </c>
      <c r="D1767" t="inlineStr">
        <is>
          <t>VÄSTMANLANDS LÄN</t>
        </is>
      </c>
      <c r="E1767" t="inlineStr">
        <is>
          <t>VÄSTERÅS</t>
        </is>
      </c>
      <c r="G1767" t="n">
        <v>0.9</v>
      </c>
      <c r="H1767" t="n">
        <v>0</v>
      </c>
      <c r="I1767" t="n">
        <v>0</v>
      </c>
      <c r="J1767" t="n">
        <v>0</v>
      </c>
      <c r="K1767" t="n">
        <v>0</v>
      </c>
      <c r="L1767" t="n">
        <v>0</v>
      </c>
      <c r="M1767" t="n">
        <v>0</v>
      </c>
      <c r="N1767" t="n">
        <v>0</v>
      </c>
      <c r="O1767" t="n">
        <v>0</v>
      </c>
      <c r="P1767" t="n">
        <v>0</v>
      </c>
      <c r="Q1767" t="n">
        <v>0</v>
      </c>
      <c r="R1767" s="2" t="inlineStr"/>
    </row>
    <row r="1768" ht="15" customHeight="1">
      <c r="A1768" t="inlineStr">
        <is>
          <t>A 53885-2021</t>
        </is>
      </c>
      <c r="B1768" s="1" t="n">
        <v>44469</v>
      </c>
      <c r="C1768" s="1" t="n">
        <v>45724</v>
      </c>
      <c r="D1768" t="inlineStr">
        <is>
          <t>VÄSTMANLANDS LÄN</t>
        </is>
      </c>
      <c r="E1768" t="inlineStr">
        <is>
          <t>SKINNSKATTEBERG</t>
        </is>
      </c>
      <c r="F1768" t="inlineStr">
        <is>
          <t>Sveaskog</t>
        </is>
      </c>
      <c r="G1768" t="n">
        <v>7.5</v>
      </c>
      <c r="H1768" t="n">
        <v>0</v>
      </c>
      <c r="I1768" t="n">
        <v>0</v>
      </c>
      <c r="J1768" t="n">
        <v>0</v>
      </c>
      <c r="K1768" t="n">
        <v>0</v>
      </c>
      <c r="L1768" t="n">
        <v>0</v>
      </c>
      <c r="M1768" t="n">
        <v>0</v>
      </c>
      <c r="N1768" t="n">
        <v>0</v>
      </c>
      <c r="O1768" t="n">
        <v>0</v>
      </c>
      <c r="P1768" t="n">
        <v>0</v>
      </c>
      <c r="Q1768" t="n">
        <v>0</v>
      </c>
      <c r="R1768" s="2" t="inlineStr"/>
    </row>
    <row r="1769" ht="15" customHeight="1">
      <c r="A1769" t="inlineStr">
        <is>
          <t>A 53880-2021</t>
        </is>
      </c>
      <c r="B1769" s="1" t="n">
        <v>44469</v>
      </c>
      <c r="C1769" s="1" t="n">
        <v>45724</v>
      </c>
      <c r="D1769" t="inlineStr">
        <is>
          <t>VÄSTMANLANDS LÄN</t>
        </is>
      </c>
      <c r="E1769" t="inlineStr">
        <is>
          <t>SKINNSKATTEBERG</t>
        </is>
      </c>
      <c r="F1769" t="inlineStr">
        <is>
          <t>Sveaskog</t>
        </is>
      </c>
      <c r="G1769" t="n">
        <v>1.5</v>
      </c>
      <c r="H1769" t="n">
        <v>0</v>
      </c>
      <c r="I1769" t="n">
        <v>0</v>
      </c>
      <c r="J1769" t="n">
        <v>0</v>
      </c>
      <c r="K1769" t="n">
        <v>0</v>
      </c>
      <c r="L1769" t="n">
        <v>0</v>
      </c>
      <c r="M1769" t="n">
        <v>0</v>
      </c>
      <c r="N1769" t="n">
        <v>0</v>
      </c>
      <c r="O1769" t="n">
        <v>0</v>
      </c>
      <c r="P1769" t="n">
        <v>0</v>
      </c>
      <c r="Q1769" t="n">
        <v>0</v>
      </c>
      <c r="R1769" s="2" t="inlineStr"/>
    </row>
    <row r="1770" ht="15" customHeight="1">
      <c r="A1770" t="inlineStr">
        <is>
          <t>A 53996-2021</t>
        </is>
      </c>
      <c r="B1770" s="1" t="n">
        <v>44470</v>
      </c>
      <c r="C1770" s="1" t="n">
        <v>45724</v>
      </c>
      <c r="D1770" t="inlineStr">
        <is>
          <t>VÄSTMANLANDS LÄN</t>
        </is>
      </c>
      <c r="E1770" t="inlineStr">
        <is>
          <t>KÖPING</t>
        </is>
      </c>
      <c r="G1770" t="n">
        <v>2</v>
      </c>
      <c r="H1770" t="n">
        <v>0</v>
      </c>
      <c r="I1770" t="n">
        <v>0</v>
      </c>
      <c r="J1770" t="n">
        <v>0</v>
      </c>
      <c r="K1770" t="n">
        <v>0</v>
      </c>
      <c r="L1770" t="n">
        <v>0</v>
      </c>
      <c r="M1770" t="n">
        <v>0</v>
      </c>
      <c r="N1770" t="n">
        <v>0</v>
      </c>
      <c r="O1770" t="n">
        <v>0</v>
      </c>
      <c r="P1770" t="n">
        <v>0</v>
      </c>
      <c r="Q1770" t="n">
        <v>0</v>
      </c>
      <c r="R1770" s="2" t="inlineStr"/>
    </row>
    <row r="1771" ht="15" customHeight="1">
      <c r="A1771" t="inlineStr">
        <is>
          <t>A 54030-2021</t>
        </is>
      </c>
      <c r="B1771" s="1" t="n">
        <v>44470</v>
      </c>
      <c r="C1771" s="1" t="n">
        <v>45724</v>
      </c>
      <c r="D1771" t="inlineStr">
        <is>
          <t>VÄSTMANLANDS LÄN</t>
        </is>
      </c>
      <c r="E1771" t="inlineStr">
        <is>
          <t>SALA</t>
        </is>
      </c>
      <c r="G1771" t="n">
        <v>4.1</v>
      </c>
      <c r="H1771" t="n">
        <v>0</v>
      </c>
      <c r="I1771" t="n">
        <v>0</v>
      </c>
      <c r="J1771" t="n">
        <v>0</v>
      </c>
      <c r="K1771" t="n">
        <v>0</v>
      </c>
      <c r="L1771" t="n">
        <v>0</v>
      </c>
      <c r="M1771" t="n">
        <v>0</v>
      </c>
      <c r="N1771" t="n">
        <v>0</v>
      </c>
      <c r="O1771" t="n">
        <v>0</v>
      </c>
      <c r="P1771" t="n">
        <v>0</v>
      </c>
      <c r="Q1771" t="n">
        <v>0</v>
      </c>
      <c r="R1771" s="2" t="inlineStr"/>
    </row>
    <row r="1772" ht="15" customHeight="1">
      <c r="A1772" t="inlineStr">
        <is>
          <t>A 54079-2021</t>
        </is>
      </c>
      <c r="B1772" s="1" t="n">
        <v>44470</v>
      </c>
      <c r="C1772" s="1" t="n">
        <v>45724</v>
      </c>
      <c r="D1772" t="inlineStr">
        <is>
          <t>VÄSTMANLANDS LÄN</t>
        </is>
      </c>
      <c r="E1772" t="inlineStr">
        <is>
          <t>ARBOGA</t>
        </is>
      </c>
      <c r="G1772" t="n">
        <v>11.3</v>
      </c>
      <c r="H1772" t="n">
        <v>0</v>
      </c>
      <c r="I1772" t="n">
        <v>0</v>
      </c>
      <c r="J1772" t="n">
        <v>0</v>
      </c>
      <c r="K1772" t="n">
        <v>0</v>
      </c>
      <c r="L1772" t="n">
        <v>0</v>
      </c>
      <c r="M1772" t="n">
        <v>0</v>
      </c>
      <c r="N1772" t="n">
        <v>0</v>
      </c>
      <c r="O1772" t="n">
        <v>0</v>
      </c>
      <c r="P1772" t="n">
        <v>0</v>
      </c>
      <c r="Q1772" t="n">
        <v>0</v>
      </c>
      <c r="R1772" s="2" t="inlineStr"/>
    </row>
    <row r="1773" ht="15" customHeight="1">
      <c r="A1773" t="inlineStr">
        <is>
          <t>A 54188-2021</t>
        </is>
      </c>
      <c r="B1773" s="1" t="n">
        <v>44470</v>
      </c>
      <c r="C1773" s="1" t="n">
        <v>45724</v>
      </c>
      <c r="D1773" t="inlineStr">
        <is>
          <t>VÄSTMANLANDS LÄN</t>
        </is>
      </c>
      <c r="E1773" t="inlineStr">
        <is>
          <t>KUNGSÖR</t>
        </is>
      </c>
      <c r="G1773" t="n">
        <v>6.5</v>
      </c>
      <c r="H1773" t="n">
        <v>0</v>
      </c>
      <c r="I1773" t="n">
        <v>0</v>
      </c>
      <c r="J1773" t="n">
        <v>0</v>
      </c>
      <c r="K1773" t="n">
        <v>0</v>
      </c>
      <c r="L1773" t="n">
        <v>0</v>
      </c>
      <c r="M1773" t="n">
        <v>0</v>
      </c>
      <c r="N1773" t="n">
        <v>0</v>
      </c>
      <c r="O1773" t="n">
        <v>0</v>
      </c>
      <c r="P1773" t="n">
        <v>0</v>
      </c>
      <c r="Q1773" t="n">
        <v>0</v>
      </c>
      <c r="R1773" s="2" t="inlineStr"/>
    </row>
    <row r="1774" ht="15" customHeight="1">
      <c r="A1774" t="inlineStr">
        <is>
          <t>A 54301-2021</t>
        </is>
      </c>
      <c r="B1774" s="1" t="n">
        <v>44472</v>
      </c>
      <c r="C1774" s="1" t="n">
        <v>45724</v>
      </c>
      <c r="D1774" t="inlineStr">
        <is>
          <t>VÄSTMANLANDS LÄN</t>
        </is>
      </c>
      <c r="E1774" t="inlineStr">
        <is>
          <t>KÖPING</t>
        </is>
      </c>
      <c r="G1774" t="n">
        <v>2.6</v>
      </c>
      <c r="H1774" t="n">
        <v>0</v>
      </c>
      <c r="I1774" t="n">
        <v>0</v>
      </c>
      <c r="J1774" t="n">
        <v>0</v>
      </c>
      <c r="K1774" t="n">
        <v>0</v>
      </c>
      <c r="L1774" t="n">
        <v>0</v>
      </c>
      <c r="M1774" t="n">
        <v>0</v>
      </c>
      <c r="N1774" t="n">
        <v>0</v>
      </c>
      <c r="O1774" t="n">
        <v>0</v>
      </c>
      <c r="P1774" t="n">
        <v>0</v>
      </c>
      <c r="Q1774" t="n">
        <v>0</v>
      </c>
      <c r="R1774" s="2" t="inlineStr"/>
    </row>
    <row r="1775" ht="15" customHeight="1">
      <c r="A1775" t="inlineStr">
        <is>
          <t>A 54520-2021</t>
        </is>
      </c>
      <c r="B1775" s="1" t="n">
        <v>44473</v>
      </c>
      <c r="C1775" s="1" t="n">
        <v>45724</v>
      </c>
      <c r="D1775" t="inlineStr">
        <is>
          <t>VÄSTMANLANDS LÄN</t>
        </is>
      </c>
      <c r="E1775" t="inlineStr">
        <is>
          <t>SALA</t>
        </is>
      </c>
      <c r="G1775" t="n">
        <v>5.8</v>
      </c>
      <c r="H1775" t="n">
        <v>0</v>
      </c>
      <c r="I1775" t="n">
        <v>0</v>
      </c>
      <c r="J1775" t="n">
        <v>0</v>
      </c>
      <c r="K1775" t="n">
        <v>0</v>
      </c>
      <c r="L1775" t="n">
        <v>0</v>
      </c>
      <c r="M1775" t="n">
        <v>0</v>
      </c>
      <c r="N1775" t="n">
        <v>0</v>
      </c>
      <c r="O1775" t="n">
        <v>0</v>
      </c>
      <c r="P1775" t="n">
        <v>0</v>
      </c>
      <c r="Q1775" t="n">
        <v>0</v>
      </c>
      <c r="R1775" s="2" t="inlineStr"/>
    </row>
    <row r="1776" ht="15" customHeight="1">
      <c r="A1776" t="inlineStr">
        <is>
          <t>A 54864-2021</t>
        </is>
      </c>
      <c r="B1776" s="1" t="n">
        <v>44473</v>
      </c>
      <c r="C1776" s="1" t="n">
        <v>45724</v>
      </c>
      <c r="D1776" t="inlineStr">
        <is>
          <t>VÄSTMANLANDS LÄN</t>
        </is>
      </c>
      <c r="E1776" t="inlineStr">
        <is>
          <t>NORBERG</t>
        </is>
      </c>
      <c r="G1776" t="n">
        <v>2.9</v>
      </c>
      <c r="H1776" t="n">
        <v>0</v>
      </c>
      <c r="I1776" t="n">
        <v>0</v>
      </c>
      <c r="J1776" t="n">
        <v>0</v>
      </c>
      <c r="K1776" t="n">
        <v>0</v>
      </c>
      <c r="L1776" t="n">
        <v>0</v>
      </c>
      <c r="M1776" t="n">
        <v>0</v>
      </c>
      <c r="N1776" t="n">
        <v>0</v>
      </c>
      <c r="O1776" t="n">
        <v>0</v>
      </c>
      <c r="P1776" t="n">
        <v>0</v>
      </c>
      <c r="Q1776" t="n">
        <v>0</v>
      </c>
      <c r="R1776" s="2" t="inlineStr"/>
    </row>
    <row r="1777" ht="15" customHeight="1">
      <c r="A1777" t="inlineStr">
        <is>
          <t>A 55079-2021</t>
        </is>
      </c>
      <c r="B1777" s="1" t="n">
        <v>44474</v>
      </c>
      <c r="C1777" s="1" t="n">
        <v>45724</v>
      </c>
      <c r="D1777" t="inlineStr">
        <is>
          <t>VÄSTMANLANDS LÄN</t>
        </is>
      </c>
      <c r="E1777" t="inlineStr">
        <is>
          <t>KUNGSÖR</t>
        </is>
      </c>
      <c r="G1777" t="n">
        <v>1.1</v>
      </c>
      <c r="H1777" t="n">
        <v>0</v>
      </c>
      <c r="I1777" t="n">
        <v>0</v>
      </c>
      <c r="J1777" t="n">
        <v>0</v>
      </c>
      <c r="K1777" t="n">
        <v>0</v>
      </c>
      <c r="L1777" t="n">
        <v>0</v>
      </c>
      <c r="M1777" t="n">
        <v>0</v>
      </c>
      <c r="N1777" t="n">
        <v>0</v>
      </c>
      <c r="O1777" t="n">
        <v>0</v>
      </c>
      <c r="P1777" t="n">
        <v>0</v>
      </c>
      <c r="Q1777" t="n">
        <v>0</v>
      </c>
      <c r="R1777" s="2" t="inlineStr"/>
    </row>
    <row r="1778" ht="15" customHeight="1">
      <c r="A1778" t="inlineStr">
        <is>
          <t>A 55072-2021</t>
        </is>
      </c>
      <c r="B1778" s="1" t="n">
        <v>44474</v>
      </c>
      <c r="C1778" s="1" t="n">
        <v>45724</v>
      </c>
      <c r="D1778" t="inlineStr">
        <is>
          <t>VÄSTMANLANDS LÄN</t>
        </is>
      </c>
      <c r="E1778" t="inlineStr">
        <is>
          <t>KUNGSÖR</t>
        </is>
      </c>
      <c r="G1778" t="n">
        <v>3.4</v>
      </c>
      <c r="H1778" t="n">
        <v>0</v>
      </c>
      <c r="I1778" t="n">
        <v>0</v>
      </c>
      <c r="J1778" t="n">
        <v>0</v>
      </c>
      <c r="K1778" t="n">
        <v>0</v>
      </c>
      <c r="L1778" t="n">
        <v>0</v>
      </c>
      <c r="M1778" t="n">
        <v>0</v>
      </c>
      <c r="N1778" t="n">
        <v>0</v>
      </c>
      <c r="O1778" t="n">
        <v>0</v>
      </c>
      <c r="P1778" t="n">
        <v>0</v>
      </c>
      <c r="Q1778" t="n">
        <v>0</v>
      </c>
      <c r="R1778" s="2" t="inlineStr"/>
    </row>
    <row r="1779" ht="15" customHeight="1">
      <c r="A1779" t="inlineStr">
        <is>
          <t>A 55369-2021</t>
        </is>
      </c>
      <c r="B1779" s="1" t="n">
        <v>44475</v>
      </c>
      <c r="C1779" s="1" t="n">
        <v>45724</v>
      </c>
      <c r="D1779" t="inlineStr">
        <is>
          <t>VÄSTMANLANDS LÄN</t>
        </is>
      </c>
      <c r="E1779" t="inlineStr">
        <is>
          <t>SKINNSKATTEBERG</t>
        </is>
      </c>
      <c r="F1779" t="inlineStr">
        <is>
          <t>Sveaskog</t>
        </is>
      </c>
      <c r="G1779" t="n">
        <v>2</v>
      </c>
      <c r="H1779" t="n">
        <v>0</v>
      </c>
      <c r="I1779" t="n">
        <v>0</v>
      </c>
      <c r="J1779" t="n">
        <v>0</v>
      </c>
      <c r="K1779" t="n">
        <v>0</v>
      </c>
      <c r="L1779" t="n">
        <v>0</v>
      </c>
      <c r="M1779" t="n">
        <v>0</v>
      </c>
      <c r="N1779" t="n">
        <v>0</v>
      </c>
      <c r="O1779" t="n">
        <v>0</v>
      </c>
      <c r="P1779" t="n">
        <v>0</v>
      </c>
      <c r="Q1779" t="n">
        <v>0</v>
      </c>
      <c r="R1779" s="2" t="inlineStr"/>
    </row>
    <row r="1780" ht="15" customHeight="1">
      <c r="A1780" t="inlineStr">
        <is>
          <t>A 55428-2021</t>
        </is>
      </c>
      <c r="B1780" s="1" t="n">
        <v>44475</v>
      </c>
      <c r="C1780" s="1" t="n">
        <v>45724</v>
      </c>
      <c r="D1780" t="inlineStr">
        <is>
          <t>VÄSTMANLANDS LÄN</t>
        </is>
      </c>
      <c r="E1780" t="inlineStr">
        <is>
          <t>SKINNSKATTEBERG</t>
        </is>
      </c>
      <c r="F1780" t="inlineStr">
        <is>
          <t>Sveaskog</t>
        </is>
      </c>
      <c r="G1780" t="n">
        <v>3.1</v>
      </c>
      <c r="H1780" t="n">
        <v>0</v>
      </c>
      <c r="I1780" t="n">
        <v>0</v>
      </c>
      <c r="J1780" t="n">
        <v>0</v>
      </c>
      <c r="K1780" t="n">
        <v>0</v>
      </c>
      <c r="L1780" t="n">
        <v>0</v>
      </c>
      <c r="M1780" t="n">
        <v>0</v>
      </c>
      <c r="N1780" t="n">
        <v>0</v>
      </c>
      <c r="O1780" t="n">
        <v>0</v>
      </c>
      <c r="P1780" t="n">
        <v>0</v>
      </c>
      <c r="Q1780" t="n">
        <v>0</v>
      </c>
      <c r="R1780" s="2" t="inlineStr"/>
    </row>
    <row r="1781" ht="15" customHeight="1">
      <c r="A1781" t="inlineStr">
        <is>
          <t>A 55693-2021</t>
        </is>
      </c>
      <c r="B1781" s="1" t="n">
        <v>44476</v>
      </c>
      <c r="C1781" s="1" t="n">
        <v>45724</v>
      </c>
      <c r="D1781" t="inlineStr">
        <is>
          <t>VÄSTMANLANDS LÄN</t>
        </is>
      </c>
      <c r="E1781" t="inlineStr">
        <is>
          <t>VÄSTERÅS</t>
        </is>
      </c>
      <c r="G1781" t="n">
        <v>1.3</v>
      </c>
      <c r="H1781" t="n">
        <v>0</v>
      </c>
      <c r="I1781" t="n">
        <v>0</v>
      </c>
      <c r="J1781" t="n">
        <v>0</v>
      </c>
      <c r="K1781" t="n">
        <v>0</v>
      </c>
      <c r="L1781" t="n">
        <v>0</v>
      </c>
      <c r="M1781" t="n">
        <v>0</v>
      </c>
      <c r="N1781" t="n">
        <v>0</v>
      </c>
      <c r="O1781" t="n">
        <v>0</v>
      </c>
      <c r="P1781" t="n">
        <v>0</v>
      </c>
      <c r="Q1781" t="n">
        <v>0</v>
      </c>
      <c r="R1781" s="2" t="inlineStr"/>
    </row>
    <row r="1782" ht="15" customHeight="1">
      <c r="A1782" t="inlineStr">
        <is>
          <t>A 55835-2021</t>
        </is>
      </c>
      <c r="B1782" s="1" t="n">
        <v>44476</v>
      </c>
      <c r="C1782" s="1" t="n">
        <v>45724</v>
      </c>
      <c r="D1782" t="inlineStr">
        <is>
          <t>VÄSTMANLANDS LÄN</t>
        </is>
      </c>
      <c r="E1782" t="inlineStr">
        <is>
          <t>KÖPING</t>
        </is>
      </c>
      <c r="G1782" t="n">
        <v>1.3</v>
      </c>
      <c r="H1782" t="n">
        <v>0</v>
      </c>
      <c r="I1782" t="n">
        <v>0</v>
      </c>
      <c r="J1782" t="n">
        <v>0</v>
      </c>
      <c r="K1782" t="n">
        <v>0</v>
      </c>
      <c r="L1782" t="n">
        <v>0</v>
      </c>
      <c r="M1782" t="n">
        <v>0</v>
      </c>
      <c r="N1782" t="n">
        <v>0</v>
      </c>
      <c r="O1782" t="n">
        <v>0</v>
      </c>
      <c r="P1782" t="n">
        <v>0</v>
      </c>
      <c r="Q1782" t="n">
        <v>0</v>
      </c>
      <c r="R1782" s="2" t="inlineStr"/>
    </row>
    <row r="1783" ht="15" customHeight="1">
      <c r="A1783" t="inlineStr">
        <is>
          <t>A 56249-2021</t>
        </is>
      </c>
      <c r="B1783" s="1" t="n">
        <v>44479</v>
      </c>
      <c r="C1783" s="1" t="n">
        <v>45724</v>
      </c>
      <c r="D1783" t="inlineStr">
        <is>
          <t>VÄSTMANLANDS LÄN</t>
        </is>
      </c>
      <c r="E1783" t="inlineStr">
        <is>
          <t>KÖPING</t>
        </is>
      </c>
      <c r="G1783" t="n">
        <v>0.2</v>
      </c>
      <c r="H1783" t="n">
        <v>0</v>
      </c>
      <c r="I1783" t="n">
        <v>0</v>
      </c>
      <c r="J1783" t="n">
        <v>0</v>
      </c>
      <c r="K1783" t="n">
        <v>0</v>
      </c>
      <c r="L1783" t="n">
        <v>0</v>
      </c>
      <c r="M1783" t="n">
        <v>0</v>
      </c>
      <c r="N1783" t="n">
        <v>0</v>
      </c>
      <c r="O1783" t="n">
        <v>0</v>
      </c>
      <c r="P1783" t="n">
        <v>0</v>
      </c>
      <c r="Q1783" t="n">
        <v>0</v>
      </c>
      <c r="R1783" s="2" t="inlineStr"/>
    </row>
    <row r="1784" ht="15" customHeight="1">
      <c r="A1784" t="inlineStr">
        <is>
          <t>A 56940-2021</t>
        </is>
      </c>
      <c r="B1784" s="1" t="n">
        <v>44480</v>
      </c>
      <c r="C1784" s="1" t="n">
        <v>45724</v>
      </c>
      <c r="D1784" t="inlineStr">
        <is>
          <t>VÄSTMANLANDS LÄN</t>
        </is>
      </c>
      <c r="E1784" t="inlineStr">
        <is>
          <t>NORBERG</t>
        </is>
      </c>
      <c r="G1784" t="n">
        <v>1.6</v>
      </c>
      <c r="H1784" t="n">
        <v>0</v>
      </c>
      <c r="I1784" t="n">
        <v>0</v>
      </c>
      <c r="J1784" t="n">
        <v>0</v>
      </c>
      <c r="K1784" t="n">
        <v>0</v>
      </c>
      <c r="L1784" t="n">
        <v>0</v>
      </c>
      <c r="M1784" t="n">
        <v>0</v>
      </c>
      <c r="N1784" t="n">
        <v>0</v>
      </c>
      <c r="O1784" t="n">
        <v>0</v>
      </c>
      <c r="P1784" t="n">
        <v>0</v>
      </c>
      <c r="Q1784" t="n">
        <v>0</v>
      </c>
      <c r="R1784" s="2" t="inlineStr"/>
    </row>
    <row r="1785" ht="15" customHeight="1">
      <c r="A1785" t="inlineStr">
        <is>
          <t>A 56936-2021</t>
        </is>
      </c>
      <c r="B1785" s="1" t="n">
        <v>44480</v>
      </c>
      <c r="C1785" s="1" t="n">
        <v>45724</v>
      </c>
      <c r="D1785" t="inlineStr">
        <is>
          <t>VÄSTMANLANDS LÄN</t>
        </is>
      </c>
      <c r="E1785" t="inlineStr">
        <is>
          <t>NORBERG</t>
        </is>
      </c>
      <c r="G1785" t="n">
        <v>2.4</v>
      </c>
      <c r="H1785" t="n">
        <v>0</v>
      </c>
      <c r="I1785" t="n">
        <v>0</v>
      </c>
      <c r="J1785" t="n">
        <v>0</v>
      </c>
      <c r="K1785" t="n">
        <v>0</v>
      </c>
      <c r="L1785" t="n">
        <v>0</v>
      </c>
      <c r="M1785" t="n">
        <v>0</v>
      </c>
      <c r="N1785" t="n">
        <v>0</v>
      </c>
      <c r="O1785" t="n">
        <v>0</v>
      </c>
      <c r="P1785" t="n">
        <v>0</v>
      </c>
      <c r="Q1785" t="n">
        <v>0</v>
      </c>
      <c r="R1785" s="2" t="inlineStr"/>
    </row>
    <row r="1786" ht="15" customHeight="1">
      <c r="A1786" t="inlineStr">
        <is>
          <t>A 56929-2021</t>
        </is>
      </c>
      <c r="B1786" s="1" t="n">
        <v>44480</v>
      </c>
      <c r="C1786" s="1" t="n">
        <v>45724</v>
      </c>
      <c r="D1786" t="inlineStr">
        <is>
          <t>VÄSTMANLANDS LÄN</t>
        </is>
      </c>
      <c r="E1786" t="inlineStr">
        <is>
          <t>NORBERG</t>
        </is>
      </c>
      <c r="G1786" t="n">
        <v>1</v>
      </c>
      <c r="H1786" t="n">
        <v>0</v>
      </c>
      <c r="I1786" t="n">
        <v>0</v>
      </c>
      <c r="J1786" t="n">
        <v>0</v>
      </c>
      <c r="K1786" t="n">
        <v>0</v>
      </c>
      <c r="L1786" t="n">
        <v>0</v>
      </c>
      <c r="M1786" t="n">
        <v>0</v>
      </c>
      <c r="N1786" t="n">
        <v>0</v>
      </c>
      <c r="O1786" t="n">
        <v>0</v>
      </c>
      <c r="P1786" t="n">
        <v>0</v>
      </c>
      <c r="Q1786" t="n">
        <v>0</v>
      </c>
      <c r="R1786" s="2" t="inlineStr"/>
    </row>
    <row r="1787" ht="15" customHeight="1">
      <c r="A1787" t="inlineStr">
        <is>
          <t>A 56733-2021</t>
        </is>
      </c>
      <c r="B1787" s="1" t="n">
        <v>44481</v>
      </c>
      <c r="C1787" s="1" t="n">
        <v>45724</v>
      </c>
      <c r="D1787" t="inlineStr">
        <is>
          <t>VÄSTMANLANDS LÄN</t>
        </is>
      </c>
      <c r="E1787" t="inlineStr">
        <is>
          <t>FAGERSTA</t>
        </is>
      </c>
      <c r="G1787" t="n">
        <v>2.1</v>
      </c>
      <c r="H1787" t="n">
        <v>0</v>
      </c>
      <c r="I1787" t="n">
        <v>0</v>
      </c>
      <c r="J1787" t="n">
        <v>0</v>
      </c>
      <c r="K1787" t="n">
        <v>0</v>
      </c>
      <c r="L1787" t="n">
        <v>0</v>
      </c>
      <c r="M1787" t="n">
        <v>0</v>
      </c>
      <c r="N1787" t="n">
        <v>0</v>
      </c>
      <c r="O1787" t="n">
        <v>0</v>
      </c>
      <c r="P1787" t="n">
        <v>0</v>
      </c>
      <c r="Q1787" t="n">
        <v>0</v>
      </c>
      <c r="R1787" s="2" t="inlineStr"/>
    </row>
    <row r="1788" ht="15" customHeight="1">
      <c r="A1788" t="inlineStr">
        <is>
          <t>A 56739-2021</t>
        </is>
      </c>
      <c r="B1788" s="1" t="n">
        <v>44481</v>
      </c>
      <c r="C1788" s="1" t="n">
        <v>45724</v>
      </c>
      <c r="D1788" t="inlineStr">
        <is>
          <t>VÄSTMANLANDS LÄN</t>
        </is>
      </c>
      <c r="E1788" t="inlineStr">
        <is>
          <t>FAGERSTA</t>
        </is>
      </c>
      <c r="G1788" t="n">
        <v>5.2</v>
      </c>
      <c r="H1788" t="n">
        <v>0</v>
      </c>
      <c r="I1788" t="n">
        <v>0</v>
      </c>
      <c r="J1788" t="n">
        <v>0</v>
      </c>
      <c r="K1788" t="n">
        <v>0</v>
      </c>
      <c r="L1788" t="n">
        <v>0</v>
      </c>
      <c r="M1788" t="n">
        <v>0</v>
      </c>
      <c r="N1788" t="n">
        <v>0</v>
      </c>
      <c r="O1788" t="n">
        <v>0</v>
      </c>
      <c r="P1788" t="n">
        <v>0</v>
      </c>
      <c r="Q1788" t="n">
        <v>0</v>
      </c>
      <c r="R1788" s="2" t="inlineStr"/>
    </row>
    <row r="1789" ht="15" customHeight="1">
      <c r="A1789" t="inlineStr">
        <is>
          <t>A 56862-2021</t>
        </is>
      </c>
      <c r="B1789" s="1" t="n">
        <v>44481</v>
      </c>
      <c r="C1789" s="1" t="n">
        <v>45724</v>
      </c>
      <c r="D1789" t="inlineStr">
        <is>
          <t>VÄSTMANLANDS LÄN</t>
        </is>
      </c>
      <c r="E1789" t="inlineStr">
        <is>
          <t>VÄSTERÅS</t>
        </is>
      </c>
      <c r="G1789" t="n">
        <v>6</v>
      </c>
      <c r="H1789" t="n">
        <v>0</v>
      </c>
      <c r="I1789" t="n">
        <v>0</v>
      </c>
      <c r="J1789" t="n">
        <v>0</v>
      </c>
      <c r="K1789" t="n">
        <v>0</v>
      </c>
      <c r="L1789" t="n">
        <v>0</v>
      </c>
      <c r="M1789" t="n">
        <v>0</v>
      </c>
      <c r="N1789" t="n">
        <v>0</v>
      </c>
      <c r="O1789" t="n">
        <v>0</v>
      </c>
      <c r="P1789" t="n">
        <v>0</v>
      </c>
      <c r="Q1789" t="n">
        <v>0</v>
      </c>
      <c r="R1789" s="2" t="inlineStr"/>
    </row>
    <row r="1790" ht="15" customHeight="1">
      <c r="A1790" t="inlineStr">
        <is>
          <t>A 56980-2021</t>
        </is>
      </c>
      <c r="B1790" s="1" t="n">
        <v>44482</v>
      </c>
      <c r="C1790" s="1" t="n">
        <v>45724</v>
      </c>
      <c r="D1790" t="inlineStr">
        <is>
          <t>VÄSTMANLANDS LÄN</t>
        </is>
      </c>
      <c r="E1790" t="inlineStr">
        <is>
          <t>VÄSTERÅS</t>
        </is>
      </c>
      <c r="G1790" t="n">
        <v>1</v>
      </c>
      <c r="H1790" t="n">
        <v>0</v>
      </c>
      <c r="I1790" t="n">
        <v>0</v>
      </c>
      <c r="J1790" t="n">
        <v>0</v>
      </c>
      <c r="K1790" t="n">
        <v>0</v>
      </c>
      <c r="L1790" t="n">
        <v>0</v>
      </c>
      <c r="M1790" t="n">
        <v>0</v>
      </c>
      <c r="N1790" t="n">
        <v>0</v>
      </c>
      <c r="O1790" t="n">
        <v>0</v>
      </c>
      <c r="P1790" t="n">
        <v>0</v>
      </c>
      <c r="Q1790" t="n">
        <v>0</v>
      </c>
      <c r="R1790" s="2" t="inlineStr"/>
    </row>
    <row r="1791" ht="15" customHeight="1">
      <c r="A1791" t="inlineStr">
        <is>
          <t>A 57049-2021</t>
        </is>
      </c>
      <c r="B1791" s="1" t="n">
        <v>44482</v>
      </c>
      <c r="C1791" s="1" t="n">
        <v>45724</v>
      </c>
      <c r="D1791" t="inlineStr">
        <is>
          <t>VÄSTMANLANDS LÄN</t>
        </is>
      </c>
      <c r="E1791" t="inlineStr">
        <is>
          <t>SALA</t>
        </is>
      </c>
      <c r="G1791" t="n">
        <v>1.2</v>
      </c>
      <c r="H1791" t="n">
        <v>0</v>
      </c>
      <c r="I1791" t="n">
        <v>0</v>
      </c>
      <c r="J1791" t="n">
        <v>0</v>
      </c>
      <c r="K1791" t="n">
        <v>0</v>
      </c>
      <c r="L1791" t="n">
        <v>0</v>
      </c>
      <c r="M1791" t="n">
        <v>0</v>
      </c>
      <c r="N1791" t="n">
        <v>0</v>
      </c>
      <c r="O1791" t="n">
        <v>0</v>
      </c>
      <c r="P1791" t="n">
        <v>0</v>
      </c>
      <c r="Q1791" t="n">
        <v>0</v>
      </c>
      <c r="R1791" s="2" t="inlineStr"/>
    </row>
    <row r="1792" ht="15" customHeight="1">
      <c r="A1792" t="inlineStr">
        <is>
          <t>A 57056-2021</t>
        </is>
      </c>
      <c r="B1792" s="1" t="n">
        <v>44482</v>
      </c>
      <c r="C1792" s="1" t="n">
        <v>45724</v>
      </c>
      <c r="D1792" t="inlineStr">
        <is>
          <t>VÄSTMANLANDS LÄN</t>
        </is>
      </c>
      <c r="E1792" t="inlineStr">
        <is>
          <t>SALA</t>
        </is>
      </c>
      <c r="G1792" t="n">
        <v>0.8</v>
      </c>
      <c r="H1792" t="n">
        <v>0</v>
      </c>
      <c r="I1792" t="n">
        <v>0</v>
      </c>
      <c r="J1792" t="n">
        <v>0</v>
      </c>
      <c r="K1792" t="n">
        <v>0</v>
      </c>
      <c r="L1792" t="n">
        <v>0</v>
      </c>
      <c r="M1792" t="n">
        <v>0</v>
      </c>
      <c r="N1792" t="n">
        <v>0</v>
      </c>
      <c r="O1792" t="n">
        <v>0</v>
      </c>
      <c r="P1792" t="n">
        <v>0</v>
      </c>
      <c r="Q1792" t="n">
        <v>0</v>
      </c>
      <c r="R1792" s="2" t="inlineStr"/>
    </row>
    <row r="1793" ht="15" customHeight="1">
      <c r="A1793" t="inlineStr">
        <is>
          <t>A 57000-2021</t>
        </is>
      </c>
      <c r="B1793" s="1" t="n">
        <v>44482</v>
      </c>
      <c r="C1793" s="1" t="n">
        <v>45724</v>
      </c>
      <c r="D1793" t="inlineStr">
        <is>
          <t>VÄSTMANLANDS LÄN</t>
        </is>
      </c>
      <c r="E1793" t="inlineStr">
        <is>
          <t>SALA</t>
        </is>
      </c>
      <c r="G1793" t="n">
        <v>0.5</v>
      </c>
      <c r="H1793" t="n">
        <v>0</v>
      </c>
      <c r="I1793" t="n">
        <v>0</v>
      </c>
      <c r="J1793" t="n">
        <v>0</v>
      </c>
      <c r="K1793" t="n">
        <v>0</v>
      </c>
      <c r="L1793" t="n">
        <v>0</v>
      </c>
      <c r="M1793" t="n">
        <v>0</v>
      </c>
      <c r="N1793" t="n">
        <v>0</v>
      </c>
      <c r="O1793" t="n">
        <v>0</v>
      </c>
      <c r="P1793" t="n">
        <v>0</v>
      </c>
      <c r="Q1793" t="n">
        <v>0</v>
      </c>
      <c r="R1793" s="2" t="inlineStr"/>
    </row>
    <row r="1794" ht="15" customHeight="1">
      <c r="A1794" t="inlineStr">
        <is>
          <t>A 56967-2021</t>
        </is>
      </c>
      <c r="B1794" s="1" t="n">
        <v>44482</v>
      </c>
      <c r="C1794" s="1" t="n">
        <v>45724</v>
      </c>
      <c r="D1794" t="inlineStr">
        <is>
          <t>VÄSTMANLANDS LÄN</t>
        </is>
      </c>
      <c r="E1794" t="inlineStr">
        <is>
          <t>VÄSTERÅS</t>
        </is>
      </c>
      <c r="G1794" t="n">
        <v>3.4</v>
      </c>
      <c r="H1794" t="n">
        <v>0</v>
      </c>
      <c r="I1794" t="n">
        <v>0</v>
      </c>
      <c r="J1794" t="n">
        <v>0</v>
      </c>
      <c r="K1794" t="n">
        <v>0</v>
      </c>
      <c r="L1794" t="n">
        <v>0</v>
      </c>
      <c r="M1794" t="n">
        <v>0</v>
      </c>
      <c r="N1794" t="n">
        <v>0</v>
      </c>
      <c r="O1794" t="n">
        <v>0</v>
      </c>
      <c r="P1794" t="n">
        <v>0</v>
      </c>
      <c r="Q1794" t="n">
        <v>0</v>
      </c>
      <c r="R1794" s="2" t="inlineStr"/>
    </row>
    <row r="1795" ht="15" customHeight="1">
      <c r="A1795" t="inlineStr">
        <is>
          <t>A 57131-2021</t>
        </is>
      </c>
      <c r="B1795" s="1" t="n">
        <v>44482</v>
      </c>
      <c r="C1795" s="1" t="n">
        <v>45724</v>
      </c>
      <c r="D1795" t="inlineStr">
        <is>
          <t>VÄSTMANLANDS LÄN</t>
        </is>
      </c>
      <c r="E1795" t="inlineStr">
        <is>
          <t>SALA</t>
        </is>
      </c>
      <c r="G1795" t="n">
        <v>2.3</v>
      </c>
      <c r="H1795" t="n">
        <v>0</v>
      </c>
      <c r="I1795" t="n">
        <v>0</v>
      </c>
      <c r="J1795" t="n">
        <v>0</v>
      </c>
      <c r="K1795" t="n">
        <v>0</v>
      </c>
      <c r="L1795" t="n">
        <v>0</v>
      </c>
      <c r="M1795" t="n">
        <v>0</v>
      </c>
      <c r="N1795" t="n">
        <v>0</v>
      </c>
      <c r="O1795" t="n">
        <v>0</v>
      </c>
      <c r="P1795" t="n">
        <v>0</v>
      </c>
      <c r="Q1795" t="n">
        <v>0</v>
      </c>
      <c r="R1795" s="2" t="inlineStr"/>
    </row>
    <row r="1796" ht="15" customHeight="1">
      <c r="A1796" t="inlineStr">
        <is>
          <t>A 57517-2021</t>
        </is>
      </c>
      <c r="B1796" s="1" t="n">
        <v>44483</v>
      </c>
      <c r="C1796" s="1" t="n">
        <v>45724</v>
      </c>
      <c r="D1796" t="inlineStr">
        <is>
          <t>VÄSTMANLANDS LÄN</t>
        </is>
      </c>
      <c r="E1796" t="inlineStr">
        <is>
          <t>SALA</t>
        </is>
      </c>
      <c r="G1796" t="n">
        <v>1.1</v>
      </c>
      <c r="H1796" t="n">
        <v>0</v>
      </c>
      <c r="I1796" t="n">
        <v>0</v>
      </c>
      <c r="J1796" t="n">
        <v>0</v>
      </c>
      <c r="K1796" t="n">
        <v>0</v>
      </c>
      <c r="L1796" t="n">
        <v>0</v>
      </c>
      <c r="M1796" t="n">
        <v>0</v>
      </c>
      <c r="N1796" t="n">
        <v>0</v>
      </c>
      <c r="O1796" t="n">
        <v>0</v>
      </c>
      <c r="P1796" t="n">
        <v>0</v>
      </c>
      <c r="Q1796" t="n">
        <v>0</v>
      </c>
      <c r="R1796" s="2" t="inlineStr"/>
    </row>
    <row r="1797" ht="15" customHeight="1">
      <c r="A1797" t="inlineStr">
        <is>
          <t>A 57596-2021</t>
        </is>
      </c>
      <c r="B1797" s="1" t="n">
        <v>44483</v>
      </c>
      <c r="C1797" s="1" t="n">
        <v>45724</v>
      </c>
      <c r="D1797" t="inlineStr">
        <is>
          <t>VÄSTMANLANDS LÄN</t>
        </is>
      </c>
      <c r="E1797" t="inlineStr">
        <is>
          <t>SALA</t>
        </is>
      </c>
      <c r="G1797" t="n">
        <v>1.1</v>
      </c>
      <c r="H1797" t="n">
        <v>0</v>
      </c>
      <c r="I1797" t="n">
        <v>0</v>
      </c>
      <c r="J1797" t="n">
        <v>0</v>
      </c>
      <c r="K1797" t="n">
        <v>0</v>
      </c>
      <c r="L1797" t="n">
        <v>0</v>
      </c>
      <c r="M1797" t="n">
        <v>0</v>
      </c>
      <c r="N1797" t="n">
        <v>0</v>
      </c>
      <c r="O1797" t="n">
        <v>0</v>
      </c>
      <c r="P1797" t="n">
        <v>0</v>
      </c>
      <c r="Q1797" t="n">
        <v>0</v>
      </c>
      <c r="R1797" s="2" t="inlineStr"/>
    </row>
    <row r="1798" ht="15" customHeight="1">
      <c r="A1798" t="inlineStr">
        <is>
          <t>A 57651-2021</t>
        </is>
      </c>
      <c r="B1798" s="1" t="n">
        <v>44484</v>
      </c>
      <c r="C1798" s="1" t="n">
        <v>45724</v>
      </c>
      <c r="D1798" t="inlineStr">
        <is>
          <t>VÄSTMANLANDS LÄN</t>
        </is>
      </c>
      <c r="E1798" t="inlineStr">
        <is>
          <t>ARBOGA</t>
        </is>
      </c>
      <c r="G1798" t="n">
        <v>1.9</v>
      </c>
      <c r="H1798" t="n">
        <v>0</v>
      </c>
      <c r="I1798" t="n">
        <v>0</v>
      </c>
      <c r="J1798" t="n">
        <v>0</v>
      </c>
      <c r="K1798" t="n">
        <v>0</v>
      </c>
      <c r="L1798" t="n">
        <v>0</v>
      </c>
      <c r="M1798" t="n">
        <v>0</v>
      </c>
      <c r="N1798" t="n">
        <v>0</v>
      </c>
      <c r="O1798" t="n">
        <v>0</v>
      </c>
      <c r="P1798" t="n">
        <v>0</v>
      </c>
      <c r="Q1798" t="n">
        <v>0</v>
      </c>
      <c r="R1798" s="2" t="inlineStr"/>
    </row>
    <row r="1799" ht="15" customHeight="1">
      <c r="A1799" t="inlineStr">
        <is>
          <t>A 57646-2021</t>
        </is>
      </c>
      <c r="B1799" s="1" t="n">
        <v>44484</v>
      </c>
      <c r="C1799" s="1" t="n">
        <v>45724</v>
      </c>
      <c r="D1799" t="inlineStr">
        <is>
          <t>VÄSTMANLANDS LÄN</t>
        </is>
      </c>
      <c r="E1799" t="inlineStr">
        <is>
          <t>ARBOGA</t>
        </is>
      </c>
      <c r="G1799" t="n">
        <v>1.2</v>
      </c>
      <c r="H1799" t="n">
        <v>0</v>
      </c>
      <c r="I1799" t="n">
        <v>0</v>
      </c>
      <c r="J1799" t="n">
        <v>0</v>
      </c>
      <c r="K1799" t="n">
        <v>0</v>
      </c>
      <c r="L1799" t="n">
        <v>0</v>
      </c>
      <c r="M1799" t="n">
        <v>0</v>
      </c>
      <c r="N1799" t="n">
        <v>0</v>
      </c>
      <c r="O1799" t="n">
        <v>0</v>
      </c>
      <c r="P1799" t="n">
        <v>0</v>
      </c>
      <c r="Q1799" t="n">
        <v>0</v>
      </c>
      <c r="R1799" s="2" t="inlineStr"/>
    </row>
    <row r="1800" ht="15" customHeight="1">
      <c r="A1800" t="inlineStr">
        <is>
          <t>A 57769-2021</t>
        </is>
      </c>
      <c r="B1800" s="1" t="n">
        <v>44484</v>
      </c>
      <c r="C1800" s="1" t="n">
        <v>45724</v>
      </c>
      <c r="D1800" t="inlineStr">
        <is>
          <t>VÄSTMANLANDS LÄN</t>
        </is>
      </c>
      <c r="E1800" t="inlineStr">
        <is>
          <t>KÖPING</t>
        </is>
      </c>
      <c r="G1800" t="n">
        <v>0.5</v>
      </c>
      <c r="H1800" t="n">
        <v>0</v>
      </c>
      <c r="I1800" t="n">
        <v>0</v>
      </c>
      <c r="J1800" t="n">
        <v>0</v>
      </c>
      <c r="K1800" t="n">
        <v>0</v>
      </c>
      <c r="L1800" t="n">
        <v>0</v>
      </c>
      <c r="M1800" t="n">
        <v>0</v>
      </c>
      <c r="N1800" t="n">
        <v>0</v>
      </c>
      <c r="O1800" t="n">
        <v>0</v>
      </c>
      <c r="P1800" t="n">
        <v>0</v>
      </c>
      <c r="Q1800" t="n">
        <v>0</v>
      </c>
      <c r="R1800" s="2" t="inlineStr"/>
    </row>
    <row r="1801" ht="15" customHeight="1">
      <c r="A1801" t="inlineStr">
        <is>
          <t>A 57788-2021</t>
        </is>
      </c>
      <c r="B1801" s="1" t="n">
        <v>44484</v>
      </c>
      <c r="C1801" s="1" t="n">
        <v>45724</v>
      </c>
      <c r="D1801" t="inlineStr">
        <is>
          <t>VÄSTMANLANDS LÄN</t>
        </is>
      </c>
      <c r="E1801" t="inlineStr">
        <is>
          <t>KÖPING</t>
        </is>
      </c>
      <c r="G1801" t="n">
        <v>0.7</v>
      </c>
      <c r="H1801" t="n">
        <v>0</v>
      </c>
      <c r="I1801" t="n">
        <v>0</v>
      </c>
      <c r="J1801" t="n">
        <v>0</v>
      </c>
      <c r="K1801" t="n">
        <v>0</v>
      </c>
      <c r="L1801" t="n">
        <v>0</v>
      </c>
      <c r="M1801" t="n">
        <v>0</v>
      </c>
      <c r="N1801" t="n">
        <v>0</v>
      </c>
      <c r="O1801" t="n">
        <v>0</v>
      </c>
      <c r="P1801" t="n">
        <v>0</v>
      </c>
      <c r="Q1801" t="n">
        <v>0</v>
      </c>
      <c r="R1801" s="2" t="inlineStr"/>
    </row>
    <row r="1802" ht="15" customHeight="1">
      <c r="A1802" t="inlineStr">
        <is>
          <t>A 57789-2021</t>
        </is>
      </c>
      <c r="B1802" s="1" t="n">
        <v>44484</v>
      </c>
      <c r="C1802" s="1" t="n">
        <v>45724</v>
      </c>
      <c r="D1802" t="inlineStr">
        <is>
          <t>VÄSTMANLANDS LÄN</t>
        </is>
      </c>
      <c r="E1802" t="inlineStr">
        <is>
          <t>KÖPING</t>
        </is>
      </c>
      <c r="G1802" t="n">
        <v>2.6</v>
      </c>
      <c r="H1802" t="n">
        <v>0</v>
      </c>
      <c r="I1802" t="n">
        <v>0</v>
      </c>
      <c r="J1802" t="n">
        <v>0</v>
      </c>
      <c r="K1802" t="n">
        <v>0</v>
      </c>
      <c r="L1802" t="n">
        <v>0</v>
      </c>
      <c r="M1802" t="n">
        <v>0</v>
      </c>
      <c r="N1802" t="n">
        <v>0</v>
      </c>
      <c r="O1802" t="n">
        <v>0</v>
      </c>
      <c r="P1802" t="n">
        <v>0</v>
      </c>
      <c r="Q1802" t="n">
        <v>0</v>
      </c>
      <c r="R1802" s="2" t="inlineStr"/>
    </row>
    <row r="1803" ht="15" customHeight="1">
      <c r="A1803" t="inlineStr">
        <is>
          <t>A 58107-2021</t>
        </is>
      </c>
      <c r="B1803" s="1" t="n">
        <v>44487</v>
      </c>
      <c r="C1803" s="1" t="n">
        <v>45724</v>
      </c>
      <c r="D1803" t="inlineStr">
        <is>
          <t>VÄSTMANLANDS LÄN</t>
        </is>
      </c>
      <c r="E1803" t="inlineStr">
        <is>
          <t>SALA</t>
        </is>
      </c>
      <c r="F1803" t="inlineStr">
        <is>
          <t>Sveaskog</t>
        </is>
      </c>
      <c r="G1803" t="n">
        <v>2.8</v>
      </c>
      <c r="H1803" t="n">
        <v>0</v>
      </c>
      <c r="I1803" t="n">
        <v>0</v>
      </c>
      <c r="J1803" t="n">
        <v>0</v>
      </c>
      <c r="K1803" t="n">
        <v>0</v>
      </c>
      <c r="L1803" t="n">
        <v>0</v>
      </c>
      <c r="M1803" t="n">
        <v>0</v>
      </c>
      <c r="N1803" t="n">
        <v>0</v>
      </c>
      <c r="O1803" t="n">
        <v>0</v>
      </c>
      <c r="P1803" t="n">
        <v>0</v>
      </c>
      <c r="Q1803" t="n">
        <v>0</v>
      </c>
      <c r="R1803" s="2" t="inlineStr"/>
    </row>
    <row r="1804" ht="15" customHeight="1">
      <c r="A1804" t="inlineStr">
        <is>
          <t>A 58106-2021</t>
        </is>
      </c>
      <c r="B1804" s="1" t="n">
        <v>44487</v>
      </c>
      <c r="C1804" s="1" t="n">
        <v>45724</v>
      </c>
      <c r="D1804" t="inlineStr">
        <is>
          <t>VÄSTMANLANDS LÄN</t>
        </is>
      </c>
      <c r="E1804" t="inlineStr">
        <is>
          <t>SALA</t>
        </is>
      </c>
      <c r="F1804" t="inlineStr">
        <is>
          <t>Sveaskog</t>
        </is>
      </c>
      <c r="G1804" t="n">
        <v>4.5</v>
      </c>
      <c r="H1804" t="n">
        <v>0</v>
      </c>
      <c r="I1804" t="n">
        <v>0</v>
      </c>
      <c r="J1804" t="n">
        <v>0</v>
      </c>
      <c r="K1804" t="n">
        <v>0</v>
      </c>
      <c r="L1804" t="n">
        <v>0</v>
      </c>
      <c r="M1804" t="n">
        <v>0</v>
      </c>
      <c r="N1804" t="n">
        <v>0</v>
      </c>
      <c r="O1804" t="n">
        <v>0</v>
      </c>
      <c r="P1804" t="n">
        <v>0</v>
      </c>
      <c r="Q1804" t="n">
        <v>0</v>
      </c>
      <c r="R1804" s="2" t="inlineStr"/>
    </row>
    <row r="1805" ht="15" customHeight="1">
      <c r="A1805" t="inlineStr">
        <is>
          <t>A 58366-2021</t>
        </is>
      </c>
      <c r="B1805" s="1" t="n">
        <v>44488</v>
      </c>
      <c r="C1805" s="1" t="n">
        <v>45724</v>
      </c>
      <c r="D1805" t="inlineStr">
        <is>
          <t>VÄSTMANLANDS LÄN</t>
        </is>
      </c>
      <c r="E1805" t="inlineStr">
        <is>
          <t>KÖPING</t>
        </is>
      </c>
      <c r="G1805" t="n">
        <v>2.5</v>
      </c>
      <c r="H1805" t="n">
        <v>0</v>
      </c>
      <c r="I1805" t="n">
        <v>0</v>
      </c>
      <c r="J1805" t="n">
        <v>0</v>
      </c>
      <c r="K1805" t="n">
        <v>0</v>
      </c>
      <c r="L1805" t="n">
        <v>0</v>
      </c>
      <c r="M1805" t="n">
        <v>0</v>
      </c>
      <c r="N1805" t="n">
        <v>0</v>
      </c>
      <c r="O1805" t="n">
        <v>0</v>
      </c>
      <c r="P1805" t="n">
        <v>0</v>
      </c>
      <c r="Q1805" t="n">
        <v>0</v>
      </c>
      <c r="R1805" s="2" t="inlineStr"/>
    </row>
    <row r="1806" ht="15" customHeight="1">
      <c r="A1806" t="inlineStr">
        <is>
          <t>A 58371-2021</t>
        </is>
      </c>
      <c r="B1806" s="1" t="n">
        <v>44488</v>
      </c>
      <c r="C1806" s="1" t="n">
        <v>45724</v>
      </c>
      <c r="D1806" t="inlineStr">
        <is>
          <t>VÄSTMANLANDS LÄN</t>
        </is>
      </c>
      <c r="E1806" t="inlineStr">
        <is>
          <t>KÖPING</t>
        </is>
      </c>
      <c r="G1806" t="n">
        <v>0.3</v>
      </c>
      <c r="H1806" t="n">
        <v>0</v>
      </c>
      <c r="I1806" t="n">
        <v>0</v>
      </c>
      <c r="J1806" t="n">
        <v>0</v>
      </c>
      <c r="K1806" t="n">
        <v>0</v>
      </c>
      <c r="L1806" t="n">
        <v>0</v>
      </c>
      <c r="M1806" t="n">
        <v>0</v>
      </c>
      <c r="N1806" t="n">
        <v>0</v>
      </c>
      <c r="O1806" t="n">
        <v>0</v>
      </c>
      <c r="P1806" t="n">
        <v>0</v>
      </c>
      <c r="Q1806" t="n">
        <v>0</v>
      </c>
      <c r="R1806" s="2" t="inlineStr"/>
    </row>
    <row r="1807" ht="15" customHeight="1">
      <c r="A1807" t="inlineStr">
        <is>
          <t>A 58522-2021</t>
        </is>
      </c>
      <c r="B1807" s="1" t="n">
        <v>44488</v>
      </c>
      <c r="C1807" s="1" t="n">
        <v>45724</v>
      </c>
      <c r="D1807" t="inlineStr">
        <is>
          <t>VÄSTMANLANDS LÄN</t>
        </is>
      </c>
      <c r="E1807" t="inlineStr">
        <is>
          <t>SALA</t>
        </is>
      </c>
      <c r="G1807" t="n">
        <v>0.3</v>
      </c>
      <c r="H1807" t="n">
        <v>0</v>
      </c>
      <c r="I1807" t="n">
        <v>0</v>
      </c>
      <c r="J1807" t="n">
        <v>0</v>
      </c>
      <c r="K1807" t="n">
        <v>0</v>
      </c>
      <c r="L1807" t="n">
        <v>0</v>
      </c>
      <c r="M1807" t="n">
        <v>0</v>
      </c>
      <c r="N1807" t="n">
        <v>0</v>
      </c>
      <c r="O1807" t="n">
        <v>0</v>
      </c>
      <c r="P1807" t="n">
        <v>0</v>
      </c>
      <c r="Q1807" t="n">
        <v>0</v>
      </c>
      <c r="R1807" s="2" t="inlineStr"/>
    </row>
    <row r="1808" ht="15" customHeight="1">
      <c r="A1808" t="inlineStr">
        <is>
          <t>A 58514-2021</t>
        </is>
      </c>
      <c r="B1808" s="1" t="n">
        <v>44488</v>
      </c>
      <c r="C1808" s="1" t="n">
        <v>45724</v>
      </c>
      <c r="D1808" t="inlineStr">
        <is>
          <t>VÄSTMANLANDS LÄN</t>
        </is>
      </c>
      <c r="E1808" t="inlineStr">
        <is>
          <t>NORBERG</t>
        </is>
      </c>
      <c r="G1808" t="n">
        <v>3.5</v>
      </c>
      <c r="H1808" t="n">
        <v>0</v>
      </c>
      <c r="I1808" t="n">
        <v>0</v>
      </c>
      <c r="J1808" t="n">
        <v>0</v>
      </c>
      <c r="K1808" t="n">
        <v>0</v>
      </c>
      <c r="L1808" t="n">
        <v>0</v>
      </c>
      <c r="M1808" t="n">
        <v>0</v>
      </c>
      <c r="N1808" t="n">
        <v>0</v>
      </c>
      <c r="O1808" t="n">
        <v>0</v>
      </c>
      <c r="P1808" t="n">
        <v>0</v>
      </c>
      <c r="Q1808" t="n">
        <v>0</v>
      </c>
      <c r="R1808" s="2" t="inlineStr"/>
    </row>
    <row r="1809" ht="15" customHeight="1">
      <c r="A1809" t="inlineStr">
        <is>
          <t>A 58551-2021</t>
        </is>
      </c>
      <c r="B1809" s="1" t="n">
        <v>44488</v>
      </c>
      <c r="C1809" s="1" t="n">
        <v>45724</v>
      </c>
      <c r="D1809" t="inlineStr">
        <is>
          <t>VÄSTMANLANDS LÄN</t>
        </is>
      </c>
      <c r="E1809" t="inlineStr">
        <is>
          <t>KÖPING</t>
        </is>
      </c>
      <c r="G1809" t="n">
        <v>0.5</v>
      </c>
      <c r="H1809" t="n">
        <v>0</v>
      </c>
      <c r="I1809" t="n">
        <v>0</v>
      </c>
      <c r="J1809" t="n">
        <v>0</v>
      </c>
      <c r="K1809" t="n">
        <v>0</v>
      </c>
      <c r="L1809" t="n">
        <v>0</v>
      </c>
      <c r="M1809" t="n">
        <v>0</v>
      </c>
      <c r="N1809" t="n">
        <v>0</v>
      </c>
      <c r="O1809" t="n">
        <v>0</v>
      </c>
      <c r="P1809" t="n">
        <v>0</v>
      </c>
      <c r="Q1809" t="n">
        <v>0</v>
      </c>
      <c r="R1809" s="2" t="inlineStr"/>
    </row>
    <row r="1810" ht="15" customHeight="1">
      <c r="A1810" t="inlineStr">
        <is>
          <t>A 58701-2021</t>
        </is>
      </c>
      <c r="B1810" s="1" t="n">
        <v>44489</v>
      </c>
      <c r="C1810" s="1" t="n">
        <v>45724</v>
      </c>
      <c r="D1810" t="inlineStr">
        <is>
          <t>VÄSTMANLANDS LÄN</t>
        </is>
      </c>
      <c r="E1810" t="inlineStr">
        <is>
          <t>SALA</t>
        </is>
      </c>
      <c r="G1810" t="n">
        <v>0.7</v>
      </c>
      <c r="H1810" t="n">
        <v>0</v>
      </c>
      <c r="I1810" t="n">
        <v>0</v>
      </c>
      <c r="J1810" t="n">
        <v>0</v>
      </c>
      <c r="K1810" t="n">
        <v>0</v>
      </c>
      <c r="L1810" t="n">
        <v>0</v>
      </c>
      <c r="M1810" t="n">
        <v>0</v>
      </c>
      <c r="N1810" t="n">
        <v>0</v>
      </c>
      <c r="O1810" t="n">
        <v>0</v>
      </c>
      <c r="P1810" t="n">
        <v>0</v>
      </c>
      <c r="Q1810" t="n">
        <v>0</v>
      </c>
      <c r="R1810" s="2" t="inlineStr"/>
    </row>
    <row r="1811" ht="15" customHeight="1">
      <c r="A1811" t="inlineStr">
        <is>
          <t>A 59119-2021</t>
        </is>
      </c>
      <c r="B1811" s="1" t="n">
        <v>44489</v>
      </c>
      <c r="C1811" s="1" t="n">
        <v>45724</v>
      </c>
      <c r="D1811" t="inlineStr">
        <is>
          <t>VÄSTMANLANDS LÄN</t>
        </is>
      </c>
      <c r="E1811" t="inlineStr">
        <is>
          <t>SKINNSKATTEBERG</t>
        </is>
      </c>
      <c r="G1811" t="n">
        <v>4</v>
      </c>
      <c r="H1811" t="n">
        <v>0</v>
      </c>
      <c r="I1811" t="n">
        <v>0</v>
      </c>
      <c r="J1811" t="n">
        <v>0</v>
      </c>
      <c r="K1811" t="n">
        <v>0</v>
      </c>
      <c r="L1811" t="n">
        <v>0</v>
      </c>
      <c r="M1811" t="n">
        <v>0</v>
      </c>
      <c r="N1811" t="n">
        <v>0</v>
      </c>
      <c r="O1811" t="n">
        <v>0</v>
      </c>
      <c r="P1811" t="n">
        <v>0</v>
      </c>
      <c r="Q1811" t="n">
        <v>0</v>
      </c>
      <c r="R1811" s="2" t="inlineStr"/>
    </row>
    <row r="1812" ht="15" customHeight="1">
      <c r="A1812" t="inlineStr">
        <is>
          <t>A 59428-2021</t>
        </is>
      </c>
      <c r="B1812" s="1" t="n">
        <v>44491</v>
      </c>
      <c r="C1812" s="1" t="n">
        <v>45724</v>
      </c>
      <c r="D1812" t="inlineStr">
        <is>
          <t>VÄSTMANLANDS LÄN</t>
        </is>
      </c>
      <c r="E1812" t="inlineStr">
        <is>
          <t>SKINNSKATTEBERG</t>
        </is>
      </c>
      <c r="F1812" t="inlineStr">
        <is>
          <t>Sveaskog</t>
        </is>
      </c>
      <c r="G1812" t="n">
        <v>1.3</v>
      </c>
      <c r="H1812" t="n">
        <v>0</v>
      </c>
      <c r="I1812" t="n">
        <v>0</v>
      </c>
      <c r="J1812" t="n">
        <v>0</v>
      </c>
      <c r="K1812" t="n">
        <v>0</v>
      </c>
      <c r="L1812" t="n">
        <v>0</v>
      </c>
      <c r="M1812" t="n">
        <v>0</v>
      </c>
      <c r="N1812" t="n">
        <v>0</v>
      </c>
      <c r="O1812" t="n">
        <v>0</v>
      </c>
      <c r="P1812" t="n">
        <v>0</v>
      </c>
      <c r="Q1812" t="n">
        <v>0</v>
      </c>
      <c r="R1812" s="2" t="inlineStr"/>
    </row>
    <row r="1813" ht="15" customHeight="1">
      <c r="A1813" t="inlineStr">
        <is>
          <t>A 59417-2021</t>
        </is>
      </c>
      <c r="B1813" s="1" t="n">
        <v>44491</v>
      </c>
      <c r="C1813" s="1" t="n">
        <v>45724</v>
      </c>
      <c r="D1813" t="inlineStr">
        <is>
          <t>VÄSTMANLANDS LÄN</t>
        </is>
      </c>
      <c r="E1813" t="inlineStr">
        <is>
          <t>SKINNSKATTEBERG</t>
        </is>
      </c>
      <c r="F1813" t="inlineStr">
        <is>
          <t>Sveaskog</t>
        </is>
      </c>
      <c r="G1813" t="n">
        <v>1.1</v>
      </c>
      <c r="H1813" t="n">
        <v>0</v>
      </c>
      <c r="I1813" t="n">
        <v>0</v>
      </c>
      <c r="J1813" t="n">
        <v>0</v>
      </c>
      <c r="K1813" t="n">
        <v>0</v>
      </c>
      <c r="L1813" t="n">
        <v>0</v>
      </c>
      <c r="M1813" t="n">
        <v>0</v>
      </c>
      <c r="N1813" t="n">
        <v>0</v>
      </c>
      <c r="O1813" t="n">
        <v>0</v>
      </c>
      <c r="P1813" t="n">
        <v>0</v>
      </c>
      <c r="Q1813" t="n">
        <v>0</v>
      </c>
      <c r="R1813" s="2" t="inlineStr"/>
    </row>
    <row r="1814" ht="15" customHeight="1">
      <c r="A1814" t="inlineStr">
        <is>
          <t>A 59423-2021</t>
        </is>
      </c>
      <c r="B1814" s="1" t="n">
        <v>44491</v>
      </c>
      <c r="C1814" s="1" t="n">
        <v>45724</v>
      </c>
      <c r="D1814" t="inlineStr">
        <is>
          <t>VÄSTMANLANDS LÄN</t>
        </is>
      </c>
      <c r="E1814" t="inlineStr">
        <is>
          <t>SKINNSKATTEBERG</t>
        </is>
      </c>
      <c r="F1814" t="inlineStr">
        <is>
          <t>Sveaskog</t>
        </is>
      </c>
      <c r="G1814" t="n">
        <v>0.8</v>
      </c>
      <c r="H1814" t="n">
        <v>0</v>
      </c>
      <c r="I1814" t="n">
        <v>0</v>
      </c>
      <c r="J1814" t="n">
        <v>0</v>
      </c>
      <c r="K1814" t="n">
        <v>0</v>
      </c>
      <c r="L1814" t="n">
        <v>0</v>
      </c>
      <c r="M1814" t="n">
        <v>0</v>
      </c>
      <c r="N1814" t="n">
        <v>0</v>
      </c>
      <c r="O1814" t="n">
        <v>0</v>
      </c>
      <c r="P1814" t="n">
        <v>0</v>
      </c>
      <c r="Q1814" t="n">
        <v>0</v>
      </c>
      <c r="R1814" s="2" t="inlineStr"/>
    </row>
    <row r="1815" ht="15" customHeight="1">
      <c r="A1815" t="inlineStr">
        <is>
          <t>A 59597-2021</t>
        </is>
      </c>
      <c r="B1815" s="1" t="n">
        <v>44491</v>
      </c>
      <c r="C1815" s="1" t="n">
        <v>45724</v>
      </c>
      <c r="D1815" t="inlineStr">
        <is>
          <t>VÄSTMANLANDS LÄN</t>
        </is>
      </c>
      <c r="E1815" t="inlineStr">
        <is>
          <t>KUNGSÖR</t>
        </is>
      </c>
      <c r="G1815" t="n">
        <v>3.7</v>
      </c>
      <c r="H1815" t="n">
        <v>0</v>
      </c>
      <c r="I1815" t="n">
        <v>0</v>
      </c>
      <c r="J1815" t="n">
        <v>0</v>
      </c>
      <c r="K1815" t="n">
        <v>0</v>
      </c>
      <c r="L1815" t="n">
        <v>0</v>
      </c>
      <c r="M1815" t="n">
        <v>0</v>
      </c>
      <c r="N1815" t="n">
        <v>0</v>
      </c>
      <c r="O1815" t="n">
        <v>0</v>
      </c>
      <c r="P1815" t="n">
        <v>0</v>
      </c>
      <c r="Q1815" t="n">
        <v>0</v>
      </c>
      <c r="R1815" s="2" t="inlineStr"/>
    </row>
    <row r="1816" ht="15" customHeight="1">
      <c r="A1816" t="inlineStr">
        <is>
          <t>A 59603-2021</t>
        </is>
      </c>
      <c r="B1816" s="1" t="n">
        <v>44491</v>
      </c>
      <c r="C1816" s="1" t="n">
        <v>45724</v>
      </c>
      <c r="D1816" t="inlineStr">
        <is>
          <t>VÄSTMANLANDS LÄN</t>
        </is>
      </c>
      <c r="E1816" t="inlineStr">
        <is>
          <t>KUNGSÖR</t>
        </is>
      </c>
      <c r="G1816" t="n">
        <v>4.9</v>
      </c>
      <c r="H1816" t="n">
        <v>0</v>
      </c>
      <c r="I1816" t="n">
        <v>0</v>
      </c>
      <c r="J1816" t="n">
        <v>0</v>
      </c>
      <c r="K1816" t="n">
        <v>0</v>
      </c>
      <c r="L1816" t="n">
        <v>0</v>
      </c>
      <c r="M1816" t="n">
        <v>0</v>
      </c>
      <c r="N1816" t="n">
        <v>0</v>
      </c>
      <c r="O1816" t="n">
        <v>0</v>
      </c>
      <c r="P1816" t="n">
        <v>0</v>
      </c>
      <c r="Q1816" t="n">
        <v>0</v>
      </c>
      <c r="R1816" s="2" t="inlineStr"/>
    </row>
    <row r="1817" ht="15" customHeight="1">
      <c r="A1817" t="inlineStr">
        <is>
          <t>A 59612-2021</t>
        </is>
      </c>
      <c r="B1817" s="1" t="n">
        <v>44491</v>
      </c>
      <c r="C1817" s="1" t="n">
        <v>45724</v>
      </c>
      <c r="D1817" t="inlineStr">
        <is>
          <t>VÄSTMANLANDS LÄN</t>
        </is>
      </c>
      <c r="E1817" t="inlineStr">
        <is>
          <t>KUNGSÖR</t>
        </is>
      </c>
      <c r="G1817" t="n">
        <v>3.2</v>
      </c>
      <c r="H1817" t="n">
        <v>0</v>
      </c>
      <c r="I1817" t="n">
        <v>0</v>
      </c>
      <c r="J1817" t="n">
        <v>0</v>
      </c>
      <c r="K1817" t="n">
        <v>0</v>
      </c>
      <c r="L1817" t="n">
        <v>0</v>
      </c>
      <c r="M1817" t="n">
        <v>0</v>
      </c>
      <c r="N1817" t="n">
        <v>0</v>
      </c>
      <c r="O1817" t="n">
        <v>0</v>
      </c>
      <c r="P1817" t="n">
        <v>0</v>
      </c>
      <c r="Q1817" t="n">
        <v>0</v>
      </c>
      <c r="R1817" s="2" t="inlineStr"/>
    </row>
    <row r="1818" ht="15" customHeight="1">
      <c r="A1818" t="inlineStr">
        <is>
          <t>A 59609-2021</t>
        </is>
      </c>
      <c r="B1818" s="1" t="n">
        <v>44491</v>
      </c>
      <c r="C1818" s="1" t="n">
        <v>45724</v>
      </c>
      <c r="D1818" t="inlineStr">
        <is>
          <t>VÄSTMANLANDS LÄN</t>
        </is>
      </c>
      <c r="E1818" t="inlineStr">
        <is>
          <t>KUNGSÖR</t>
        </is>
      </c>
      <c r="G1818" t="n">
        <v>12.7</v>
      </c>
      <c r="H1818" t="n">
        <v>0</v>
      </c>
      <c r="I1818" t="n">
        <v>0</v>
      </c>
      <c r="J1818" t="n">
        <v>0</v>
      </c>
      <c r="K1818" t="n">
        <v>0</v>
      </c>
      <c r="L1818" t="n">
        <v>0</v>
      </c>
      <c r="M1818" t="n">
        <v>0</v>
      </c>
      <c r="N1818" t="n">
        <v>0</v>
      </c>
      <c r="O1818" t="n">
        <v>0</v>
      </c>
      <c r="P1818" t="n">
        <v>0</v>
      </c>
      <c r="Q1818" t="n">
        <v>0</v>
      </c>
      <c r="R1818" s="2" t="inlineStr"/>
    </row>
    <row r="1819" ht="15" customHeight="1">
      <c r="A1819" t="inlineStr">
        <is>
          <t>A 59615-2021</t>
        </is>
      </c>
      <c r="B1819" s="1" t="n">
        <v>44491</v>
      </c>
      <c r="C1819" s="1" t="n">
        <v>45724</v>
      </c>
      <c r="D1819" t="inlineStr">
        <is>
          <t>VÄSTMANLANDS LÄN</t>
        </is>
      </c>
      <c r="E1819" t="inlineStr">
        <is>
          <t>KUNGSÖR</t>
        </is>
      </c>
      <c r="G1819" t="n">
        <v>6.8</v>
      </c>
      <c r="H1819" t="n">
        <v>0</v>
      </c>
      <c r="I1819" t="n">
        <v>0</v>
      </c>
      <c r="J1819" t="n">
        <v>0</v>
      </c>
      <c r="K1819" t="n">
        <v>0</v>
      </c>
      <c r="L1819" t="n">
        <v>0</v>
      </c>
      <c r="M1819" t="n">
        <v>0</v>
      </c>
      <c r="N1819" t="n">
        <v>0</v>
      </c>
      <c r="O1819" t="n">
        <v>0</v>
      </c>
      <c r="P1819" t="n">
        <v>0</v>
      </c>
      <c r="Q1819" t="n">
        <v>0</v>
      </c>
      <c r="R1819" s="2" t="inlineStr"/>
    </row>
    <row r="1820" ht="15" customHeight="1">
      <c r="A1820" t="inlineStr">
        <is>
          <t>A 59715-2021</t>
        </is>
      </c>
      <c r="B1820" s="1" t="n">
        <v>44494</v>
      </c>
      <c r="C1820" s="1" t="n">
        <v>45724</v>
      </c>
      <c r="D1820" t="inlineStr">
        <is>
          <t>VÄSTMANLANDS LÄN</t>
        </is>
      </c>
      <c r="E1820" t="inlineStr">
        <is>
          <t>ARBOGA</t>
        </is>
      </c>
      <c r="G1820" t="n">
        <v>2</v>
      </c>
      <c r="H1820" t="n">
        <v>0</v>
      </c>
      <c r="I1820" t="n">
        <v>0</v>
      </c>
      <c r="J1820" t="n">
        <v>0</v>
      </c>
      <c r="K1820" t="n">
        <v>0</v>
      </c>
      <c r="L1820" t="n">
        <v>0</v>
      </c>
      <c r="M1820" t="n">
        <v>0</v>
      </c>
      <c r="N1820" t="n">
        <v>0</v>
      </c>
      <c r="O1820" t="n">
        <v>0</v>
      </c>
      <c r="P1820" t="n">
        <v>0</v>
      </c>
      <c r="Q1820" t="n">
        <v>0</v>
      </c>
      <c r="R1820" s="2" t="inlineStr"/>
    </row>
    <row r="1821" ht="15" customHeight="1">
      <c r="A1821" t="inlineStr">
        <is>
          <t>A 60031-2021</t>
        </is>
      </c>
      <c r="B1821" s="1" t="n">
        <v>44495</v>
      </c>
      <c r="C1821" s="1" t="n">
        <v>45724</v>
      </c>
      <c r="D1821" t="inlineStr">
        <is>
          <t>VÄSTMANLANDS LÄN</t>
        </is>
      </c>
      <c r="E1821" t="inlineStr">
        <is>
          <t>SALA</t>
        </is>
      </c>
      <c r="G1821" t="n">
        <v>4.3</v>
      </c>
      <c r="H1821" t="n">
        <v>0</v>
      </c>
      <c r="I1821" t="n">
        <v>0</v>
      </c>
      <c r="J1821" t="n">
        <v>0</v>
      </c>
      <c r="K1821" t="n">
        <v>0</v>
      </c>
      <c r="L1821" t="n">
        <v>0</v>
      </c>
      <c r="M1821" t="n">
        <v>0</v>
      </c>
      <c r="N1821" t="n">
        <v>0</v>
      </c>
      <c r="O1821" t="n">
        <v>0</v>
      </c>
      <c r="P1821" t="n">
        <v>0</v>
      </c>
      <c r="Q1821" t="n">
        <v>0</v>
      </c>
      <c r="R1821" s="2" t="inlineStr"/>
    </row>
    <row r="1822" ht="15" customHeight="1">
      <c r="A1822" t="inlineStr">
        <is>
          <t>A 60627-2021</t>
        </is>
      </c>
      <c r="B1822" s="1" t="n">
        <v>44496</v>
      </c>
      <c r="C1822" s="1" t="n">
        <v>45724</v>
      </c>
      <c r="D1822" t="inlineStr">
        <is>
          <t>VÄSTMANLANDS LÄN</t>
        </is>
      </c>
      <c r="E1822" t="inlineStr">
        <is>
          <t>KÖPING</t>
        </is>
      </c>
      <c r="G1822" t="n">
        <v>1.4</v>
      </c>
      <c r="H1822" t="n">
        <v>0</v>
      </c>
      <c r="I1822" t="n">
        <v>0</v>
      </c>
      <c r="J1822" t="n">
        <v>0</v>
      </c>
      <c r="K1822" t="n">
        <v>0</v>
      </c>
      <c r="L1822" t="n">
        <v>0</v>
      </c>
      <c r="M1822" t="n">
        <v>0</v>
      </c>
      <c r="N1822" t="n">
        <v>0</v>
      </c>
      <c r="O1822" t="n">
        <v>0</v>
      </c>
      <c r="P1822" t="n">
        <v>0</v>
      </c>
      <c r="Q1822" t="n">
        <v>0</v>
      </c>
      <c r="R1822" s="2" t="inlineStr"/>
    </row>
    <row r="1823" ht="15" customHeight="1">
      <c r="A1823" t="inlineStr">
        <is>
          <t>A 60951-2021</t>
        </is>
      </c>
      <c r="B1823" s="1" t="n">
        <v>44497</v>
      </c>
      <c r="C1823" s="1" t="n">
        <v>45724</v>
      </c>
      <c r="D1823" t="inlineStr">
        <is>
          <t>VÄSTMANLANDS LÄN</t>
        </is>
      </c>
      <c r="E1823" t="inlineStr">
        <is>
          <t>SALA</t>
        </is>
      </c>
      <c r="G1823" t="n">
        <v>1.4</v>
      </c>
      <c r="H1823" t="n">
        <v>0</v>
      </c>
      <c r="I1823" t="n">
        <v>0</v>
      </c>
      <c r="J1823" t="n">
        <v>0</v>
      </c>
      <c r="K1823" t="n">
        <v>0</v>
      </c>
      <c r="L1823" t="n">
        <v>0</v>
      </c>
      <c r="M1823" t="n">
        <v>0</v>
      </c>
      <c r="N1823" t="n">
        <v>0</v>
      </c>
      <c r="O1823" t="n">
        <v>0</v>
      </c>
      <c r="P1823" t="n">
        <v>0</v>
      </c>
      <c r="Q1823" t="n">
        <v>0</v>
      </c>
      <c r="R1823" s="2" t="inlineStr"/>
    </row>
    <row r="1824" ht="15" customHeight="1">
      <c r="A1824" t="inlineStr">
        <is>
          <t>A 61249-2021</t>
        </is>
      </c>
      <c r="B1824" s="1" t="n">
        <v>44498</v>
      </c>
      <c r="C1824" s="1" t="n">
        <v>45724</v>
      </c>
      <c r="D1824" t="inlineStr">
        <is>
          <t>VÄSTMANLANDS LÄN</t>
        </is>
      </c>
      <c r="E1824" t="inlineStr">
        <is>
          <t>VÄSTERÅS</t>
        </is>
      </c>
      <c r="G1824" t="n">
        <v>4.2</v>
      </c>
      <c r="H1824" t="n">
        <v>0</v>
      </c>
      <c r="I1824" t="n">
        <v>0</v>
      </c>
      <c r="J1824" t="n">
        <v>0</v>
      </c>
      <c r="K1824" t="n">
        <v>0</v>
      </c>
      <c r="L1824" t="n">
        <v>0</v>
      </c>
      <c r="M1824" t="n">
        <v>0</v>
      </c>
      <c r="N1824" t="n">
        <v>0</v>
      </c>
      <c r="O1824" t="n">
        <v>0</v>
      </c>
      <c r="P1824" t="n">
        <v>0</v>
      </c>
      <c r="Q1824" t="n">
        <v>0</v>
      </c>
      <c r="R1824" s="2" t="inlineStr"/>
    </row>
    <row r="1825" ht="15" customHeight="1">
      <c r="A1825" t="inlineStr">
        <is>
          <t>A 61181-2021</t>
        </is>
      </c>
      <c r="B1825" s="1" t="n">
        <v>44498</v>
      </c>
      <c r="C1825" s="1" t="n">
        <v>45724</v>
      </c>
      <c r="D1825" t="inlineStr">
        <is>
          <t>VÄSTMANLANDS LÄN</t>
        </is>
      </c>
      <c r="E1825" t="inlineStr">
        <is>
          <t>SKINNSKATTEBERG</t>
        </is>
      </c>
      <c r="F1825" t="inlineStr">
        <is>
          <t>Sveaskog</t>
        </is>
      </c>
      <c r="G1825" t="n">
        <v>7.5</v>
      </c>
      <c r="H1825" t="n">
        <v>0</v>
      </c>
      <c r="I1825" t="n">
        <v>0</v>
      </c>
      <c r="J1825" t="n">
        <v>0</v>
      </c>
      <c r="K1825" t="n">
        <v>0</v>
      </c>
      <c r="L1825" t="n">
        <v>0</v>
      </c>
      <c r="M1825" t="n">
        <v>0</v>
      </c>
      <c r="N1825" t="n">
        <v>0</v>
      </c>
      <c r="O1825" t="n">
        <v>0</v>
      </c>
      <c r="P1825" t="n">
        <v>0</v>
      </c>
      <c r="Q1825" t="n">
        <v>0</v>
      </c>
      <c r="R1825" s="2" t="inlineStr"/>
    </row>
    <row r="1826" ht="15" customHeight="1">
      <c r="A1826" t="inlineStr">
        <is>
          <t>A 61389-2021</t>
        </is>
      </c>
      <c r="B1826" s="1" t="n">
        <v>44500</v>
      </c>
      <c r="C1826" s="1" t="n">
        <v>45724</v>
      </c>
      <c r="D1826" t="inlineStr">
        <is>
          <t>VÄSTMANLANDS LÄN</t>
        </is>
      </c>
      <c r="E1826" t="inlineStr">
        <is>
          <t>KÖPING</t>
        </is>
      </c>
      <c r="G1826" t="n">
        <v>1.5</v>
      </c>
      <c r="H1826" t="n">
        <v>0</v>
      </c>
      <c r="I1826" t="n">
        <v>0</v>
      </c>
      <c r="J1826" t="n">
        <v>0</v>
      </c>
      <c r="K1826" t="n">
        <v>0</v>
      </c>
      <c r="L1826" t="n">
        <v>0</v>
      </c>
      <c r="M1826" t="n">
        <v>0</v>
      </c>
      <c r="N1826" t="n">
        <v>0</v>
      </c>
      <c r="O1826" t="n">
        <v>0</v>
      </c>
      <c r="P1826" t="n">
        <v>0</v>
      </c>
      <c r="Q1826" t="n">
        <v>0</v>
      </c>
      <c r="R1826" s="2" t="inlineStr"/>
    </row>
    <row r="1827" ht="15" customHeight="1">
      <c r="A1827" t="inlineStr">
        <is>
          <t>A 61892-2021</t>
        </is>
      </c>
      <c r="B1827" s="1" t="n">
        <v>44502</v>
      </c>
      <c r="C1827" s="1" t="n">
        <v>45724</v>
      </c>
      <c r="D1827" t="inlineStr">
        <is>
          <t>VÄSTMANLANDS LÄN</t>
        </is>
      </c>
      <c r="E1827" t="inlineStr">
        <is>
          <t>SALA</t>
        </is>
      </c>
      <c r="G1827" t="n">
        <v>1.4</v>
      </c>
      <c r="H1827" t="n">
        <v>0</v>
      </c>
      <c r="I1827" t="n">
        <v>0</v>
      </c>
      <c r="J1827" t="n">
        <v>0</v>
      </c>
      <c r="K1827" t="n">
        <v>0</v>
      </c>
      <c r="L1827" t="n">
        <v>0</v>
      </c>
      <c r="M1827" t="n">
        <v>0</v>
      </c>
      <c r="N1827" t="n">
        <v>0</v>
      </c>
      <c r="O1827" t="n">
        <v>0</v>
      </c>
      <c r="P1827" t="n">
        <v>0</v>
      </c>
      <c r="Q1827" t="n">
        <v>0</v>
      </c>
      <c r="R1827" s="2" t="inlineStr"/>
    </row>
    <row r="1828" ht="15" customHeight="1">
      <c r="A1828" t="inlineStr">
        <is>
          <t>A 61874-2021</t>
        </is>
      </c>
      <c r="B1828" s="1" t="n">
        <v>44502</v>
      </c>
      <c r="C1828" s="1" t="n">
        <v>45724</v>
      </c>
      <c r="D1828" t="inlineStr">
        <is>
          <t>VÄSTMANLANDS LÄN</t>
        </is>
      </c>
      <c r="E1828" t="inlineStr">
        <is>
          <t>SALA</t>
        </is>
      </c>
      <c r="F1828" t="inlineStr">
        <is>
          <t>Kyrkan</t>
        </is>
      </c>
      <c r="G1828" t="n">
        <v>1.3</v>
      </c>
      <c r="H1828" t="n">
        <v>0</v>
      </c>
      <c r="I1828" t="n">
        <v>0</v>
      </c>
      <c r="J1828" t="n">
        <v>0</v>
      </c>
      <c r="K1828" t="n">
        <v>0</v>
      </c>
      <c r="L1828" t="n">
        <v>0</v>
      </c>
      <c r="M1828" t="n">
        <v>0</v>
      </c>
      <c r="N1828" t="n">
        <v>0</v>
      </c>
      <c r="O1828" t="n">
        <v>0</v>
      </c>
      <c r="P1828" t="n">
        <v>0</v>
      </c>
      <c r="Q1828" t="n">
        <v>0</v>
      </c>
      <c r="R1828" s="2" t="inlineStr"/>
    </row>
    <row r="1829" ht="15" customHeight="1">
      <c r="A1829" t="inlineStr">
        <is>
          <t>A 61897-2021</t>
        </is>
      </c>
      <c r="B1829" s="1" t="n">
        <v>44502</v>
      </c>
      <c r="C1829" s="1" t="n">
        <v>45724</v>
      </c>
      <c r="D1829" t="inlineStr">
        <is>
          <t>VÄSTMANLANDS LÄN</t>
        </is>
      </c>
      <c r="E1829" t="inlineStr">
        <is>
          <t>SALA</t>
        </is>
      </c>
      <c r="G1829" t="n">
        <v>0.5</v>
      </c>
      <c r="H1829" t="n">
        <v>0</v>
      </c>
      <c r="I1829" t="n">
        <v>0</v>
      </c>
      <c r="J1829" t="n">
        <v>0</v>
      </c>
      <c r="K1829" t="n">
        <v>0</v>
      </c>
      <c r="L1829" t="n">
        <v>0</v>
      </c>
      <c r="M1829" t="n">
        <v>0</v>
      </c>
      <c r="N1829" t="n">
        <v>0</v>
      </c>
      <c r="O1829" t="n">
        <v>0</v>
      </c>
      <c r="P1829" t="n">
        <v>0</v>
      </c>
      <c r="Q1829" t="n">
        <v>0</v>
      </c>
      <c r="R1829" s="2" t="inlineStr"/>
    </row>
    <row r="1830" ht="15" customHeight="1">
      <c r="A1830" t="inlineStr">
        <is>
          <t>A 68488-2021</t>
        </is>
      </c>
      <c r="B1830" s="1" t="n">
        <v>44502</v>
      </c>
      <c r="C1830" s="1" t="n">
        <v>45724</v>
      </c>
      <c r="D1830" t="inlineStr">
        <is>
          <t>VÄSTMANLANDS LÄN</t>
        </is>
      </c>
      <c r="E1830" t="inlineStr">
        <is>
          <t>HALLSTAHAMMAR</t>
        </is>
      </c>
      <c r="G1830" t="n">
        <v>2</v>
      </c>
      <c r="H1830" t="n">
        <v>0</v>
      </c>
      <c r="I1830" t="n">
        <v>0</v>
      </c>
      <c r="J1830" t="n">
        <v>0</v>
      </c>
      <c r="K1830" t="n">
        <v>0</v>
      </c>
      <c r="L1830" t="n">
        <v>0</v>
      </c>
      <c r="M1830" t="n">
        <v>0</v>
      </c>
      <c r="N1830" t="n">
        <v>0</v>
      </c>
      <c r="O1830" t="n">
        <v>0</v>
      </c>
      <c r="P1830" t="n">
        <v>0</v>
      </c>
      <c r="Q1830" t="n">
        <v>0</v>
      </c>
      <c r="R1830" s="2" t="inlineStr"/>
    </row>
    <row r="1831" ht="15" customHeight="1">
      <c r="A1831" t="inlineStr">
        <is>
          <t>A 62150-2021</t>
        </is>
      </c>
      <c r="B1831" s="1" t="n">
        <v>44502</v>
      </c>
      <c r="C1831" s="1" t="n">
        <v>45724</v>
      </c>
      <c r="D1831" t="inlineStr">
        <is>
          <t>VÄSTMANLANDS LÄN</t>
        </is>
      </c>
      <c r="E1831" t="inlineStr">
        <is>
          <t>KÖPING</t>
        </is>
      </c>
      <c r="G1831" t="n">
        <v>1</v>
      </c>
      <c r="H1831" t="n">
        <v>0</v>
      </c>
      <c r="I1831" t="n">
        <v>0</v>
      </c>
      <c r="J1831" t="n">
        <v>0</v>
      </c>
      <c r="K1831" t="n">
        <v>0</v>
      </c>
      <c r="L1831" t="n">
        <v>0</v>
      </c>
      <c r="M1831" t="n">
        <v>0</v>
      </c>
      <c r="N1831" t="n">
        <v>0</v>
      </c>
      <c r="O1831" t="n">
        <v>0</v>
      </c>
      <c r="P1831" t="n">
        <v>0</v>
      </c>
      <c r="Q1831" t="n">
        <v>0</v>
      </c>
      <c r="R1831" s="2" t="inlineStr"/>
    </row>
    <row r="1832" ht="15" customHeight="1">
      <c r="A1832" t="inlineStr">
        <is>
          <t>A 62705-2021</t>
        </is>
      </c>
      <c r="B1832" s="1" t="n">
        <v>44502</v>
      </c>
      <c r="C1832" s="1" t="n">
        <v>45724</v>
      </c>
      <c r="D1832" t="inlineStr">
        <is>
          <t>VÄSTMANLANDS LÄN</t>
        </is>
      </c>
      <c r="E1832" t="inlineStr">
        <is>
          <t>HALLSTAHAMMAR</t>
        </is>
      </c>
      <c r="G1832" t="n">
        <v>10.2</v>
      </c>
      <c r="H1832" t="n">
        <v>0</v>
      </c>
      <c r="I1832" t="n">
        <v>0</v>
      </c>
      <c r="J1832" t="n">
        <v>0</v>
      </c>
      <c r="K1832" t="n">
        <v>0</v>
      </c>
      <c r="L1832" t="n">
        <v>0</v>
      </c>
      <c r="M1832" t="n">
        <v>0</v>
      </c>
      <c r="N1832" t="n">
        <v>0</v>
      </c>
      <c r="O1832" t="n">
        <v>0</v>
      </c>
      <c r="P1832" t="n">
        <v>0</v>
      </c>
      <c r="Q1832" t="n">
        <v>0</v>
      </c>
      <c r="R1832" s="2" t="inlineStr"/>
    </row>
    <row r="1833" ht="15" customHeight="1">
      <c r="A1833" t="inlineStr">
        <is>
          <t>A 68621-2021</t>
        </is>
      </c>
      <c r="B1833" s="1" t="n">
        <v>44502</v>
      </c>
      <c r="C1833" s="1" t="n">
        <v>45724</v>
      </c>
      <c r="D1833" t="inlineStr">
        <is>
          <t>VÄSTMANLANDS LÄN</t>
        </is>
      </c>
      <c r="E1833" t="inlineStr">
        <is>
          <t>HALLSTAHAMMAR</t>
        </is>
      </c>
      <c r="G1833" t="n">
        <v>3.8</v>
      </c>
      <c r="H1833" t="n">
        <v>0</v>
      </c>
      <c r="I1833" t="n">
        <v>0</v>
      </c>
      <c r="J1833" t="n">
        <v>0</v>
      </c>
      <c r="K1833" t="n">
        <v>0</v>
      </c>
      <c r="L1833" t="n">
        <v>0</v>
      </c>
      <c r="M1833" t="n">
        <v>0</v>
      </c>
      <c r="N1833" t="n">
        <v>0</v>
      </c>
      <c r="O1833" t="n">
        <v>0</v>
      </c>
      <c r="P1833" t="n">
        <v>0</v>
      </c>
      <c r="Q1833" t="n">
        <v>0</v>
      </c>
      <c r="R1833" s="2" t="inlineStr"/>
    </row>
    <row r="1834" ht="15" customHeight="1">
      <c r="A1834" t="inlineStr">
        <is>
          <t>A 68624-2021</t>
        </is>
      </c>
      <c r="B1834" s="1" t="n">
        <v>44502</v>
      </c>
      <c r="C1834" s="1" t="n">
        <v>45724</v>
      </c>
      <c r="D1834" t="inlineStr">
        <is>
          <t>VÄSTMANLANDS LÄN</t>
        </is>
      </c>
      <c r="E1834" t="inlineStr">
        <is>
          <t>HALLSTAHAMMAR</t>
        </is>
      </c>
      <c r="G1834" t="n">
        <v>5.5</v>
      </c>
      <c r="H1834" t="n">
        <v>0</v>
      </c>
      <c r="I1834" t="n">
        <v>0</v>
      </c>
      <c r="J1834" t="n">
        <v>0</v>
      </c>
      <c r="K1834" t="n">
        <v>0</v>
      </c>
      <c r="L1834" t="n">
        <v>0</v>
      </c>
      <c r="M1834" t="n">
        <v>0</v>
      </c>
      <c r="N1834" t="n">
        <v>0</v>
      </c>
      <c r="O1834" t="n">
        <v>0</v>
      </c>
      <c r="P1834" t="n">
        <v>0</v>
      </c>
      <c r="Q1834" t="n">
        <v>0</v>
      </c>
      <c r="R1834" s="2" t="inlineStr"/>
    </row>
    <row r="1835" ht="15" customHeight="1">
      <c r="A1835" t="inlineStr">
        <is>
          <t>A 68619-2021</t>
        </is>
      </c>
      <c r="B1835" s="1" t="n">
        <v>44502</v>
      </c>
      <c r="C1835" s="1" t="n">
        <v>45724</v>
      </c>
      <c r="D1835" t="inlineStr">
        <is>
          <t>VÄSTMANLANDS LÄN</t>
        </is>
      </c>
      <c r="E1835" t="inlineStr">
        <is>
          <t>HALLSTAHAMMAR</t>
        </is>
      </c>
      <c r="G1835" t="n">
        <v>13.5</v>
      </c>
      <c r="H1835" t="n">
        <v>0</v>
      </c>
      <c r="I1835" t="n">
        <v>0</v>
      </c>
      <c r="J1835" t="n">
        <v>0</v>
      </c>
      <c r="K1835" t="n">
        <v>0</v>
      </c>
      <c r="L1835" t="n">
        <v>0</v>
      </c>
      <c r="M1835" t="n">
        <v>0</v>
      </c>
      <c r="N1835" t="n">
        <v>0</v>
      </c>
      <c r="O1835" t="n">
        <v>0</v>
      </c>
      <c r="P1835" t="n">
        <v>0</v>
      </c>
      <c r="Q1835" t="n">
        <v>0</v>
      </c>
      <c r="R1835" s="2" t="inlineStr"/>
    </row>
    <row r="1836" ht="15" customHeight="1">
      <c r="A1836" t="inlineStr">
        <is>
          <t>A 62306-2021</t>
        </is>
      </c>
      <c r="B1836" s="1" t="n">
        <v>44503</v>
      </c>
      <c r="C1836" s="1" t="n">
        <v>45724</v>
      </c>
      <c r="D1836" t="inlineStr">
        <is>
          <t>VÄSTMANLANDS LÄN</t>
        </is>
      </c>
      <c r="E1836" t="inlineStr">
        <is>
          <t>SKINNSKATTEBERG</t>
        </is>
      </c>
      <c r="F1836" t="inlineStr">
        <is>
          <t>Sveaskog</t>
        </is>
      </c>
      <c r="G1836" t="n">
        <v>0.6</v>
      </c>
      <c r="H1836" t="n">
        <v>0</v>
      </c>
      <c r="I1836" t="n">
        <v>0</v>
      </c>
      <c r="J1836" t="n">
        <v>0</v>
      </c>
      <c r="K1836" t="n">
        <v>0</v>
      </c>
      <c r="L1836" t="n">
        <v>0</v>
      </c>
      <c r="M1836" t="n">
        <v>0</v>
      </c>
      <c r="N1836" t="n">
        <v>0</v>
      </c>
      <c r="O1836" t="n">
        <v>0</v>
      </c>
      <c r="P1836" t="n">
        <v>0</v>
      </c>
      <c r="Q1836" t="n">
        <v>0</v>
      </c>
      <c r="R1836" s="2" t="inlineStr"/>
    </row>
    <row r="1837" ht="15" customHeight="1">
      <c r="A1837" t="inlineStr">
        <is>
          <t>A 62499-2021</t>
        </is>
      </c>
      <c r="B1837" s="1" t="n">
        <v>44503</v>
      </c>
      <c r="C1837" s="1" t="n">
        <v>45724</v>
      </c>
      <c r="D1837" t="inlineStr">
        <is>
          <t>VÄSTMANLANDS LÄN</t>
        </is>
      </c>
      <c r="E1837" t="inlineStr">
        <is>
          <t>VÄSTERÅS</t>
        </is>
      </c>
      <c r="G1837" t="n">
        <v>0.4</v>
      </c>
      <c r="H1837" t="n">
        <v>0</v>
      </c>
      <c r="I1837" t="n">
        <v>0</v>
      </c>
      <c r="J1837" t="n">
        <v>0</v>
      </c>
      <c r="K1837" t="n">
        <v>0</v>
      </c>
      <c r="L1837" t="n">
        <v>0</v>
      </c>
      <c r="M1837" t="n">
        <v>0</v>
      </c>
      <c r="N1837" t="n">
        <v>0</v>
      </c>
      <c r="O1837" t="n">
        <v>0</v>
      </c>
      <c r="P1837" t="n">
        <v>0</v>
      </c>
      <c r="Q1837" t="n">
        <v>0</v>
      </c>
      <c r="R1837" s="2" t="inlineStr"/>
    </row>
    <row r="1838" ht="15" customHeight="1">
      <c r="A1838" t="inlineStr">
        <is>
          <t>A 62470-2021</t>
        </is>
      </c>
      <c r="B1838" s="1" t="n">
        <v>44503</v>
      </c>
      <c r="C1838" s="1" t="n">
        <v>45724</v>
      </c>
      <c r="D1838" t="inlineStr">
        <is>
          <t>VÄSTMANLANDS LÄN</t>
        </is>
      </c>
      <c r="E1838" t="inlineStr">
        <is>
          <t>FAGERSTA</t>
        </is>
      </c>
      <c r="F1838" t="inlineStr">
        <is>
          <t>Sveaskog</t>
        </is>
      </c>
      <c r="G1838" t="n">
        <v>1.6</v>
      </c>
      <c r="H1838" t="n">
        <v>0</v>
      </c>
      <c r="I1838" t="n">
        <v>0</v>
      </c>
      <c r="J1838" t="n">
        <v>0</v>
      </c>
      <c r="K1838" t="n">
        <v>0</v>
      </c>
      <c r="L1838" t="n">
        <v>0</v>
      </c>
      <c r="M1838" t="n">
        <v>0</v>
      </c>
      <c r="N1838" t="n">
        <v>0</v>
      </c>
      <c r="O1838" t="n">
        <v>0</v>
      </c>
      <c r="P1838" t="n">
        <v>0</v>
      </c>
      <c r="Q1838" t="n">
        <v>0</v>
      </c>
      <c r="R1838" s="2" t="inlineStr"/>
    </row>
    <row r="1839" ht="15" customHeight="1">
      <c r="A1839" t="inlineStr">
        <is>
          <t>A 62312-2021</t>
        </is>
      </c>
      <c r="B1839" s="1" t="n">
        <v>44503</v>
      </c>
      <c r="C1839" s="1" t="n">
        <v>45724</v>
      </c>
      <c r="D1839" t="inlineStr">
        <is>
          <t>VÄSTMANLANDS LÄN</t>
        </is>
      </c>
      <c r="E1839" t="inlineStr">
        <is>
          <t>SKINNSKATTEBERG</t>
        </is>
      </c>
      <c r="F1839" t="inlineStr">
        <is>
          <t>Sveaskog</t>
        </is>
      </c>
      <c r="G1839" t="n">
        <v>1.3</v>
      </c>
      <c r="H1839" t="n">
        <v>0</v>
      </c>
      <c r="I1839" t="n">
        <v>0</v>
      </c>
      <c r="J1839" t="n">
        <v>0</v>
      </c>
      <c r="K1839" t="n">
        <v>0</v>
      </c>
      <c r="L1839" t="n">
        <v>0</v>
      </c>
      <c r="M1839" t="n">
        <v>0</v>
      </c>
      <c r="N1839" t="n">
        <v>0</v>
      </c>
      <c r="O1839" t="n">
        <v>0</v>
      </c>
      <c r="P1839" t="n">
        <v>0</v>
      </c>
      <c r="Q1839" t="n">
        <v>0</v>
      </c>
      <c r="R1839" s="2" t="inlineStr"/>
    </row>
    <row r="1840" ht="15" customHeight="1">
      <c r="A1840" t="inlineStr">
        <is>
          <t>A 62528-2021</t>
        </is>
      </c>
      <c r="B1840" s="1" t="n">
        <v>44503</v>
      </c>
      <c r="C1840" s="1" t="n">
        <v>45724</v>
      </c>
      <c r="D1840" t="inlineStr">
        <is>
          <t>VÄSTMANLANDS LÄN</t>
        </is>
      </c>
      <c r="E1840" t="inlineStr">
        <is>
          <t>VÄSTERÅS</t>
        </is>
      </c>
      <c r="G1840" t="n">
        <v>2.6</v>
      </c>
      <c r="H1840" t="n">
        <v>0</v>
      </c>
      <c r="I1840" t="n">
        <v>0</v>
      </c>
      <c r="J1840" t="n">
        <v>0</v>
      </c>
      <c r="K1840" t="n">
        <v>0</v>
      </c>
      <c r="L1840" t="n">
        <v>0</v>
      </c>
      <c r="M1840" t="n">
        <v>0</v>
      </c>
      <c r="N1840" t="n">
        <v>0</v>
      </c>
      <c r="O1840" t="n">
        <v>0</v>
      </c>
      <c r="P1840" t="n">
        <v>0</v>
      </c>
      <c r="Q1840" t="n">
        <v>0</v>
      </c>
      <c r="R1840" s="2" t="inlineStr"/>
    </row>
    <row r="1841" ht="15" customHeight="1">
      <c r="A1841" t="inlineStr">
        <is>
          <t>A 62842-2021</t>
        </is>
      </c>
      <c r="B1841" s="1" t="n">
        <v>44504</v>
      </c>
      <c r="C1841" s="1" t="n">
        <v>45724</v>
      </c>
      <c r="D1841" t="inlineStr">
        <is>
          <t>VÄSTMANLANDS LÄN</t>
        </is>
      </c>
      <c r="E1841" t="inlineStr">
        <is>
          <t>SALA</t>
        </is>
      </c>
      <c r="G1841" t="n">
        <v>5.3</v>
      </c>
      <c r="H1841" t="n">
        <v>0</v>
      </c>
      <c r="I1841" t="n">
        <v>0</v>
      </c>
      <c r="J1841" t="n">
        <v>0</v>
      </c>
      <c r="K1841" t="n">
        <v>0</v>
      </c>
      <c r="L1841" t="n">
        <v>0</v>
      </c>
      <c r="M1841" t="n">
        <v>0</v>
      </c>
      <c r="N1841" t="n">
        <v>0</v>
      </c>
      <c r="O1841" t="n">
        <v>0</v>
      </c>
      <c r="P1841" t="n">
        <v>0</v>
      </c>
      <c r="Q1841" t="n">
        <v>0</v>
      </c>
      <c r="R1841" s="2" t="inlineStr"/>
    </row>
    <row r="1842" ht="15" customHeight="1">
      <c r="A1842" t="inlineStr">
        <is>
          <t>A 62793-2021</t>
        </is>
      </c>
      <c r="B1842" s="1" t="n">
        <v>44504</v>
      </c>
      <c r="C1842" s="1" t="n">
        <v>45724</v>
      </c>
      <c r="D1842" t="inlineStr">
        <is>
          <t>VÄSTMANLANDS LÄN</t>
        </is>
      </c>
      <c r="E1842" t="inlineStr">
        <is>
          <t>SALA</t>
        </is>
      </c>
      <c r="G1842" t="n">
        <v>5.7</v>
      </c>
      <c r="H1842" t="n">
        <v>0</v>
      </c>
      <c r="I1842" t="n">
        <v>0</v>
      </c>
      <c r="J1842" t="n">
        <v>0</v>
      </c>
      <c r="K1842" t="n">
        <v>0</v>
      </c>
      <c r="L1842" t="n">
        <v>0</v>
      </c>
      <c r="M1842" t="n">
        <v>0</v>
      </c>
      <c r="N1842" t="n">
        <v>0</v>
      </c>
      <c r="O1842" t="n">
        <v>0</v>
      </c>
      <c r="P1842" t="n">
        <v>0</v>
      </c>
      <c r="Q1842" t="n">
        <v>0</v>
      </c>
      <c r="R1842" s="2" t="inlineStr"/>
    </row>
    <row r="1843" ht="15" customHeight="1">
      <c r="A1843" t="inlineStr">
        <is>
          <t>A 62833-2021</t>
        </is>
      </c>
      <c r="B1843" s="1" t="n">
        <v>44504</v>
      </c>
      <c r="C1843" s="1" t="n">
        <v>45724</v>
      </c>
      <c r="D1843" t="inlineStr">
        <is>
          <t>VÄSTMANLANDS LÄN</t>
        </is>
      </c>
      <c r="E1843" t="inlineStr">
        <is>
          <t>SALA</t>
        </is>
      </c>
      <c r="G1843" t="n">
        <v>5</v>
      </c>
      <c r="H1843" t="n">
        <v>0</v>
      </c>
      <c r="I1843" t="n">
        <v>0</v>
      </c>
      <c r="J1843" t="n">
        <v>0</v>
      </c>
      <c r="K1843" t="n">
        <v>0</v>
      </c>
      <c r="L1843" t="n">
        <v>0</v>
      </c>
      <c r="M1843" t="n">
        <v>0</v>
      </c>
      <c r="N1843" t="n">
        <v>0</v>
      </c>
      <c r="O1843" t="n">
        <v>0</v>
      </c>
      <c r="P1843" t="n">
        <v>0</v>
      </c>
      <c r="Q1843" t="n">
        <v>0</v>
      </c>
      <c r="R1843" s="2" t="inlineStr"/>
    </row>
    <row r="1844" ht="15" customHeight="1">
      <c r="A1844" t="inlineStr">
        <is>
          <t>A 62850-2021</t>
        </is>
      </c>
      <c r="B1844" s="1" t="n">
        <v>44504</v>
      </c>
      <c r="C1844" s="1" t="n">
        <v>45724</v>
      </c>
      <c r="D1844" t="inlineStr">
        <is>
          <t>VÄSTMANLANDS LÄN</t>
        </is>
      </c>
      <c r="E1844" t="inlineStr">
        <is>
          <t>SALA</t>
        </is>
      </c>
      <c r="G1844" t="n">
        <v>5.2</v>
      </c>
      <c r="H1844" t="n">
        <v>0</v>
      </c>
      <c r="I1844" t="n">
        <v>0</v>
      </c>
      <c r="J1844" t="n">
        <v>0</v>
      </c>
      <c r="K1844" t="n">
        <v>0</v>
      </c>
      <c r="L1844" t="n">
        <v>0</v>
      </c>
      <c r="M1844" t="n">
        <v>0</v>
      </c>
      <c r="N1844" t="n">
        <v>0</v>
      </c>
      <c r="O1844" t="n">
        <v>0</v>
      </c>
      <c r="P1844" t="n">
        <v>0</v>
      </c>
      <c r="Q1844" t="n">
        <v>0</v>
      </c>
      <c r="R1844" s="2" t="inlineStr"/>
    </row>
    <row r="1845" ht="15" customHeight="1">
      <c r="A1845" t="inlineStr">
        <is>
          <t>A 62967-2021</t>
        </is>
      </c>
      <c r="B1845" s="1" t="n">
        <v>44505</v>
      </c>
      <c r="C1845" s="1" t="n">
        <v>45724</v>
      </c>
      <c r="D1845" t="inlineStr">
        <is>
          <t>VÄSTMANLANDS LÄN</t>
        </is>
      </c>
      <c r="E1845" t="inlineStr">
        <is>
          <t>SALA</t>
        </is>
      </c>
      <c r="G1845" t="n">
        <v>6.1</v>
      </c>
      <c r="H1845" t="n">
        <v>0</v>
      </c>
      <c r="I1845" t="n">
        <v>0</v>
      </c>
      <c r="J1845" t="n">
        <v>0</v>
      </c>
      <c r="K1845" t="n">
        <v>0</v>
      </c>
      <c r="L1845" t="n">
        <v>0</v>
      </c>
      <c r="M1845" t="n">
        <v>0</v>
      </c>
      <c r="N1845" t="n">
        <v>0</v>
      </c>
      <c r="O1845" t="n">
        <v>0</v>
      </c>
      <c r="P1845" t="n">
        <v>0</v>
      </c>
      <c r="Q1845" t="n">
        <v>0</v>
      </c>
      <c r="R1845" s="2" t="inlineStr"/>
    </row>
    <row r="1846" ht="15" customHeight="1">
      <c r="A1846" t="inlineStr">
        <is>
          <t>A 63139-2021</t>
        </is>
      </c>
      <c r="B1846" s="1" t="n">
        <v>44505</v>
      </c>
      <c r="C1846" s="1" t="n">
        <v>45724</v>
      </c>
      <c r="D1846" t="inlineStr">
        <is>
          <t>VÄSTMANLANDS LÄN</t>
        </is>
      </c>
      <c r="E1846" t="inlineStr">
        <is>
          <t>SKINNSKATTEBERG</t>
        </is>
      </c>
      <c r="F1846" t="inlineStr">
        <is>
          <t>Sveaskog</t>
        </is>
      </c>
      <c r="G1846" t="n">
        <v>2.6</v>
      </c>
      <c r="H1846" t="n">
        <v>0</v>
      </c>
      <c r="I1846" t="n">
        <v>0</v>
      </c>
      <c r="J1846" t="n">
        <v>0</v>
      </c>
      <c r="K1846" t="n">
        <v>0</v>
      </c>
      <c r="L1846" t="n">
        <v>0</v>
      </c>
      <c r="M1846" t="n">
        <v>0</v>
      </c>
      <c r="N1846" t="n">
        <v>0</v>
      </c>
      <c r="O1846" t="n">
        <v>0</v>
      </c>
      <c r="P1846" t="n">
        <v>0</v>
      </c>
      <c r="Q1846" t="n">
        <v>0</v>
      </c>
      <c r="R1846" s="2" t="inlineStr"/>
    </row>
    <row r="1847" ht="15" customHeight="1">
      <c r="A1847" t="inlineStr">
        <is>
          <t>A 63290-2021</t>
        </is>
      </c>
      <c r="B1847" s="1" t="n">
        <v>44505</v>
      </c>
      <c r="C1847" s="1" t="n">
        <v>45724</v>
      </c>
      <c r="D1847" t="inlineStr">
        <is>
          <t>VÄSTMANLANDS LÄN</t>
        </is>
      </c>
      <c r="E1847" t="inlineStr">
        <is>
          <t>SALA</t>
        </is>
      </c>
      <c r="G1847" t="n">
        <v>0.9</v>
      </c>
      <c r="H1847" t="n">
        <v>0</v>
      </c>
      <c r="I1847" t="n">
        <v>0</v>
      </c>
      <c r="J1847" t="n">
        <v>0</v>
      </c>
      <c r="K1847" t="n">
        <v>0</v>
      </c>
      <c r="L1847" t="n">
        <v>0</v>
      </c>
      <c r="M1847" t="n">
        <v>0</v>
      </c>
      <c r="N1847" t="n">
        <v>0</v>
      </c>
      <c r="O1847" t="n">
        <v>0</v>
      </c>
      <c r="P1847" t="n">
        <v>0</v>
      </c>
      <c r="Q1847" t="n">
        <v>0</v>
      </c>
      <c r="R1847" s="2" t="inlineStr"/>
    </row>
    <row r="1848" ht="15" customHeight="1">
      <c r="A1848" t="inlineStr">
        <is>
          <t>A 63561-2021</t>
        </is>
      </c>
      <c r="B1848" s="1" t="n">
        <v>44508</v>
      </c>
      <c r="C1848" s="1" t="n">
        <v>45724</v>
      </c>
      <c r="D1848" t="inlineStr">
        <is>
          <t>VÄSTMANLANDS LÄN</t>
        </is>
      </c>
      <c r="E1848" t="inlineStr">
        <is>
          <t>KÖPING</t>
        </is>
      </c>
      <c r="G1848" t="n">
        <v>3.3</v>
      </c>
      <c r="H1848" t="n">
        <v>0</v>
      </c>
      <c r="I1848" t="n">
        <v>0</v>
      </c>
      <c r="J1848" t="n">
        <v>0</v>
      </c>
      <c r="K1848" t="n">
        <v>0</v>
      </c>
      <c r="L1848" t="n">
        <v>0</v>
      </c>
      <c r="M1848" t="n">
        <v>0</v>
      </c>
      <c r="N1848" t="n">
        <v>0</v>
      </c>
      <c r="O1848" t="n">
        <v>0</v>
      </c>
      <c r="P1848" t="n">
        <v>0</v>
      </c>
      <c r="Q1848" t="n">
        <v>0</v>
      </c>
      <c r="R1848" s="2" t="inlineStr"/>
    </row>
    <row r="1849" ht="15" customHeight="1">
      <c r="A1849" t="inlineStr">
        <is>
          <t>A 63492-2021</t>
        </is>
      </c>
      <c r="B1849" s="1" t="n">
        <v>44508</v>
      </c>
      <c r="C1849" s="1" t="n">
        <v>45724</v>
      </c>
      <c r="D1849" t="inlineStr">
        <is>
          <t>VÄSTMANLANDS LÄN</t>
        </is>
      </c>
      <c r="E1849" t="inlineStr">
        <is>
          <t>VÄSTERÅS</t>
        </is>
      </c>
      <c r="G1849" t="n">
        <v>1</v>
      </c>
      <c r="H1849" t="n">
        <v>0</v>
      </c>
      <c r="I1849" t="n">
        <v>0</v>
      </c>
      <c r="J1849" t="n">
        <v>0</v>
      </c>
      <c r="K1849" t="n">
        <v>0</v>
      </c>
      <c r="L1849" t="n">
        <v>0</v>
      </c>
      <c r="M1849" t="n">
        <v>0</v>
      </c>
      <c r="N1849" t="n">
        <v>0</v>
      </c>
      <c r="O1849" t="n">
        <v>0</v>
      </c>
      <c r="P1849" t="n">
        <v>0</v>
      </c>
      <c r="Q1849" t="n">
        <v>0</v>
      </c>
      <c r="R1849" s="2" t="inlineStr"/>
    </row>
    <row r="1850" ht="15" customHeight="1">
      <c r="A1850" t="inlineStr">
        <is>
          <t>A 63756-2021</t>
        </is>
      </c>
      <c r="B1850" s="1" t="n">
        <v>44509</v>
      </c>
      <c r="C1850" s="1" t="n">
        <v>45724</v>
      </c>
      <c r="D1850" t="inlineStr">
        <is>
          <t>VÄSTMANLANDS LÄN</t>
        </is>
      </c>
      <c r="E1850" t="inlineStr">
        <is>
          <t>FAGERSTA</t>
        </is>
      </c>
      <c r="F1850" t="inlineStr">
        <is>
          <t>Sveaskog</t>
        </is>
      </c>
      <c r="G1850" t="n">
        <v>0.5</v>
      </c>
      <c r="H1850" t="n">
        <v>0</v>
      </c>
      <c r="I1850" t="n">
        <v>0</v>
      </c>
      <c r="J1850" t="n">
        <v>0</v>
      </c>
      <c r="K1850" t="n">
        <v>0</v>
      </c>
      <c r="L1850" t="n">
        <v>0</v>
      </c>
      <c r="M1850" t="n">
        <v>0</v>
      </c>
      <c r="N1850" t="n">
        <v>0</v>
      </c>
      <c r="O1850" t="n">
        <v>0</v>
      </c>
      <c r="P1850" t="n">
        <v>0</v>
      </c>
      <c r="Q1850" t="n">
        <v>0</v>
      </c>
      <c r="R1850" s="2" t="inlineStr"/>
    </row>
    <row r="1851" ht="15" customHeight="1">
      <c r="A1851" t="inlineStr">
        <is>
          <t>A 63811-2021</t>
        </is>
      </c>
      <c r="B1851" s="1" t="n">
        <v>44509</v>
      </c>
      <c r="C1851" s="1" t="n">
        <v>45724</v>
      </c>
      <c r="D1851" t="inlineStr">
        <is>
          <t>VÄSTMANLANDS LÄN</t>
        </is>
      </c>
      <c r="E1851" t="inlineStr">
        <is>
          <t>ARBOGA</t>
        </is>
      </c>
      <c r="G1851" t="n">
        <v>3.5</v>
      </c>
      <c r="H1851" t="n">
        <v>0</v>
      </c>
      <c r="I1851" t="n">
        <v>0</v>
      </c>
      <c r="J1851" t="n">
        <v>0</v>
      </c>
      <c r="K1851" t="n">
        <v>0</v>
      </c>
      <c r="L1851" t="n">
        <v>0</v>
      </c>
      <c r="M1851" t="n">
        <v>0</v>
      </c>
      <c r="N1851" t="n">
        <v>0</v>
      </c>
      <c r="O1851" t="n">
        <v>0</v>
      </c>
      <c r="P1851" t="n">
        <v>0</v>
      </c>
      <c r="Q1851" t="n">
        <v>0</v>
      </c>
      <c r="R1851" s="2" t="inlineStr"/>
    </row>
    <row r="1852" ht="15" customHeight="1">
      <c r="A1852" t="inlineStr">
        <is>
          <t>A 63851-2021</t>
        </is>
      </c>
      <c r="B1852" s="1" t="n">
        <v>44509</v>
      </c>
      <c r="C1852" s="1" t="n">
        <v>45724</v>
      </c>
      <c r="D1852" t="inlineStr">
        <is>
          <t>VÄSTMANLANDS LÄN</t>
        </is>
      </c>
      <c r="E1852" t="inlineStr">
        <is>
          <t>VÄSTERÅS</t>
        </is>
      </c>
      <c r="G1852" t="n">
        <v>11</v>
      </c>
      <c r="H1852" t="n">
        <v>0</v>
      </c>
      <c r="I1852" t="n">
        <v>0</v>
      </c>
      <c r="J1852" t="n">
        <v>0</v>
      </c>
      <c r="K1852" t="n">
        <v>0</v>
      </c>
      <c r="L1852" t="n">
        <v>0</v>
      </c>
      <c r="M1852" t="n">
        <v>0</v>
      </c>
      <c r="N1852" t="n">
        <v>0</v>
      </c>
      <c r="O1852" t="n">
        <v>0</v>
      </c>
      <c r="P1852" t="n">
        <v>0</v>
      </c>
      <c r="Q1852" t="n">
        <v>0</v>
      </c>
      <c r="R1852" s="2" t="inlineStr"/>
    </row>
    <row r="1853" ht="15" customHeight="1">
      <c r="A1853" t="inlineStr">
        <is>
          <t>A 64073-2021</t>
        </is>
      </c>
      <c r="B1853" s="1" t="n">
        <v>44509</v>
      </c>
      <c r="C1853" s="1" t="n">
        <v>45724</v>
      </c>
      <c r="D1853" t="inlineStr">
        <is>
          <t>VÄSTMANLANDS LÄN</t>
        </is>
      </c>
      <c r="E1853" t="inlineStr">
        <is>
          <t>SURAHAMMAR</t>
        </is>
      </c>
      <c r="G1853" t="n">
        <v>0.4</v>
      </c>
      <c r="H1853" t="n">
        <v>0</v>
      </c>
      <c r="I1853" t="n">
        <v>0</v>
      </c>
      <c r="J1853" t="n">
        <v>0</v>
      </c>
      <c r="K1853" t="n">
        <v>0</v>
      </c>
      <c r="L1853" t="n">
        <v>0</v>
      </c>
      <c r="M1853" t="n">
        <v>0</v>
      </c>
      <c r="N1853" t="n">
        <v>0</v>
      </c>
      <c r="O1853" t="n">
        <v>0</v>
      </c>
      <c r="P1853" t="n">
        <v>0</v>
      </c>
      <c r="Q1853" t="n">
        <v>0</v>
      </c>
      <c r="R1853" s="2" t="inlineStr"/>
    </row>
    <row r="1854" ht="15" customHeight="1">
      <c r="A1854" t="inlineStr">
        <is>
          <t>A 64471-2021</t>
        </is>
      </c>
      <c r="B1854" s="1" t="n">
        <v>44511</v>
      </c>
      <c r="C1854" s="1" t="n">
        <v>45724</v>
      </c>
      <c r="D1854" t="inlineStr">
        <is>
          <t>VÄSTMANLANDS LÄN</t>
        </is>
      </c>
      <c r="E1854" t="inlineStr">
        <is>
          <t>ARBOGA</t>
        </is>
      </c>
      <c r="G1854" t="n">
        <v>1.3</v>
      </c>
      <c r="H1854" t="n">
        <v>0</v>
      </c>
      <c r="I1854" t="n">
        <v>0</v>
      </c>
      <c r="J1854" t="n">
        <v>0</v>
      </c>
      <c r="K1854" t="n">
        <v>0</v>
      </c>
      <c r="L1854" t="n">
        <v>0</v>
      </c>
      <c r="M1854" t="n">
        <v>0</v>
      </c>
      <c r="N1854" t="n">
        <v>0</v>
      </c>
      <c r="O1854" t="n">
        <v>0</v>
      </c>
      <c r="P1854" t="n">
        <v>0</v>
      </c>
      <c r="Q1854" t="n">
        <v>0</v>
      </c>
      <c r="R1854" s="2" t="inlineStr"/>
    </row>
    <row r="1855" ht="15" customHeight="1">
      <c r="A1855" t="inlineStr">
        <is>
          <t>A 64341-2021</t>
        </is>
      </c>
      <c r="B1855" s="1" t="n">
        <v>44511</v>
      </c>
      <c r="C1855" s="1" t="n">
        <v>45724</v>
      </c>
      <c r="D1855" t="inlineStr">
        <is>
          <t>VÄSTMANLANDS LÄN</t>
        </is>
      </c>
      <c r="E1855" t="inlineStr">
        <is>
          <t>KÖPING</t>
        </is>
      </c>
      <c r="G1855" t="n">
        <v>4.1</v>
      </c>
      <c r="H1855" t="n">
        <v>0</v>
      </c>
      <c r="I1855" t="n">
        <v>0</v>
      </c>
      <c r="J1855" t="n">
        <v>0</v>
      </c>
      <c r="K1855" t="n">
        <v>0</v>
      </c>
      <c r="L1855" t="n">
        <v>0</v>
      </c>
      <c r="M1855" t="n">
        <v>0</v>
      </c>
      <c r="N1855" t="n">
        <v>0</v>
      </c>
      <c r="O1855" t="n">
        <v>0</v>
      </c>
      <c r="P1855" t="n">
        <v>0</v>
      </c>
      <c r="Q1855" t="n">
        <v>0</v>
      </c>
      <c r="R1855" s="2" t="inlineStr"/>
    </row>
    <row r="1856" ht="15" customHeight="1">
      <c r="A1856" t="inlineStr">
        <is>
          <t>A 64461-2021</t>
        </is>
      </c>
      <c r="B1856" s="1" t="n">
        <v>44511</v>
      </c>
      <c r="C1856" s="1" t="n">
        <v>45724</v>
      </c>
      <c r="D1856" t="inlineStr">
        <is>
          <t>VÄSTMANLANDS LÄN</t>
        </is>
      </c>
      <c r="E1856" t="inlineStr">
        <is>
          <t>ARBOGA</t>
        </is>
      </c>
      <c r="G1856" t="n">
        <v>1.4</v>
      </c>
      <c r="H1856" t="n">
        <v>0</v>
      </c>
      <c r="I1856" t="n">
        <v>0</v>
      </c>
      <c r="J1856" t="n">
        <v>0</v>
      </c>
      <c r="K1856" t="n">
        <v>0</v>
      </c>
      <c r="L1856" t="n">
        <v>0</v>
      </c>
      <c r="M1856" t="n">
        <v>0</v>
      </c>
      <c r="N1856" t="n">
        <v>0</v>
      </c>
      <c r="O1856" t="n">
        <v>0</v>
      </c>
      <c r="P1856" t="n">
        <v>0</v>
      </c>
      <c r="Q1856" t="n">
        <v>0</v>
      </c>
      <c r="R1856" s="2" t="inlineStr"/>
    </row>
    <row r="1857" ht="15" customHeight="1">
      <c r="A1857" t="inlineStr">
        <is>
          <t>A 64833-2021</t>
        </is>
      </c>
      <c r="B1857" s="1" t="n">
        <v>44512</v>
      </c>
      <c r="C1857" s="1" t="n">
        <v>45724</v>
      </c>
      <c r="D1857" t="inlineStr">
        <is>
          <t>VÄSTMANLANDS LÄN</t>
        </is>
      </c>
      <c r="E1857" t="inlineStr">
        <is>
          <t>ARBOGA</t>
        </is>
      </c>
      <c r="G1857" t="n">
        <v>1.5</v>
      </c>
      <c r="H1857" t="n">
        <v>0</v>
      </c>
      <c r="I1857" t="n">
        <v>0</v>
      </c>
      <c r="J1857" t="n">
        <v>0</v>
      </c>
      <c r="K1857" t="n">
        <v>0</v>
      </c>
      <c r="L1857" t="n">
        <v>0</v>
      </c>
      <c r="M1857" t="n">
        <v>0</v>
      </c>
      <c r="N1857" t="n">
        <v>0</v>
      </c>
      <c r="O1857" t="n">
        <v>0</v>
      </c>
      <c r="P1857" t="n">
        <v>0</v>
      </c>
      <c r="Q1857" t="n">
        <v>0</v>
      </c>
      <c r="R1857" s="2" t="inlineStr"/>
    </row>
    <row r="1858" ht="15" customHeight="1">
      <c r="A1858" t="inlineStr">
        <is>
          <t>A 64931-2021</t>
        </is>
      </c>
      <c r="B1858" s="1" t="n">
        <v>44512</v>
      </c>
      <c r="C1858" s="1" t="n">
        <v>45724</v>
      </c>
      <c r="D1858" t="inlineStr">
        <is>
          <t>VÄSTMANLANDS LÄN</t>
        </is>
      </c>
      <c r="E1858" t="inlineStr">
        <is>
          <t>SALA</t>
        </is>
      </c>
      <c r="G1858" t="n">
        <v>1.1</v>
      </c>
      <c r="H1858" t="n">
        <v>0</v>
      </c>
      <c r="I1858" t="n">
        <v>0</v>
      </c>
      <c r="J1858" t="n">
        <v>0</v>
      </c>
      <c r="K1858" t="n">
        <v>0</v>
      </c>
      <c r="L1858" t="n">
        <v>0</v>
      </c>
      <c r="M1858" t="n">
        <v>0</v>
      </c>
      <c r="N1858" t="n">
        <v>0</v>
      </c>
      <c r="O1858" t="n">
        <v>0</v>
      </c>
      <c r="P1858" t="n">
        <v>0</v>
      </c>
      <c r="Q1858" t="n">
        <v>0</v>
      </c>
      <c r="R1858" s="2" t="inlineStr"/>
    </row>
    <row r="1859" ht="15" customHeight="1">
      <c r="A1859" t="inlineStr">
        <is>
          <t>A 64839-2021</t>
        </is>
      </c>
      <c r="B1859" s="1" t="n">
        <v>44512</v>
      </c>
      <c r="C1859" s="1" t="n">
        <v>45724</v>
      </c>
      <c r="D1859" t="inlineStr">
        <is>
          <t>VÄSTMANLANDS LÄN</t>
        </is>
      </c>
      <c r="E1859" t="inlineStr">
        <is>
          <t>ARBOGA</t>
        </is>
      </c>
      <c r="G1859" t="n">
        <v>1</v>
      </c>
      <c r="H1859" t="n">
        <v>0</v>
      </c>
      <c r="I1859" t="n">
        <v>0</v>
      </c>
      <c r="J1859" t="n">
        <v>0</v>
      </c>
      <c r="K1859" t="n">
        <v>0</v>
      </c>
      <c r="L1859" t="n">
        <v>0</v>
      </c>
      <c r="M1859" t="n">
        <v>0</v>
      </c>
      <c r="N1859" t="n">
        <v>0</v>
      </c>
      <c r="O1859" t="n">
        <v>0</v>
      </c>
      <c r="P1859" t="n">
        <v>0</v>
      </c>
      <c r="Q1859" t="n">
        <v>0</v>
      </c>
      <c r="R1859" s="2" t="inlineStr"/>
    </row>
    <row r="1860" ht="15" customHeight="1">
      <c r="A1860" t="inlineStr">
        <is>
          <t>A 64932-2021</t>
        </is>
      </c>
      <c r="B1860" s="1" t="n">
        <v>44512</v>
      </c>
      <c r="C1860" s="1" t="n">
        <v>45724</v>
      </c>
      <c r="D1860" t="inlineStr">
        <is>
          <t>VÄSTMANLANDS LÄN</t>
        </is>
      </c>
      <c r="E1860" t="inlineStr">
        <is>
          <t>SALA</t>
        </is>
      </c>
      <c r="G1860" t="n">
        <v>0.8</v>
      </c>
      <c r="H1860" t="n">
        <v>0</v>
      </c>
      <c r="I1860" t="n">
        <v>0</v>
      </c>
      <c r="J1860" t="n">
        <v>0</v>
      </c>
      <c r="K1860" t="n">
        <v>0</v>
      </c>
      <c r="L1860" t="n">
        <v>0</v>
      </c>
      <c r="M1860" t="n">
        <v>0</v>
      </c>
      <c r="N1860" t="n">
        <v>0</v>
      </c>
      <c r="O1860" t="n">
        <v>0</v>
      </c>
      <c r="P1860" t="n">
        <v>0</v>
      </c>
      <c r="Q1860" t="n">
        <v>0</v>
      </c>
      <c r="R1860" s="2" t="inlineStr"/>
    </row>
    <row r="1861" ht="15" customHeight="1">
      <c r="A1861" t="inlineStr">
        <is>
          <t>A 65023-2021</t>
        </is>
      </c>
      <c r="B1861" s="1" t="n">
        <v>44512</v>
      </c>
      <c r="C1861" s="1" t="n">
        <v>45724</v>
      </c>
      <c r="D1861" t="inlineStr">
        <is>
          <t>VÄSTMANLANDS LÄN</t>
        </is>
      </c>
      <c r="E1861" t="inlineStr">
        <is>
          <t>KÖPING</t>
        </is>
      </c>
      <c r="G1861" t="n">
        <v>2</v>
      </c>
      <c r="H1861" t="n">
        <v>0</v>
      </c>
      <c r="I1861" t="n">
        <v>0</v>
      </c>
      <c r="J1861" t="n">
        <v>0</v>
      </c>
      <c r="K1861" t="n">
        <v>0</v>
      </c>
      <c r="L1861" t="n">
        <v>0</v>
      </c>
      <c r="M1861" t="n">
        <v>0</v>
      </c>
      <c r="N1861" t="n">
        <v>0</v>
      </c>
      <c r="O1861" t="n">
        <v>0</v>
      </c>
      <c r="P1861" t="n">
        <v>0</v>
      </c>
      <c r="Q1861" t="n">
        <v>0</v>
      </c>
      <c r="R1861" s="2" t="inlineStr"/>
    </row>
    <row r="1862" ht="15" customHeight="1">
      <c r="A1862" t="inlineStr">
        <is>
          <t>A 65213-2021</t>
        </is>
      </c>
      <c r="B1862" s="1" t="n">
        <v>44515</v>
      </c>
      <c r="C1862" s="1" t="n">
        <v>45724</v>
      </c>
      <c r="D1862" t="inlineStr">
        <is>
          <t>VÄSTMANLANDS LÄN</t>
        </is>
      </c>
      <c r="E1862" t="inlineStr">
        <is>
          <t>SALA</t>
        </is>
      </c>
      <c r="G1862" t="n">
        <v>0.6</v>
      </c>
      <c r="H1862" t="n">
        <v>0</v>
      </c>
      <c r="I1862" t="n">
        <v>0</v>
      </c>
      <c r="J1862" t="n">
        <v>0</v>
      </c>
      <c r="K1862" t="n">
        <v>0</v>
      </c>
      <c r="L1862" t="n">
        <v>0</v>
      </c>
      <c r="M1862" t="n">
        <v>0</v>
      </c>
      <c r="N1862" t="n">
        <v>0</v>
      </c>
      <c r="O1862" t="n">
        <v>0</v>
      </c>
      <c r="P1862" t="n">
        <v>0</v>
      </c>
      <c r="Q1862" t="n">
        <v>0</v>
      </c>
      <c r="R1862" s="2" t="inlineStr"/>
    </row>
    <row r="1863" ht="15" customHeight="1">
      <c r="A1863" t="inlineStr">
        <is>
          <t>A 65321-2021</t>
        </is>
      </c>
      <c r="B1863" s="1" t="n">
        <v>44515</v>
      </c>
      <c r="C1863" s="1" t="n">
        <v>45724</v>
      </c>
      <c r="D1863" t="inlineStr">
        <is>
          <t>VÄSTMANLANDS LÄN</t>
        </is>
      </c>
      <c r="E1863" t="inlineStr">
        <is>
          <t>SALA</t>
        </is>
      </c>
      <c r="G1863" t="n">
        <v>1.3</v>
      </c>
      <c r="H1863" t="n">
        <v>0</v>
      </c>
      <c r="I1863" t="n">
        <v>0</v>
      </c>
      <c r="J1863" t="n">
        <v>0</v>
      </c>
      <c r="K1863" t="n">
        <v>0</v>
      </c>
      <c r="L1863" t="n">
        <v>0</v>
      </c>
      <c r="M1863" t="n">
        <v>0</v>
      </c>
      <c r="N1863" t="n">
        <v>0</v>
      </c>
      <c r="O1863" t="n">
        <v>0</v>
      </c>
      <c r="P1863" t="n">
        <v>0</v>
      </c>
      <c r="Q1863" t="n">
        <v>0</v>
      </c>
      <c r="R1863" s="2" t="inlineStr"/>
    </row>
    <row r="1864" ht="15" customHeight="1">
      <c r="A1864" t="inlineStr">
        <is>
          <t>A 65338-2021</t>
        </is>
      </c>
      <c r="B1864" s="1" t="n">
        <v>44515</v>
      </c>
      <c r="C1864" s="1" t="n">
        <v>45724</v>
      </c>
      <c r="D1864" t="inlineStr">
        <is>
          <t>VÄSTMANLANDS LÄN</t>
        </is>
      </c>
      <c r="E1864" t="inlineStr">
        <is>
          <t>SALA</t>
        </is>
      </c>
      <c r="G1864" t="n">
        <v>0.4</v>
      </c>
      <c r="H1864" t="n">
        <v>0</v>
      </c>
      <c r="I1864" t="n">
        <v>0</v>
      </c>
      <c r="J1864" t="n">
        <v>0</v>
      </c>
      <c r="K1864" t="n">
        <v>0</v>
      </c>
      <c r="L1864" t="n">
        <v>0</v>
      </c>
      <c r="M1864" t="n">
        <v>0</v>
      </c>
      <c r="N1864" t="n">
        <v>0</v>
      </c>
      <c r="O1864" t="n">
        <v>0</v>
      </c>
      <c r="P1864" t="n">
        <v>0</v>
      </c>
      <c r="Q1864" t="n">
        <v>0</v>
      </c>
      <c r="R1864" s="2" t="inlineStr"/>
    </row>
    <row r="1865" ht="15" customHeight="1">
      <c r="A1865" t="inlineStr">
        <is>
          <t>A 65387-2021</t>
        </is>
      </c>
      <c r="B1865" s="1" t="n">
        <v>44515</v>
      </c>
      <c r="C1865" s="1" t="n">
        <v>45724</v>
      </c>
      <c r="D1865" t="inlineStr">
        <is>
          <t>VÄSTMANLANDS LÄN</t>
        </is>
      </c>
      <c r="E1865" t="inlineStr">
        <is>
          <t>SKINNSKATTEBERG</t>
        </is>
      </c>
      <c r="G1865" t="n">
        <v>3</v>
      </c>
      <c r="H1865" t="n">
        <v>0</v>
      </c>
      <c r="I1865" t="n">
        <v>0</v>
      </c>
      <c r="J1865" t="n">
        <v>0</v>
      </c>
      <c r="K1865" t="n">
        <v>0</v>
      </c>
      <c r="L1865" t="n">
        <v>0</v>
      </c>
      <c r="M1865" t="n">
        <v>0</v>
      </c>
      <c r="N1865" t="n">
        <v>0</v>
      </c>
      <c r="O1865" t="n">
        <v>0</v>
      </c>
      <c r="P1865" t="n">
        <v>0</v>
      </c>
      <c r="Q1865" t="n">
        <v>0</v>
      </c>
      <c r="R1865" s="2" t="inlineStr"/>
    </row>
    <row r="1866" ht="15" customHeight="1">
      <c r="A1866" t="inlineStr">
        <is>
          <t>A 65353-2021</t>
        </is>
      </c>
      <c r="B1866" s="1" t="n">
        <v>44515</v>
      </c>
      <c r="C1866" s="1" t="n">
        <v>45724</v>
      </c>
      <c r="D1866" t="inlineStr">
        <is>
          <t>VÄSTMANLANDS LÄN</t>
        </is>
      </c>
      <c r="E1866" t="inlineStr">
        <is>
          <t>SALA</t>
        </is>
      </c>
      <c r="G1866" t="n">
        <v>1.5</v>
      </c>
      <c r="H1866" t="n">
        <v>0</v>
      </c>
      <c r="I1866" t="n">
        <v>0</v>
      </c>
      <c r="J1866" t="n">
        <v>0</v>
      </c>
      <c r="K1866" t="n">
        <v>0</v>
      </c>
      <c r="L1866" t="n">
        <v>0</v>
      </c>
      <c r="M1866" t="n">
        <v>0</v>
      </c>
      <c r="N1866" t="n">
        <v>0</v>
      </c>
      <c r="O1866" t="n">
        <v>0</v>
      </c>
      <c r="P1866" t="n">
        <v>0</v>
      </c>
      <c r="Q1866" t="n">
        <v>0</v>
      </c>
      <c r="R1866" s="2" t="inlineStr"/>
    </row>
    <row r="1867" ht="15" customHeight="1">
      <c r="A1867" t="inlineStr">
        <is>
          <t>A 65490-2021</t>
        </is>
      </c>
      <c r="B1867" s="1" t="n">
        <v>44515</v>
      </c>
      <c r="C1867" s="1" t="n">
        <v>45724</v>
      </c>
      <c r="D1867" t="inlineStr">
        <is>
          <t>VÄSTMANLANDS LÄN</t>
        </is>
      </c>
      <c r="E1867" t="inlineStr">
        <is>
          <t>SALA</t>
        </is>
      </c>
      <c r="G1867" t="n">
        <v>2.1</v>
      </c>
      <c r="H1867" t="n">
        <v>0</v>
      </c>
      <c r="I1867" t="n">
        <v>0</v>
      </c>
      <c r="J1867" t="n">
        <v>0</v>
      </c>
      <c r="K1867" t="n">
        <v>0</v>
      </c>
      <c r="L1867" t="n">
        <v>0</v>
      </c>
      <c r="M1867" t="n">
        <v>0</v>
      </c>
      <c r="N1867" t="n">
        <v>0</v>
      </c>
      <c r="O1867" t="n">
        <v>0</v>
      </c>
      <c r="P1867" t="n">
        <v>0</v>
      </c>
      <c r="Q1867" t="n">
        <v>0</v>
      </c>
      <c r="R1867" s="2" t="inlineStr"/>
    </row>
    <row r="1868" ht="15" customHeight="1">
      <c r="A1868" t="inlineStr">
        <is>
          <t>A 65678-2021</t>
        </is>
      </c>
      <c r="B1868" s="1" t="n">
        <v>44516</v>
      </c>
      <c r="C1868" s="1" t="n">
        <v>45724</v>
      </c>
      <c r="D1868" t="inlineStr">
        <is>
          <t>VÄSTMANLANDS LÄN</t>
        </is>
      </c>
      <c r="E1868" t="inlineStr">
        <is>
          <t>VÄSTERÅS</t>
        </is>
      </c>
      <c r="G1868" t="n">
        <v>1</v>
      </c>
      <c r="H1868" t="n">
        <v>0</v>
      </c>
      <c r="I1868" t="n">
        <v>0</v>
      </c>
      <c r="J1868" t="n">
        <v>0</v>
      </c>
      <c r="K1868" t="n">
        <v>0</v>
      </c>
      <c r="L1868" t="n">
        <v>0</v>
      </c>
      <c r="M1868" t="n">
        <v>0</v>
      </c>
      <c r="N1868" t="n">
        <v>0</v>
      </c>
      <c r="O1868" t="n">
        <v>0</v>
      </c>
      <c r="P1868" t="n">
        <v>0</v>
      </c>
      <c r="Q1868" t="n">
        <v>0</v>
      </c>
      <c r="R1868" s="2" t="inlineStr"/>
    </row>
    <row r="1869" ht="15" customHeight="1">
      <c r="A1869" t="inlineStr">
        <is>
          <t>A 65582-2021</t>
        </is>
      </c>
      <c r="B1869" s="1" t="n">
        <v>44516</v>
      </c>
      <c r="C1869" s="1" t="n">
        <v>45724</v>
      </c>
      <c r="D1869" t="inlineStr">
        <is>
          <t>VÄSTMANLANDS LÄN</t>
        </is>
      </c>
      <c r="E1869" t="inlineStr">
        <is>
          <t>KÖPING</t>
        </is>
      </c>
      <c r="G1869" t="n">
        <v>7.7</v>
      </c>
      <c r="H1869" t="n">
        <v>0</v>
      </c>
      <c r="I1869" t="n">
        <v>0</v>
      </c>
      <c r="J1869" t="n">
        <v>0</v>
      </c>
      <c r="K1869" t="n">
        <v>0</v>
      </c>
      <c r="L1869" t="n">
        <v>0</v>
      </c>
      <c r="M1869" t="n">
        <v>0</v>
      </c>
      <c r="N1869" t="n">
        <v>0</v>
      </c>
      <c r="O1869" t="n">
        <v>0</v>
      </c>
      <c r="P1869" t="n">
        <v>0</v>
      </c>
      <c r="Q1869" t="n">
        <v>0</v>
      </c>
      <c r="R1869" s="2" t="inlineStr"/>
    </row>
    <row r="1870" ht="15" customHeight="1">
      <c r="A1870" t="inlineStr">
        <is>
          <t>A 65663-2021</t>
        </is>
      </c>
      <c r="B1870" s="1" t="n">
        <v>44516</v>
      </c>
      <c r="C1870" s="1" t="n">
        <v>45724</v>
      </c>
      <c r="D1870" t="inlineStr">
        <is>
          <t>VÄSTMANLANDS LÄN</t>
        </is>
      </c>
      <c r="E1870" t="inlineStr">
        <is>
          <t>SKINNSKATTEBERG</t>
        </is>
      </c>
      <c r="F1870" t="inlineStr">
        <is>
          <t>Sveaskog</t>
        </is>
      </c>
      <c r="G1870" t="n">
        <v>1.5</v>
      </c>
      <c r="H1870" t="n">
        <v>0</v>
      </c>
      <c r="I1870" t="n">
        <v>0</v>
      </c>
      <c r="J1870" t="n">
        <v>0</v>
      </c>
      <c r="K1870" t="n">
        <v>0</v>
      </c>
      <c r="L1870" t="n">
        <v>0</v>
      </c>
      <c r="M1870" t="n">
        <v>0</v>
      </c>
      <c r="N1870" t="n">
        <v>0</v>
      </c>
      <c r="O1870" t="n">
        <v>0</v>
      </c>
      <c r="P1870" t="n">
        <v>0</v>
      </c>
      <c r="Q1870" t="n">
        <v>0</v>
      </c>
      <c r="R1870" s="2" t="inlineStr"/>
    </row>
    <row r="1871" ht="15" customHeight="1">
      <c r="A1871" t="inlineStr">
        <is>
          <t>A 65740-2021</t>
        </is>
      </c>
      <c r="B1871" s="1" t="n">
        <v>44516</v>
      </c>
      <c r="C1871" s="1" t="n">
        <v>45724</v>
      </c>
      <c r="D1871" t="inlineStr">
        <is>
          <t>VÄSTMANLANDS LÄN</t>
        </is>
      </c>
      <c r="E1871" t="inlineStr">
        <is>
          <t>KÖPING</t>
        </is>
      </c>
      <c r="G1871" t="n">
        <v>0.5</v>
      </c>
      <c r="H1871" t="n">
        <v>0</v>
      </c>
      <c r="I1871" t="n">
        <v>0</v>
      </c>
      <c r="J1871" t="n">
        <v>0</v>
      </c>
      <c r="K1871" t="n">
        <v>0</v>
      </c>
      <c r="L1871" t="n">
        <v>0</v>
      </c>
      <c r="M1871" t="n">
        <v>0</v>
      </c>
      <c r="N1871" t="n">
        <v>0</v>
      </c>
      <c r="O1871" t="n">
        <v>0</v>
      </c>
      <c r="P1871" t="n">
        <v>0</v>
      </c>
      <c r="Q1871" t="n">
        <v>0</v>
      </c>
      <c r="R1871" s="2" t="inlineStr"/>
    </row>
    <row r="1872" ht="15" customHeight="1">
      <c r="A1872" t="inlineStr">
        <is>
          <t>A 65748-2021</t>
        </is>
      </c>
      <c r="B1872" s="1" t="n">
        <v>44516</v>
      </c>
      <c r="C1872" s="1" t="n">
        <v>45724</v>
      </c>
      <c r="D1872" t="inlineStr">
        <is>
          <t>VÄSTMANLANDS LÄN</t>
        </is>
      </c>
      <c r="E1872" t="inlineStr">
        <is>
          <t>ARBOGA</t>
        </is>
      </c>
      <c r="G1872" t="n">
        <v>0.8</v>
      </c>
      <c r="H1872" t="n">
        <v>0</v>
      </c>
      <c r="I1872" t="n">
        <v>0</v>
      </c>
      <c r="J1872" t="n">
        <v>0</v>
      </c>
      <c r="K1872" t="n">
        <v>0</v>
      </c>
      <c r="L1872" t="n">
        <v>0</v>
      </c>
      <c r="M1872" t="n">
        <v>0</v>
      </c>
      <c r="N1872" t="n">
        <v>0</v>
      </c>
      <c r="O1872" t="n">
        <v>0</v>
      </c>
      <c r="P1872" t="n">
        <v>0</v>
      </c>
      <c r="Q1872" t="n">
        <v>0</v>
      </c>
      <c r="R1872" s="2" t="inlineStr"/>
    </row>
    <row r="1873" ht="15" customHeight="1">
      <c r="A1873" t="inlineStr">
        <is>
          <t>A 65856-2021</t>
        </is>
      </c>
      <c r="B1873" s="1" t="n">
        <v>44517</v>
      </c>
      <c r="C1873" s="1" t="n">
        <v>45724</v>
      </c>
      <c r="D1873" t="inlineStr">
        <is>
          <t>VÄSTMANLANDS LÄN</t>
        </is>
      </c>
      <c r="E1873" t="inlineStr">
        <is>
          <t>SALA</t>
        </is>
      </c>
      <c r="G1873" t="n">
        <v>0.5</v>
      </c>
      <c r="H1873" t="n">
        <v>0</v>
      </c>
      <c r="I1873" t="n">
        <v>0</v>
      </c>
      <c r="J1873" t="n">
        <v>0</v>
      </c>
      <c r="K1873" t="n">
        <v>0</v>
      </c>
      <c r="L1873" t="n">
        <v>0</v>
      </c>
      <c r="M1873" t="n">
        <v>0</v>
      </c>
      <c r="N1873" t="n">
        <v>0</v>
      </c>
      <c r="O1873" t="n">
        <v>0</v>
      </c>
      <c r="P1873" t="n">
        <v>0</v>
      </c>
      <c r="Q1873" t="n">
        <v>0</v>
      </c>
      <c r="R1873" s="2" t="inlineStr"/>
    </row>
    <row r="1874" ht="15" customHeight="1">
      <c r="A1874" t="inlineStr">
        <is>
          <t>A 65818-2021</t>
        </is>
      </c>
      <c r="B1874" s="1" t="n">
        <v>44517</v>
      </c>
      <c r="C1874" s="1" t="n">
        <v>45724</v>
      </c>
      <c r="D1874" t="inlineStr">
        <is>
          <t>VÄSTMANLANDS LÄN</t>
        </is>
      </c>
      <c r="E1874" t="inlineStr">
        <is>
          <t>SALA</t>
        </is>
      </c>
      <c r="G1874" t="n">
        <v>0.6</v>
      </c>
      <c r="H1874" t="n">
        <v>0</v>
      </c>
      <c r="I1874" t="n">
        <v>0</v>
      </c>
      <c r="J1874" t="n">
        <v>0</v>
      </c>
      <c r="K1874" t="n">
        <v>0</v>
      </c>
      <c r="L1874" t="n">
        <v>0</v>
      </c>
      <c r="M1874" t="n">
        <v>0</v>
      </c>
      <c r="N1874" t="n">
        <v>0</v>
      </c>
      <c r="O1874" t="n">
        <v>0</v>
      </c>
      <c r="P1874" t="n">
        <v>0</v>
      </c>
      <c r="Q1874" t="n">
        <v>0</v>
      </c>
      <c r="R1874" s="2" t="inlineStr"/>
    </row>
    <row r="1875" ht="15" customHeight="1">
      <c r="A1875" t="inlineStr">
        <is>
          <t>A 65835-2021</t>
        </is>
      </c>
      <c r="B1875" s="1" t="n">
        <v>44517</v>
      </c>
      <c r="C1875" s="1" t="n">
        <v>45724</v>
      </c>
      <c r="D1875" t="inlineStr">
        <is>
          <t>VÄSTMANLANDS LÄN</t>
        </is>
      </c>
      <c r="E1875" t="inlineStr">
        <is>
          <t>SALA</t>
        </is>
      </c>
      <c r="G1875" t="n">
        <v>0.5</v>
      </c>
      <c r="H1875" t="n">
        <v>0</v>
      </c>
      <c r="I1875" t="n">
        <v>0</v>
      </c>
      <c r="J1875" t="n">
        <v>0</v>
      </c>
      <c r="K1875" t="n">
        <v>0</v>
      </c>
      <c r="L1875" t="n">
        <v>0</v>
      </c>
      <c r="M1875" t="n">
        <v>0</v>
      </c>
      <c r="N1875" t="n">
        <v>0</v>
      </c>
      <c r="O1875" t="n">
        <v>0</v>
      </c>
      <c r="P1875" t="n">
        <v>0</v>
      </c>
      <c r="Q1875" t="n">
        <v>0</v>
      </c>
      <c r="R1875" s="2" t="inlineStr"/>
    </row>
    <row r="1876" ht="15" customHeight="1">
      <c r="A1876" t="inlineStr">
        <is>
          <t>A 65860-2021</t>
        </is>
      </c>
      <c r="B1876" s="1" t="n">
        <v>44517</v>
      </c>
      <c r="C1876" s="1" t="n">
        <v>45724</v>
      </c>
      <c r="D1876" t="inlineStr">
        <is>
          <t>VÄSTMANLANDS LÄN</t>
        </is>
      </c>
      <c r="E1876" t="inlineStr">
        <is>
          <t>SALA</t>
        </is>
      </c>
      <c r="G1876" t="n">
        <v>0.9</v>
      </c>
      <c r="H1876" t="n">
        <v>0</v>
      </c>
      <c r="I1876" t="n">
        <v>0</v>
      </c>
      <c r="J1876" t="n">
        <v>0</v>
      </c>
      <c r="K1876" t="n">
        <v>0</v>
      </c>
      <c r="L1876" t="n">
        <v>0</v>
      </c>
      <c r="M1876" t="n">
        <v>0</v>
      </c>
      <c r="N1876" t="n">
        <v>0</v>
      </c>
      <c r="O1876" t="n">
        <v>0</v>
      </c>
      <c r="P1876" t="n">
        <v>0</v>
      </c>
      <c r="Q1876" t="n">
        <v>0</v>
      </c>
      <c r="R1876" s="2" t="inlineStr"/>
    </row>
    <row r="1877" ht="15" customHeight="1">
      <c r="A1877" t="inlineStr">
        <is>
          <t>A 66307-2021</t>
        </is>
      </c>
      <c r="B1877" s="1" t="n">
        <v>44518</v>
      </c>
      <c r="C1877" s="1" t="n">
        <v>45724</v>
      </c>
      <c r="D1877" t="inlineStr">
        <is>
          <t>VÄSTMANLANDS LÄN</t>
        </is>
      </c>
      <c r="E1877" t="inlineStr">
        <is>
          <t>SALA</t>
        </is>
      </c>
      <c r="G1877" t="n">
        <v>0.7</v>
      </c>
      <c r="H1877" t="n">
        <v>0</v>
      </c>
      <c r="I1877" t="n">
        <v>0</v>
      </c>
      <c r="J1877" t="n">
        <v>0</v>
      </c>
      <c r="K1877" t="n">
        <v>0</v>
      </c>
      <c r="L1877" t="n">
        <v>0</v>
      </c>
      <c r="M1877" t="n">
        <v>0</v>
      </c>
      <c r="N1877" t="n">
        <v>0</v>
      </c>
      <c r="O1877" t="n">
        <v>0</v>
      </c>
      <c r="P1877" t="n">
        <v>0</v>
      </c>
      <c r="Q1877" t="n">
        <v>0</v>
      </c>
      <c r="R1877" s="2" t="inlineStr"/>
    </row>
    <row r="1878" ht="15" customHeight="1">
      <c r="A1878" t="inlineStr">
        <is>
          <t>A 66342-2021</t>
        </is>
      </c>
      <c r="B1878" s="1" t="n">
        <v>44518</v>
      </c>
      <c r="C1878" s="1" t="n">
        <v>45724</v>
      </c>
      <c r="D1878" t="inlineStr">
        <is>
          <t>VÄSTMANLANDS LÄN</t>
        </is>
      </c>
      <c r="E1878" t="inlineStr">
        <is>
          <t>SURAHAMMAR</t>
        </is>
      </c>
      <c r="F1878" t="inlineStr">
        <is>
          <t>Sveaskog</t>
        </is>
      </c>
      <c r="G1878" t="n">
        <v>1.4</v>
      </c>
      <c r="H1878" t="n">
        <v>0</v>
      </c>
      <c r="I1878" t="n">
        <v>0</v>
      </c>
      <c r="J1878" t="n">
        <v>0</v>
      </c>
      <c r="K1878" t="n">
        <v>0</v>
      </c>
      <c r="L1878" t="n">
        <v>0</v>
      </c>
      <c r="M1878" t="n">
        <v>0</v>
      </c>
      <c r="N1878" t="n">
        <v>0</v>
      </c>
      <c r="O1878" t="n">
        <v>0</v>
      </c>
      <c r="P1878" t="n">
        <v>0</v>
      </c>
      <c r="Q1878" t="n">
        <v>0</v>
      </c>
      <c r="R1878" s="2" t="inlineStr"/>
    </row>
    <row r="1879" ht="15" customHeight="1">
      <c r="A1879" t="inlineStr">
        <is>
          <t>A 66350-2021</t>
        </is>
      </c>
      <c r="B1879" s="1" t="n">
        <v>44518</v>
      </c>
      <c r="C1879" s="1" t="n">
        <v>45724</v>
      </c>
      <c r="D1879" t="inlineStr">
        <is>
          <t>VÄSTMANLANDS LÄN</t>
        </is>
      </c>
      <c r="E1879" t="inlineStr">
        <is>
          <t>SURAHAMMAR</t>
        </is>
      </c>
      <c r="F1879" t="inlineStr">
        <is>
          <t>Sveaskog</t>
        </is>
      </c>
      <c r="G1879" t="n">
        <v>3.5</v>
      </c>
      <c r="H1879" t="n">
        <v>0</v>
      </c>
      <c r="I1879" t="n">
        <v>0</v>
      </c>
      <c r="J1879" t="n">
        <v>0</v>
      </c>
      <c r="K1879" t="n">
        <v>0</v>
      </c>
      <c r="L1879" t="n">
        <v>0</v>
      </c>
      <c r="M1879" t="n">
        <v>0</v>
      </c>
      <c r="N1879" t="n">
        <v>0</v>
      </c>
      <c r="O1879" t="n">
        <v>0</v>
      </c>
      <c r="P1879" t="n">
        <v>0</v>
      </c>
      <c r="Q1879" t="n">
        <v>0</v>
      </c>
      <c r="R1879" s="2" t="inlineStr"/>
    </row>
    <row r="1880" ht="15" customHeight="1">
      <c r="A1880" t="inlineStr">
        <is>
          <t>A 66508-2021</t>
        </is>
      </c>
      <c r="B1880" s="1" t="n">
        <v>44519</v>
      </c>
      <c r="C1880" s="1" t="n">
        <v>45724</v>
      </c>
      <c r="D1880" t="inlineStr">
        <is>
          <t>VÄSTMANLANDS LÄN</t>
        </is>
      </c>
      <c r="E1880" t="inlineStr">
        <is>
          <t>SALA</t>
        </is>
      </c>
      <c r="G1880" t="n">
        <v>0.5</v>
      </c>
      <c r="H1880" t="n">
        <v>0</v>
      </c>
      <c r="I1880" t="n">
        <v>0</v>
      </c>
      <c r="J1880" t="n">
        <v>0</v>
      </c>
      <c r="K1880" t="n">
        <v>0</v>
      </c>
      <c r="L1880" t="n">
        <v>0</v>
      </c>
      <c r="M1880" t="n">
        <v>0</v>
      </c>
      <c r="N1880" t="n">
        <v>0</v>
      </c>
      <c r="O1880" t="n">
        <v>0</v>
      </c>
      <c r="P1880" t="n">
        <v>0</v>
      </c>
      <c r="Q1880" t="n">
        <v>0</v>
      </c>
      <c r="R1880" s="2" t="inlineStr"/>
    </row>
    <row r="1881" ht="15" customHeight="1">
      <c r="A1881" t="inlineStr">
        <is>
          <t>A 66571-2021</t>
        </is>
      </c>
      <c r="B1881" s="1" t="n">
        <v>44519</v>
      </c>
      <c r="C1881" s="1" t="n">
        <v>45724</v>
      </c>
      <c r="D1881" t="inlineStr">
        <is>
          <t>VÄSTMANLANDS LÄN</t>
        </is>
      </c>
      <c r="E1881" t="inlineStr">
        <is>
          <t>SKINNSKATTEBERG</t>
        </is>
      </c>
      <c r="F1881" t="inlineStr">
        <is>
          <t>Sveaskog</t>
        </is>
      </c>
      <c r="G1881" t="n">
        <v>0.6</v>
      </c>
      <c r="H1881" t="n">
        <v>0</v>
      </c>
      <c r="I1881" t="n">
        <v>0</v>
      </c>
      <c r="J1881" t="n">
        <v>0</v>
      </c>
      <c r="K1881" t="n">
        <v>0</v>
      </c>
      <c r="L1881" t="n">
        <v>0</v>
      </c>
      <c r="M1881" t="n">
        <v>0</v>
      </c>
      <c r="N1881" t="n">
        <v>0</v>
      </c>
      <c r="O1881" t="n">
        <v>0</v>
      </c>
      <c r="P1881" t="n">
        <v>0</v>
      </c>
      <c r="Q1881" t="n">
        <v>0</v>
      </c>
      <c r="R1881" s="2" t="inlineStr"/>
    </row>
    <row r="1882" ht="15" customHeight="1">
      <c r="A1882" t="inlineStr">
        <is>
          <t>A 66580-2021</t>
        </is>
      </c>
      <c r="B1882" s="1" t="n">
        <v>44519</v>
      </c>
      <c r="C1882" s="1" t="n">
        <v>45724</v>
      </c>
      <c r="D1882" t="inlineStr">
        <is>
          <t>VÄSTMANLANDS LÄN</t>
        </is>
      </c>
      <c r="E1882" t="inlineStr">
        <is>
          <t>SKINNSKATTEBERG</t>
        </is>
      </c>
      <c r="F1882" t="inlineStr">
        <is>
          <t>Sveaskog</t>
        </is>
      </c>
      <c r="G1882" t="n">
        <v>2</v>
      </c>
      <c r="H1882" t="n">
        <v>0</v>
      </c>
      <c r="I1882" t="n">
        <v>0</v>
      </c>
      <c r="J1882" t="n">
        <v>0</v>
      </c>
      <c r="K1882" t="n">
        <v>0</v>
      </c>
      <c r="L1882" t="n">
        <v>0</v>
      </c>
      <c r="M1882" t="n">
        <v>0</v>
      </c>
      <c r="N1882" t="n">
        <v>0</v>
      </c>
      <c r="O1882" t="n">
        <v>0</v>
      </c>
      <c r="P1882" t="n">
        <v>0</v>
      </c>
      <c r="Q1882" t="n">
        <v>0</v>
      </c>
      <c r="R1882" s="2" t="inlineStr"/>
    </row>
    <row r="1883" ht="15" customHeight="1">
      <c r="A1883" t="inlineStr">
        <is>
          <t>A 66563-2021</t>
        </is>
      </c>
      <c r="B1883" s="1" t="n">
        <v>44519</v>
      </c>
      <c r="C1883" s="1" t="n">
        <v>45724</v>
      </c>
      <c r="D1883" t="inlineStr">
        <is>
          <t>VÄSTMANLANDS LÄN</t>
        </is>
      </c>
      <c r="E1883" t="inlineStr">
        <is>
          <t>SALA</t>
        </is>
      </c>
      <c r="G1883" t="n">
        <v>1.4</v>
      </c>
      <c r="H1883" t="n">
        <v>0</v>
      </c>
      <c r="I1883" t="n">
        <v>0</v>
      </c>
      <c r="J1883" t="n">
        <v>0</v>
      </c>
      <c r="K1883" t="n">
        <v>0</v>
      </c>
      <c r="L1883" t="n">
        <v>0</v>
      </c>
      <c r="M1883" t="n">
        <v>0</v>
      </c>
      <c r="N1883" t="n">
        <v>0</v>
      </c>
      <c r="O1883" t="n">
        <v>0</v>
      </c>
      <c r="P1883" t="n">
        <v>0</v>
      </c>
      <c r="Q1883" t="n">
        <v>0</v>
      </c>
      <c r="R1883" s="2" t="inlineStr"/>
    </row>
    <row r="1884" ht="15" customHeight="1">
      <c r="A1884" t="inlineStr">
        <is>
          <t>A 66587-2021</t>
        </is>
      </c>
      <c r="B1884" s="1" t="n">
        <v>44519</v>
      </c>
      <c r="C1884" s="1" t="n">
        <v>45724</v>
      </c>
      <c r="D1884" t="inlineStr">
        <is>
          <t>VÄSTMANLANDS LÄN</t>
        </is>
      </c>
      <c r="E1884" t="inlineStr">
        <is>
          <t>SKINNSKATTEBERG</t>
        </is>
      </c>
      <c r="F1884" t="inlineStr">
        <is>
          <t>Sveaskog</t>
        </is>
      </c>
      <c r="G1884" t="n">
        <v>0.9</v>
      </c>
      <c r="H1884" t="n">
        <v>0</v>
      </c>
      <c r="I1884" t="n">
        <v>0</v>
      </c>
      <c r="J1884" t="n">
        <v>0</v>
      </c>
      <c r="K1884" t="n">
        <v>0</v>
      </c>
      <c r="L1884" t="n">
        <v>0</v>
      </c>
      <c r="M1884" t="n">
        <v>0</v>
      </c>
      <c r="N1884" t="n">
        <v>0</v>
      </c>
      <c r="O1884" t="n">
        <v>0</v>
      </c>
      <c r="P1884" t="n">
        <v>0</v>
      </c>
      <c r="Q1884" t="n">
        <v>0</v>
      </c>
      <c r="R1884" s="2" t="inlineStr"/>
    </row>
    <row r="1885" ht="15" customHeight="1">
      <c r="A1885" t="inlineStr">
        <is>
          <t>A 66561-2021</t>
        </is>
      </c>
      <c r="B1885" s="1" t="n">
        <v>44519</v>
      </c>
      <c r="C1885" s="1" t="n">
        <v>45724</v>
      </c>
      <c r="D1885" t="inlineStr">
        <is>
          <t>VÄSTMANLANDS LÄN</t>
        </is>
      </c>
      <c r="E1885" t="inlineStr">
        <is>
          <t>SALA</t>
        </is>
      </c>
      <c r="G1885" t="n">
        <v>0.3</v>
      </c>
      <c r="H1885" t="n">
        <v>0</v>
      </c>
      <c r="I1885" t="n">
        <v>0</v>
      </c>
      <c r="J1885" t="n">
        <v>0</v>
      </c>
      <c r="K1885" t="n">
        <v>0</v>
      </c>
      <c r="L1885" t="n">
        <v>0</v>
      </c>
      <c r="M1885" t="n">
        <v>0</v>
      </c>
      <c r="N1885" t="n">
        <v>0</v>
      </c>
      <c r="O1885" t="n">
        <v>0</v>
      </c>
      <c r="P1885" t="n">
        <v>0</v>
      </c>
      <c r="Q1885" t="n">
        <v>0</v>
      </c>
      <c r="R1885" s="2" t="inlineStr"/>
    </row>
    <row r="1886" ht="15" customHeight="1">
      <c r="A1886" t="inlineStr">
        <is>
          <t>A 66574-2021</t>
        </is>
      </c>
      <c r="B1886" s="1" t="n">
        <v>44519</v>
      </c>
      <c r="C1886" s="1" t="n">
        <v>45724</v>
      </c>
      <c r="D1886" t="inlineStr">
        <is>
          <t>VÄSTMANLANDS LÄN</t>
        </is>
      </c>
      <c r="E1886" t="inlineStr">
        <is>
          <t>SKINNSKATTEBERG</t>
        </is>
      </c>
      <c r="F1886" t="inlineStr">
        <is>
          <t>Sveaskog</t>
        </is>
      </c>
      <c r="G1886" t="n">
        <v>0.6</v>
      </c>
      <c r="H1886" t="n">
        <v>0</v>
      </c>
      <c r="I1886" t="n">
        <v>0</v>
      </c>
      <c r="J1886" t="n">
        <v>0</v>
      </c>
      <c r="K1886" t="n">
        <v>0</v>
      </c>
      <c r="L1886" t="n">
        <v>0</v>
      </c>
      <c r="M1886" t="n">
        <v>0</v>
      </c>
      <c r="N1886" t="n">
        <v>0</v>
      </c>
      <c r="O1886" t="n">
        <v>0</v>
      </c>
      <c r="P1886" t="n">
        <v>0</v>
      </c>
      <c r="Q1886" t="n">
        <v>0</v>
      </c>
      <c r="R1886" s="2" t="inlineStr"/>
    </row>
    <row r="1887" ht="15" customHeight="1">
      <c r="A1887" t="inlineStr">
        <is>
          <t>A 66584-2021</t>
        </is>
      </c>
      <c r="B1887" s="1" t="n">
        <v>44519</v>
      </c>
      <c r="C1887" s="1" t="n">
        <v>45724</v>
      </c>
      <c r="D1887" t="inlineStr">
        <is>
          <t>VÄSTMANLANDS LÄN</t>
        </is>
      </c>
      <c r="E1887" t="inlineStr">
        <is>
          <t>SKINNSKATTEBERG</t>
        </is>
      </c>
      <c r="F1887" t="inlineStr">
        <is>
          <t>Sveaskog</t>
        </is>
      </c>
      <c r="G1887" t="n">
        <v>2.2</v>
      </c>
      <c r="H1887" t="n">
        <v>0</v>
      </c>
      <c r="I1887" t="n">
        <v>0</v>
      </c>
      <c r="J1887" t="n">
        <v>0</v>
      </c>
      <c r="K1887" t="n">
        <v>0</v>
      </c>
      <c r="L1887" t="n">
        <v>0</v>
      </c>
      <c r="M1887" t="n">
        <v>0</v>
      </c>
      <c r="N1887" t="n">
        <v>0</v>
      </c>
      <c r="O1887" t="n">
        <v>0</v>
      </c>
      <c r="P1887" t="n">
        <v>0</v>
      </c>
      <c r="Q1887" t="n">
        <v>0</v>
      </c>
      <c r="R1887" s="2" t="inlineStr"/>
    </row>
    <row r="1888" ht="15" customHeight="1">
      <c r="A1888" t="inlineStr">
        <is>
          <t>A 66572-2021</t>
        </is>
      </c>
      <c r="B1888" s="1" t="n">
        <v>44519</v>
      </c>
      <c r="C1888" s="1" t="n">
        <v>45724</v>
      </c>
      <c r="D1888" t="inlineStr">
        <is>
          <t>VÄSTMANLANDS LÄN</t>
        </is>
      </c>
      <c r="E1888" t="inlineStr">
        <is>
          <t>SKINNSKATTEBERG</t>
        </is>
      </c>
      <c r="F1888" t="inlineStr">
        <is>
          <t>Sveaskog</t>
        </is>
      </c>
      <c r="G1888" t="n">
        <v>1</v>
      </c>
      <c r="H1888" t="n">
        <v>0</v>
      </c>
      <c r="I1888" t="n">
        <v>0</v>
      </c>
      <c r="J1888" t="n">
        <v>0</v>
      </c>
      <c r="K1888" t="n">
        <v>0</v>
      </c>
      <c r="L1888" t="n">
        <v>0</v>
      </c>
      <c r="M1888" t="n">
        <v>0</v>
      </c>
      <c r="N1888" t="n">
        <v>0</v>
      </c>
      <c r="O1888" t="n">
        <v>0</v>
      </c>
      <c r="P1888" t="n">
        <v>0</v>
      </c>
      <c r="Q1888" t="n">
        <v>0</v>
      </c>
      <c r="R1888" s="2" t="inlineStr"/>
    </row>
    <row r="1889" ht="15" customHeight="1">
      <c r="A1889" t="inlineStr">
        <is>
          <t>A 66908-2021</t>
        </is>
      </c>
      <c r="B1889" s="1" t="n">
        <v>44522</v>
      </c>
      <c r="C1889" s="1" t="n">
        <v>45724</v>
      </c>
      <c r="D1889" t="inlineStr">
        <is>
          <t>VÄSTMANLANDS LÄN</t>
        </is>
      </c>
      <c r="E1889" t="inlineStr">
        <is>
          <t>SALA</t>
        </is>
      </c>
      <c r="G1889" t="n">
        <v>2.6</v>
      </c>
      <c r="H1889" t="n">
        <v>0</v>
      </c>
      <c r="I1889" t="n">
        <v>0</v>
      </c>
      <c r="J1889" t="n">
        <v>0</v>
      </c>
      <c r="K1889" t="n">
        <v>0</v>
      </c>
      <c r="L1889" t="n">
        <v>0</v>
      </c>
      <c r="M1889" t="n">
        <v>0</v>
      </c>
      <c r="N1889" t="n">
        <v>0</v>
      </c>
      <c r="O1889" t="n">
        <v>0</v>
      </c>
      <c r="P1889" t="n">
        <v>0</v>
      </c>
      <c r="Q1889" t="n">
        <v>0</v>
      </c>
      <c r="R1889" s="2" t="inlineStr"/>
    </row>
    <row r="1890" ht="15" customHeight="1">
      <c r="A1890" t="inlineStr">
        <is>
          <t>A 66830-2021</t>
        </is>
      </c>
      <c r="B1890" s="1" t="n">
        <v>44522</v>
      </c>
      <c r="C1890" s="1" t="n">
        <v>45724</v>
      </c>
      <c r="D1890" t="inlineStr">
        <is>
          <t>VÄSTMANLANDS LÄN</t>
        </is>
      </c>
      <c r="E1890" t="inlineStr">
        <is>
          <t>SALA</t>
        </is>
      </c>
      <c r="G1890" t="n">
        <v>0.5</v>
      </c>
      <c r="H1890" t="n">
        <v>0</v>
      </c>
      <c r="I1890" t="n">
        <v>0</v>
      </c>
      <c r="J1890" t="n">
        <v>0</v>
      </c>
      <c r="K1890" t="n">
        <v>0</v>
      </c>
      <c r="L1890" t="n">
        <v>0</v>
      </c>
      <c r="M1890" t="n">
        <v>0</v>
      </c>
      <c r="N1890" t="n">
        <v>0</v>
      </c>
      <c r="O1890" t="n">
        <v>0</v>
      </c>
      <c r="P1890" t="n">
        <v>0</v>
      </c>
      <c r="Q1890" t="n">
        <v>0</v>
      </c>
      <c r="R1890" s="2" t="inlineStr"/>
    </row>
    <row r="1891" ht="15" customHeight="1">
      <c r="A1891" t="inlineStr">
        <is>
          <t>A 66997-2021</t>
        </is>
      </c>
      <c r="B1891" s="1" t="n">
        <v>44522</v>
      </c>
      <c r="C1891" s="1" t="n">
        <v>45724</v>
      </c>
      <c r="D1891" t="inlineStr">
        <is>
          <t>VÄSTMANLANDS LÄN</t>
        </is>
      </c>
      <c r="E1891" t="inlineStr">
        <is>
          <t>KÖPING</t>
        </is>
      </c>
      <c r="G1891" t="n">
        <v>7.2</v>
      </c>
      <c r="H1891" t="n">
        <v>0</v>
      </c>
      <c r="I1891" t="n">
        <v>0</v>
      </c>
      <c r="J1891" t="n">
        <v>0</v>
      </c>
      <c r="K1891" t="n">
        <v>0</v>
      </c>
      <c r="L1891" t="n">
        <v>0</v>
      </c>
      <c r="M1891" t="n">
        <v>0</v>
      </c>
      <c r="N1891" t="n">
        <v>0</v>
      </c>
      <c r="O1891" t="n">
        <v>0</v>
      </c>
      <c r="P1891" t="n">
        <v>0</v>
      </c>
      <c r="Q1891" t="n">
        <v>0</v>
      </c>
      <c r="R1891" s="2" t="inlineStr"/>
    </row>
    <row r="1892" ht="15" customHeight="1">
      <c r="A1892" t="inlineStr">
        <is>
          <t>A 67037-2021</t>
        </is>
      </c>
      <c r="B1892" s="1" t="n">
        <v>44522</v>
      </c>
      <c r="C1892" s="1" t="n">
        <v>45724</v>
      </c>
      <c r="D1892" t="inlineStr">
        <is>
          <t>VÄSTMANLANDS LÄN</t>
        </is>
      </c>
      <c r="E1892" t="inlineStr">
        <is>
          <t>SALA</t>
        </is>
      </c>
      <c r="G1892" t="n">
        <v>1.4</v>
      </c>
      <c r="H1892" t="n">
        <v>0</v>
      </c>
      <c r="I1892" t="n">
        <v>0</v>
      </c>
      <c r="J1892" t="n">
        <v>0</v>
      </c>
      <c r="K1892" t="n">
        <v>0</v>
      </c>
      <c r="L1892" t="n">
        <v>0</v>
      </c>
      <c r="M1892" t="n">
        <v>0</v>
      </c>
      <c r="N1892" t="n">
        <v>0</v>
      </c>
      <c r="O1892" t="n">
        <v>0</v>
      </c>
      <c r="P1892" t="n">
        <v>0</v>
      </c>
      <c r="Q1892" t="n">
        <v>0</v>
      </c>
      <c r="R1892" s="2" t="inlineStr"/>
      <c r="U1892">
        <f>HYPERLINK("https://klasma.github.io/Logging_1981/knärot/A 67037-2021 karta knärot.png", "A 67037-2021")</f>
        <v/>
      </c>
      <c r="V1892">
        <f>HYPERLINK("https://klasma.github.io/Logging_1981/klagomål/A 67037-2021 FSC-klagomål.docx", "A 67037-2021")</f>
        <v/>
      </c>
      <c r="W1892">
        <f>HYPERLINK("https://klasma.github.io/Logging_1981/klagomålsmail/A 67037-2021 FSC-klagomål mail.docx", "A 67037-2021")</f>
        <v/>
      </c>
      <c r="X1892">
        <f>HYPERLINK("https://klasma.github.io/Logging_1981/tillsyn/A 67037-2021 tillsynsbegäran.docx", "A 67037-2021")</f>
        <v/>
      </c>
      <c r="Y1892">
        <f>HYPERLINK("https://klasma.github.io/Logging_1981/tillsynsmail/A 67037-2021 tillsynsbegäran mail.docx", "A 67037-2021")</f>
        <v/>
      </c>
    </row>
    <row r="1893" ht="15" customHeight="1">
      <c r="A1893" t="inlineStr">
        <is>
          <t>A 67350-2021</t>
        </is>
      </c>
      <c r="B1893" s="1" t="n">
        <v>44523</v>
      </c>
      <c r="C1893" s="1" t="n">
        <v>45724</v>
      </c>
      <c r="D1893" t="inlineStr">
        <is>
          <t>VÄSTMANLANDS LÄN</t>
        </is>
      </c>
      <c r="E1893" t="inlineStr">
        <is>
          <t>VÄSTERÅS</t>
        </is>
      </c>
      <c r="F1893" t="inlineStr">
        <is>
          <t>Övriga Aktiebolag</t>
        </is>
      </c>
      <c r="G1893" t="n">
        <v>1.8</v>
      </c>
      <c r="H1893" t="n">
        <v>0</v>
      </c>
      <c r="I1893" t="n">
        <v>0</v>
      </c>
      <c r="J1893" t="n">
        <v>0</v>
      </c>
      <c r="K1893" t="n">
        <v>0</v>
      </c>
      <c r="L1893" t="n">
        <v>0</v>
      </c>
      <c r="M1893" t="n">
        <v>0</v>
      </c>
      <c r="N1893" t="n">
        <v>0</v>
      </c>
      <c r="O1893" t="n">
        <v>0</v>
      </c>
      <c r="P1893" t="n">
        <v>0</v>
      </c>
      <c r="Q1893" t="n">
        <v>0</v>
      </c>
      <c r="R1893" s="2" t="inlineStr"/>
    </row>
    <row r="1894" ht="15" customHeight="1">
      <c r="A1894" t="inlineStr">
        <is>
          <t>A 67352-2021</t>
        </is>
      </c>
      <c r="B1894" s="1" t="n">
        <v>44523</v>
      </c>
      <c r="C1894" s="1" t="n">
        <v>45724</v>
      </c>
      <c r="D1894" t="inlineStr">
        <is>
          <t>VÄSTMANLANDS LÄN</t>
        </is>
      </c>
      <c r="E1894" t="inlineStr">
        <is>
          <t>VÄSTERÅS</t>
        </is>
      </c>
      <c r="F1894" t="inlineStr">
        <is>
          <t>Övriga Aktiebolag</t>
        </is>
      </c>
      <c r="G1894" t="n">
        <v>3.7</v>
      </c>
      <c r="H1894" t="n">
        <v>0</v>
      </c>
      <c r="I1894" t="n">
        <v>0</v>
      </c>
      <c r="J1894" t="n">
        <v>0</v>
      </c>
      <c r="K1894" t="n">
        <v>0</v>
      </c>
      <c r="L1894" t="n">
        <v>0</v>
      </c>
      <c r="M1894" t="n">
        <v>0</v>
      </c>
      <c r="N1894" t="n">
        <v>0</v>
      </c>
      <c r="O1894" t="n">
        <v>0</v>
      </c>
      <c r="P1894" t="n">
        <v>0</v>
      </c>
      <c r="Q1894" t="n">
        <v>0</v>
      </c>
      <c r="R1894" s="2" t="inlineStr"/>
    </row>
    <row r="1895" ht="15" customHeight="1">
      <c r="A1895" t="inlineStr">
        <is>
          <t>A 67361-2021</t>
        </is>
      </c>
      <c r="B1895" s="1" t="n">
        <v>44523</v>
      </c>
      <c r="C1895" s="1" t="n">
        <v>45724</v>
      </c>
      <c r="D1895" t="inlineStr">
        <is>
          <t>VÄSTMANLANDS LÄN</t>
        </is>
      </c>
      <c r="E1895" t="inlineStr">
        <is>
          <t>NORBERG</t>
        </is>
      </c>
      <c r="G1895" t="n">
        <v>2.8</v>
      </c>
      <c r="H1895" t="n">
        <v>0</v>
      </c>
      <c r="I1895" t="n">
        <v>0</v>
      </c>
      <c r="J1895" t="n">
        <v>0</v>
      </c>
      <c r="K1895" t="n">
        <v>0</v>
      </c>
      <c r="L1895" t="n">
        <v>0</v>
      </c>
      <c r="M1895" t="n">
        <v>0</v>
      </c>
      <c r="N1895" t="n">
        <v>0</v>
      </c>
      <c r="O1895" t="n">
        <v>0</v>
      </c>
      <c r="P1895" t="n">
        <v>0</v>
      </c>
      <c r="Q1895" t="n">
        <v>0</v>
      </c>
      <c r="R1895" s="2" t="inlineStr"/>
    </row>
    <row r="1896" ht="15" customHeight="1">
      <c r="A1896" t="inlineStr">
        <is>
          <t>A 67356-2021</t>
        </is>
      </c>
      <c r="B1896" s="1" t="n">
        <v>44523</v>
      </c>
      <c r="C1896" s="1" t="n">
        <v>45724</v>
      </c>
      <c r="D1896" t="inlineStr">
        <is>
          <t>VÄSTMANLANDS LÄN</t>
        </is>
      </c>
      <c r="E1896" t="inlineStr">
        <is>
          <t>NORBERG</t>
        </is>
      </c>
      <c r="G1896" t="n">
        <v>1.3</v>
      </c>
      <c r="H1896" t="n">
        <v>0</v>
      </c>
      <c r="I1896" t="n">
        <v>0</v>
      </c>
      <c r="J1896" t="n">
        <v>0</v>
      </c>
      <c r="K1896" t="n">
        <v>0</v>
      </c>
      <c r="L1896" t="n">
        <v>0</v>
      </c>
      <c r="M1896" t="n">
        <v>0</v>
      </c>
      <c r="N1896" t="n">
        <v>0</v>
      </c>
      <c r="O1896" t="n">
        <v>0</v>
      </c>
      <c r="P1896" t="n">
        <v>0</v>
      </c>
      <c r="Q1896" t="n">
        <v>0</v>
      </c>
      <c r="R1896" s="2" t="inlineStr"/>
    </row>
    <row r="1897" ht="15" customHeight="1">
      <c r="A1897" t="inlineStr">
        <is>
          <t>A 67353-2021</t>
        </is>
      </c>
      <c r="B1897" s="1" t="n">
        <v>44523</v>
      </c>
      <c r="C1897" s="1" t="n">
        <v>45724</v>
      </c>
      <c r="D1897" t="inlineStr">
        <is>
          <t>VÄSTMANLANDS LÄN</t>
        </is>
      </c>
      <c r="E1897" t="inlineStr">
        <is>
          <t>VÄSTERÅS</t>
        </is>
      </c>
      <c r="F1897" t="inlineStr">
        <is>
          <t>Övriga Aktiebolag</t>
        </is>
      </c>
      <c r="G1897" t="n">
        <v>7.6</v>
      </c>
      <c r="H1897" t="n">
        <v>0</v>
      </c>
      <c r="I1897" t="n">
        <v>0</v>
      </c>
      <c r="J1897" t="n">
        <v>0</v>
      </c>
      <c r="K1897" t="n">
        <v>0</v>
      </c>
      <c r="L1897" t="n">
        <v>0</v>
      </c>
      <c r="M1897" t="n">
        <v>0</v>
      </c>
      <c r="N1897" t="n">
        <v>0</v>
      </c>
      <c r="O1897" t="n">
        <v>0</v>
      </c>
      <c r="P1897" t="n">
        <v>0</v>
      </c>
      <c r="Q1897" t="n">
        <v>0</v>
      </c>
      <c r="R1897" s="2" t="inlineStr"/>
    </row>
    <row r="1898" ht="15" customHeight="1">
      <c r="A1898" t="inlineStr">
        <is>
          <t>A 67611-2021</t>
        </is>
      </c>
      <c r="B1898" s="1" t="n">
        <v>44524</v>
      </c>
      <c r="C1898" s="1" t="n">
        <v>45724</v>
      </c>
      <c r="D1898" t="inlineStr">
        <is>
          <t>VÄSTMANLANDS LÄN</t>
        </is>
      </c>
      <c r="E1898" t="inlineStr">
        <is>
          <t>SURAHAMMAR</t>
        </is>
      </c>
      <c r="F1898" t="inlineStr">
        <is>
          <t>Kommuner</t>
        </is>
      </c>
      <c r="G1898" t="n">
        <v>3.8</v>
      </c>
      <c r="H1898" t="n">
        <v>0</v>
      </c>
      <c r="I1898" t="n">
        <v>0</v>
      </c>
      <c r="J1898" t="n">
        <v>0</v>
      </c>
      <c r="K1898" t="n">
        <v>0</v>
      </c>
      <c r="L1898" t="n">
        <v>0</v>
      </c>
      <c r="M1898" t="n">
        <v>0</v>
      </c>
      <c r="N1898" t="n">
        <v>0</v>
      </c>
      <c r="O1898" t="n">
        <v>0</v>
      </c>
      <c r="P1898" t="n">
        <v>0</v>
      </c>
      <c r="Q1898" t="n">
        <v>0</v>
      </c>
      <c r="R1898" s="2" t="inlineStr"/>
    </row>
    <row r="1899" ht="15" customHeight="1">
      <c r="A1899" t="inlineStr">
        <is>
          <t>A 67965-2021</t>
        </is>
      </c>
      <c r="B1899" s="1" t="n">
        <v>44525</v>
      </c>
      <c r="C1899" s="1" t="n">
        <v>45724</v>
      </c>
      <c r="D1899" t="inlineStr">
        <is>
          <t>VÄSTMANLANDS LÄN</t>
        </is>
      </c>
      <c r="E1899" t="inlineStr">
        <is>
          <t>SALA</t>
        </is>
      </c>
      <c r="G1899" t="n">
        <v>0.6</v>
      </c>
      <c r="H1899" t="n">
        <v>0</v>
      </c>
      <c r="I1899" t="n">
        <v>0</v>
      </c>
      <c r="J1899" t="n">
        <v>0</v>
      </c>
      <c r="K1899" t="n">
        <v>0</v>
      </c>
      <c r="L1899" t="n">
        <v>0</v>
      </c>
      <c r="M1899" t="n">
        <v>0</v>
      </c>
      <c r="N1899" t="n">
        <v>0</v>
      </c>
      <c r="O1899" t="n">
        <v>0</v>
      </c>
      <c r="P1899" t="n">
        <v>0</v>
      </c>
      <c r="Q1899" t="n">
        <v>0</v>
      </c>
      <c r="R1899" s="2" t="inlineStr"/>
    </row>
    <row r="1900" ht="15" customHeight="1">
      <c r="A1900" t="inlineStr">
        <is>
          <t>A 67958-2021</t>
        </is>
      </c>
      <c r="B1900" s="1" t="n">
        <v>44525</v>
      </c>
      <c r="C1900" s="1" t="n">
        <v>45724</v>
      </c>
      <c r="D1900" t="inlineStr">
        <is>
          <t>VÄSTMANLANDS LÄN</t>
        </is>
      </c>
      <c r="E1900" t="inlineStr">
        <is>
          <t>SALA</t>
        </is>
      </c>
      <c r="G1900" t="n">
        <v>0.6</v>
      </c>
      <c r="H1900" t="n">
        <v>0</v>
      </c>
      <c r="I1900" t="n">
        <v>0</v>
      </c>
      <c r="J1900" t="n">
        <v>0</v>
      </c>
      <c r="K1900" t="n">
        <v>0</v>
      </c>
      <c r="L1900" t="n">
        <v>0</v>
      </c>
      <c r="M1900" t="n">
        <v>0</v>
      </c>
      <c r="N1900" t="n">
        <v>0</v>
      </c>
      <c r="O1900" t="n">
        <v>0</v>
      </c>
      <c r="P1900" t="n">
        <v>0</v>
      </c>
      <c r="Q1900" t="n">
        <v>0</v>
      </c>
      <c r="R1900" s="2" t="inlineStr"/>
    </row>
    <row r="1901" ht="15" customHeight="1">
      <c r="A1901" t="inlineStr">
        <is>
          <t>A 67943-2021</t>
        </is>
      </c>
      <c r="B1901" s="1" t="n">
        <v>44525</v>
      </c>
      <c r="C1901" s="1" t="n">
        <v>45724</v>
      </c>
      <c r="D1901" t="inlineStr">
        <is>
          <t>VÄSTMANLANDS LÄN</t>
        </is>
      </c>
      <c r="E1901" t="inlineStr">
        <is>
          <t>VÄSTERÅS</t>
        </is>
      </c>
      <c r="G1901" t="n">
        <v>1.4</v>
      </c>
      <c r="H1901" t="n">
        <v>0</v>
      </c>
      <c r="I1901" t="n">
        <v>0</v>
      </c>
      <c r="J1901" t="n">
        <v>0</v>
      </c>
      <c r="K1901" t="n">
        <v>0</v>
      </c>
      <c r="L1901" t="n">
        <v>0</v>
      </c>
      <c r="M1901" t="n">
        <v>0</v>
      </c>
      <c r="N1901" t="n">
        <v>0</v>
      </c>
      <c r="O1901" t="n">
        <v>0</v>
      </c>
      <c r="P1901" t="n">
        <v>0</v>
      </c>
      <c r="Q1901" t="n">
        <v>0</v>
      </c>
      <c r="R1901" s="2" t="inlineStr"/>
    </row>
    <row r="1902" ht="15" customHeight="1">
      <c r="A1902" t="inlineStr">
        <is>
          <t>A 67946-2021</t>
        </is>
      </c>
      <c r="B1902" s="1" t="n">
        <v>44525</v>
      </c>
      <c r="C1902" s="1" t="n">
        <v>45724</v>
      </c>
      <c r="D1902" t="inlineStr">
        <is>
          <t>VÄSTMANLANDS LÄN</t>
        </is>
      </c>
      <c r="E1902" t="inlineStr">
        <is>
          <t>KÖPING</t>
        </is>
      </c>
      <c r="G1902" t="n">
        <v>1.8</v>
      </c>
      <c r="H1902" t="n">
        <v>0</v>
      </c>
      <c r="I1902" t="n">
        <v>0</v>
      </c>
      <c r="J1902" t="n">
        <v>0</v>
      </c>
      <c r="K1902" t="n">
        <v>0</v>
      </c>
      <c r="L1902" t="n">
        <v>0</v>
      </c>
      <c r="M1902" t="n">
        <v>0</v>
      </c>
      <c r="N1902" t="n">
        <v>0</v>
      </c>
      <c r="O1902" t="n">
        <v>0</v>
      </c>
      <c r="P1902" t="n">
        <v>0</v>
      </c>
      <c r="Q1902" t="n">
        <v>0</v>
      </c>
      <c r="R1902" s="2" t="inlineStr"/>
    </row>
    <row r="1903" ht="15" customHeight="1">
      <c r="A1903" t="inlineStr">
        <is>
          <t>A 67962-2021</t>
        </is>
      </c>
      <c r="B1903" s="1" t="n">
        <v>44525</v>
      </c>
      <c r="C1903" s="1" t="n">
        <v>45724</v>
      </c>
      <c r="D1903" t="inlineStr">
        <is>
          <t>VÄSTMANLANDS LÄN</t>
        </is>
      </c>
      <c r="E1903" t="inlineStr">
        <is>
          <t>SALA</t>
        </is>
      </c>
      <c r="G1903" t="n">
        <v>1.4</v>
      </c>
      <c r="H1903" t="n">
        <v>0</v>
      </c>
      <c r="I1903" t="n">
        <v>0</v>
      </c>
      <c r="J1903" t="n">
        <v>0</v>
      </c>
      <c r="K1903" t="n">
        <v>0</v>
      </c>
      <c r="L1903" t="n">
        <v>0</v>
      </c>
      <c r="M1903" t="n">
        <v>0</v>
      </c>
      <c r="N1903" t="n">
        <v>0</v>
      </c>
      <c r="O1903" t="n">
        <v>0</v>
      </c>
      <c r="P1903" t="n">
        <v>0</v>
      </c>
      <c r="Q1903" t="n">
        <v>0</v>
      </c>
      <c r="R1903" s="2" t="inlineStr"/>
    </row>
    <row r="1904" ht="15" customHeight="1">
      <c r="A1904" t="inlineStr">
        <is>
          <t>A 68174-2021</t>
        </is>
      </c>
      <c r="B1904" s="1" t="n">
        <v>44526</v>
      </c>
      <c r="C1904" s="1" t="n">
        <v>45724</v>
      </c>
      <c r="D1904" t="inlineStr">
        <is>
          <t>VÄSTMANLANDS LÄN</t>
        </is>
      </c>
      <c r="E1904" t="inlineStr">
        <is>
          <t>FAGERSTA</t>
        </is>
      </c>
      <c r="F1904" t="inlineStr">
        <is>
          <t>Kyrkan</t>
        </is>
      </c>
      <c r="G1904" t="n">
        <v>0.9</v>
      </c>
      <c r="H1904" t="n">
        <v>0</v>
      </c>
      <c r="I1904" t="n">
        <v>0</v>
      </c>
      <c r="J1904" t="n">
        <v>0</v>
      </c>
      <c r="K1904" t="n">
        <v>0</v>
      </c>
      <c r="L1904" t="n">
        <v>0</v>
      </c>
      <c r="M1904" t="n">
        <v>0</v>
      </c>
      <c r="N1904" t="n">
        <v>0</v>
      </c>
      <c r="O1904" t="n">
        <v>0</v>
      </c>
      <c r="P1904" t="n">
        <v>0</v>
      </c>
      <c r="Q1904" t="n">
        <v>0</v>
      </c>
      <c r="R1904" s="2" t="inlineStr"/>
    </row>
    <row r="1905" ht="15" customHeight="1">
      <c r="A1905" t="inlineStr">
        <is>
          <t>A 68237-2021</t>
        </is>
      </c>
      <c r="B1905" s="1" t="n">
        <v>44526</v>
      </c>
      <c r="C1905" s="1" t="n">
        <v>45724</v>
      </c>
      <c r="D1905" t="inlineStr">
        <is>
          <t>VÄSTMANLANDS LÄN</t>
        </is>
      </c>
      <c r="E1905" t="inlineStr">
        <is>
          <t>ARBOGA</t>
        </is>
      </c>
      <c r="G1905" t="n">
        <v>2.2</v>
      </c>
      <c r="H1905" t="n">
        <v>0</v>
      </c>
      <c r="I1905" t="n">
        <v>0</v>
      </c>
      <c r="J1905" t="n">
        <v>0</v>
      </c>
      <c r="K1905" t="n">
        <v>0</v>
      </c>
      <c r="L1905" t="n">
        <v>0</v>
      </c>
      <c r="M1905" t="n">
        <v>0</v>
      </c>
      <c r="N1905" t="n">
        <v>0</v>
      </c>
      <c r="O1905" t="n">
        <v>0</v>
      </c>
      <c r="P1905" t="n">
        <v>0</v>
      </c>
      <c r="Q1905" t="n">
        <v>0</v>
      </c>
      <c r="R1905" s="2" t="inlineStr"/>
    </row>
    <row r="1906" ht="15" customHeight="1">
      <c r="A1906" t="inlineStr">
        <is>
          <t>A 68256-2021</t>
        </is>
      </c>
      <c r="B1906" s="1" t="n">
        <v>44526</v>
      </c>
      <c r="C1906" s="1" t="n">
        <v>45724</v>
      </c>
      <c r="D1906" t="inlineStr">
        <is>
          <t>VÄSTMANLANDS LÄN</t>
        </is>
      </c>
      <c r="E1906" t="inlineStr">
        <is>
          <t>ARBOGA</t>
        </is>
      </c>
      <c r="G1906" t="n">
        <v>0.5</v>
      </c>
      <c r="H1906" t="n">
        <v>0</v>
      </c>
      <c r="I1906" t="n">
        <v>0</v>
      </c>
      <c r="J1906" t="n">
        <v>0</v>
      </c>
      <c r="K1906" t="n">
        <v>0</v>
      </c>
      <c r="L1906" t="n">
        <v>0</v>
      </c>
      <c r="M1906" t="n">
        <v>0</v>
      </c>
      <c r="N1906" t="n">
        <v>0</v>
      </c>
      <c r="O1906" t="n">
        <v>0</v>
      </c>
      <c r="P1906" t="n">
        <v>0</v>
      </c>
      <c r="Q1906" t="n">
        <v>0</v>
      </c>
      <c r="R1906" s="2" t="inlineStr"/>
    </row>
    <row r="1907" ht="15" customHeight="1">
      <c r="A1907" t="inlineStr">
        <is>
          <t>A 68355-2021</t>
        </is>
      </c>
      <c r="B1907" s="1" t="n">
        <v>44528</v>
      </c>
      <c r="C1907" s="1" t="n">
        <v>45724</v>
      </c>
      <c r="D1907" t="inlineStr">
        <is>
          <t>VÄSTMANLANDS LÄN</t>
        </is>
      </c>
      <c r="E1907" t="inlineStr">
        <is>
          <t>SALA</t>
        </is>
      </c>
      <c r="G1907" t="n">
        <v>0.5</v>
      </c>
      <c r="H1907" t="n">
        <v>0</v>
      </c>
      <c r="I1907" t="n">
        <v>0</v>
      </c>
      <c r="J1907" t="n">
        <v>0</v>
      </c>
      <c r="K1907" t="n">
        <v>0</v>
      </c>
      <c r="L1907" t="n">
        <v>0</v>
      </c>
      <c r="M1907" t="n">
        <v>0</v>
      </c>
      <c r="N1907" t="n">
        <v>0</v>
      </c>
      <c r="O1907" t="n">
        <v>0</v>
      </c>
      <c r="P1907" t="n">
        <v>0</v>
      </c>
      <c r="Q1907" t="n">
        <v>0</v>
      </c>
      <c r="R1907" s="2" t="inlineStr"/>
    </row>
    <row r="1908" ht="15" customHeight="1">
      <c r="A1908" t="inlineStr">
        <is>
          <t>A 68484-2021</t>
        </is>
      </c>
      <c r="B1908" s="1" t="n">
        <v>44529</v>
      </c>
      <c r="C1908" s="1" t="n">
        <v>45724</v>
      </c>
      <c r="D1908" t="inlineStr">
        <is>
          <t>VÄSTMANLANDS LÄN</t>
        </is>
      </c>
      <c r="E1908" t="inlineStr">
        <is>
          <t>SALA</t>
        </is>
      </c>
      <c r="G1908" t="n">
        <v>1.7</v>
      </c>
      <c r="H1908" t="n">
        <v>0</v>
      </c>
      <c r="I1908" t="n">
        <v>0</v>
      </c>
      <c r="J1908" t="n">
        <v>0</v>
      </c>
      <c r="K1908" t="n">
        <v>0</v>
      </c>
      <c r="L1908" t="n">
        <v>0</v>
      </c>
      <c r="M1908" t="n">
        <v>0</v>
      </c>
      <c r="N1908" t="n">
        <v>0</v>
      </c>
      <c r="O1908" t="n">
        <v>0</v>
      </c>
      <c r="P1908" t="n">
        <v>0</v>
      </c>
      <c r="Q1908" t="n">
        <v>0</v>
      </c>
      <c r="R1908" s="2" t="inlineStr"/>
    </row>
    <row r="1909" ht="15" customHeight="1">
      <c r="A1909" t="inlineStr">
        <is>
          <t>A 68714-2021</t>
        </is>
      </c>
      <c r="B1909" s="1" t="n">
        <v>44529</v>
      </c>
      <c r="C1909" s="1" t="n">
        <v>45724</v>
      </c>
      <c r="D1909" t="inlineStr">
        <is>
          <t>VÄSTMANLANDS LÄN</t>
        </is>
      </c>
      <c r="E1909" t="inlineStr">
        <is>
          <t>KÖPING</t>
        </is>
      </c>
      <c r="G1909" t="n">
        <v>6.4</v>
      </c>
      <c r="H1909" t="n">
        <v>0</v>
      </c>
      <c r="I1909" t="n">
        <v>0</v>
      </c>
      <c r="J1909" t="n">
        <v>0</v>
      </c>
      <c r="K1909" t="n">
        <v>0</v>
      </c>
      <c r="L1909" t="n">
        <v>0</v>
      </c>
      <c r="M1909" t="n">
        <v>0</v>
      </c>
      <c r="N1909" t="n">
        <v>0</v>
      </c>
      <c r="O1909" t="n">
        <v>0</v>
      </c>
      <c r="P1909" t="n">
        <v>0</v>
      </c>
      <c r="Q1909" t="n">
        <v>0</v>
      </c>
      <c r="R1909" s="2" t="inlineStr"/>
    </row>
    <row r="1910" ht="15" customHeight="1">
      <c r="A1910" t="inlineStr">
        <is>
          <t>A 68540-2021</t>
        </is>
      </c>
      <c r="B1910" s="1" t="n">
        <v>44529</v>
      </c>
      <c r="C1910" s="1" t="n">
        <v>45724</v>
      </c>
      <c r="D1910" t="inlineStr">
        <is>
          <t>VÄSTMANLANDS LÄN</t>
        </is>
      </c>
      <c r="E1910" t="inlineStr">
        <is>
          <t>SKINNSKATTEBERG</t>
        </is>
      </c>
      <c r="G1910" t="n">
        <v>2</v>
      </c>
      <c r="H1910" t="n">
        <v>0</v>
      </c>
      <c r="I1910" t="n">
        <v>0</v>
      </c>
      <c r="J1910" t="n">
        <v>0</v>
      </c>
      <c r="K1910" t="n">
        <v>0</v>
      </c>
      <c r="L1910" t="n">
        <v>0</v>
      </c>
      <c r="M1910" t="n">
        <v>0</v>
      </c>
      <c r="N1910" t="n">
        <v>0</v>
      </c>
      <c r="O1910" t="n">
        <v>0</v>
      </c>
      <c r="P1910" t="n">
        <v>0</v>
      </c>
      <c r="Q1910" t="n">
        <v>0</v>
      </c>
      <c r="R1910" s="2" t="inlineStr"/>
    </row>
    <row r="1911" ht="15" customHeight="1">
      <c r="A1911" t="inlineStr">
        <is>
          <t>A 68525-2021</t>
        </is>
      </c>
      <c r="B1911" s="1" t="n">
        <v>44529</v>
      </c>
      <c r="C1911" s="1" t="n">
        <v>45724</v>
      </c>
      <c r="D1911" t="inlineStr">
        <is>
          <t>VÄSTMANLANDS LÄN</t>
        </is>
      </c>
      <c r="E1911" t="inlineStr">
        <is>
          <t>SKINNSKATTEBERG</t>
        </is>
      </c>
      <c r="G1911" t="n">
        <v>6.7</v>
      </c>
      <c r="H1911" t="n">
        <v>0</v>
      </c>
      <c r="I1911" t="n">
        <v>0</v>
      </c>
      <c r="J1911" t="n">
        <v>0</v>
      </c>
      <c r="K1911" t="n">
        <v>0</v>
      </c>
      <c r="L1911" t="n">
        <v>0</v>
      </c>
      <c r="M1911" t="n">
        <v>0</v>
      </c>
      <c r="N1911" t="n">
        <v>0</v>
      </c>
      <c r="O1911" t="n">
        <v>0</v>
      </c>
      <c r="P1911" t="n">
        <v>0</v>
      </c>
      <c r="Q1911" t="n">
        <v>0</v>
      </c>
      <c r="R1911" s="2" t="inlineStr"/>
    </row>
    <row r="1912" ht="15" customHeight="1">
      <c r="A1912" t="inlineStr">
        <is>
          <t>A 68980-2021</t>
        </is>
      </c>
      <c r="B1912" s="1" t="n">
        <v>44529</v>
      </c>
      <c r="C1912" s="1" t="n">
        <v>45724</v>
      </c>
      <c r="D1912" t="inlineStr">
        <is>
          <t>VÄSTMANLANDS LÄN</t>
        </is>
      </c>
      <c r="E1912" t="inlineStr">
        <is>
          <t>SALA</t>
        </is>
      </c>
      <c r="G1912" t="n">
        <v>0.9</v>
      </c>
      <c r="H1912" t="n">
        <v>0</v>
      </c>
      <c r="I1912" t="n">
        <v>0</v>
      </c>
      <c r="J1912" t="n">
        <v>0</v>
      </c>
      <c r="K1912" t="n">
        <v>0</v>
      </c>
      <c r="L1912" t="n">
        <v>0</v>
      </c>
      <c r="M1912" t="n">
        <v>0</v>
      </c>
      <c r="N1912" t="n">
        <v>0</v>
      </c>
      <c r="O1912" t="n">
        <v>0</v>
      </c>
      <c r="P1912" t="n">
        <v>0</v>
      </c>
      <c r="Q1912" t="n">
        <v>0</v>
      </c>
      <c r="R1912" s="2" t="inlineStr"/>
    </row>
    <row r="1913" ht="15" customHeight="1">
      <c r="A1913" t="inlineStr">
        <is>
          <t>A 68976-2021</t>
        </is>
      </c>
      <c r="B1913" s="1" t="n">
        <v>44530</v>
      </c>
      <c r="C1913" s="1" t="n">
        <v>45724</v>
      </c>
      <c r="D1913" t="inlineStr">
        <is>
          <t>VÄSTMANLANDS LÄN</t>
        </is>
      </c>
      <c r="E1913" t="inlineStr">
        <is>
          <t>KÖPING</t>
        </is>
      </c>
      <c r="G1913" t="n">
        <v>13.1</v>
      </c>
      <c r="H1913" t="n">
        <v>0</v>
      </c>
      <c r="I1913" t="n">
        <v>0</v>
      </c>
      <c r="J1913" t="n">
        <v>0</v>
      </c>
      <c r="K1913" t="n">
        <v>0</v>
      </c>
      <c r="L1913" t="n">
        <v>0</v>
      </c>
      <c r="M1913" t="n">
        <v>0</v>
      </c>
      <c r="N1913" t="n">
        <v>0</v>
      </c>
      <c r="O1913" t="n">
        <v>0</v>
      </c>
      <c r="P1913" t="n">
        <v>0</v>
      </c>
      <c r="Q1913" t="n">
        <v>0</v>
      </c>
      <c r="R1913" s="2" t="inlineStr"/>
    </row>
    <row r="1914" ht="15" customHeight="1">
      <c r="A1914" t="inlineStr">
        <is>
          <t>A 68864-2021</t>
        </is>
      </c>
      <c r="B1914" s="1" t="n">
        <v>44530</v>
      </c>
      <c r="C1914" s="1" t="n">
        <v>45724</v>
      </c>
      <c r="D1914" t="inlineStr">
        <is>
          <t>VÄSTMANLANDS LÄN</t>
        </is>
      </c>
      <c r="E1914" t="inlineStr">
        <is>
          <t>SALA</t>
        </is>
      </c>
      <c r="G1914" t="n">
        <v>1.1</v>
      </c>
      <c r="H1914" t="n">
        <v>0</v>
      </c>
      <c r="I1914" t="n">
        <v>0</v>
      </c>
      <c r="J1914" t="n">
        <v>0</v>
      </c>
      <c r="K1914" t="n">
        <v>0</v>
      </c>
      <c r="L1914" t="n">
        <v>0</v>
      </c>
      <c r="M1914" t="n">
        <v>0</v>
      </c>
      <c r="N1914" t="n">
        <v>0</v>
      </c>
      <c r="O1914" t="n">
        <v>0</v>
      </c>
      <c r="P1914" t="n">
        <v>0</v>
      </c>
      <c r="Q1914" t="n">
        <v>0</v>
      </c>
      <c r="R1914" s="2" t="inlineStr"/>
    </row>
    <row r="1915" ht="15" customHeight="1">
      <c r="A1915" t="inlineStr">
        <is>
          <t>A 68954-2021</t>
        </is>
      </c>
      <c r="B1915" s="1" t="n">
        <v>44530</v>
      </c>
      <c r="C1915" s="1" t="n">
        <v>45724</v>
      </c>
      <c r="D1915" t="inlineStr">
        <is>
          <t>VÄSTMANLANDS LÄN</t>
        </is>
      </c>
      <c r="E1915" t="inlineStr">
        <is>
          <t>KÖPING</t>
        </is>
      </c>
      <c r="G1915" t="n">
        <v>6.8</v>
      </c>
      <c r="H1915" t="n">
        <v>0</v>
      </c>
      <c r="I1915" t="n">
        <v>0</v>
      </c>
      <c r="J1915" t="n">
        <v>0</v>
      </c>
      <c r="K1915" t="n">
        <v>0</v>
      </c>
      <c r="L1915" t="n">
        <v>0</v>
      </c>
      <c r="M1915" t="n">
        <v>0</v>
      </c>
      <c r="N1915" t="n">
        <v>0</v>
      </c>
      <c r="O1915" t="n">
        <v>0</v>
      </c>
      <c r="P1915" t="n">
        <v>0</v>
      </c>
      <c r="Q1915" t="n">
        <v>0</v>
      </c>
      <c r="R1915" s="2" t="inlineStr"/>
    </row>
    <row r="1916" ht="15" customHeight="1">
      <c r="A1916" t="inlineStr">
        <is>
          <t>A 69104-2021</t>
        </is>
      </c>
      <c r="B1916" s="1" t="n">
        <v>44530</v>
      </c>
      <c r="C1916" s="1" t="n">
        <v>45724</v>
      </c>
      <c r="D1916" t="inlineStr">
        <is>
          <t>VÄSTMANLANDS LÄN</t>
        </is>
      </c>
      <c r="E1916" t="inlineStr">
        <is>
          <t>FAGERSTA</t>
        </is>
      </c>
      <c r="F1916" t="inlineStr">
        <is>
          <t>Kommuner</t>
        </is>
      </c>
      <c r="G1916" t="n">
        <v>3.2</v>
      </c>
      <c r="H1916" t="n">
        <v>0</v>
      </c>
      <c r="I1916" t="n">
        <v>0</v>
      </c>
      <c r="J1916" t="n">
        <v>0</v>
      </c>
      <c r="K1916" t="n">
        <v>0</v>
      </c>
      <c r="L1916" t="n">
        <v>0</v>
      </c>
      <c r="M1916" t="n">
        <v>0</v>
      </c>
      <c r="N1916" t="n">
        <v>0</v>
      </c>
      <c r="O1916" t="n">
        <v>0</v>
      </c>
      <c r="P1916" t="n">
        <v>0</v>
      </c>
      <c r="Q1916" t="n">
        <v>0</v>
      </c>
      <c r="R1916" s="2" t="inlineStr"/>
    </row>
    <row r="1917" ht="15" customHeight="1">
      <c r="A1917" t="inlineStr">
        <is>
          <t>A 69168-2021</t>
        </is>
      </c>
      <c r="B1917" s="1" t="n">
        <v>44530</v>
      </c>
      <c r="C1917" s="1" t="n">
        <v>45724</v>
      </c>
      <c r="D1917" t="inlineStr">
        <is>
          <t>VÄSTMANLANDS LÄN</t>
        </is>
      </c>
      <c r="E1917" t="inlineStr">
        <is>
          <t>ARBOGA</t>
        </is>
      </c>
      <c r="G1917" t="n">
        <v>4.2</v>
      </c>
      <c r="H1917" t="n">
        <v>0</v>
      </c>
      <c r="I1917" t="n">
        <v>0</v>
      </c>
      <c r="J1917" t="n">
        <v>0</v>
      </c>
      <c r="K1917" t="n">
        <v>0</v>
      </c>
      <c r="L1917" t="n">
        <v>0</v>
      </c>
      <c r="M1917" t="n">
        <v>0</v>
      </c>
      <c r="N1917" t="n">
        <v>0</v>
      </c>
      <c r="O1917" t="n">
        <v>0</v>
      </c>
      <c r="P1917" t="n">
        <v>0</v>
      </c>
      <c r="Q1917" t="n">
        <v>0</v>
      </c>
      <c r="R1917" s="2" t="inlineStr"/>
    </row>
    <row r="1918" ht="15" customHeight="1">
      <c r="A1918" t="inlineStr">
        <is>
          <t>A 69169-2021</t>
        </is>
      </c>
      <c r="B1918" s="1" t="n">
        <v>44530</v>
      </c>
      <c r="C1918" s="1" t="n">
        <v>45724</v>
      </c>
      <c r="D1918" t="inlineStr">
        <is>
          <t>VÄSTMANLANDS LÄN</t>
        </is>
      </c>
      <c r="E1918" t="inlineStr">
        <is>
          <t>ARBOGA</t>
        </is>
      </c>
      <c r="G1918" t="n">
        <v>10.5</v>
      </c>
      <c r="H1918" t="n">
        <v>0</v>
      </c>
      <c r="I1918" t="n">
        <v>0</v>
      </c>
      <c r="J1918" t="n">
        <v>0</v>
      </c>
      <c r="K1918" t="n">
        <v>0</v>
      </c>
      <c r="L1918" t="n">
        <v>0</v>
      </c>
      <c r="M1918" t="n">
        <v>0</v>
      </c>
      <c r="N1918" t="n">
        <v>0</v>
      </c>
      <c r="O1918" t="n">
        <v>0</v>
      </c>
      <c r="P1918" t="n">
        <v>0</v>
      </c>
      <c r="Q1918" t="n">
        <v>0</v>
      </c>
      <c r="R1918" s="2" t="inlineStr"/>
    </row>
    <row r="1919" ht="15" customHeight="1">
      <c r="A1919" t="inlineStr">
        <is>
          <t>A 69232-2021</t>
        </is>
      </c>
      <c r="B1919" s="1" t="n">
        <v>44531</v>
      </c>
      <c r="C1919" s="1" t="n">
        <v>45724</v>
      </c>
      <c r="D1919" t="inlineStr">
        <is>
          <t>VÄSTMANLANDS LÄN</t>
        </is>
      </c>
      <c r="E1919" t="inlineStr">
        <is>
          <t>SALA</t>
        </is>
      </c>
      <c r="G1919" t="n">
        <v>2.3</v>
      </c>
      <c r="H1919" t="n">
        <v>0</v>
      </c>
      <c r="I1919" t="n">
        <v>0</v>
      </c>
      <c r="J1919" t="n">
        <v>0</v>
      </c>
      <c r="K1919" t="n">
        <v>0</v>
      </c>
      <c r="L1919" t="n">
        <v>0</v>
      </c>
      <c r="M1919" t="n">
        <v>0</v>
      </c>
      <c r="N1919" t="n">
        <v>0</v>
      </c>
      <c r="O1919" t="n">
        <v>0</v>
      </c>
      <c r="P1919" t="n">
        <v>0</v>
      </c>
      <c r="Q1919" t="n">
        <v>0</v>
      </c>
      <c r="R1919" s="2" t="inlineStr"/>
    </row>
    <row r="1920" ht="15" customHeight="1">
      <c r="A1920" t="inlineStr">
        <is>
          <t>A 69256-2021</t>
        </is>
      </c>
      <c r="B1920" s="1" t="n">
        <v>44531</v>
      </c>
      <c r="C1920" s="1" t="n">
        <v>45724</v>
      </c>
      <c r="D1920" t="inlineStr">
        <is>
          <t>VÄSTMANLANDS LÄN</t>
        </is>
      </c>
      <c r="E1920" t="inlineStr">
        <is>
          <t>SKINNSKATTEBERG</t>
        </is>
      </c>
      <c r="F1920" t="inlineStr">
        <is>
          <t>Sveaskog</t>
        </is>
      </c>
      <c r="G1920" t="n">
        <v>0.8</v>
      </c>
      <c r="H1920" t="n">
        <v>0</v>
      </c>
      <c r="I1920" t="n">
        <v>0</v>
      </c>
      <c r="J1920" t="n">
        <v>0</v>
      </c>
      <c r="K1920" t="n">
        <v>0</v>
      </c>
      <c r="L1920" t="n">
        <v>0</v>
      </c>
      <c r="M1920" t="n">
        <v>0</v>
      </c>
      <c r="N1920" t="n">
        <v>0</v>
      </c>
      <c r="O1920" t="n">
        <v>0</v>
      </c>
      <c r="P1920" t="n">
        <v>0</v>
      </c>
      <c r="Q1920" t="n">
        <v>0</v>
      </c>
      <c r="R1920" s="2" t="inlineStr"/>
    </row>
    <row r="1921" ht="15" customHeight="1">
      <c r="A1921" t="inlineStr">
        <is>
          <t>A 69236-2021</t>
        </is>
      </c>
      <c r="B1921" s="1" t="n">
        <v>44531</v>
      </c>
      <c r="C1921" s="1" t="n">
        <v>45724</v>
      </c>
      <c r="D1921" t="inlineStr">
        <is>
          <t>VÄSTMANLANDS LÄN</t>
        </is>
      </c>
      <c r="E1921" t="inlineStr">
        <is>
          <t>SALA</t>
        </is>
      </c>
      <c r="G1921" t="n">
        <v>2.8</v>
      </c>
      <c r="H1921" t="n">
        <v>0</v>
      </c>
      <c r="I1921" t="n">
        <v>0</v>
      </c>
      <c r="J1921" t="n">
        <v>0</v>
      </c>
      <c r="K1921" t="n">
        <v>0</v>
      </c>
      <c r="L1921" t="n">
        <v>0</v>
      </c>
      <c r="M1921" t="n">
        <v>0</v>
      </c>
      <c r="N1921" t="n">
        <v>0</v>
      </c>
      <c r="O1921" t="n">
        <v>0</v>
      </c>
      <c r="P1921" t="n">
        <v>0</v>
      </c>
      <c r="Q1921" t="n">
        <v>0</v>
      </c>
      <c r="R1921" s="2" t="inlineStr"/>
    </row>
    <row r="1922" ht="15" customHeight="1">
      <c r="A1922" t="inlineStr">
        <is>
          <t>A 69259-2021</t>
        </is>
      </c>
      <c r="B1922" s="1" t="n">
        <v>44531</v>
      </c>
      <c r="C1922" s="1" t="n">
        <v>45724</v>
      </c>
      <c r="D1922" t="inlineStr">
        <is>
          <t>VÄSTMANLANDS LÄN</t>
        </is>
      </c>
      <c r="E1922" t="inlineStr">
        <is>
          <t>SKINNSKATTEBERG</t>
        </is>
      </c>
      <c r="F1922" t="inlineStr">
        <is>
          <t>Sveaskog</t>
        </is>
      </c>
      <c r="G1922" t="n">
        <v>1.2</v>
      </c>
      <c r="H1922" t="n">
        <v>0</v>
      </c>
      <c r="I1922" t="n">
        <v>0</v>
      </c>
      <c r="J1922" t="n">
        <v>0</v>
      </c>
      <c r="K1922" t="n">
        <v>0</v>
      </c>
      <c r="L1922" t="n">
        <v>0</v>
      </c>
      <c r="M1922" t="n">
        <v>0</v>
      </c>
      <c r="N1922" t="n">
        <v>0</v>
      </c>
      <c r="O1922" t="n">
        <v>0</v>
      </c>
      <c r="P1922" t="n">
        <v>0</v>
      </c>
      <c r="Q1922" t="n">
        <v>0</v>
      </c>
      <c r="R1922" s="2" t="inlineStr"/>
    </row>
    <row r="1923" ht="15" customHeight="1">
      <c r="A1923" t="inlineStr">
        <is>
          <t>A 69276-2021</t>
        </is>
      </c>
      <c r="B1923" s="1" t="n">
        <v>44531</v>
      </c>
      <c r="C1923" s="1" t="n">
        <v>45724</v>
      </c>
      <c r="D1923" t="inlineStr">
        <is>
          <t>VÄSTMANLANDS LÄN</t>
        </is>
      </c>
      <c r="E1923" t="inlineStr">
        <is>
          <t>SKINNSKATTEBERG</t>
        </is>
      </c>
      <c r="F1923" t="inlineStr">
        <is>
          <t>Sveaskog</t>
        </is>
      </c>
      <c r="G1923" t="n">
        <v>1.5</v>
      </c>
      <c r="H1923" t="n">
        <v>0</v>
      </c>
      <c r="I1923" t="n">
        <v>0</v>
      </c>
      <c r="J1923" t="n">
        <v>0</v>
      </c>
      <c r="K1923" t="n">
        <v>0</v>
      </c>
      <c r="L1923" t="n">
        <v>0</v>
      </c>
      <c r="M1923" t="n">
        <v>0</v>
      </c>
      <c r="N1923" t="n">
        <v>0</v>
      </c>
      <c r="O1923" t="n">
        <v>0</v>
      </c>
      <c r="P1923" t="n">
        <v>0</v>
      </c>
      <c r="Q1923" t="n">
        <v>0</v>
      </c>
      <c r="R1923" s="2" t="inlineStr"/>
    </row>
    <row r="1924" ht="15" customHeight="1">
      <c r="A1924" t="inlineStr">
        <is>
          <t>A 69565-2021</t>
        </is>
      </c>
      <c r="B1924" s="1" t="n">
        <v>44531</v>
      </c>
      <c r="C1924" s="1" t="n">
        <v>45724</v>
      </c>
      <c r="D1924" t="inlineStr">
        <is>
          <t>VÄSTMANLANDS LÄN</t>
        </is>
      </c>
      <c r="E1924" t="inlineStr">
        <is>
          <t>VÄSTERÅS</t>
        </is>
      </c>
      <c r="G1924" t="n">
        <v>7.3</v>
      </c>
      <c r="H1924" t="n">
        <v>0</v>
      </c>
      <c r="I1924" t="n">
        <v>0</v>
      </c>
      <c r="J1924" t="n">
        <v>0</v>
      </c>
      <c r="K1924" t="n">
        <v>0</v>
      </c>
      <c r="L1924" t="n">
        <v>0</v>
      </c>
      <c r="M1924" t="n">
        <v>0</v>
      </c>
      <c r="N1924" t="n">
        <v>0</v>
      </c>
      <c r="O1924" t="n">
        <v>0</v>
      </c>
      <c r="P1924" t="n">
        <v>0</v>
      </c>
      <c r="Q1924" t="n">
        <v>0</v>
      </c>
      <c r="R1924" s="2" t="inlineStr"/>
    </row>
    <row r="1925" ht="15" customHeight="1">
      <c r="A1925" t="inlineStr">
        <is>
          <t>A 69645-2021</t>
        </is>
      </c>
      <c r="B1925" s="1" t="n">
        <v>44532</v>
      </c>
      <c r="C1925" s="1" t="n">
        <v>45724</v>
      </c>
      <c r="D1925" t="inlineStr">
        <is>
          <t>VÄSTMANLANDS LÄN</t>
        </is>
      </c>
      <c r="E1925" t="inlineStr">
        <is>
          <t>KÖPING</t>
        </is>
      </c>
      <c r="G1925" t="n">
        <v>4.6</v>
      </c>
      <c r="H1925" t="n">
        <v>0</v>
      </c>
      <c r="I1925" t="n">
        <v>0</v>
      </c>
      <c r="J1925" t="n">
        <v>0</v>
      </c>
      <c r="K1925" t="n">
        <v>0</v>
      </c>
      <c r="L1925" t="n">
        <v>0</v>
      </c>
      <c r="M1925" t="n">
        <v>0</v>
      </c>
      <c r="N1925" t="n">
        <v>0</v>
      </c>
      <c r="O1925" t="n">
        <v>0</v>
      </c>
      <c r="P1925" t="n">
        <v>0</v>
      </c>
      <c r="Q1925" t="n">
        <v>0</v>
      </c>
      <c r="R1925" s="2" t="inlineStr"/>
    </row>
    <row r="1926" ht="15" customHeight="1">
      <c r="A1926" t="inlineStr">
        <is>
          <t>A 69656-2021</t>
        </is>
      </c>
      <c r="B1926" s="1" t="n">
        <v>44532</v>
      </c>
      <c r="C1926" s="1" t="n">
        <v>45724</v>
      </c>
      <c r="D1926" t="inlineStr">
        <is>
          <t>VÄSTMANLANDS LÄN</t>
        </is>
      </c>
      <c r="E1926" t="inlineStr">
        <is>
          <t>KÖPING</t>
        </is>
      </c>
      <c r="G1926" t="n">
        <v>2.4</v>
      </c>
      <c r="H1926" t="n">
        <v>0</v>
      </c>
      <c r="I1926" t="n">
        <v>0</v>
      </c>
      <c r="J1926" t="n">
        <v>0</v>
      </c>
      <c r="K1926" t="n">
        <v>0</v>
      </c>
      <c r="L1926" t="n">
        <v>0</v>
      </c>
      <c r="M1926" t="n">
        <v>0</v>
      </c>
      <c r="N1926" t="n">
        <v>0</v>
      </c>
      <c r="O1926" t="n">
        <v>0</v>
      </c>
      <c r="P1926" t="n">
        <v>0</v>
      </c>
      <c r="Q1926" t="n">
        <v>0</v>
      </c>
      <c r="R1926" s="2" t="inlineStr"/>
    </row>
    <row r="1927" ht="15" customHeight="1">
      <c r="A1927" t="inlineStr">
        <is>
          <t>A 69758-2021</t>
        </is>
      </c>
      <c r="B1927" s="1" t="n">
        <v>44532</v>
      </c>
      <c r="C1927" s="1" t="n">
        <v>45724</v>
      </c>
      <c r="D1927" t="inlineStr">
        <is>
          <t>VÄSTMANLANDS LÄN</t>
        </is>
      </c>
      <c r="E1927" t="inlineStr">
        <is>
          <t>NORBERG</t>
        </is>
      </c>
      <c r="G1927" t="n">
        <v>3.4</v>
      </c>
      <c r="H1927" t="n">
        <v>0</v>
      </c>
      <c r="I1927" t="n">
        <v>0</v>
      </c>
      <c r="J1927" t="n">
        <v>0</v>
      </c>
      <c r="K1927" t="n">
        <v>0</v>
      </c>
      <c r="L1927" t="n">
        <v>0</v>
      </c>
      <c r="M1927" t="n">
        <v>0</v>
      </c>
      <c r="N1927" t="n">
        <v>0</v>
      </c>
      <c r="O1927" t="n">
        <v>0</v>
      </c>
      <c r="P1927" t="n">
        <v>0</v>
      </c>
      <c r="Q1927" t="n">
        <v>0</v>
      </c>
      <c r="R1927" s="2" t="inlineStr"/>
    </row>
    <row r="1928" ht="15" customHeight="1">
      <c r="A1928" t="inlineStr">
        <is>
          <t>A 74421-2021</t>
        </is>
      </c>
      <c r="B1928" s="1" t="n">
        <v>44533</v>
      </c>
      <c r="C1928" s="1" t="n">
        <v>45724</v>
      </c>
      <c r="D1928" t="inlineStr">
        <is>
          <t>VÄSTMANLANDS LÄN</t>
        </is>
      </c>
      <c r="E1928" t="inlineStr">
        <is>
          <t>FAGERSTA</t>
        </is>
      </c>
      <c r="G1928" t="n">
        <v>3.8</v>
      </c>
      <c r="H1928" t="n">
        <v>0</v>
      </c>
      <c r="I1928" t="n">
        <v>0</v>
      </c>
      <c r="J1928" t="n">
        <v>0</v>
      </c>
      <c r="K1928" t="n">
        <v>0</v>
      </c>
      <c r="L1928" t="n">
        <v>0</v>
      </c>
      <c r="M1928" t="n">
        <v>0</v>
      </c>
      <c r="N1928" t="n">
        <v>0</v>
      </c>
      <c r="O1928" t="n">
        <v>0</v>
      </c>
      <c r="P1928" t="n">
        <v>0</v>
      </c>
      <c r="Q1928" t="n">
        <v>0</v>
      </c>
      <c r="R1928" s="2" t="inlineStr"/>
    </row>
    <row r="1929" ht="15" customHeight="1">
      <c r="A1929" t="inlineStr">
        <is>
          <t>A 70012-2021</t>
        </is>
      </c>
      <c r="B1929" s="1" t="n">
        <v>44533</v>
      </c>
      <c r="C1929" s="1" t="n">
        <v>45724</v>
      </c>
      <c r="D1929" t="inlineStr">
        <is>
          <t>VÄSTMANLANDS LÄN</t>
        </is>
      </c>
      <c r="E1929" t="inlineStr">
        <is>
          <t>FAGERSTA</t>
        </is>
      </c>
      <c r="G1929" t="n">
        <v>0.7</v>
      </c>
      <c r="H1929" t="n">
        <v>0</v>
      </c>
      <c r="I1929" t="n">
        <v>0</v>
      </c>
      <c r="J1929" t="n">
        <v>0</v>
      </c>
      <c r="K1929" t="n">
        <v>0</v>
      </c>
      <c r="L1929" t="n">
        <v>0</v>
      </c>
      <c r="M1929" t="n">
        <v>0</v>
      </c>
      <c r="N1929" t="n">
        <v>0</v>
      </c>
      <c r="O1929" t="n">
        <v>0</v>
      </c>
      <c r="P1929" t="n">
        <v>0</v>
      </c>
      <c r="Q1929" t="n">
        <v>0</v>
      </c>
      <c r="R1929" s="2" t="inlineStr"/>
    </row>
    <row r="1930" ht="15" customHeight="1">
      <c r="A1930" t="inlineStr">
        <is>
          <t>A 70218-2021</t>
        </is>
      </c>
      <c r="B1930" s="1" t="n">
        <v>44535</v>
      </c>
      <c r="C1930" s="1" t="n">
        <v>45724</v>
      </c>
      <c r="D1930" t="inlineStr">
        <is>
          <t>VÄSTMANLANDS LÄN</t>
        </is>
      </c>
      <c r="E1930" t="inlineStr">
        <is>
          <t>SALA</t>
        </is>
      </c>
      <c r="G1930" t="n">
        <v>0.4</v>
      </c>
      <c r="H1930" t="n">
        <v>0</v>
      </c>
      <c r="I1930" t="n">
        <v>0</v>
      </c>
      <c r="J1930" t="n">
        <v>0</v>
      </c>
      <c r="K1930" t="n">
        <v>0</v>
      </c>
      <c r="L1930" t="n">
        <v>0</v>
      </c>
      <c r="M1930" t="n">
        <v>0</v>
      </c>
      <c r="N1930" t="n">
        <v>0</v>
      </c>
      <c r="O1930" t="n">
        <v>0</v>
      </c>
      <c r="P1930" t="n">
        <v>0</v>
      </c>
      <c r="Q1930" t="n">
        <v>0</v>
      </c>
      <c r="R1930" s="2" t="inlineStr"/>
    </row>
    <row r="1931" ht="15" customHeight="1">
      <c r="A1931" t="inlineStr">
        <is>
          <t>A 70266-2021</t>
        </is>
      </c>
      <c r="B1931" s="1" t="n">
        <v>44536</v>
      </c>
      <c r="C1931" s="1" t="n">
        <v>45724</v>
      </c>
      <c r="D1931" t="inlineStr">
        <is>
          <t>VÄSTMANLANDS LÄN</t>
        </is>
      </c>
      <c r="E1931" t="inlineStr">
        <is>
          <t>ARBOGA</t>
        </is>
      </c>
      <c r="F1931" t="inlineStr">
        <is>
          <t>Sveaskog</t>
        </is>
      </c>
      <c r="G1931" t="n">
        <v>2.9</v>
      </c>
      <c r="H1931" t="n">
        <v>0</v>
      </c>
      <c r="I1931" t="n">
        <v>0</v>
      </c>
      <c r="J1931" t="n">
        <v>0</v>
      </c>
      <c r="K1931" t="n">
        <v>0</v>
      </c>
      <c r="L1931" t="n">
        <v>0</v>
      </c>
      <c r="M1931" t="n">
        <v>0</v>
      </c>
      <c r="N1931" t="n">
        <v>0</v>
      </c>
      <c r="O1931" t="n">
        <v>0</v>
      </c>
      <c r="P1931" t="n">
        <v>0</v>
      </c>
      <c r="Q1931" t="n">
        <v>0</v>
      </c>
      <c r="R1931" s="2" t="inlineStr"/>
    </row>
    <row r="1932" ht="15" customHeight="1">
      <c r="A1932" t="inlineStr">
        <is>
          <t>A 70319-2021</t>
        </is>
      </c>
      <c r="B1932" s="1" t="n">
        <v>44536</v>
      </c>
      <c r="C1932" s="1" t="n">
        <v>45724</v>
      </c>
      <c r="D1932" t="inlineStr">
        <is>
          <t>VÄSTMANLANDS LÄN</t>
        </is>
      </c>
      <c r="E1932" t="inlineStr">
        <is>
          <t>SALA</t>
        </is>
      </c>
      <c r="G1932" t="n">
        <v>1.6</v>
      </c>
      <c r="H1932" t="n">
        <v>0</v>
      </c>
      <c r="I1932" t="n">
        <v>0</v>
      </c>
      <c r="J1932" t="n">
        <v>0</v>
      </c>
      <c r="K1932" t="n">
        <v>0</v>
      </c>
      <c r="L1932" t="n">
        <v>0</v>
      </c>
      <c r="M1932" t="n">
        <v>0</v>
      </c>
      <c r="N1932" t="n">
        <v>0</v>
      </c>
      <c r="O1932" t="n">
        <v>0</v>
      </c>
      <c r="P1932" t="n">
        <v>0</v>
      </c>
      <c r="Q1932" t="n">
        <v>0</v>
      </c>
      <c r="R1932" s="2" t="inlineStr"/>
    </row>
    <row r="1933" ht="15" customHeight="1">
      <c r="A1933" t="inlineStr">
        <is>
          <t>A 70642-2021</t>
        </is>
      </c>
      <c r="B1933" s="1" t="n">
        <v>44537</v>
      </c>
      <c r="C1933" s="1" t="n">
        <v>45724</v>
      </c>
      <c r="D1933" t="inlineStr">
        <is>
          <t>VÄSTMANLANDS LÄN</t>
        </is>
      </c>
      <c r="E1933" t="inlineStr">
        <is>
          <t>HALLSTAHAMMAR</t>
        </is>
      </c>
      <c r="G1933" t="n">
        <v>2.6</v>
      </c>
      <c r="H1933" t="n">
        <v>0</v>
      </c>
      <c r="I1933" t="n">
        <v>0</v>
      </c>
      <c r="J1933" t="n">
        <v>0</v>
      </c>
      <c r="K1933" t="n">
        <v>0</v>
      </c>
      <c r="L1933" t="n">
        <v>0</v>
      </c>
      <c r="M1933" t="n">
        <v>0</v>
      </c>
      <c r="N1933" t="n">
        <v>0</v>
      </c>
      <c r="O1933" t="n">
        <v>0</v>
      </c>
      <c r="P1933" t="n">
        <v>0</v>
      </c>
      <c r="Q1933" t="n">
        <v>0</v>
      </c>
      <c r="R1933" s="2" t="inlineStr"/>
    </row>
    <row r="1934" ht="15" customHeight="1">
      <c r="A1934" t="inlineStr">
        <is>
          <t>A 70655-2021</t>
        </is>
      </c>
      <c r="B1934" s="1" t="n">
        <v>44537</v>
      </c>
      <c r="C1934" s="1" t="n">
        <v>45724</v>
      </c>
      <c r="D1934" t="inlineStr">
        <is>
          <t>VÄSTMANLANDS LÄN</t>
        </is>
      </c>
      <c r="E1934" t="inlineStr">
        <is>
          <t>SALA</t>
        </is>
      </c>
      <c r="G1934" t="n">
        <v>4.8</v>
      </c>
      <c r="H1934" t="n">
        <v>0</v>
      </c>
      <c r="I1934" t="n">
        <v>0</v>
      </c>
      <c r="J1934" t="n">
        <v>0</v>
      </c>
      <c r="K1934" t="n">
        <v>0</v>
      </c>
      <c r="L1934" t="n">
        <v>0</v>
      </c>
      <c r="M1934" t="n">
        <v>0</v>
      </c>
      <c r="N1934" t="n">
        <v>0</v>
      </c>
      <c r="O1934" t="n">
        <v>0</v>
      </c>
      <c r="P1934" t="n">
        <v>0</v>
      </c>
      <c r="Q1934" t="n">
        <v>0</v>
      </c>
      <c r="R1934" s="2" t="inlineStr"/>
    </row>
    <row r="1935" ht="15" customHeight="1">
      <c r="A1935" t="inlineStr">
        <is>
          <t>A 70661-2021</t>
        </is>
      </c>
      <c r="B1935" s="1" t="n">
        <v>44537</v>
      </c>
      <c r="C1935" s="1" t="n">
        <v>45724</v>
      </c>
      <c r="D1935" t="inlineStr">
        <is>
          <t>VÄSTMANLANDS LÄN</t>
        </is>
      </c>
      <c r="E1935" t="inlineStr">
        <is>
          <t>NORBERG</t>
        </is>
      </c>
      <c r="G1935" t="n">
        <v>4.8</v>
      </c>
      <c r="H1935" t="n">
        <v>0</v>
      </c>
      <c r="I1935" t="n">
        <v>0</v>
      </c>
      <c r="J1935" t="n">
        <v>0</v>
      </c>
      <c r="K1935" t="n">
        <v>0</v>
      </c>
      <c r="L1935" t="n">
        <v>0</v>
      </c>
      <c r="M1935" t="n">
        <v>0</v>
      </c>
      <c r="N1935" t="n">
        <v>0</v>
      </c>
      <c r="O1935" t="n">
        <v>0</v>
      </c>
      <c r="P1935" t="n">
        <v>0</v>
      </c>
      <c r="Q1935" t="n">
        <v>0</v>
      </c>
      <c r="R1935" s="2" t="inlineStr"/>
    </row>
    <row r="1936" ht="15" customHeight="1">
      <c r="A1936" t="inlineStr">
        <is>
          <t>A 70958-2021</t>
        </is>
      </c>
      <c r="B1936" s="1" t="n">
        <v>44538</v>
      </c>
      <c r="C1936" s="1" t="n">
        <v>45724</v>
      </c>
      <c r="D1936" t="inlineStr">
        <is>
          <t>VÄSTMANLANDS LÄN</t>
        </is>
      </c>
      <c r="E1936" t="inlineStr">
        <is>
          <t>SALA</t>
        </is>
      </c>
      <c r="G1936" t="n">
        <v>6.5</v>
      </c>
      <c r="H1936" t="n">
        <v>0</v>
      </c>
      <c r="I1936" t="n">
        <v>0</v>
      </c>
      <c r="J1936" t="n">
        <v>0</v>
      </c>
      <c r="K1936" t="n">
        <v>0</v>
      </c>
      <c r="L1936" t="n">
        <v>0</v>
      </c>
      <c r="M1936" t="n">
        <v>0</v>
      </c>
      <c r="N1936" t="n">
        <v>0</v>
      </c>
      <c r="O1936" t="n">
        <v>0</v>
      </c>
      <c r="P1936" t="n">
        <v>0</v>
      </c>
      <c r="Q1936" t="n">
        <v>0</v>
      </c>
      <c r="R1936" s="2" t="inlineStr"/>
    </row>
    <row r="1937" ht="15" customHeight="1">
      <c r="A1937" t="inlineStr">
        <is>
          <t>A 70909-2021</t>
        </is>
      </c>
      <c r="B1937" s="1" t="n">
        <v>44538</v>
      </c>
      <c r="C1937" s="1" t="n">
        <v>45724</v>
      </c>
      <c r="D1937" t="inlineStr">
        <is>
          <t>VÄSTMANLANDS LÄN</t>
        </is>
      </c>
      <c r="E1937" t="inlineStr">
        <is>
          <t>KÖPING</t>
        </is>
      </c>
      <c r="G1937" t="n">
        <v>3.6</v>
      </c>
      <c r="H1937" t="n">
        <v>0</v>
      </c>
      <c r="I1937" t="n">
        <v>0</v>
      </c>
      <c r="J1937" t="n">
        <v>0</v>
      </c>
      <c r="K1937" t="n">
        <v>0</v>
      </c>
      <c r="L1937" t="n">
        <v>0</v>
      </c>
      <c r="M1937" t="n">
        <v>0</v>
      </c>
      <c r="N1937" t="n">
        <v>0</v>
      </c>
      <c r="O1937" t="n">
        <v>0</v>
      </c>
      <c r="P1937" t="n">
        <v>0</v>
      </c>
      <c r="Q1937" t="n">
        <v>0</v>
      </c>
      <c r="R1937" s="2" t="inlineStr"/>
    </row>
    <row r="1938" ht="15" customHeight="1">
      <c r="A1938" t="inlineStr">
        <is>
          <t>A 71717-2021</t>
        </is>
      </c>
      <c r="B1938" s="1" t="n">
        <v>44539</v>
      </c>
      <c r="C1938" s="1" t="n">
        <v>45724</v>
      </c>
      <c r="D1938" t="inlineStr">
        <is>
          <t>VÄSTMANLANDS LÄN</t>
        </is>
      </c>
      <c r="E1938" t="inlineStr">
        <is>
          <t>KÖPING</t>
        </is>
      </c>
      <c r="G1938" t="n">
        <v>9.300000000000001</v>
      </c>
      <c r="H1938" t="n">
        <v>0</v>
      </c>
      <c r="I1938" t="n">
        <v>0</v>
      </c>
      <c r="J1938" t="n">
        <v>0</v>
      </c>
      <c r="K1938" t="n">
        <v>0</v>
      </c>
      <c r="L1938" t="n">
        <v>0</v>
      </c>
      <c r="M1938" t="n">
        <v>0</v>
      </c>
      <c r="N1938" t="n">
        <v>0</v>
      </c>
      <c r="O1938" t="n">
        <v>0</v>
      </c>
      <c r="P1938" t="n">
        <v>0</v>
      </c>
      <c r="Q1938" t="n">
        <v>0</v>
      </c>
      <c r="R1938" s="2" t="inlineStr"/>
    </row>
    <row r="1939" ht="15" customHeight="1">
      <c r="A1939" t="inlineStr">
        <is>
          <t>A 71735-2021</t>
        </is>
      </c>
      <c r="B1939" s="1" t="n">
        <v>44539</v>
      </c>
      <c r="C1939" s="1" t="n">
        <v>45724</v>
      </c>
      <c r="D1939" t="inlineStr">
        <is>
          <t>VÄSTMANLANDS LÄN</t>
        </is>
      </c>
      <c r="E1939" t="inlineStr">
        <is>
          <t>KÖPING</t>
        </is>
      </c>
      <c r="G1939" t="n">
        <v>1</v>
      </c>
      <c r="H1939" t="n">
        <v>0</v>
      </c>
      <c r="I1939" t="n">
        <v>0</v>
      </c>
      <c r="J1939" t="n">
        <v>0</v>
      </c>
      <c r="K1939" t="n">
        <v>0</v>
      </c>
      <c r="L1939" t="n">
        <v>0</v>
      </c>
      <c r="M1939" t="n">
        <v>0</v>
      </c>
      <c r="N1939" t="n">
        <v>0</v>
      </c>
      <c r="O1939" t="n">
        <v>0</v>
      </c>
      <c r="P1939" t="n">
        <v>0</v>
      </c>
      <c r="Q1939" t="n">
        <v>0</v>
      </c>
      <c r="R1939" s="2" t="inlineStr"/>
    </row>
    <row r="1940" ht="15" customHeight="1">
      <c r="A1940" t="inlineStr">
        <is>
          <t>A 71471-2021</t>
        </is>
      </c>
      <c r="B1940" s="1" t="n">
        <v>44540</v>
      </c>
      <c r="C1940" s="1" t="n">
        <v>45724</v>
      </c>
      <c r="D1940" t="inlineStr">
        <is>
          <t>VÄSTMANLANDS LÄN</t>
        </is>
      </c>
      <c r="E1940" t="inlineStr">
        <is>
          <t>SALA</t>
        </is>
      </c>
      <c r="G1940" t="n">
        <v>13</v>
      </c>
      <c r="H1940" t="n">
        <v>0</v>
      </c>
      <c r="I1940" t="n">
        <v>0</v>
      </c>
      <c r="J1940" t="n">
        <v>0</v>
      </c>
      <c r="K1940" t="n">
        <v>0</v>
      </c>
      <c r="L1940" t="n">
        <v>0</v>
      </c>
      <c r="M1940" t="n">
        <v>0</v>
      </c>
      <c r="N1940" t="n">
        <v>0</v>
      </c>
      <c r="O1940" t="n">
        <v>0</v>
      </c>
      <c r="P1940" t="n">
        <v>0</v>
      </c>
      <c r="Q1940" t="n">
        <v>0</v>
      </c>
      <c r="R1940" s="2" t="inlineStr"/>
    </row>
    <row r="1941" ht="15" customHeight="1">
      <c r="A1941" t="inlineStr">
        <is>
          <t>A 72019-2021</t>
        </is>
      </c>
      <c r="B1941" s="1" t="n">
        <v>44540</v>
      </c>
      <c r="C1941" s="1" t="n">
        <v>45724</v>
      </c>
      <c r="D1941" t="inlineStr">
        <is>
          <t>VÄSTMANLANDS LÄN</t>
        </is>
      </c>
      <c r="E1941" t="inlineStr">
        <is>
          <t>VÄSTERÅS</t>
        </is>
      </c>
      <c r="G1941" t="n">
        <v>0.9</v>
      </c>
      <c r="H1941" t="n">
        <v>0</v>
      </c>
      <c r="I1941" t="n">
        <v>0</v>
      </c>
      <c r="J1941" t="n">
        <v>0</v>
      </c>
      <c r="K1941" t="n">
        <v>0</v>
      </c>
      <c r="L1941" t="n">
        <v>0</v>
      </c>
      <c r="M1941" t="n">
        <v>0</v>
      </c>
      <c r="N1941" t="n">
        <v>0</v>
      </c>
      <c r="O1941" t="n">
        <v>0</v>
      </c>
      <c r="P1941" t="n">
        <v>0</v>
      </c>
      <c r="Q1941" t="n">
        <v>0</v>
      </c>
      <c r="R1941" s="2" t="inlineStr"/>
    </row>
    <row r="1942" ht="15" customHeight="1">
      <c r="A1942" t="inlineStr">
        <is>
          <t>A 71853-2021</t>
        </is>
      </c>
      <c r="B1942" s="1" t="n">
        <v>44543</v>
      </c>
      <c r="C1942" s="1" t="n">
        <v>45724</v>
      </c>
      <c r="D1942" t="inlineStr">
        <is>
          <t>VÄSTMANLANDS LÄN</t>
        </is>
      </c>
      <c r="E1942" t="inlineStr">
        <is>
          <t>SALA</t>
        </is>
      </c>
      <c r="G1942" t="n">
        <v>6.5</v>
      </c>
      <c r="H1942" t="n">
        <v>0</v>
      </c>
      <c r="I1942" t="n">
        <v>0</v>
      </c>
      <c r="J1942" t="n">
        <v>0</v>
      </c>
      <c r="K1942" t="n">
        <v>0</v>
      </c>
      <c r="L1942" t="n">
        <v>0</v>
      </c>
      <c r="M1942" t="n">
        <v>0</v>
      </c>
      <c r="N1942" t="n">
        <v>0</v>
      </c>
      <c r="O1942" t="n">
        <v>0</v>
      </c>
      <c r="P1942" t="n">
        <v>0</v>
      </c>
      <c r="Q1942" t="n">
        <v>0</v>
      </c>
      <c r="R1942" s="2" t="inlineStr"/>
    </row>
    <row r="1943" ht="15" customHeight="1">
      <c r="A1943" t="inlineStr">
        <is>
          <t>A 71997-2021</t>
        </is>
      </c>
      <c r="B1943" s="1" t="n">
        <v>44543</v>
      </c>
      <c r="C1943" s="1" t="n">
        <v>45724</v>
      </c>
      <c r="D1943" t="inlineStr">
        <is>
          <t>VÄSTMANLANDS LÄN</t>
        </is>
      </c>
      <c r="E1943" t="inlineStr">
        <is>
          <t>VÄSTERÅS</t>
        </is>
      </c>
      <c r="G1943" t="n">
        <v>3.2</v>
      </c>
      <c r="H1943" t="n">
        <v>0</v>
      </c>
      <c r="I1943" t="n">
        <v>0</v>
      </c>
      <c r="J1943" t="n">
        <v>0</v>
      </c>
      <c r="K1943" t="n">
        <v>0</v>
      </c>
      <c r="L1943" t="n">
        <v>0</v>
      </c>
      <c r="M1943" t="n">
        <v>0</v>
      </c>
      <c r="N1943" t="n">
        <v>0</v>
      </c>
      <c r="O1943" t="n">
        <v>0</v>
      </c>
      <c r="P1943" t="n">
        <v>0</v>
      </c>
      <c r="Q1943" t="n">
        <v>0</v>
      </c>
      <c r="R1943" s="2" t="inlineStr"/>
    </row>
    <row r="1944" ht="15" customHeight="1">
      <c r="A1944" t="inlineStr">
        <is>
          <t>A 71999-2021</t>
        </is>
      </c>
      <c r="B1944" s="1" t="n">
        <v>44544</v>
      </c>
      <c r="C1944" s="1" t="n">
        <v>45724</v>
      </c>
      <c r="D1944" t="inlineStr">
        <is>
          <t>VÄSTMANLANDS LÄN</t>
        </is>
      </c>
      <c r="E1944" t="inlineStr">
        <is>
          <t>SKINNSKATTEBERG</t>
        </is>
      </c>
      <c r="G1944" t="n">
        <v>0.2</v>
      </c>
      <c r="H1944" t="n">
        <v>0</v>
      </c>
      <c r="I1944" t="n">
        <v>0</v>
      </c>
      <c r="J1944" t="n">
        <v>0</v>
      </c>
      <c r="K1944" t="n">
        <v>0</v>
      </c>
      <c r="L1944" t="n">
        <v>0</v>
      </c>
      <c r="M1944" t="n">
        <v>0</v>
      </c>
      <c r="N1944" t="n">
        <v>0</v>
      </c>
      <c r="O1944" t="n">
        <v>0</v>
      </c>
      <c r="P1944" t="n">
        <v>0</v>
      </c>
      <c r="Q1944" t="n">
        <v>0</v>
      </c>
      <c r="R1944" s="2" t="inlineStr"/>
    </row>
    <row r="1945" ht="15" customHeight="1">
      <c r="A1945" t="inlineStr">
        <is>
          <t>A 72071-2021</t>
        </is>
      </c>
      <c r="B1945" s="1" t="n">
        <v>44544</v>
      </c>
      <c r="C1945" s="1" t="n">
        <v>45724</v>
      </c>
      <c r="D1945" t="inlineStr">
        <is>
          <t>VÄSTMANLANDS LÄN</t>
        </is>
      </c>
      <c r="E1945" t="inlineStr">
        <is>
          <t>SALA</t>
        </is>
      </c>
      <c r="G1945" t="n">
        <v>3.5</v>
      </c>
      <c r="H1945" t="n">
        <v>0</v>
      </c>
      <c r="I1945" t="n">
        <v>0</v>
      </c>
      <c r="J1945" t="n">
        <v>0</v>
      </c>
      <c r="K1945" t="n">
        <v>0</v>
      </c>
      <c r="L1945" t="n">
        <v>0</v>
      </c>
      <c r="M1945" t="n">
        <v>0</v>
      </c>
      <c r="N1945" t="n">
        <v>0</v>
      </c>
      <c r="O1945" t="n">
        <v>0</v>
      </c>
      <c r="P1945" t="n">
        <v>0</v>
      </c>
      <c r="Q1945" t="n">
        <v>0</v>
      </c>
      <c r="R1945" s="2" t="inlineStr"/>
    </row>
    <row r="1946" ht="15" customHeight="1">
      <c r="A1946" t="inlineStr">
        <is>
          <t>A 71996-2021</t>
        </is>
      </c>
      <c r="B1946" s="1" t="n">
        <v>44544</v>
      </c>
      <c r="C1946" s="1" t="n">
        <v>45724</v>
      </c>
      <c r="D1946" t="inlineStr">
        <is>
          <t>VÄSTMANLANDS LÄN</t>
        </is>
      </c>
      <c r="E1946" t="inlineStr">
        <is>
          <t>SKINNSKATTEBERG</t>
        </is>
      </c>
      <c r="G1946" t="n">
        <v>2.3</v>
      </c>
      <c r="H1946" t="n">
        <v>0</v>
      </c>
      <c r="I1946" t="n">
        <v>0</v>
      </c>
      <c r="J1946" t="n">
        <v>0</v>
      </c>
      <c r="K1946" t="n">
        <v>0</v>
      </c>
      <c r="L1946" t="n">
        <v>0</v>
      </c>
      <c r="M1946" t="n">
        <v>0</v>
      </c>
      <c r="N1946" t="n">
        <v>0</v>
      </c>
      <c r="O1946" t="n">
        <v>0</v>
      </c>
      <c r="P1946" t="n">
        <v>0</v>
      </c>
      <c r="Q1946" t="n">
        <v>0</v>
      </c>
      <c r="R1946" s="2" t="inlineStr"/>
    </row>
    <row r="1947" ht="15" customHeight="1">
      <c r="A1947" t="inlineStr">
        <is>
          <t>A 72405-2021</t>
        </is>
      </c>
      <c r="B1947" s="1" t="n">
        <v>44545</v>
      </c>
      <c r="C1947" s="1" t="n">
        <v>45724</v>
      </c>
      <c r="D1947" t="inlineStr">
        <is>
          <t>VÄSTMANLANDS LÄN</t>
        </is>
      </c>
      <c r="E1947" t="inlineStr">
        <is>
          <t>SALA</t>
        </is>
      </c>
      <c r="G1947" t="n">
        <v>1</v>
      </c>
      <c r="H1947" t="n">
        <v>0</v>
      </c>
      <c r="I1947" t="n">
        <v>0</v>
      </c>
      <c r="J1947" t="n">
        <v>0</v>
      </c>
      <c r="K1947" t="n">
        <v>0</v>
      </c>
      <c r="L1947" t="n">
        <v>0</v>
      </c>
      <c r="M1947" t="n">
        <v>0</v>
      </c>
      <c r="N1947" t="n">
        <v>0</v>
      </c>
      <c r="O1947" t="n">
        <v>0</v>
      </c>
      <c r="P1947" t="n">
        <v>0</v>
      </c>
      <c r="Q1947" t="n">
        <v>0</v>
      </c>
      <c r="R1947" s="2" t="inlineStr"/>
    </row>
    <row r="1948" ht="15" customHeight="1">
      <c r="A1948" t="inlineStr">
        <is>
          <t>A 72367-2021</t>
        </is>
      </c>
      <c r="B1948" s="1" t="n">
        <v>44545</v>
      </c>
      <c r="C1948" s="1" t="n">
        <v>45724</v>
      </c>
      <c r="D1948" t="inlineStr">
        <is>
          <t>VÄSTMANLANDS LÄN</t>
        </is>
      </c>
      <c r="E1948" t="inlineStr">
        <is>
          <t>SURAHAMMAR</t>
        </is>
      </c>
      <c r="G1948" t="n">
        <v>2.5</v>
      </c>
      <c r="H1948" t="n">
        <v>0</v>
      </c>
      <c r="I1948" t="n">
        <v>0</v>
      </c>
      <c r="J1948" t="n">
        <v>0</v>
      </c>
      <c r="K1948" t="n">
        <v>0</v>
      </c>
      <c r="L1948" t="n">
        <v>0</v>
      </c>
      <c r="M1948" t="n">
        <v>0</v>
      </c>
      <c r="N1948" t="n">
        <v>0</v>
      </c>
      <c r="O1948" t="n">
        <v>0</v>
      </c>
      <c r="P1948" t="n">
        <v>0</v>
      </c>
      <c r="Q1948" t="n">
        <v>0</v>
      </c>
      <c r="R1948" s="2" t="inlineStr"/>
    </row>
    <row r="1949" ht="15" customHeight="1">
      <c r="A1949" t="inlineStr">
        <is>
          <t>A 72389-2021</t>
        </is>
      </c>
      <c r="B1949" s="1" t="n">
        <v>44545</v>
      </c>
      <c r="C1949" s="1" t="n">
        <v>45724</v>
      </c>
      <c r="D1949" t="inlineStr">
        <is>
          <t>VÄSTMANLANDS LÄN</t>
        </is>
      </c>
      <c r="E1949" t="inlineStr">
        <is>
          <t>SALA</t>
        </is>
      </c>
      <c r="G1949" t="n">
        <v>0.8</v>
      </c>
      <c r="H1949" t="n">
        <v>0</v>
      </c>
      <c r="I1949" t="n">
        <v>0</v>
      </c>
      <c r="J1949" t="n">
        <v>0</v>
      </c>
      <c r="K1949" t="n">
        <v>0</v>
      </c>
      <c r="L1949" t="n">
        <v>0</v>
      </c>
      <c r="M1949" t="n">
        <v>0</v>
      </c>
      <c r="N1949" t="n">
        <v>0</v>
      </c>
      <c r="O1949" t="n">
        <v>0</v>
      </c>
      <c r="P1949" t="n">
        <v>0</v>
      </c>
      <c r="Q1949" t="n">
        <v>0</v>
      </c>
      <c r="R1949" s="2" t="inlineStr"/>
    </row>
    <row r="1950" ht="15" customHeight="1">
      <c r="A1950" t="inlineStr">
        <is>
          <t>A 72460-2021</t>
        </is>
      </c>
      <c r="B1950" s="1" t="n">
        <v>44545</v>
      </c>
      <c r="C1950" s="1" t="n">
        <v>45724</v>
      </c>
      <c r="D1950" t="inlineStr">
        <is>
          <t>VÄSTMANLANDS LÄN</t>
        </is>
      </c>
      <c r="E1950" t="inlineStr">
        <is>
          <t>KÖPING</t>
        </is>
      </c>
      <c r="G1950" t="n">
        <v>2.6</v>
      </c>
      <c r="H1950" t="n">
        <v>0</v>
      </c>
      <c r="I1950" t="n">
        <v>0</v>
      </c>
      <c r="J1950" t="n">
        <v>0</v>
      </c>
      <c r="K1950" t="n">
        <v>0</v>
      </c>
      <c r="L1950" t="n">
        <v>0</v>
      </c>
      <c r="M1950" t="n">
        <v>0</v>
      </c>
      <c r="N1950" t="n">
        <v>0</v>
      </c>
      <c r="O1950" t="n">
        <v>0</v>
      </c>
      <c r="P1950" t="n">
        <v>0</v>
      </c>
      <c r="Q1950" t="n">
        <v>0</v>
      </c>
      <c r="R1950" s="2" t="inlineStr"/>
    </row>
    <row r="1951" ht="15" customHeight="1">
      <c r="A1951" t="inlineStr">
        <is>
          <t>A 72710-2021</t>
        </is>
      </c>
      <c r="B1951" s="1" t="n">
        <v>44545</v>
      </c>
      <c r="C1951" s="1" t="n">
        <v>45724</v>
      </c>
      <c r="D1951" t="inlineStr">
        <is>
          <t>VÄSTMANLANDS LÄN</t>
        </is>
      </c>
      <c r="E1951" t="inlineStr">
        <is>
          <t>SKINNSKATTEBERG</t>
        </is>
      </c>
      <c r="G1951" t="n">
        <v>7.9</v>
      </c>
      <c r="H1951" t="n">
        <v>0</v>
      </c>
      <c r="I1951" t="n">
        <v>0</v>
      </c>
      <c r="J1951" t="n">
        <v>0</v>
      </c>
      <c r="K1951" t="n">
        <v>0</v>
      </c>
      <c r="L1951" t="n">
        <v>0</v>
      </c>
      <c r="M1951" t="n">
        <v>0</v>
      </c>
      <c r="N1951" t="n">
        <v>0</v>
      </c>
      <c r="O1951" t="n">
        <v>0</v>
      </c>
      <c r="P1951" t="n">
        <v>0</v>
      </c>
      <c r="Q1951" t="n">
        <v>0</v>
      </c>
      <c r="R1951" s="2" t="inlineStr"/>
    </row>
    <row r="1952" ht="15" customHeight="1">
      <c r="A1952" t="inlineStr">
        <is>
          <t>A 72503-2021</t>
        </is>
      </c>
      <c r="B1952" s="1" t="n">
        <v>44545</v>
      </c>
      <c r="C1952" s="1" t="n">
        <v>45724</v>
      </c>
      <c r="D1952" t="inlineStr">
        <is>
          <t>VÄSTMANLANDS LÄN</t>
        </is>
      </c>
      <c r="E1952" t="inlineStr">
        <is>
          <t>SKINNSKATTEBERG</t>
        </is>
      </c>
      <c r="G1952" t="n">
        <v>5.2</v>
      </c>
      <c r="H1952" t="n">
        <v>0</v>
      </c>
      <c r="I1952" t="n">
        <v>0</v>
      </c>
      <c r="J1952" t="n">
        <v>0</v>
      </c>
      <c r="K1952" t="n">
        <v>0</v>
      </c>
      <c r="L1952" t="n">
        <v>0</v>
      </c>
      <c r="M1952" t="n">
        <v>0</v>
      </c>
      <c r="N1952" t="n">
        <v>0</v>
      </c>
      <c r="O1952" t="n">
        <v>0</v>
      </c>
      <c r="P1952" t="n">
        <v>0</v>
      </c>
      <c r="Q1952" t="n">
        <v>0</v>
      </c>
      <c r="R1952" s="2" t="inlineStr"/>
    </row>
    <row r="1953" ht="15" customHeight="1">
      <c r="A1953" t="inlineStr">
        <is>
          <t>A 72684-2021</t>
        </is>
      </c>
      <c r="B1953" s="1" t="n">
        <v>44545</v>
      </c>
      <c r="C1953" s="1" t="n">
        <v>45724</v>
      </c>
      <c r="D1953" t="inlineStr">
        <is>
          <t>VÄSTMANLANDS LÄN</t>
        </is>
      </c>
      <c r="E1953" t="inlineStr">
        <is>
          <t>SKINNSKATTEBERG</t>
        </is>
      </c>
      <c r="G1953" t="n">
        <v>5</v>
      </c>
      <c r="H1953" t="n">
        <v>0</v>
      </c>
      <c r="I1953" t="n">
        <v>0</v>
      </c>
      <c r="J1953" t="n">
        <v>0</v>
      </c>
      <c r="K1953" t="n">
        <v>0</v>
      </c>
      <c r="L1953" t="n">
        <v>0</v>
      </c>
      <c r="M1953" t="n">
        <v>0</v>
      </c>
      <c r="N1953" t="n">
        <v>0</v>
      </c>
      <c r="O1953" t="n">
        <v>0</v>
      </c>
      <c r="P1953" t="n">
        <v>0</v>
      </c>
      <c r="Q1953" t="n">
        <v>0</v>
      </c>
      <c r="R1953" s="2" t="inlineStr"/>
    </row>
    <row r="1954" ht="15" customHeight="1">
      <c r="A1954" t="inlineStr">
        <is>
          <t>A 72463-2021</t>
        </is>
      </c>
      <c r="B1954" s="1" t="n">
        <v>44545</v>
      </c>
      <c r="C1954" s="1" t="n">
        <v>45724</v>
      </c>
      <c r="D1954" t="inlineStr">
        <is>
          <t>VÄSTMANLANDS LÄN</t>
        </is>
      </c>
      <c r="E1954" t="inlineStr">
        <is>
          <t>KÖPING</t>
        </is>
      </c>
      <c r="G1954" t="n">
        <v>1.9</v>
      </c>
      <c r="H1954" t="n">
        <v>0</v>
      </c>
      <c r="I1954" t="n">
        <v>0</v>
      </c>
      <c r="J1954" t="n">
        <v>0</v>
      </c>
      <c r="K1954" t="n">
        <v>0</v>
      </c>
      <c r="L1954" t="n">
        <v>0</v>
      </c>
      <c r="M1954" t="n">
        <v>0</v>
      </c>
      <c r="N1954" t="n">
        <v>0</v>
      </c>
      <c r="O1954" t="n">
        <v>0</v>
      </c>
      <c r="P1954" t="n">
        <v>0</v>
      </c>
      <c r="Q1954" t="n">
        <v>0</v>
      </c>
      <c r="R1954" s="2" t="inlineStr"/>
    </row>
    <row r="1955" ht="15" customHeight="1">
      <c r="A1955" t="inlineStr">
        <is>
          <t>A 72700-2021</t>
        </is>
      </c>
      <c r="B1955" s="1" t="n">
        <v>44545</v>
      </c>
      <c r="C1955" s="1" t="n">
        <v>45724</v>
      </c>
      <c r="D1955" t="inlineStr">
        <is>
          <t>VÄSTMANLANDS LÄN</t>
        </is>
      </c>
      <c r="E1955" t="inlineStr">
        <is>
          <t>KUNGSÖR</t>
        </is>
      </c>
      <c r="G1955" t="n">
        <v>2.1</v>
      </c>
      <c r="H1955" t="n">
        <v>0</v>
      </c>
      <c r="I1955" t="n">
        <v>0</v>
      </c>
      <c r="J1955" t="n">
        <v>0</v>
      </c>
      <c r="K1955" t="n">
        <v>0</v>
      </c>
      <c r="L1955" t="n">
        <v>0</v>
      </c>
      <c r="M1955" t="n">
        <v>0</v>
      </c>
      <c r="N1955" t="n">
        <v>0</v>
      </c>
      <c r="O1955" t="n">
        <v>0</v>
      </c>
      <c r="P1955" t="n">
        <v>0</v>
      </c>
      <c r="Q1955" t="n">
        <v>0</v>
      </c>
      <c r="R1955" s="2" t="inlineStr"/>
    </row>
    <row r="1956" ht="15" customHeight="1">
      <c r="A1956" t="inlineStr">
        <is>
          <t>A 72634-2021</t>
        </is>
      </c>
      <c r="B1956" s="1" t="n">
        <v>44545</v>
      </c>
      <c r="C1956" s="1" t="n">
        <v>45724</v>
      </c>
      <c r="D1956" t="inlineStr">
        <is>
          <t>VÄSTMANLANDS LÄN</t>
        </is>
      </c>
      <c r="E1956" t="inlineStr">
        <is>
          <t>SKINNSKATTEBERG</t>
        </is>
      </c>
      <c r="G1956" t="n">
        <v>6.2</v>
      </c>
      <c r="H1956" t="n">
        <v>0</v>
      </c>
      <c r="I1956" t="n">
        <v>0</v>
      </c>
      <c r="J1956" t="n">
        <v>0</v>
      </c>
      <c r="K1956" t="n">
        <v>0</v>
      </c>
      <c r="L1956" t="n">
        <v>0</v>
      </c>
      <c r="M1956" t="n">
        <v>0</v>
      </c>
      <c r="N1956" t="n">
        <v>0</v>
      </c>
      <c r="O1956" t="n">
        <v>0</v>
      </c>
      <c r="P1956" t="n">
        <v>0</v>
      </c>
      <c r="Q1956" t="n">
        <v>0</v>
      </c>
      <c r="R1956" s="2" t="inlineStr"/>
    </row>
    <row r="1957" ht="15" customHeight="1">
      <c r="A1957" t="inlineStr">
        <is>
          <t>A 72810-2021</t>
        </is>
      </c>
      <c r="B1957" s="1" t="n">
        <v>44546</v>
      </c>
      <c r="C1957" s="1" t="n">
        <v>45724</v>
      </c>
      <c r="D1957" t="inlineStr">
        <is>
          <t>VÄSTMANLANDS LÄN</t>
        </is>
      </c>
      <c r="E1957" t="inlineStr">
        <is>
          <t>SALA</t>
        </is>
      </c>
      <c r="G1957" t="n">
        <v>3.3</v>
      </c>
      <c r="H1957" t="n">
        <v>0</v>
      </c>
      <c r="I1957" t="n">
        <v>0</v>
      </c>
      <c r="J1957" t="n">
        <v>0</v>
      </c>
      <c r="K1957" t="n">
        <v>0</v>
      </c>
      <c r="L1957" t="n">
        <v>0</v>
      </c>
      <c r="M1957" t="n">
        <v>0</v>
      </c>
      <c r="N1957" t="n">
        <v>0</v>
      </c>
      <c r="O1957" t="n">
        <v>0</v>
      </c>
      <c r="P1957" t="n">
        <v>0</v>
      </c>
      <c r="Q1957" t="n">
        <v>0</v>
      </c>
      <c r="R1957" s="2" t="inlineStr"/>
    </row>
    <row r="1958" ht="15" customHeight="1">
      <c r="A1958" t="inlineStr">
        <is>
          <t>A 72805-2021</t>
        </is>
      </c>
      <c r="B1958" s="1" t="n">
        <v>44546</v>
      </c>
      <c r="C1958" s="1" t="n">
        <v>45724</v>
      </c>
      <c r="D1958" t="inlineStr">
        <is>
          <t>VÄSTMANLANDS LÄN</t>
        </is>
      </c>
      <c r="E1958" t="inlineStr">
        <is>
          <t>SALA</t>
        </is>
      </c>
      <c r="G1958" t="n">
        <v>7.8</v>
      </c>
      <c r="H1958" t="n">
        <v>0</v>
      </c>
      <c r="I1958" t="n">
        <v>0</v>
      </c>
      <c r="J1958" t="n">
        <v>0</v>
      </c>
      <c r="K1958" t="n">
        <v>0</v>
      </c>
      <c r="L1958" t="n">
        <v>0</v>
      </c>
      <c r="M1958" t="n">
        <v>0</v>
      </c>
      <c r="N1958" t="n">
        <v>0</v>
      </c>
      <c r="O1958" t="n">
        <v>0</v>
      </c>
      <c r="P1958" t="n">
        <v>0</v>
      </c>
      <c r="Q1958" t="n">
        <v>0</v>
      </c>
      <c r="R1958" s="2" t="inlineStr"/>
    </row>
    <row r="1959" ht="15" customHeight="1">
      <c r="A1959" t="inlineStr">
        <is>
          <t>A 72808-2021</t>
        </is>
      </c>
      <c r="B1959" s="1" t="n">
        <v>44546</v>
      </c>
      <c r="C1959" s="1" t="n">
        <v>45724</v>
      </c>
      <c r="D1959" t="inlineStr">
        <is>
          <t>VÄSTMANLANDS LÄN</t>
        </is>
      </c>
      <c r="E1959" t="inlineStr">
        <is>
          <t>SALA</t>
        </is>
      </c>
      <c r="G1959" t="n">
        <v>0.7</v>
      </c>
      <c r="H1959" t="n">
        <v>0</v>
      </c>
      <c r="I1959" t="n">
        <v>0</v>
      </c>
      <c r="J1959" t="n">
        <v>0</v>
      </c>
      <c r="K1959" t="n">
        <v>0</v>
      </c>
      <c r="L1959" t="n">
        <v>0</v>
      </c>
      <c r="M1959" t="n">
        <v>0</v>
      </c>
      <c r="N1959" t="n">
        <v>0</v>
      </c>
      <c r="O1959" t="n">
        <v>0</v>
      </c>
      <c r="P1959" t="n">
        <v>0</v>
      </c>
      <c r="Q1959" t="n">
        <v>0</v>
      </c>
      <c r="R1959" s="2" t="inlineStr"/>
    </row>
    <row r="1960" ht="15" customHeight="1">
      <c r="A1960" t="inlineStr">
        <is>
          <t>A 72776-2021</t>
        </is>
      </c>
      <c r="B1960" s="1" t="n">
        <v>44547</v>
      </c>
      <c r="C1960" s="1" t="n">
        <v>45724</v>
      </c>
      <c r="D1960" t="inlineStr">
        <is>
          <t>VÄSTMANLANDS LÄN</t>
        </is>
      </c>
      <c r="E1960" t="inlineStr">
        <is>
          <t>SALA</t>
        </is>
      </c>
      <c r="G1960" t="n">
        <v>1.1</v>
      </c>
      <c r="H1960" t="n">
        <v>0</v>
      </c>
      <c r="I1960" t="n">
        <v>0</v>
      </c>
      <c r="J1960" t="n">
        <v>0</v>
      </c>
      <c r="K1960" t="n">
        <v>0</v>
      </c>
      <c r="L1960" t="n">
        <v>0</v>
      </c>
      <c r="M1960" t="n">
        <v>0</v>
      </c>
      <c r="N1960" t="n">
        <v>0</v>
      </c>
      <c r="O1960" t="n">
        <v>0</v>
      </c>
      <c r="P1960" t="n">
        <v>0</v>
      </c>
      <c r="Q1960" t="n">
        <v>0</v>
      </c>
      <c r="R1960" s="2" t="inlineStr"/>
    </row>
    <row r="1961" ht="15" customHeight="1">
      <c r="A1961" t="inlineStr">
        <is>
          <t>A 73156-2021</t>
        </is>
      </c>
      <c r="B1961" s="1" t="n">
        <v>44550</v>
      </c>
      <c r="C1961" s="1" t="n">
        <v>45724</v>
      </c>
      <c r="D1961" t="inlineStr">
        <is>
          <t>VÄSTMANLANDS LÄN</t>
        </is>
      </c>
      <c r="E1961" t="inlineStr">
        <is>
          <t>SURAHAMMAR</t>
        </is>
      </c>
      <c r="F1961" t="inlineStr">
        <is>
          <t>Övriga Aktiebolag</t>
        </is>
      </c>
      <c r="G1961" t="n">
        <v>2.5</v>
      </c>
      <c r="H1961" t="n">
        <v>0</v>
      </c>
      <c r="I1961" t="n">
        <v>0</v>
      </c>
      <c r="J1961" t="n">
        <v>0</v>
      </c>
      <c r="K1961" t="n">
        <v>0</v>
      </c>
      <c r="L1961" t="n">
        <v>0</v>
      </c>
      <c r="M1961" t="n">
        <v>0</v>
      </c>
      <c r="N1961" t="n">
        <v>0</v>
      </c>
      <c r="O1961" t="n">
        <v>0</v>
      </c>
      <c r="P1961" t="n">
        <v>0</v>
      </c>
      <c r="Q1961" t="n">
        <v>0</v>
      </c>
      <c r="R1961" s="2" t="inlineStr"/>
    </row>
    <row r="1962" ht="15" customHeight="1">
      <c r="A1962" t="inlineStr">
        <is>
          <t>A 73008-2021</t>
        </is>
      </c>
      <c r="B1962" s="1" t="n">
        <v>44550</v>
      </c>
      <c r="C1962" s="1" t="n">
        <v>45724</v>
      </c>
      <c r="D1962" t="inlineStr">
        <is>
          <t>VÄSTMANLANDS LÄN</t>
        </is>
      </c>
      <c r="E1962" t="inlineStr">
        <is>
          <t>SKINNSKATTEBERG</t>
        </is>
      </c>
      <c r="F1962" t="inlineStr">
        <is>
          <t>Sveaskog</t>
        </is>
      </c>
      <c r="G1962" t="n">
        <v>4.4</v>
      </c>
      <c r="H1962" t="n">
        <v>0</v>
      </c>
      <c r="I1962" t="n">
        <v>0</v>
      </c>
      <c r="J1962" t="n">
        <v>0</v>
      </c>
      <c r="K1962" t="n">
        <v>0</v>
      </c>
      <c r="L1962" t="n">
        <v>0</v>
      </c>
      <c r="M1962" t="n">
        <v>0</v>
      </c>
      <c r="N1962" t="n">
        <v>0</v>
      </c>
      <c r="O1962" t="n">
        <v>0</v>
      </c>
      <c r="P1962" t="n">
        <v>0</v>
      </c>
      <c r="Q1962" t="n">
        <v>0</v>
      </c>
      <c r="R1962" s="2" t="inlineStr"/>
    </row>
    <row r="1963" ht="15" customHeight="1">
      <c r="A1963" t="inlineStr">
        <is>
          <t>A 73029-2021</t>
        </is>
      </c>
      <c r="B1963" s="1" t="n">
        <v>44550</v>
      </c>
      <c r="C1963" s="1" t="n">
        <v>45724</v>
      </c>
      <c r="D1963" t="inlineStr">
        <is>
          <t>VÄSTMANLANDS LÄN</t>
        </is>
      </c>
      <c r="E1963" t="inlineStr">
        <is>
          <t>SALA</t>
        </is>
      </c>
      <c r="G1963" t="n">
        <v>1.8</v>
      </c>
      <c r="H1963" t="n">
        <v>0</v>
      </c>
      <c r="I1963" t="n">
        <v>0</v>
      </c>
      <c r="J1963" t="n">
        <v>0</v>
      </c>
      <c r="K1963" t="n">
        <v>0</v>
      </c>
      <c r="L1963" t="n">
        <v>0</v>
      </c>
      <c r="M1963" t="n">
        <v>0</v>
      </c>
      <c r="N1963" t="n">
        <v>0</v>
      </c>
      <c r="O1963" t="n">
        <v>0</v>
      </c>
      <c r="P1963" t="n">
        <v>0</v>
      </c>
      <c r="Q1963" t="n">
        <v>0</v>
      </c>
      <c r="R1963" s="2" t="inlineStr"/>
    </row>
    <row r="1964" ht="15" customHeight="1">
      <c r="A1964" t="inlineStr">
        <is>
          <t>A 73124-2021</t>
        </is>
      </c>
      <c r="B1964" s="1" t="n">
        <v>44550</v>
      </c>
      <c r="C1964" s="1" t="n">
        <v>45724</v>
      </c>
      <c r="D1964" t="inlineStr">
        <is>
          <t>VÄSTMANLANDS LÄN</t>
        </is>
      </c>
      <c r="E1964" t="inlineStr">
        <is>
          <t>SALA</t>
        </is>
      </c>
      <c r="G1964" t="n">
        <v>2.8</v>
      </c>
      <c r="H1964" t="n">
        <v>0</v>
      </c>
      <c r="I1964" t="n">
        <v>0</v>
      </c>
      <c r="J1964" t="n">
        <v>0</v>
      </c>
      <c r="K1964" t="n">
        <v>0</v>
      </c>
      <c r="L1964" t="n">
        <v>0</v>
      </c>
      <c r="M1964" t="n">
        <v>0</v>
      </c>
      <c r="N1964" t="n">
        <v>0</v>
      </c>
      <c r="O1964" t="n">
        <v>0</v>
      </c>
      <c r="P1964" t="n">
        <v>0</v>
      </c>
      <c r="Q1964" t="n">
        <v>0</v>
      </c>
      <c r="R1964" s="2" t="inlineStr"/>
    </row>
    <row r="1965" ht="15" customHeight="1">
      <c r="A1965" t="inlineStr">
        <is>
          <t>A 73073-2021</t>
        </is>
      </c>
      <c r="B1965" s="1" t="n">
        <v>44550</v>
      </c>
      <c r="C1965" s="1" t="n">
        <v>45724</v>
      </c>
      <c r="D1965" t="inlineStr">
        <is>
          <t>VÄSTMANLANDS LÄN</t>
        </is>
      </c>
      <c r="E1965" t="inlineStr">
        <is>
          <t>NORBERG</t>
        </is>
      </c>
      <c r="F1965" t="inlineStr">
        <is>
          <t>Övriga Aktiebolag</t>
        </is>
      </c>
      <c r="G1965" t="n">
        <v>1.8</v>
      </c>
      <c r="H1965" t="n">
        <v>0</v>
      </c>
      <c r="I1965" t="n">
        <v>0</v>
      </c>
      <c r="J1965" t="n">
        <v>0</v>
      </c>
      <c r="K1965" t="n">
        <v>0</v>
      </c>
      <c r="L1965" t="n">
        <v>0</v>
      </c>
      <c r="M1965" t="n">
        <v>0</v>
      </c>
      <c r="N1965" t="n">
        <v>0</v>
      </c>
      <c r="O1965" t="n">
        <v>0</v>
      </c>
      <c r="P1965" t="n">
        <v>0</v>
      </c>
      <c r="Q1965" t="n">
        <v>0</v>
      </c>
      <c r="R1965" s="2" t="inlineStr"/>
    </row>
    <row r="1966" ht="15" customHeight="1">
      <c r="A1966" t="inlineStr">
        <is>
          <t>A 73083-2021</t>
        </is>
      </c>
      <c r="B1966" s="1" t="n">
        <v>44550</v>
      </c>
      <c r="C1966" s="1" t="n">
        <v>45724</v>
      </c>
      <c r="D1966" t="inlineStr">
        <is>
          <t>VÄSTMANLANDS LÄN</t>
        </is>
      </c>
      <c r="E1966" t="inlineStr">
        <is>
          <t>NORBERG</t>
        </is>
      </c>
      <c r="F1966" t="inlineStr">
        <is>
          <t>Bergvik skog väst AB</t>
        </is>
      </c>
      <c r="G1966" t="n">
        <v>10.1</v>
      </c>
      <c r="H1966" t="n">
        <v>0</v>
      </c>
      <c r="I1966" t="n">
        <v>0</v>
      </c>
      <c r="J1966" t="n">
        <v>0</v>
      </c>
      <c r="K1966" t="n">
        <v>0</v>
      </c>
      <c r="L1966" t="n">
        <v>0</v>
      </c>
      <c r="M1966" t="n">
        <v>0</v>
      </c>
      <c r="N1966" t="n">
        <v>0</v>
      </c>
      <c r="O1966" t="n">
        <v>0</v>
      </c>
      <c r="P1966" t="n">
        <v>0</v>
      </c>
      <c r="Q1966" t="n">
        <v>0</v>
      </c>
      <c r="R1966" s="2" t="inlineStr"/>
    </row>
    <row r="1967" ht="15" customHeight="1">
      <c r="A1967" t="inlineStr">
        <is>
          <t>A 73219-2021</t>
        </is>
      </c>
      <c r="B1967" s="1" t="n">
        <v>44550</v>
      </c>
      <c r="C1967" s="1" t="n">
        <v>45724</v>
      </c>
      <c r="D1967" t="inlineStr">
        <is>
          <t>VÄSTMANLANDS LÄN</t>
        </is>
      </c>
      <c r="E1967" t="inlineStr">
        <is>
          <t>SALA</t>
        </is>
      </c>
      <c r="G1967" t="n">
        <v>7.1</v>
      </c>
      <c r="H1967" t="n">
        <v>0</v>
      </c>
      <c r="I1967" t="n">
        <v>0</v>
      </c>
      <c r="J1967" t="n">
        <v>0</v>
      </c>
      <c r="K1967" t="n">
        <v>0</v>
      </c>
      <c r="L1967" t="n">
        <v>0</v>
      </c>
      <c r="M1967" t="n">
        <v>0</v>
      </c>
      <c r="N1967" t="n">
        <v>0</v>
      </c>
      <c r="O1967" t="n">
        <v>0</v>
      </c>
      <c r="P1967" t="n">
        <v>0</v>
      </c>
      <c r="Q1967" t="n">
        <v>0</v>
      </c>
      <c r="R1967" s="2" t="inlineStr"/>
    </row>
    <row r="1968" ht="15" customHeight="1">
      <c r="A1968" t="inlineStr">
        <is>
          <t>A 73293-2021</t>
        </is>
      </c>
      <c r="B1968" s="1" t="n">
        <v>44550</v>
      </c>
      <c r="C1968" s="1" t="n">
        <v>45724</v>
      </c>
      <c r="D1968" t="inlineStr">
        <is>
          <t>VÄSTMANLANDS LÄN</t>
        </is>
      </c>
      <c r="E1968" t="inlineStr">
        <is>
          <t>KÖPING</t>
        </is>
      </c>
      <c r="G1968" t="n">
        <v>1.3</v>
      </c>
      <c r="H1968" t="n">
        <v>0</v>
      </c>
      <c r="I1968" t="n">
        <v>0</v>
      </c>
      <c r="J1968" t="n">
        <v>0</v>
      </c>
      <c r="K1968" t="n">
        <v>0</v>
      </c>
      <c r="L1968" t="n">
        <v>0</v>
      </c>
      <c r="M1968" t="n">
        <v>0</v>
      </c>
      <c r="N1968" t="n">
        <v>0</v>
      </c>
      <c r="O1968" t="n">
        <v>0</v>
      </c>
      <c r="P1968" t="n">
        <v>0</v>
      </c>
      <c r="Q1968" t="n">
        <v>0</v>
      </c>
      <c r="R1968" s="2" t="inlineStr"/>
    </row>
    <row r="1969" ht="15" customHeight="1">
      <c r="A1969" t="inlineStr">
        <is>
          <t>A 73334-2021</t>
        </is>
      </c>
      <c r="B1969" s="1" t="n">
        <v>44551</v>
      </c>
      <c r="C1969" s="1" t="n">
        <v>45724</v>
      </c>
      <c r="D1969" t="inlineStr">
        <is>
          <t>VÄSTMANLANDS LÄN</t>
        </is>
      </c>
      <c r="E1969" t="inlineStr">
        <is>
          <t>VÄSTERÅS</t>
        </is>
      </c>
      <c r="G1969" t="n">
        <v>0.9</v>
      </c>
      <c r="H1969" t="n">
        <v>0</v>
      </c>
      <c r="I1969" t="n">
        <v>0</v>
      </c>
      <c r="J1969" t="n">
        <v>0</v>
      </c>
      <c r="K1969" t="n">
        <v>0</v>
      </c>
      <c r="L1969" t="n">
        <v>0</v>
      </c>
      <c r="M1969" t="n">
        <v>0</v>
      </c>
      <c r="N1969" t="n">
        <v>0</v>
      </c>
      <c r="O1969" t="n">
        <v>0</v>
      </c>
      <c r="P1969" t="n">
        <v>0</v>
      </c>
      <c r="Q1969" t="n">
        <v>0</v>
      </c>
      <c r="R1969" s="2" t="inlineStr"/>
    </row>
    <row r="1970" ht="15" customHeight="1">
      <c r="A1970" t="inlineStr">
        <is>
          <t>A 73423-2021</t>
        </is>
      </c>
      <c r="B1970" s="1" t="n">
        <v>44551</v>
      </c>
      <c r="C1970" s="1" t="n">
        <v>45724</v>
      </c>
      <c r="D1970" t="inlineStr">
        <is>
          <t>VÄSTMANLANDS LÄN</t>
        </is>
      </c>
      <c r="E1970" t="inlineStr">
        <is>
          <t>SALA</t>
        </is>
      </c>
      <c r="G1970" t="n">
        <v>1.1</v>
      </c>
      <c r="H1970" t="n">
        <v>0</v>
      </c>
      <c r="I1970" t="n">
        <v>0</v>
      </c>
      <c r="J1970" t="n">
        <v>0</v>
      </c>
      <c r="K1970" t="n">
        <v>0</v>
      </c>
      <c r="L1970" t="n">
        <v>0</v>
      </c>
      <c r="M1970" t="n">
        <v>0</v>
      </c>
      <c r="N1970" t="n">
        <v>0</v>
      </c>
      <c r="O1970" t="n">
        <v>0</v>
      </c>
      <c r="P1970" t="n">
        <v>0</v>
      </c>
      <c r="Q1970" t="n">
        <v>0</v>
      </c>
      <c r="R1970" s="2" t="inlineStr"/>
    </row>
    <row r="1971" ht="15" customHeight="1">
      <c r="A1971" t="inlineStr">
        <is>
          <t>A 73519-2021</t>
        </is>
      </c>
      <c r="B1971" s="1" t="n">
        <v>44551</v>
      </c>
      <c r="C1971" s="1" t="n">
        <v>45724</v>
      </c>
      <c r="D1971" t="inlineStr">
        <is>
          <t>VÄSTMANLANDS LÄN</t>
        </is>
      </c>
      <c r="E1971" t="inlineStr">
        <is>
          <t>SALA</t>
        </is>
      </c>
      <c r="G1971" t="n">
        <v>0.3</v>
      </c>
      <c r="H1971" t="n">
        <v>0</v>
      </c>
      <c r="I1971" t="n">
        <v>0</v>
      </c>
      <c r="J1971" t="n">
        <v>0</v>
      </c>
      <c r="K1971" t="n">
        <v>0</v>
      </c>
      <c r="L1971" t="n">
        <v>0</v>
      </c>
      <c r="M1971" t="n">
        <v>0</v>
      </c>
      <c r="N1971" t="n">
        <v>0</v>
      </c>
      <c r="O1971" t="n">
        <v>0</v>
      </c>
      <c r="P1971" t="n">
        <v>0</v>
      </c>
      <c r="Q1971" t="n">
        <v>0</v>
      </c>
      <c r="R1971" s="2" t="inlineStr"/>
    </row>
    <row r="1972" ht="15" customHeight="1">
      <c r="A1972" t="inlineStr">
        <is>
          <t>A 73597-2021</t>
        </is>
      </c>
      <c r="B1972" s="1" t="n">
        <v>44552</v>
      </c>
      <c r="C1972" s="1" t="n">
        <v>45724</v>
      </c>
      <c r="D1972" t="inlineStr">
        <is>
          <t>VÄSTMANLANDS LÄN</t>
        </is>
      </c>
      <c r="E1972" t="inlineStr">
        <is>
          <t>VÄSTERÅS</t>
        </is>
      </c>
      <c r="G1972" t="n">
        <v>1.9</v>
      </c>
      <c r="H1972" t="n">
        <v>0</v>
      </c>
      <c r="I1972" t="n">
        <v>0</v>
      </c>
      <c r="J1972" t="n">
        <v>0</v>
      </c>
      <c r="K1972" t="n">
        <v>0</v>
      </c>
      <c r="L1972" t="n">
        <v>0</v>
      </c>
      <c r="M1972" t="n">
        <v>0</v>
      </c>
      <c r="N1972" t="n">
        <v>0</v>
      </c>
      <c r="O1972" t="n">
        <v>0</v>
      </c>
      <c r="P1972" t="n">
        <v>0</v>
      </c>
      <c r="Q1972" t="n">
        <v>0</v>
      </c>
      <c r="R1972" s="2" t="inlineStr"/>
    </row>
    <row r="1973" ht="15" customHeight="1">
      <c r="A1973" t="inlineStr">
        <is>
          <t>A 73683-2021</t>
        </is>
      </c>
      <c r="B1973" s="1" t="n">
        <v>44552</v>
      </c>
      <c r="C1973" s="1" t="n">
        <v>45724</v>
      </c>
      <c r="D1973" t="inlineStr">
        <is>
          <t>VÄSTMANLANDS LÄN</t>
        </is>
      </c>
      <c r="E1973" t="inlineStr">
        <is>
          <t>SALA</t>
        </is>
      </c>
      <c r="G1973" t="n">
        <v>1</v>
      </c>
      <c r="H1973" t="n">
        <v>0</v>
      </c>
      <c r="I1973" t="n">
        <v>0</v>
      </c>
      <c r="J1973" t="n">
        <v>0</v>
      </c>
      <c r="K1973" t="n">
        <v>0</v>
      </c>
      <c r="L1973" t="n">
        <v>0</v>
      </c>
      <c r="M1973" t="n">
        <v>0</v>
      </c>
      <c r="N1973" t="n">
        <v>0</v>
      </c>
      <c r="O1973" t="n">
        <v>0</v>
      </c>
      <c r="P1973" t="n">
        <v>0</v>
      </c>
      <c r="Q1973" t="n">
        <v>0</v>
      </c>
      <c r="R1973" s="2" t="inlineStr"/>
    </row>
    <row r="1974" ht="15" customHeight="1">
      <c r="A1974" t="inlineStr">
        <is>
          <t>A 73569-2021</t>
        </is>
      </c>
      <c r="B1974" s="1" t="n">
        <v>44552</v>
      </c>
      <c r="C1974" s="1" t="n">
        <v>45724</v>
      </c>
      <c r="D1974" t="inlineStr">
        <is>
          <t>VÄSTMANLANDS LÄN</t>
        </is>
      </c>
      <c r="E1974" t="inlineStr">
        <is>
          <t>KÖPING</t>
        </is>
      </c>
      <c r="G1974" t="n">
        <v>4.3</v>
      </c>
      <c r="H1974" t="n">
        <v>0</v>
      </c>
      <c r="I1974" t="n">
        <v>0</v>
      </c>
      <c r="J1974" t="n">
        <v>0</v>
      </c>
      <c r="K1974" t="n">
        <v>0</v>
      </c>
      <c r="L1974" t="n">
        <v>0</v>
      </c>
      <c r="M1974" t="n">
        <v>0</v>
      </c>
      <c r="N1974" t="n">
        <v>0</v>
      </c>
      <c r="O1974" t="n">
        <v>0</v>
      </c>
      <c r="P1974" t="n">
        <v>0</v>
      </c>
      <c r="Q1974" t="n">
        <v>0</v>
      </c>
      <c r="R1974" s="2" t="inlineStr"/>
    </row>
    <row r="1975" ht="15" customHeight="1">
      <c r="A1975" t="inlineStr">
        <is>
          <t>A 73663-2021</t>
        </is>
      </c>
      <c r="B1975" s="1" t="n">
        <v>44552</v>
      </c>
      <c r="C1975" s="1" t="n">
        <v>45724</v>
      </c>
      <c r="D1975" t="inlineStr">
        <is>
          <t>VÄSTMANLANDS LÄN</t>
        </is>
      </c>
      <c r="E1975" t="inlineStr">
        <is>
          <t>SALA</t>
        </is>
      </c>
      <c r="G1975" t="n">
        <v>1</v>
      </c>
      <c r="H1975" t="n">
        <v>0</v>
      </c>
      <c r="I1975" t="n">
        <v>0</v>
      </c>
      <c r="J1975" t="n">
        <v>0</v>
      </c>
      <c r="K1975" t="n">
        <v>0</v>
      </c>
      <c r="L1975" t="n">
        <v>0</v>
      </c>
      <c r="M1975" t="n">
        <v>0</v>
      </c>
      <c r="N1975" t="n">
        <v>0</v>
      </c>
      <c r="O1975" t="n">
        <v>0</v>
      </c>
      <c r="P1975" t="n">
        <v>0</v>
      </c>
      <c r="Q1975" t="n">
        <v>0</v>
      </c>
      <c r="R1975" s="2" t="inlineStr"/>
    </row>
    <row r="1976" ht="15" customHeight="1">
      <c r="A1976" t="inlineStr">
        <is>
          <t>A 73679-2021</t>
        </is>
      </c>
      <c r="B1976" s="1" t="n">
        <v>44552</v>
      </c>
      <c r="C1976" s="1" t="n">
        <v>45724</v>
      </c>
      <c r="D1976" t="inlineStr">
        <is>
          <t>VÄSTMANLANDS LÄN</t>
        </is>
      </c>
      <c r="E1976" t="inlineStr">
        <is>
          <t>VÄSTERÅS</t>
        </is>
      </c>
      <c r="G1976" t="n">
        <v>10.4</v>
      </c>
      <c r="H1976" t="n">
        <v>0</v>
      </c>
      <c r="I1976" t="n">
        <v>0</v>
      </c>
      <c r="J1976" t="n">
        <v>0</v>
      </c>
      <c r="K1976" t="n">
        <v>0</v>
      </c>
      <c r="L1976" t="n">
        <v>0</v>
      </c>
      <c r="M1976" t="n">
        <v>0</v>
      </c>
      <c r="N1976" t="n">
        <v>0</v>
      </c>
      <c r="O1976" t="n">
        <v>0</v>
      </c>
      <c r="P1976" t="n">
        <v>0</v>
      </c>
      <c r="Q1976" t="n">
        <v>0</v>
      </c>
      <c r="R1976" s="2" t="inlineStr"/>
    </row>
    <row r="1977" ht="15" customHeight="1">
      <c r="A1977" t="inlineStr">
        <is>
          <t>A 73601-2021</t>
        </is>
      </c>
      <c r="B1977" s="1" t="n">
        <v>44552</v>
      </c>
      <c r="C1977" s="1" t="n">
        <v>45724</v>
      </c>
      <c r="D1977" t="inlineStr">
        <is>
          <t>VÄSTMANLANDS LÄN</t>
        </is>
      </c>
      <c r="E1977" t="inlineStr">
        <is>
          <t>VÄSTERÅS</t>
        </is>
      </c>
      <c r="G1977" t="n">
        <v>0.5</v>
      </c>
      <c r="H1977" t="n">
        <v>0</v>
      </c>
      <c r="I1977" t="n">
        <v>0</v>
      </c>
      <c r="J1977" t="n">
        <v>0</v>
      </c>
      <c r="K1977" t="n">
        <v>0</v>
      </c>
      <c r="L1977" t="n">
        <v>0</v>
      </c>
      <c r="M1977" t="n">
        <v>0</v>
      </c>
      <c r="N1977" t="n">
        <v>0</v>
      </c>
      <c r="O1977" t="n">
        <v>0</v>
      </c>
      <c r="P1977" t="n">
        <v>0</v>
      </c>
      <c r="Q1977" t="n">
        <v>0</v>
      </c>
      <c r="R1977" s="2" t="inlineStr"/>
    </row>
    <row r="1978" ht="15" customHeight="1">
      <c r="A1978" t="inlineStr">
        <is>
          <t>A 73673-2021</t>
        </is>
      </c>
      <c r="B1978" s="1" t="n">
        <v>44552</v>
      </c>
      <c r="C1978" s="1" t="n">
        <v>45724</v>
      </c>
      <c r="D1978" t="inlineStr">
        <is>
          <t>VÄSTMANLANDS LÄN</t>
        </is>
      </c>
      <c r="E1978" t="inlineStr">
        <is>
          <t>SALA</t>
        </is>
      </c>
      <c r="G1978" t="n">
        <v>11.4</v>
      </c>
      <c r="H1978" t="n">
        <v>0</v>
      </c>
      <c r="I1978" t="n">
        <v>0</v>
      </c>
      <c r="J1978" t="n">
        <v>0</v>
      </c>
      <c r="K1978" t="n">
        <v>0</v>
      </c>
      <c r="L1978" t="n">
        <v>0</v>
      </c>
      <c r="M1978" t="n">
        <v>0</v>
      </c>
      <c r="N1978" t="n">
        <v>0</v>
      </c>
      <c r="O1978" t="n">
        <v>0</v>
      </c>
      <c r="P1978" t="n">
        <v>0</v>
      </c>
      <c r="Q1978" t="n">
        <v>0</v>
      </c>
      <c r="R1978" s="2" t="inlineStr"/>
    </row>
    <row r="1979" ht="15" customHeight="1">
      <c r="A1979" t="inlineStr">
        <is>
          <t>A 73606-2021</t>
        </is>
      </c>
      <c r="B1979" s="1" t="n">
        <v>44552</v>
      </c>
      <c r="C1979" s="1" t="n">
        <v>45724</v>
      </c>
      <c r="D1979" t="inlineStr">
        <is>
          <t>VÄSTMANLANDS LÄN</t>
        </is>
      </c>
      <c r="E1979" t="inlineStr">
        <is>
          <t>SALA</t>
        </is>
      </c>
      <c r="G1979" t="n">
        <v>1.5</v>
      </c>
      <c r="H1979" t="n">
        <v>0</v>
      </c>
      <c r="I1979" t="n">
        <v>0</v>
      </c>
      <c r="J1979" t="n">
        <v>0</v>
      </c>
      <c r="K1979" t="n">
        <v>0</v>
      </c>
      <c r="L1979" t="n">
        <v>0</v>
      </c>
      <c r="M1979" t="n">
        <v>0</v>
      </c>
      <c r="N1979" t="n">
        <v>0</v>
      </c>
      <c r="O1979" t="n">
        <v>0</v>
      </c>
      <c r="P1979" t="n">
        <v>0</v>
      </c>
      <c r="Q1979" t="n">
        <v>0</v>
      </c>
      <c r="R1979" s="2" t="inlineStr"/>
    </row>
    <row r="1980" ht="15" customHeight="1">
      <c r="A1980" t="inlineStr">
        <is>
          <t>A 73668-2021</t>
        </is>
      </c>
      <c r="B1980" s="1" t="n">
        <v>44552</v>
      </c>
      <c r="C1980" s="1" t="n">
        <v>45724</v>
      </c>
      <c r="D1980" t="inlineStr">
        <is>
          <t>VÄSTMANLANDS LÄN</t>
        </is>
      </c>
      <c r="E1980" t="inlineStr">
        <is>
          <t>SALA</t>
        </is>
      </c>
      <c r="G1980" t="n">
        <v>1</v>
      </c>
      <c r="H1980" t="n">
        <v>0</v>
      </c>
      <c r="I1980" t="n">
        <v>0</v>
      </c>
      <c r="J1980" t="n">
        <v>0</v>
      </c>
      <c r="K1980" t="n">
        <v>0</v>
      </c>
      <c r="L1980" t="n">
        <v>0</v>
      </c>
      <c r="M1980" t="n">
        <v>0</v>
      </c>
      <c r="N1980" t="n">
        <v>0</v>
      </c>
      <c r="O1980" t="n">
        <v>0</v>
      </c>
      <c r="P1980" t="n">
        <v>0</v>
      </c>
      <c r="Q1980" t="n">
        <v>0</v>
      </c>
      <c r="R1980" s="2" t="inlineStr"/>
    </row>
    <row r="1981" ht="15" customHeight="1">
      <c r="A1981" t="inlineStr">
        <is>
          <t>A 73797-2021</t>
        </is>
      </c>
      <c r="B1981" s="1" t="n">
        <v>44552</v>
      </c>
      <c r="C1981" s="1" t="n">
        <v>45724</v>
      </c>
      <c r="D1981" t="inlineStr">
        <is>
          <t>VÄSTMANLANDS LÄN</t>
        </is>
      </c>
      <c r="E1981" t="inlineStr">
        <is>
          <t>NORBERG</t>
        </is>
      </c>
      <c r="G1981" t="n">
        <v>0.9</v>
      </c>
      <c r="H1981" t="n">
        <v>0</v>
      </c>
      <c r="I1981" t="n">
        <v>0</v>
      </c>
      <c r="J1981" t="n">
        <v>0</v>
      </c>
      <c r="K1981" t="n">
        <v>0</v>
      </c>
      <c r="L1981" t="n">
        <v>0</v>
      </c>
      <c r="M1981" t="n">
        <v>0</v>
      </c>
      <c r="N1981" t="n">
        <v>0</v>
      </c>
      <c r="O1981" t="n">
        <v>0</v>
      </c>
      <c r="P1981" t="n">
        <v>0</v>
      </c>
      <c r="Q1981" t="n">
        <v>0</v>
      </c>
      <c r="R1981" s="2" t="inlineStr"/>
    </row>
    <row r="1982" ht="15" customHeight="1">
      <c r="A1982" t="inlineStr">
        <is>
          <t>A 73687-2021</t>
        </is>
      </c>
      <c r="B1982" s="1" t="n">
        <v>44552</v>
      </c>
      <c r="C1982" s="1" t="n">
        <v>45724</v>
      </c>
      <c r="D1982" t="inlineStr">
        <is>
          <t>VÄSTMANLANDS LÄN</t>
        </is>
      </c>
      <c r="E1982" t="inlineStr">
        <is>
          <t>SALA</t>
        </is>
      </c>
      <c r="G1982" t="n">
        <v>5.6</v>
      </c>
      <c r="H1982" t="n">
        <v>0</v>
      </c>
      <c r="I1982" t="n">
        <v>0</v>
      </c>
      <c r="J1982" t="n">
        <v>0</v>
      </c>
      <c r="K1982" t="n">
        <v>0</v>
      </c>
      <c r="L1982" t="n">
        <v>0</v>
      </c>
      <c r="M1982" t="n">
        <v>0</v>
      </c>
      <c r="N1982" t="n">
        <v>0</v>
      </c>
      <c r="O1982" t="n">
        <v>0</v>
      </c>
      <c r="P1982" t="n">
        <v>0</v>
      </c>
      <c r="Q1982" t="n">
        <v>0</v>
      </c>
      <c r="R1982" s="2" t="inlineStr"/>
    </row>
    <row r="1983" ht="15" customHeight="1">
      <c r="A1983" t="inlineStr">
        <is>
          <t>A 73788-2021</t>
        </is>
      </c>
      <c r="B1983" s="1" t="n">
        <v>44552</v>
      </c>
      <c r="C1983" s="1" t="n">
        <v>45724</v>
      </c>
      <c r="D1983" t="inlineStr">
        <is>
          <t>VÄSTMANLANDS LÄN</t>
        </is>
      </c>
      <c r="E1983" t="inlineStr">
        <is>
          <t>SALA</t>
        </is>
      </c>
      <c r="G1983" t="n">
        <v>0.8</v>
      </c>
      <c r="H1983" t="n">
        <v>0</v>
      </c>
      <c r="I1983" t="n">
        <v>0</v>
      </c>
      <c r="J1983" t="n">
        <v>0</v>
      </c>
      <c r="K1983" t="n">
        <v>0</v>
      </c>
      <c r="L1983" t="n">
        <v>0</v>
      </c>
      <c r="M1983" t="n">
        <v>0</v>
      </c>
      <c r="N1983" t="n">
        <v>0</v>
      </c>
      <c r="O1983" t="n">
        <v>0</v>
      </c>
      <c r="P1983" t="n">
        <v>0</v>
      </c>
      <c r="Q1983" t="n">
        <v>0</v>
      </c>
      <c r="R1983" s="2" t="inlineStr"/>
    </row>
    <row r="1984" ht="15" customHeight="1">
      <c r="A1984" t="inlineStr">
        <is>
          <t>A 73835-2021</t>
        </is>
      </c>
      <c r="B1984" s="1" t="n">
        <v>44552</v>
      </c>
      <c r="C1984" s="1" t="n">
        <v>45724</v>
      </c>
      <c r="D1984" t="inlineStr">
        <is>
          <t>VÄSTMANLANDS LÄN</t>
        </is>
      </c>
      <c r="E1984" t="inlineStr">
        <is>
          <t>SALA</t>
        </is>
      </c>
      <c r="G1984" t="n">
        <v>2</v>
      </c>
      <c r="H1984" t="n">
        <v>0</v>
      </c>
      <c r="I1984" t="n">
        <v>0</v>
      </c>
      <c r="J1984" t="n">
        <v>0</v>
      </c>
      <c r="K1984" t="n">
        <v>0</v>
      </c>
      <c r="L1984" t="n">
        <v>0</v>
      </c>
      <c r="M1984" t="n">
        <v>0</v>
      </c>
      <c r="N1984" t="n">
        <v>0</v>
      </c>
      <c r="O1984" t="n">
        <v>0</v>
      </c>
      <c r="P1984" t="n">
        <v>0</v>
      </c>
      <c r="Q1984" t="n">
        <v>0</v>
      </c>
      <c r="R1984" s="2" t="inlineStr"/>
    </row>
    <row r="1985" ht="15" customHeight="1">
      <c r="A1985" t="inlineStr">
        <is>
          <t>A 73890-2021</t>
        </is>
      </c>
      <c r="B1985" s="1" t="n">
        <v>44553</v>
      </c>
      <c r="C1985" s="1" t="n">
        <v>45724</v>
      </c>
      <c r="D1985" t="inlineStr">
        <is>
          <t>VÄSTMANLANDS LÄN</t>
        </is>
      </c>
      <c r="E1985" t="inlineStr">
        <is>
          <t>KÖPING</t>
        </is>
      </c>
      <c r="G1985" t="n">
        <v>2.9</v>
      </c>
      <c r="H1985" t="n">
        <v>0</v>
      </c>
      <c r="I1985" t="n">
        <v>0</v>
      </c>
      <c r="J1985" t="n">
        <v>0</v>
      </c>
      <c r="K1985" t="n">
        <v>0</v>
      </c>
      <c r="L1985" t="n">
        <v>0</v>
      </c>
      <c r="M1985" t="n">
        <v>0</v>
      </c>
      <c r="N1985" t="n">
        <v>0</v>
      </c>
      <c r="O1985" t="n">
        <v>0</v>
      </c>
      <c r="P1985" t="n">
        <v>0</v>
      </c>
      <c r="Q1985" t="n">
        <v>0</v>
      </c>
      <c r="R1985" s="2" t="inlineStr"/>
    </row>
    <row r="1986" ht="15" customHeight="1">
      <c r="A1986" t="inlineStr">
        <is>
          <t>A 73888-2021</t>
        </is>
      </c>
      <c r="B1986" s="1" t="n">
        <v>44553</v>
      </c>
      <c r="C1986" s="1" t="n">
        <v>45724</v>
      </c>
      <c r="D1986" t="inlineStr">
        <is>
          <t>VÄSTMANLANDS LÄN</t>
        </is>
      </c>
      <c r="E1986" t="inlineStr">
        <is>
          <t>KÖPING</t>
        </is>
      </c>
      <c r="G1986" t="n">
        <v>2.4</v>
      </c>
      <c r="H1986" t="n">
        <v>0</v>
      </c>
      <c r="I1986" t="n">
        <v>0</v>
      </c>
      <c r="J1986" t="n">
        <v>0</v>
      </c>
      <c r="K1986" t="n">
        <v>0</v>
      </c>
      <c r="L1986" t="n">
        <v>0</v>
      </c>
      <c r="M1986" t="n">
        <v>0</v>
      </c>
      <c r="N1986" t="n">
        <v>0</v>
      </c>
      <c r="O1986" t="n">
        <v>0</v>
      </c>
      <c r="P1986" t="n">
        <v>0</v>
      </c>
      <c r="Q1986" t="n">
        <v>0</v>
      </c>
      <c r="R1986" s="2" t="inlineStr"/>
    </row>
    <row r="1987" ht="15" customHeight="1">
      <c r="A1987" t="inlineStr">
        <is>
          <t>A 73994-2021</t>
        </is>
      </c>
      <c r="B1987" s="1" t="n">
        <v>44556</v>
      </c>
      <c r="C1987" s="1" t="n">
        <v>45724</v>
      </c>
      <c r="D1987" t="inlineStr">
        <is>
          <t>VÄSTMANLANDS LÄN</t>
        </is>
      </c>
      <c r="E1987" t="inlineStr">
        <is>
          <t>VÄSTERÅS</t>
        </is>
      </c>
      <c r="G1987" t="n">
        <v>3.3</v>
      </c>
      <c r="H1987" t="n">
        <v>0</v>
      </c>
      <c r="I1987" t="n">
        <v>0</v>
      </c>
      <c r="J1987" t="n">
        <v>0</v>
      </c>
      <c r="K1987" t="n">
        <v>0</v>
      </c>
      <c r="L1987" t="n">
        <v>0</v>
      </c>
      <c r="M1987" t="n">
        <v>0</v>
      </c>
      <c r="N1987" t="n">
        <v>0</v>
      </c>
      <c r="O1987" t="n">
        <v>0</v>
      </c>
      <c r="P1987" t="n">
        <v>0</v>
      </c>
      <c r="Q1987" t="n">
        <v>0</v>
      </c>
      <c r="R1987" s="2" t="inlineStr"/>
    </row>
    <row r="1988" ht="15" customHeight="1">
      <c r="A1988" t="inlineStr">
        <is>
          <t>A 74123-2021</t>
        </is>
      </c>
      <c r="B1988" s="1" t="n">
        <v>44557</v>
      </c>
      <c r="C1988" s="1" t="n">
        <v>45724</v>
      </c>
      <c r="D1988" t="inlineStr">
        <is>
          <t>VÄSTMANLANDS LÄN</t>
        </is>
      </c>
      <c r="E1988" t="inlineStr">
        <is>
          <t>SALA</t>
        </is>
      </c>
      <c r="F1988" t="inlineStr">
        <is>
          <t>Kommuner</t>
        </is>
      </c>
      <c r="G1988" t="n">
        <v>11.9</v>
      </c>
      <c r="H1988" t="n">
        <v>0</v>
      </c>
      <c r="I1988" t="n">
        <v>0</v>
      </c>
      <c r="J1988" t="n">
        <v>0</v>
      </c>
      <c r="K1988" t="n">
        <v>0</v>
      </c>
      <c r="L1988" t="n">
        <v>0</v>
      </c>
      <c r="M1988" t="n">
        <v>0</v>
      </c>
      <c r="N1988" t="n">
        <v>0</v>
      </c>
      <c r="O1988" t="n">
        <v>0</v>
      </c>
      <c r="P1988" t="n">
        <v>0</v>
      </c>
      <c r="Q1988" t="n">
        <v>0</v>
      </c>
      <c r="R1988" s="2" t="inlineStr"/>
    </row>
    <row r="1989" ht="15" customHeight="1">
      <c r="A1989" t="inlineStr">
        <is>
          <t>A 74277-2021</t>
        </is>
      </c>
      <c r="B1989" s="1" t="n">
        <v>44558</v>
      </c>
      <c r="C1989" s="1" t="n">
        <v>45724</v>
      </c>
      <c r="D1989" t="inlineStr">
        <is>
          <t>VÄSTMANLANDS LÄN</t>
        </is>
      </c>
      <c r="E1989" t="inlineStr">
        <is>
          <t>SALA</t>
        </is>
      </c>
      <c r="F1989" t="inlineStr">
        <is>
          <t>Kommuner</t>
        </is>
      </c>
      <c r="G1989" t="n">
        <v>24.4</v>
      </c>
      <c r="H1989" t="n">
        <v>0</v>
      </c>
      <c r="I1989" t="n">
        <v>0</v>
      </c>
      <c r="J1989" t="n">
        <v>0</v>
      </c>
      <c r="K1989" t="n">
        <v>0</v>
      </c>
      <c r="L1989" t="n">
        <v>0</v>
      </c>
      <c r="M1989" t="n">
        <v>0</v>
      </c>
      <c r="N1989" t="n">
        <v>0</v>
      </c>
      <c r="O1989" t="n">
        <v>0</v>
      </c>
      <c r="P1989" t="n">
        <v>0</v>
      </c>
      <c r="Q1989" t="n">
        <v>0</v>
      </c>
      <c r="R1989" s="2" t="inlineStr"/>
    </row>
    <row r="1990" ht="15" customHeight="1">
      <c r="A1990" t="inlineStr">
        <is>
          <t>A 74279-2021</t>
        </is>
      </c>
      <c r="B1990" s="1" t="n">
        <v>44558</v>
      </c>
      <c r="C1990" s="1" t="n">
        <v>45724</v>
      </c>
      <c r="D1990" t="inlineStr">
        <is>
          <t>VÄSTMANLANDS LÄN</t>
        </is>
      </c>
      <c r="E1990" t="inlineStr">
        <is>
          <t>KÖPING</t>
        </is>
      </c>
      <c r="G1990" t="n">
        <v>4.3</v>
      </c>
      <c r="H1990" t="n">
        <v>0</v>
      </c>
      <c r="I1990" t="n">
        <v>0</v>
      </c>
      <c r="J1990" t="n">
        <v>0</v>
      </c>
      <c r="K1990" t="n">
        <v>0</v>
      </c>
      <c r="L1990" t="n">
        <v>0</v>
      </c>
      <c r="M1990" t="n">
        <v>0</v>
      </c>
      <c r="N1990" t="n">
        <v>0</v>
      </c>
      <c r="O1990" t="n">
        <v>0</v>
      </c>
      <c r="P1990" t="n">
        <v>0</v>
      </c>
      <c r="Q1990" t="n">
        <v>0</v>
      </c>
      <c r="R1990" s="2" t="inlineStr"/>
    </row>
    <row r="1991" ht="15" customHeight="1">
      <c r="A1991" t="inlineStr">
        <is>
          <t>A 74314-2021</t>
        </is>
      </c>
      <c r="B1991" s="1" t="n">
        <v>44559</v>
      </c>
      <c r="C1991" s="1" t="n">
        <v>45724</v>
      </c>
      <c r="D1991" t="inlineStr">
        <is>
          <t>VÄSTMANLANDS LÄN</t>
        </is>
      </c>
      <c r="E1991" t="inlineStr">
        <is>
          <t>VÄSTERÅS</t>
        </is>
      </c>
      <c r="G1991" t="n">
        <v>2.5</v>
      </c>
      <c r="H1991" t="n">
        <v>0</v>
      </c>
      <c r="I1991" t="n">
        <v>0</v>
      </c>
      <c r="J1991" t="n">
        <v>0</v>
      </c>
      <c r="K1991" t="n">
        <v>0</v>
      </c>
      <c r="L1991" t="n">
        <v>0</v>
      </c>
      <c r="M1991" t="n">
        <v>0</v>
      </c>
      <c r="N1991" t="n">
        <v>0</v>
      </c>
      <c r="O1991" t="n">
        <v>0</v>
      </c>
      <c r="P1991" t="n">
        <v>0</v>
      </c>
      <c r="Q1991" t="n">
        <v>0</v>
      </c>
      <c r="R1991" s="2" t="inlineStr"/>
    </row>
    <row r="1992" ht="15" customHeight="1">
      <c r="A1992" t="inlineStr">
        <is>
          <t>A 74356-2021</t>
        </is>
      </c>
      <c r="B1992" s="1" t="n">
        <v>44559</v>
      </c>
      <c r="C1992" s="1" t="n">
        <v>45724</v>
      </c>
      <c r="D1992" t="inlineStr">
        <is>
          <t>VÄSTMANLANDS LÄN</t>
        </is>
      </c>
      <c r="E1992" t="inlineStr">
        <is>
          <t>FAGERSTA</t>
        </is>
      </c>
      <c r="G1992" t="n">
        <v>7.9</v>
      </c>
      <c r="H1992" t="n">
        <v>0</v>
      </c>
      <c r="I1992" t="n">
        <v>0</v>
      </c>
      <c r="J1992" t="n">
        <v>0</v>
      </c>
      <c r="K1992" t="n">
        <v>0</v>
      </c>
      <c r="L1992" t="n">
        <v>0</v>
      </c>
      <c r="M1992" t="n">
        <v>0</v>
      </c>
      <c r="N1992" t="n">
        <v>0</v>
      </c>
      <c r="O1992" t="n">
        <v>0</v>
      </c>
      <c r="P1992" t="n">
        <v>0</v>
      </c>
      <c r="Q1992" t="n">
        <v>0</v>
      </c>
      <c r="R1992" s="2" t="inlineStr"/>
    </row>
    <row r="1993" ht="15" customHeight="1">
      <c r="A1993" t="inlineStr">
        <is>
          <t>A 74423-2021</t>
        </is>
      </c>
      <c r="B1993" s="1" t="n">
        <v>44564</v>
      </c>
      <c r="C1993" s="1" t="n">
        <v>45724</v>
      </c>
      <c r="D1993" t="inlineStr">
        <is>
          <t>VÄSTMANLANDS LÄN</t>
        </is>
      </c>
      <c r="E1993" t="inlineStr">
        <is>
          <t>FAGERSTA</t>
        </is>
      </c>
      <c r="G1993" t="n">
        <v>1</v>
      </c>
      <c r="H1993" t="n">
        <v>0</v>
      </c>
      <c r="I1993" t="n">
        <v>0</v>
      </c>
      <c r="J1993" t="n">
        <v>0</v>
      </c>
      <c r="K1993" t="n">
        <v>0</v>
      </c>
      <c r="L1993" t="n">
        <v>0</v>
      </c>
      <c r="M1993" t="n">
        <v>0</v>
      </c>
      <c r="N1993" t="n">
        <v>0</v>
      </c>
      <c r="O1993" t="n">
        <v>0</v>
      </c>
      <c r="P1993" t="n">
        <v>0</v>
      </c>
      <c r="Q1993" t="n">
        <v>0</v>
      </c>
      <c r="R1993" s="2" t="inlineStr"/>
    </row>
    <row r="1994" ht="15" customHeight="1">
      <c r="A1994" t="inlineStr">
        <is>
          <t>A 74425-2021</t>
        </is>
      </c>
      <c r="B1994" s="1" t="n">
        <v>44564</v>
      </c>
      <c r="C1994" s="1" t="n">
        <v>45724</v>
      </c>
      <c r="D1994" t="inlineStr">
        <is>
          <t>VÄSTMANLANDS LÄN</t>
        </is>
      </c>
      <c r="E1994" t="inlineStr">
        <is>
          <t>FAGERSTA</t>
        </is>
      </c>
      <c r="G1994" t="n">
        <v>1.8</v>
      </c>
      <c r="H1994" t="n">
        <v>0</v>
      </c>
      <c r="I1994" t="n">
        <v>0</v>
      </c>
      <c r="J1994" t="n">
        <v>0</v>
      </c>
      <c r="K1994" t="n">
        <v>0</v>
      </c>
      <c r="L1994" t="n">
        <v>0</v>
      </c>
      <c r="M1994" t="n">
        <v>0</v>
      </c>
      <c r="N1994" t="n">
        <v>0</v>
      </c>
      <c r="O1994" t="n">
        <v>0</v>
      </c>
      <c r="P1994" t="n">
        <v>0</v>
      </c>
      <c r="Q1994" t="n">
        <v>0</v>
      </c>
      <c r="R1994" s="2" t="inlineStr"/>
    </row>
    <row r="1995" ht="15" customHeight="1">
      <c r="A1995" t="inlineStr">
        <is>
          <t>A 617-2022</t>
        </is>
      </c>
      <c r="B1995" s="1" t="n">
        <v>44567</v>
      </c>
      <c r="C1995" s="1" t="n">
        <v>45724</v>
      </c>
      <c r="D1995" t="inlineStr">
        <is>
          <t>VÄSTMANLANDS LÄN</t>
        </is>
      </c>
      <c r="E1995" t="inlineStr">
        <is>
          <t>SALA</t>
        </is>
      </c>
      <c r="G1995" t="n">
        <v>0.4</v>
      </c>
      <c r="H1995" t="n">
        <v>0</v>
      </c>
      <c r="I1995" t="n">
        <v>0</v>
      </c>
      <c r="J1995" t="n">
        <v>0</v>
      </c>
      <c r="K1995" t="n">
        <v>0</v>
      </c>
      <c r="L1995" t="n">
        <v>0</v>
      </c>
      <c r="M1995" t="n">
        <v>0</v>
      </c>
      <c r="N1995" t="n">
        <v>0</v>
      </c>
      <c r="O1995" t="n">
        <v>0</v>
      </c>
      <c r="P1995" t="n">
        <v>0</v>
      </c>
      <c r="Q1995" t="n">
        <v>0</v>
      </c>
      <c r="R1995" s="2" t="inlineStr"/>
    </row>
    <row r="1996" ht="15" customHeight="1">
      <c r="A1996" t="inlineStr">
        <is>
          <t>A 822-2022</t>
        </is>
      </c>
      <c r="B1996" s="1" t="n">
        <v>44571</v>
      </c>
      <c r="C1996" s="1" t="n">
        <v>45724</v>
      </c>
      <c r="D1996" t="inlineStr">
        <is>
          <t>VÄSTMANLANDS LÄN</t>
        </is>
      </c>
      <c r="E1996" t="inlineStr">
        <is>
          <t>VÄSTERÅS</t>
        </is>
      </c>
      <c r="G1996" t="n">
        <v>13.1</v>
      </c>
      <c r="H1996" t="n">
        <v>0</v>
      </c>
      <c r="I1996" t="n">
        <v>0</v>
      </c>
      <c r="J1996" t="n">
        <v>0</v>
      </c>
      <c r="K1996" t="n">
        <v>0</v>
      </c>
      <c r="L1996" t="n">
        <v>0</v>
      </c>
      <c r="M1996" t="n">
        <v>0</v>
      </c>
      <c r="N1996" t="n">
        <v>0</v>
      </c>
      <c r="O1996" t="n">
        <v>0</v>
      </c>
      <c r="P1996" t="n">
        <v>0</v>
      </c>
      <c r="Q1996" t="n">
        <v>0</v>
      </c>
      <c r="R1996" s="2" t="inlineStr"/>
    </row>
    <row r="1997" ht="15" customHeight="1">
      <c r="A1997" t="inlineStr">
        <is>
          <t>A 836-2022</t>
        </is>
      </c>
      <c r="B1997" s="1" t="n">
        <v>44571</v>
      </c>
      <c r="C1997" s="1" t="n">
        <v>45724</v>
      </c>
      <c r="D1997" t="inlineStr">
        <is>
          <t>VÄSTMANLANDS LÄN</t>
        </is>
      </c>
      <c r="E1997" t="inlineStr">
        <is>
          <t>VÄSTERÅS</t>
        </is>
      </c>
      <c r="G1997" t="n">
        <v>11.3</v>
      </c>
      <c r="H1997" t="n">
        <v>0</v>
      </c>
      <c r="I1997" t="n">
        <v>0</v>
      </c>
      <c r="J1997" t="n">
        <v>0</v>
      </c>
      <c r="K1997" t="n">
        <v>0</v>
      </c>
      <c r="L1997" t="n">
        <v>0</v>
      </c>
      <c r="M1997" t="n">
        <v>0</v>
      </c>
      <c r="N1997" t="n">
        <v>0</v>
      </c>
      <c r="O1997" t="n">
        <v>0</v>
      </c>
      <c r="P1997" t="n">
        <v>0</v>
      </c>
      <c r="Q1997" t="n">
        <v>0</v>
      </c>
      <c r="R1997" s="2" t="inlineStr"/>
    </row>
    <row r="1998" ht="15" customHeight="1">
      <c r="A1998" t="inlineStr">
        <is>
          <t>A 939-2022</t>
        </is>
      </c>
      <c r="B1998" s="1" t="n">
        <v>44571</v>
      </c>
      <c r="C1998" s="1" t="n">
        <v>45724</v>
      </c>
      <c r="D1998" t="inlineStr">
        <is>
          <t>VÄSTMANLANDS LÄN</t>
        </is>
      </c>
      <c r="E1998" t="inlineStr">
        <is>
          <t>SALA</t>
        </is>
      </c>
      <c r="G1998" t="n">
        <v>0.5</v>
      </c>
      <c r="H1998" t="n">
        <v>0</v>
      </c>
      <c r="I1998" t="n">
        <v>0</v>
      </c>
      <c r="J1998" t="n">
        <v>0</v>
      </c>
      <c r="K1998" t="n">
        <v>0</v>
      </c>
      <c r="L1998" t="n">
        <v>0</v>
      </c>
      <c r="M1998" t="n">
        <v>0</v>
      </c>
      <c r="N1998" t="n">
        <v>0</v>
      </c>
      <c r="O1998" t="n">
        <v>0</v>
      </c>
      <c r="P1998" t="n">
        <v>0</v>
      </c>
      <c r="Q1998" t="n">
        <v>0</v>
      </c>
      <c r="R1998" s="2" t="inlineStr"/>
    </row>
    <row r="1999" ht="15" customHeight="1">
      <c r="A1999" t="inlineStr">
        <is>
          <t>A 1043-2022</t>
        </is>
      </c>
      <c r="B1999" s="1" t="n">
        <v>44571</v>
      </c>
      <c r="C1999" s="1" t="n">
        <v>45724</v>
      </c>
      <c r="D1999" t="inlineStr">
        <is>
          <t>VÄSTMANLANDS LÄN</t>
        </is>
      </c>
      <c r="E1999" t="inlineStr">
        <is>
          <t>SALA</t>
        </is>
      </c>
      <c r="G1999" t="n">
        <v>1.1</v>
      </c>
      <c r="H1999" t="n">
        <v>0</v>
      </c>
      <c r="I1999" t="n">
        <v>0</v>
      </c>
      <c r="J1999" t="n">
        <v>0</v>
      </c>
      <c r="K1999" t="n">
        <v>0</v>
      </c>
      <c r="L1999" t="n">
        <v>0</v>
      </c>
      <c r="M1999" t="n">
        <v>0</v>
      </c>
      <c r="N1999" t="n">
        <v>0</v>
      </c>
      <c r="O1999" t="n">
        <v>0</v>
      </c>
      <c r="P1999" t="n">
        <v>0</v>
      </c>
      <c r="Q1999" t="n">
        <v>0</v>
      </c>
      <c r="R1999" s="2" t="inlineStr"/>
    </row>
    <row r="2000" ht="15" customHeight="1">
      <c r="A2000" t="inlineStr">
        <is>
          <t>A 1195-2022</t>
        </is>
      </c>
      <c r="B2000" s="1" t="n">
        <v>44572</v>
      </c>
      <c r="C2000" s="1" t="n">
        <v>45724</v>
      </c>
      <c r="D2000" t="inlineStr">
        <is>
          <t>VÄSTMANLANDS LÄN</t>
        </is>
      </c>
      <c r="E2000" t="inlineStr">
        <is>
          <t>VÄSTERÅS</t>
        </is>
      </c>
      <c r="G2000" t="n">
        <v>5</v>
      </c>
      <c r="H2000" t="n">
        <v>0</v>
      </c>
      <c r="I2000" t="n">
        <v>0</v>
      </c>
      <c r="J2000" t="n">
        <v>0</v>
      </c>
      <c r="K2000" t="n">
        <v>0</v>
      </c>
      <c r="L2000" t="n">
        <v>0</v>
      </c>
      <c r="M2000" t="n">
        <v>0</v>
      </c>
      <c r="N2000" t="n">
        <v>0</v>
      </c>
      <c r="O2000" t="n">
        <v>0</v>
      </c>
      <c r="P2000" t="n">
        <v>0</v>
      </c>
      <c r="Q2000" t="n">
        <v>0</v>
      </c>
      <c r="R2000" s="2" t="inlineStr"/>
    </row>
    <row r="2001" ht="15" customHeight="1">
      <c r="A2001" t="inlineStr">
        <is>
          <t>A 1198-2022</t>
        </is>
      </c>
      <c r="B2001" s="1" t="n">
        <v>44572</v>
      </c>
      <c r="C2001" s="1" t="n">
        <v>45724</v>
      </c>
      <c r="D2001" t="inlineStr">
        <is>
          <t>VÄSTMANLANDS LÄN</t>
        </is>
      </c>
      <c r="E2001" t="inlineStr">
        <is>
          <t>VÄSTERÅS</t>
        </is>
      </c>
      <c r="G2001" t="n">
        <v>8.1</v>
      </c>
      <c r="H2001" t="n">
        <v>0</v>
      </c>
      <c r="I2001" t="n">
        <v>0</v>
      </c>
      <c r="J2001" t="n">
        <v>0</v>
      </c>
      <c r="K2001" t="n">
        <v>0</v>
      </c>
      <c r="L2001" t="n">
        <v>0</v>
      </c>
      <c r="M2001" t="n">
        <v>0</v>
      </c>
      <c r="N2001" t="n">
        <v>0</v>
      </c>
      <c r="O2001" t="n">
        <v>0</v>
      </c>
      <c r="P2001" t="n">
        <v>0</v>
      </c>
      <c r="Q2001" t="n">
        <v>0</v>
      </c>
      <c r="R2001" s="2" t="inlineStr"/>
    </row>
    <row r="2002" ht="15" customHeight="1">
      <c r="A2002" t="inlineStr">
        <is>
          <t>A 1162-2022</t>
        </is>
      </c>
      <c r="B2002" s="1" t="n">
        <v>44572</v>
      </c>
      <c r="C2002" s="1" t="n">
        <v>45724</v>
      </c>
      <c r="D2002" t="inlineStr">
        <is>
          <t>VÄSTMANLANDS LÄN</t>
        </is>
      </c>
      <c r="E2002" t="inlineStr">
        <is>
          <t>SALA</t>
        </is>
      </c>
      <c r="G2002" t="n">
        <v>1.2</v>
      </c>
      <c r="H2002" t="n">
        <v>0</v>
      </c>
      <c r="I2002" t="n">
        <v>0</v>
      </c>
      <c r="J2002" t="n">
        <v>0</v>
      </c>
      <c r="K2002" t="n">
        <v>0</v>
      </c>
      <c r="L2002" t="n">
        <v>0</v>
      </c>
      <c r="M2002" t="n">
        <v>0</v>
      </c>
      <c r="N2002" t="n">
        <v>0</v>
      </c>
      <c r="O2002" t="n">
        <v>0</v>
      </c>
      <c r="P2002" t="n">
        <v>0</v>
      </c>
      <c r="Q2002" t="n">
        <v>0</v>
      </c>
      <c r="R2002" s="2" t="inlineStr"/>
    </row>
    <row r="2003" ht="15" customHeight="1">
      <c r="A2003" t="inlineStr">
        <is>
          <t>A 1186-2022</t>
        </is>
      </c>
      <c r="B2003" s="1" t="n">
        <v>44572</v>
      </c>
      <c r="C2003" s="1" t="n">
        <v>45724</v>
      </c>
      <c r="D2003" t="inlineStr">
        <is>
          <t>VÄSTMANLANDS LÄN</t>
        </is>
      </c>
      <c r="E2003" t="inlineStr">
        <is>
          <t>VÄSTERÅS</t>
        </is>
      </c>
      <c r="G2003" t="n">
        <v>1.2</v>
      </c>
      <c r="H2003" t="n">
        <v>0</v>
      </c>
      <c r="I2003" t="n">
        <v>0</v>
      </c>
      <c r="J2003" t="n">
        <v>0</v>
      </c>
      <c r="K2003" t="n">
        <v>0</v>
      </c>
      <c r="L2003" t="n">
        <v>0</v>
      </c>
      <c r="M2003" t="n">
        <v>0</v>
      </c>
      <c r="N2003" t="n">
        <v>0</v>
      </c>
      <c r="O2003" t="n">
        <v>0</v>
      </c>
      <c r="P2003" t="n">
        <v>0</v>
      </c>
      <c r="Q2003" t="n">
        <v>0</v>
      </c>
      <c r="R2003" s="2" t="inlineStr"/>
    </row>
    <row r="2004" ht="15" customHeight="1">
      <c r="A2004" t="inlineStr">
        <is>
          <t>A 1470-2022</t>
        </is>
      </c>
      <c r="B2004" s="1" t="n">
        <v>44573</v>
      </c>
      <c r="C2004" s="1" t="n">
        <v>45724</v>
      </c>
      <c r="D2004" t="inlineStr">
        <is>
          <t>VÄSTMANLANDS LÄN</t>
        </is>
      </c>
      <c r="E2004" t="inlineStr">
        <is>
          <t>ARBOGA</t>
        </is>
      </c>
      <c r="G2004" t="n">
        <v>2.7</v>
      </c>
      <c r="H2004" t="n">
        <v>0</v>
      </c>
      <c r="I2004" t="n">
        <v>0</v>
      </c>
      <c r="J2004" t="n">
        <v>0</v>
      </c>
      <c r="K2004" t="n">
        <v>0</v>
      </c>
      <c r="L2004" t="n">
        <v>0</v>
      </c>
      <c r="M2004" t="n">
        <v>0</v>
      </c>
      <c r="N2004" t="n">
        <v>0</v>
      </c>
      <c r="O2004" t="n">
        <v>0</v>
      </c>
      <c r="P2004" t="n">
        <v>0</v>
      </c>
      <c r="Q2004" t="n">
        <v>0</v>
      </c>
      <c r="R2004" s="2" t="inlineStr"/>
    </row>
    <row r="2005" ht="15" customHeight="1">
      <c r="A2005" t="inlineStr">
        <is>
          <t>A 1652-2022</t>
        </is>
      </c>
      <c r="B2005" s="1" t="n">
        <v>44574</v>
      </c>
      <c r="C2005" s="1" t="n">
        <v>45724</v>
      </c>
      <c r="D2005" t="inlineStr">
        <is>
          <t>VÄSTMANLANDS LÄN</t>
        </is>
      </c>
      <c r="E2005" t="inlineStr">
        <is>
          <t>VÄSTERÅS</t>
        </is>
      </c>
      <c r="G2005" t="n">
        <v>2.1</v>
      </c>
      <c r="H2005" t="n">
        <v>0</v>
      </c>
      <c r="I2005" t="n">
        <v>0</v>
      </c>
      <c r="J2005" t="n">
        <v>0</v>
      </c>
      <c r="K2005" t="n">
        <v>0</v>
      </c>
      <c r="L2005" t="n">
        <v>0</v>
      </c>
      <c r="M2005" t="n">
        <v>0</v>
      </c>
      <c r="N2005" t="n">
        <v>0</v>
      </c>
      <c r="O2005" t="n">
        <v>0</v>
      </c>
      <c r="P2005" t="n">
        <v>0</v>
      </c>
      <c r="Q2005" t="n">
        <v>0</v>
      </c>
      <c r="R2005" s="2" t="inlineStr"/>
    </row>
    <row r="2006" ht="15" customHeight="1">
      <c r="A2006" t="inlineStr">
        <is>
          <t>A 1812-2022</t>
        </is>
      </c>
      <c r="B2006" s="1" t="n">
        <v>44574</v>
      </c>
      <c r="C2006" s="1" t="n">
        <v>45724</v>
      </c>
      <c r="D2006" t="inlineStr">
        <is>
          <t>VÄSTMANLANDS LÄN</t>
        </is>
      </c>
      <c r="E2006" t="inlineStr">
        <is>
          <t>KÖPING</t>
        </is>
      </c>
      <c r="G2006" t="n">
        <v>4.4</v>
      </c>
      <c r="H2006" t="n">
        <v>0</v>
      </c>
      <c r="I2006" t="n">
        <v>0</v>
      </c>
      <c r="J2006" t="n">
        <v>0</v>
      </c>
      <c r="K2006" t="n">
        <v>0</v>
      </c>
      <c r="L2006" t="n">
        <v>0</v>
      </c>
      <c r="M2006" t="n">
        <v>0</v>
      </c>
      <c r="N2006" t="n">
        <v>0</v>
      </c>
      <c r="O2006" t="n">
        <v>0</v>
      </c>
      <c r="P2006" t="n">
        <v>0</v>
      </c>
      <c r="Q2006" t="n">
        <v>0</v>
      </c>
      <c r="R2006" s="2" t="inlineStr"/>
    </row>
    <row r="2007" ht="15" customHeight="1">
      <c r="A2007" t="inlineStr">
        <is>
          <t>A 1906-2022</t>
        </is>
      </c>
      <c r="B2007" s="1" t="n">
        <v>44575</v>
      </c>
      <c r="C2007" s="1" t="n">
        <v>45724</v>
      </c>
      <c r="D2007" t="inlineStr">
        <is>
          <t>VÄSTMANLANDS LÄN</t>
        </is>
      </c>
      <c r="E2007" t="inlineStr">
        <is>
          <t>KUNGSÖR</t>
        </is>
      </c>
      <c r="G2007" t="n">
        <v>1</v>
      </c>
      <c r="H2007" t="n">
        <v>0</v>
      </c>
      <c r="I2007" t="n">
        <v>0</v>
      </c>
      <c r="J2007" t="n">
        <v>0</v>
      </c>
      <c r="K2007" t="n">
        <v>0</v>
      </c>
      <c r="L2007" t="n">
        <v>0</v>
      </c>
      <c r="M2007" t="n">
        <v>0</v>
      </c>
      <c r="N2007" t="n">
        <v>0</v>
      </c>
      <c r="O2007" t="n">
        <v>0</v>
      </c>
      <c r="P2007" t="n">
        <v>0</v>
      </c>
      <c r="Q2007" t="n">
        <v>0</v>
      </c>
      <c r="R2007" s="2" t="inlineStr"/>
    </row>
    <row r="2008" ht="15" customHeight="1">
      <c r="A2008" t="inlineStr">
        <is>
          <t>A 1985-2022</t>
        </is>
      </c>
      <c r="B2008" s="1" t="n">
        <v>44575</v>
      </c>
      <c r="C2008" s="1" t="n">
        <v>45724</v>
      </c>
      <c r="D2008" t="inlineStr">
        <is>
          <t>VÄSTMANLANDS LÄN</t>
        </is>
      </c>
      <c r="E2008" t="inlineStr">
        <is>
          <t>SALA</t>
        </is>
      </c>
      <c r="G2008" t="n">
        <v>1.4</v>
      </c>
      <c r="H2008" t="n">
        <v>0</v>
      </c>
      <c r="I2008" t="n">
        <v>0</v>
      </c>
      <c r="J2008" t="n">
        <v>0</v>
      </c>
      <c r="K2008" t="n">
        <v>0</v>
      </c>
      <c r="L2008" t="n">
        <v>0</v>
      </c>
      <c r="M2008" t="n">
        <v>0</v>
      </c>
      <c r="N2008" t="n">
        <v>0</v>
      </c>
      <c r="O2008" t="n">
        <v>0</v>
      </c>
      <c r="P2008" t="n">
        <v>0</v>
      </c>
      <c r="Q2008" t="n">
        <v>0</v>
      </c>
      <c r="R2008" s="2" t="inlineStr"/>
    </row>
    <row r="2009" ht="15" customHeight="1">
      <c r="A2009" t="inlineStr">
        <is>
          <t>A 1993-2022</t>
        </is>
      </c>
      <c r="B2009" s="1" t="n">
        <v>44575</v>
      </c>
      <c r="C2009" s="1" t="n">
        <v>45724</v>
      </c>
      <c r="D2009" t="inlineStr">
        <is>
          <t>VÄSTMANLANDS LÄN</t>
        </is>
      </c>
      <c r="E2009" t="inlineStr">
        <is>
          <t>SALA</t>
        </is>
      </c>
      <c r="G2009" t="n">
        <v>1.6</v>
      </c>
      <c r="H2009" t="n">
        <v>0</v>
      </c>
      <c r="I2009" t="n">
        <v>0</v>
      </c>
      <c r="J2009" t="n">
        <v>0</v>
      </c>
      <c r="K2009" t="n">
        <v>0</v>
      </c>
      <c r="L2009" t="n">
        <v>0</v>
      </c>
      <c r="M2009" t="n">
        <v>0</v>
      </c>
      <c r="N2009" t="n">
        <v>0</v>
      </c>
      <c r="O2009" t="n">
        <v>0</v>
      </c>
      <c r="P2009" t="n">
        <v>0</v>
      </c>
      <c r="Q2009" t="n">
        <v>0</v>
      </c>
      <c r="R2009" s="2" t="inlineStr"/>
    </row>
    <row r="2010" ht="15" customHeight="1">
      <c r="A2010" t="inlineStr">
        <is>
          <t>A 2312-2022</t>
        </is>
      </c>
      <c r="B2010" s="1" t="n">
        <v>44578</v>
      </c>
      <c r="C2010" s="1" t="n">
        <v>45724</v>
      </c>
      <c r="D2010" t="inlineStr">
        <is>
          <t>VÄSTMANLANDS LÄN</t>
        </is>
      </c>
      <c r="E2010" t="inlineStr">
        <is>
          <t>NORBERG</t>
        </is>
      </c>
      <c r="G2010" t="n">
        <v>0.4</v>
      </c>
      <c r="H2010" t="n">
        <v>0</v>
      </c>
      <c r="I2010" t="n">
        <v>0</v>
      </c>
      <c r="J2010" t="n">
        <v>0</v>
      </c>
      <c r="K2010" t="n">
        <v>0</v>
      </c>
      <c r="L2010" t="n">
        <v>0</v>
      </c>
      <c r="M2010" t="n">
        <v>0</v>
      </c>
      <c r="N2010" t="n">
        <v>0</v>
      </c>
      <c r="O2010" t="n">
        <v>0</v>
      </c>
      <c r="P2010" t="n">
        <v>0</v>
      </c>
      <c r="Q2010" t="n">
        <v>0</v>
      </c>
      <c r="R2010" s="2" t="inlineStr"/>
    </row>
    <row r="2011" ht="15" customHeight="1">
      <c r="A2011" t="inlineStr">
        <is>
          <t>A 2529-2022</t>
        </is>
      </c>
      <c r="B2011" s="1" t="n">
        <v>44579</v>
      </c>
      <c r="C2011" s="1" t="n">
        <v>45724</v>
      </c>
      <c r="D2011" t="inlineStr">
        <is>
          <t>VÄSTMANLANDS LÄN</t>
        </is>
      </c>
      <c r="E2011" t="inlineStr">
        <is>
          <t>SALA</t>
        </is>
      </c>
      <c r="G2011" t="n">
        <v>1.7</v>
      </c>
      <c r="H2011" t="n">
        <v>0</v>
      </c>
      <c r="I2011" t="n">
        <v>0</v>
      </c>
      <c r="J2011" t="n">
        <v>0</v>
      </c>
      <c r="K2011" t="n">
        <v>0</v>
      </c>
      <c r="L2011" t="n">
        <v>0</v>
      </c>
      <c r="M2011" t="n">
        <v>0</v>
      </c>
      <c r="N2011" t="n">
        <v>0</v>
      </c>
      <c r="O2011" t="n">
        <v>0</v>
      </c>
      <c r="P2011" t="n">
        <v>0</v>
      </c>
      <c r="Q2011" t="n">
        <v>0</v>
      </c>
      <c r="R2011" s="2" t="inlineStr"/>
    </row>
    <row r="2012" ht="15" customHeight="1">
      <c r="A2012" t="inlineStr">
        <is>
          <t>A 2854-2022</t>
        </is>
      </c>
      <c r="B2012" s="1" t="n">
        <v>44581</v>
      </c>
      <c r="C2012" s="1" t="n">
        <v>45724</v>
      </c>
      <c r="D2012" t="inlineStr">
        <is>
          <t>VÄSTMANLANDS LÄN</t>
        </is>
      </c>
      <c r="E2012" t="inlineStr">
        <is>
          <t>KÖPING</t>
        </is>
      </c>
      <c r="G2012" t="n">
        <v>7.1</v>
      </c>
      <c r="H2012" t="n">
        <v>0</v>
      </c>
      <c r="I2012" t="n">
        <v>0</v>
      </c>
      <c r="J2012" t="n">
        <v>0</v>
      </c>
      <c r="K2012" t="n">
        <v>0</v>
      </c>
      <c r="L2012" t="n">
        <v>0</v>
      </c>
      <c r="M2012" t="n">
        <v>0</v>
      </c>
      <c r="N2012" t="n">
        <v>0</v>
      </c>
      <c r="O2012" t="n">
        <v>0</v>
      </c>
      <c r="P2012" t="n">
        <v>0</v>
      </c>
      <c r="Q2012" t="n">
        <v>0</v>
      </c>
      <c r="R2012" s="2" t="inlineStr"/>
    </row>
    <row r="2013" ht="15" customHeight="1">
      <c r="A2013" t="inlineStr">
        <is>
          <t>A 3050-2022</t>
        </is>
      </c>
      <c r="B2013" s="1" t="n">
        <v>44582</v>
      </c>
      <c r="C2013" s="1" t="n">
        <v>45724</v>
      </c>
      <c r="D2013" t="inlineStr">
        <is>
          <t>VÄSTMANLANDS LÄN</t>
        </is>
      </c>
      <c r="E2013" t="inlineStr">
        <is>
          <t>SALA</t>
        </is>
      </c>
      <c r="G2013" t="n">
        <v>0.5</v>
      </c>
      <c r="H2013" t="n">
        <v>0</v>
      </c>
      <c r="I2013" t="n">
        <v>0</v>
      </c>
      <c r="J2013" t="n">
        <v>0</v>
      </c>
      <c r="K2013" t="n">
        <v>0</v>
      </c>
      <c r="L2013" t="n">
        <v>0</v>
      </c>
      <c r="M2013" t="n">
        <v>0</v>
      </c>
      <c r="N2013" t="n">
        <v>0</v>
      </c>
      <c r="O2013" t="n">
        <v>0</v>
      </c>
      <c r="P2013" t="n">
        <v>0</v>
      </c>
      <c r="Q2013" t="n">
        <v>0</v>
      </c>
      <c r="R2013" s="2" t="inlineStr"/>
    </row>
    <row r="2014" ht="15" customHeight="1">
      <c r="A2014" t="inlineStr">
        <is>
          <t>A 3113-2022</t>
        </is>
      </c>
      <c r="B2014" s="1" t="n">
        <v>44582</v>
      </c>
      <c r="C2014" s="1" t="n">
        <v>45724</v>
      </c>
      <c r="D2014" t="inlineStr">
        <is>
          <t>VÄSTMANLANDS LÄN</t>
        </is>
      </c>
      <c r="E2014" t="inlineStr">
        <is>
          <t>ARBOGA</t>
        </is>
      </c>
      <c r="G2014" t="n">
        <v>2.8</v>
      </c>
      <c r="H2014" t="n">
        <v>0</v>
      </c>
      <c r="I2014" t="n">
        <v>0</v>
      </c>
      <c r="J2014" t="n">
        <v>0</v>
      </c>
      <c r="K2014" t="n">
        <v>0</v>
      </c>
      <c r="L2014" t="n">
        <v>0</v>
      </c>
      <c r="M2014" t="n">
        <v>0</v>
      </c>
      <c r="N2014" t="n">
        <v>0</v>
      </c>
      <c r="O2014" t="n">
        <v>0</v>
      </c>
      <c r="P2014" t="n">
        <v>0</v>
      </c>
      <c r="Q2014" t="n">
        <v>0</v>
      </c>
      <c r="R2014" s="2" t="inlineStr"/>
    </row>
    <row r="2015" ht="15" customHeight="1">
      <c r="A2015" t="inlineStr">
        <is>
          <t>A 3118-2022</t>
        </is>
      </c>
      <c r="B2015" s="1" t="n">
        <v>44582</v>
      </c>
      <c r="C2015" s="1" t="n">
        <v>45724</v>
      </c>
      <c r="D2015" t="inlineStr">
        <is>
          <t>VÄSTMANLANDS LÄN</t>
        </is>
      </c>
      <c r="E2015" t="inlineStr">
        <is>
          <t>VÄSTERÅS</t>
        </is>
      </c>
      <c r="F2015" t="inlineStr">
        <is>
          <t>Övriga Aktiebolag</t>
        </is>
      </c>
      <c r="G2015" t="n">
        <v>0.9</v>
      </c>
      <c r="H2015" t="n">
        <v>0</v>
      </c>
      <c r="I2015" t="n">
        <v>0</v>
      </c>
      <c r="J2015" t="n">
        <v>0</v>
      </c>
      <c r="K2015" t="n">
        <v>0</v>
      </c>
      <c r="L2015" t="n">
        <v>0</v>
      </c>
      <c r="M2015" t="n">
        <v>0</v>
      </c>
      <c r="N2015" t="n">
        <v>0</v>
      </c>
      <c r="O2015" t="n">
        <v>0</v>
      </c>
      <c r="P2015" t="n">
        <v>0</v>
      </c>
      <c r="Q2015" t="n">
        <v>0</v>
      </c>
      <c r="R2015" s="2" t="inlineStr"/>
    </row>
    <row r="2016" ht="15" customHeight="1">
      <c r="A2016" t="inlineStr">
        <is>
          <t>A 3128-2022</t>
        </is>
      </c>
      <c r="B2016" s="1" t="n">
        <v>44582</v>
      </c>
      <c r="C2016" s="1" t="n">
        <v>45724</v>
      </c>
      <c r="D2016" t="inlineStr">
        <is>
          <t>VÄSTMANLANDS LÄN</t>
        </is>
      </c>
      <c r="E2016" t="inlineStr">
        <is>
          <t>ARBOGA</t>
        </is>
      </c>
      <c r="G2016" t="n">
        <v>5.3</v>
      </c>
      <c r="H2016" t="n">
        <v>0</v>
      </c>
      <c r="I2016" t="n">
        <v>0</v>
      </c>
      <c r="J2016" t="n">
        <v>0</v>
      </c>
      <c r="K2016" t="n">
        <v>0</v>
      </c>
      <c r="L2016" t="n">
        <v>0</v>
      </c>
      <c r="M2016" t="n">
        <v>0</v>
      </c>
      <c r="N2016" t="n">
        <v>0</v>
      </c>
      <c r="O2016" t="n">
        <v>0</v>
      </c>
      <c r="P2016" t="n">
        <v>0</v>
      </c>
      <c r="Q2016" t="n">
        <v>0</v>
      </c>
      <c r="R2016" s="2" t="inlineStr"/>
    </row>
    <row r="2017" ht="15" customHeight="1">
      <c r="A2017" t="inlineStr">
        <is>
          <t>A 3155-2022</t>
        </is>
      </c>
      <c r="B2017" s="1" t="n">
        <v>44582</v>
      </c>
      <c r="C2017" s="1" t="n">
        <v>45724</v>
      </c>
      <c r="D2017" t="inlineStr">
        <is>
          <t>VÄSTMANLANDS LÄN</t>
        </is>
      </c>
      <c r="E2017" t="inlineStr">
        <is>
          <t>SURAHAMMAR</t>
        </is>
      </c>
      <c r="G2017" t="n">
        <v>5.5</v>
      </c>
      <c r="H2017" t="n">
        <v>0</v>
      </c>
      <c r="I2017" t="n">
        <v>0</v>
      </c>
      <c r="J2017" t="n">
        <v>0</v>
      </c>
      <c r="K2017" t="n">
        <v>0</v>
      </c>
      <c r="L2017" t="n">
        <v>0</v>
      </c>
      <c r="M2017" t="n">
        <v>0</v>
      </c>
      <c r="N2017" t="n">
        <v>0</v>
      </c>
      <c r="O2017" t="n">
        <v>0</v>
      </c>
      <c r="P2017" t="n">
        <v>0</v>
      </c>
      <c r="Q2017" t="n">
        <v>0</v>
      </c>
      <c r="R2017" s="2" t="inlineStr"/>
    </row>
    <row r="2018" ht="15" customHeight="1">
      <c r="A2018" t="inlineStr">
        <is>
          <t>A 3201-2022</t>
        </is>
      </c>
      <c r="B2018" s="1" t="n">
        <v>44582</v>
      </c>
      <c r="C2018" s="1" t="n">
        <v>45724</v>
      </c>
      <c r="D2018" t="inlineStr">
        <is>
          <t>VÄSTMANLANDS LÄN</t>
        </is>
      </c>
      <c r="E2018" t="inlineStr">
        <is>
          <t>SALA</t>
        </is>
      </c>
      <c r="G2018" t="n">
        <v>0.8</v>
      </c>
      <c r="H2018" t="n">
        <v>0</v>
      </c>
      <c r="I2018" t="n">
        <v>0</v>
      </c>
      <c r="J2018" t="n">
        <v>0</v>
      </c>
      <c r="K2018" t="n">
        <v>0</v>
      </c>
      <c r="L2018" t="n">
        <v>0</v>
      </c>
      <c r="M2018" t="n">
        <v>0</v>
      </c>
      <c r="N2018" t="n">
        <v>0</v>
      </c>
      <c r="O2018" t="n">
        <v>0</v>
      </c>
      <c r="P2018" t="n">
        <v>0</v>
      </c>
      <c r="Q2018" t="n">
        <v>0</v>
      </c>
      <c r="R2018" s="2" t="inlineStr"/>
    </row>
    <row r="2019" ht="15" customHeight="1">
      <c r="A2019" t="inlineStr">
        <is>
          <t>A 3196-2022</t>
        </is>
      </c>
      <c r="B2019" s="1" t="n">
        <v>44582</v>
      </c>
      <c r="C2019" s="1" t="n">
        <v>45724</v>
      </c>
      <c r="D2019" t="inlineStr">
        <is>
          <t>VÄSTMANLANDS LÄN</t>
        </is>
      </c>
      <c r="E2019" t="inlineStr">
        <is>
          <t>KÖPING</t>
        </is>
      </c>
      <c r="G2019" t="n">
        <v>3.7</v>
      </c>
      <c r="H2019" t="n">
        <v>0</v>
      </c>
      <c r="I2019" t="n">
        <v>0</v>
      </c>
      <c r="J2019" t="n">
        <v>0</v>
      </c>
      <c r="K2019" t="n">
        <v>0</v>
      </c>
      <c r="L2019" t="n">
        <v>0</v>
      </c>
      <c r="M2019" t="n">
        <v>0</v>
      </c>
      <c r="N2019" t="n">
        <v>0</v>
      </c>
      <c r="O2019" t="n">
        <v>0</v>
      </c>
      <c r="P2019" t="n">
        <v>0</v>
      </c>
      <c r="Q2019" t="n">
        <v>0</v>
      </c>
      <c r="R2019" s="2" t="inlineStr"/>
    </row>
    <row r="2020" ht="15" customHeight="1">
      <c r="A2020" t="inlineStr">
        <is>
          <t>A 3204-2022</t>
        </is>
      </c>
      <c r="B2020" s="1" t="n">
        <v>44582</v>
      </c>
      <c r="C2020" s="1" t="n">
        <v>45724</v>
      </c>
      <c r="D2020" t="inlineStr">
        <is>
          <t>VÄSTMANLANDS LÄN</t>
        </is>
      </c>
      <c r="E2020" t="inlineStr">
        <is>
          <t>SALA</t>
        </is>
      </c>
      <c r="G2020" t="n">
        <v>0.7</v>
      </c>
      <c r="H2020" t="n">
        <v>0</v>
      </c>
      <c r="I2020" t="n">
        <v>0</v>
      </c>
      <c r="J2020" t="n">
        <v>0</v>
      </c>
      <c r="K2020" t="n">
        <v>0</v>
      </c>
      <c r="L2020" t="n">
        <v>0</v>
      </c>
      <c r="M2020" t="n">
        <v>0</v>
      </c>
      <c r="N2020" t="n">
        <v>0</v>
      </c>
      <c r="O2020" t="n">
        <v>0</v>
      </c>
      <c r="P2020" t="n">
        <v>0</v>
      </c>
      <c r="Q2020" t="n">
        <v>0</v>
      </c>
      <c r="R2020" s="2" t="inlineStr"/>
    </row>
    <row r="2021" ht="15" customHeight="1">
      <c r="A2021" t="inlineStr">
        <is>
          <t>A 3595-2022</t>
        </is>
      </c>
      <c r="B2021" s="1" t="n">
        <v>44586</v>
      </c>
      <c r="C2021" s="1" t="n">
        <v>45724</v>
      </c>
      <c r="D2021" t="inlineStr">
        <is>
          <t>VÄSTMANLANDS LÄN</t>
        </is>
      </c>
      <c r="E2021" t="inlineStr">
        <is>
          <t>SURAHAMMAR</t>
        </is>
      </c>
      <c r="F2021" t="inlineStr">
        <is>
          <t>Sveaskog</t>
        </is>
      </c>
      <c r="G2021" t="n">
        <v>0.8</v>
      </c>
      <c r="H2021" t="n">
        <v>0</v>
      </c>
      <c r="I2021" t="n">
        <v>0</v>
      </c>
      <c r="J2021" t="n">
        <v>0</v>
      </c>
      <c r="K2021" t="n">
        <v>0</v>
      </c>
      <c r="L2021" t="n">
        <v>0</v>
      </c>
      <c r="M2021" t="n">
        <v>0</v>
      </c>
      <c r="N2021" t="n">
        <v>0</v>
      </c>
      <c r="O2021" t="n">
        <v>0</v>
      </c>
      <c r="P2021" t="n">
        <v>0</v>
      </c>
      <c r="Q2021" t="n">
        <v>0</v>
      </c>
      <c r="R2021" s="2" t="inlineStr"/>
    </row>
    <row r="2022" ht="15" customHeight="1">
      <c r="A2022" t="inlineStr">
        <is>
          <t>A 3682-2022</t>
        </is>
      </c>
      <c r="B2022" s="1" t="n">
        <v>44586</v>
      </c>
      <c r="C2022" s="1" t="n">
        <v>45724</v>
      </c>
      <c r="D2022" t="inlineStr">
        <is>
          <t>VÄSTMANLANDS LÄN</t>
        </is>
      </c>
      <c r="E2022" t="inlineStr">
        <is>
          <t>FAGERSTA</t>
        </is>
      </c>
      <c r="G2022" t="n">
        <v>1.1</v>
      </c>
      <c r="H2022" t="n">
        <v>0</v>
      </c>
      <c r="I2022" t="n">
        <v>0</v>
      </c>
      <c r="J2022" t="n">
        <v>0</v>
      </c>
      <c r="K2022" t="n">
        <v>0</v>
      </c>
      <c r="L2022" t="n">
        <v>0</v>
      </c>
      <c r="M2022" t="n">
        <v>0</v>
      </c>
      <c r="N2022" t="n">
        <v>0</v>
      </c>
      <c r="O2022" t="n">
        <v>0</v>
      </c>
      <c r="P2022" t="n">
        <v>0</v>
      </c>
      <c r="Q2022" t="n">
        <v>0</v>
      </c>
      <c r="R2022" s="2" t="inlineStr"/>
    </row>
    <row r="2023" ht="15" customHeight="1">
      <c r="A2023" t="inlineStr">
        <is>
          <t>A 3647-2022</t>
        </is>
      </c>
      <c r="B2023" s="1" t="n">
        <v>44586</v>
      </c>
      <c r="C2023" s="1" t="n">
        <v>45724</v>
      </c>
      <c r="D2023" t="inlineStr">
        <is>
          <t>VÄSTMANLANDS LÄN</t>
        </is>
      </c>
      <c r="E2023" t="inlineStr">
        <is>
          <t>SALA</t>
        </is>
      </c>
      <c r="G2023" t="n">
        <v>1</v>
      </c>
      <c r="H2023" t="n">
        <v>0</v>
      </c>
      <c r="I2023" t="n">
        <v>0</v>
      </c>
      <c r="J2023" t="n">
        <v>0</v>
      </c>
      <c r="K2023" t="n">
        <v>0</v>
      </c>
      <c r="L2023" t="n">
        <v>0</v>
      </c>
      <c r="M2023" t="n">
        <v>0</v>
      </c>
      <c r="N2023" t="n">
        <v>0</v>
      </c>
      <c r="O2023" t="n">
        <v>0</v>
      </c>
      <c r="P2023" t="n">
        <v>0</v>
      </c>
      <c r="Q2023" t="n">
        <v>0</v>
      </c>
      <c r="R2023" s="2" t="inlineStr"/>
    </row>
    <row r="2024" ht="15" customHeight="1">
      <c r="A2024" t="inlineStr">
        <is>
          <t>A 3818-2022</t>
        </is>
      </c>
      <c r="B2024" s="1" t="n">
        <v>44587</v>
      </c>
      <c r="C2024" s="1" t="n">
        <v>45724</v>
      </c>
      <c r="D2024" t="inlineStr">
        <is>
          <t>VÄSTMANLANDS LÄN</t>
        </is>
      </c>
      <c r="E2024" t="inlineStr">
        <is>
          <t>SURAHAMMAR</t>
        </is>
      </c>
      <c r="G2024" t="n">
        <v>2.6</v>
      </c>
      <c r="H2024" t="n">
        <v>0</v>
      </c>
      <c r="I2024" t="n">
        <v>0</v>
      </c>
      <c r="J2024" t="n">
        <v>0</v>
      </c>
      <c r="K2024" t="n">
        <v>0</v>
      </c>
      <c r="L2024" t="n">
        <v>0</v>
      </c>
      <c r="M2024" t="n">
        <v>0</v>
      </c>
      <c r="N2024" t="n">
        <v>0</v>
      </c>
      <c r="O2024" t="n">
        <v>0</v>
      </c>
      <c r="P2024" t="n">
        <v>0</v>
      </c>
      <c r="Q2024" t="n">
        <v>0</v>
      </c>
      <c r="R2024" s="2" t="inlineStr"/>
    </row>
    <row r="2025" ht="15" customHeight="1">
      <c r="A2025" t="inlineStr">
        <is>
          <t>A 3888-2022</t>
        </is>
      </c>
      <c r="B2025" s="1" t="n">
        <v>44587</v>
      </c>
      <c r="C2025" s="1" t="n">
        <v>45724</v>
      </c>
      <c r="D2025" t="inlineStr">
        <is>
          <t>VÄSTMANLANDS LÄN</t>
        </is>
      </c>
      <c r="E2025" t="inlineStr">
        <is>
          <t>SALA</t>
        </is>
      </c>
      <c r="G2025" t="n">
        <v>2</v>
      </c>
      <c r="H2025" t="n">
        <v>0</v>
      </c>
      <c r="I2025" t="n">
        <v>0</v>
      </c>
      <c r="J2025" t="n">
        <v>0</v>
      </c>
      <c r="K2025" t="n">
        <v>0</v>
      </c>
      <c r="L2025" t="n">
        <v>0</v>
      </c>
      <c r="M2025" t="n">
        <v>0</v>
      </c>
      <c r="N2025" t="n">
        <v>0</v>
      </c>
      <c r="O2025" t="n">
        <v>0</v>
      </c>
      <c r="P2025" t="n">
        <v>0</v>
      </c>
      <c r="Q2025" t="n">
        <v>0</v>
      </c>
      <c r="R2025" s="2" t="inlineStr"/>
    </row>
    <row r="2026" ht="15" customHeight="1">
      <c r="A2026" t="inlineStr">
        <is>
          <t>A 3920-2022</t>
        </is>
      </c>
      <c r="B2026" s="1" t="n">
        <v>44587</v>
      </c>
      <c r="C2026" s="1" t="n">
        <v>45724</v>
      </c>
      <c r="D2026" t="inlineStr">
        <is>
          <t>VÄSTMANLANDS LÄN</t>
        </is>
      </c>
      <c r="E2026" t="inlineStr">
        <is>
          <t>SALA</t>
        </is>
      </c>
      <c r="G2026" t="n">
        <v>1.8</v>
      </c>
      <c r="H2026" t="n">
        <v>0</v>
      </c>
      <c r="I2026" t="n">
        <v>0</v>
      </c>
      <c r="J2026" t="n">
        <v>0</v>
      </c>
      <c r="K2026" t="n">
        <v>0</v>
      </c>
      <c r="L2026" t="n">
        <v>0</v>
      </c>
      <c r="M2026" t="n">
        <v>0</v>
      </c>
      <c r="N2026" t="n">
        <v>0</v>
      </c>
      <c r="O2026" t="n">
        <v>0</v>
      </c>
      <c r="P2026" t="n">
        <v>0</v>
      </c>
      <c r="Q2026" t="n">
        <v>0</v>
      </c>
      <c r="R2026" s="2" t="inlineStr"/>
    </row>
    <row r="2027" ht="15" customHeight="1">
      <c r="A2027" t="inlineStr">
        <is>
          <t>A 4043-2022</t>
        </is>
      </c>
      <c r="B2027" s="1" t="n">
        <v>44588</v>
      </c>
      <c r="C2027" s="1" t="n">
        <v>45724</v>
      </c>
      <c r="D2027" t="inlineStr">
        <is>
          <t>VÄSTMANLANDS LÄN</t>
        </is>
      </c>
      <c r="E2027" t="inlineStr">
        <is>
          <t>SKINNSKATTEBERG</t>
        </is>
      </c>
      <c r="F2027" t="inlineStr">
        <is>
          <t>Kyrkan</t>
        </is>
      </c>
      <c r="G2027" t="n">
        <v>6.3</v>
      </c>
      <c r="H2027" t="n">
        <v>0</v>
      </c>
      <c r="I2027" t="n">
        <v>0</v>
      </c>
      <c r="J2027" t="n">
        <v>0</v>
      </c>
      <c r="K2027" t="n">
        <v>0</v>
      </c>
      <c r="L2027" t="n">
        <v>0</v>
      </c>
      <c r="M2027" t="n">
        <v>0</v>
      </c>
      <c r="N2027" t="n">
        <v>0</v>
      </c>
      <c r="O2027" t="n">
        <v>0</v>
      </c>
      <c r="P2027" t="n">
        <v>0</v>
      </c>
      <c r="Q2027" t="n">
        <v>0</v>
      </c>
      <c r="R2027" s="2" t="inlineStr"/>
    </row>
    <row r="2028" ht="15" customHeight="1">
      <c r="A2028" t="inlineStr">
        <is>
          <t>A 4237-2022</t>
        </is>
      </c>
      <c r="B2028" s="1" t="n">
        <v>44588</v>
      </c>
      <c r="C2028" s="1" t="n">
        <v>45724</v>
      </c>
      <c r="D2028" t="inlineStr">
        <is>
          <t>VÄSTMANLANDS LÄN</t>
        </is>
      </c>
      <c r="E2028" t="inlineStr">
        <is>
          <t>SALA</t>
        </is>
      </c>
      <c r="G2028" t="n">
        <v>1.2</v>
      </c>
      <c r="H2028" t="n">
        <v>0</v>
      </c>
      <c r="I2028" t="n">
        <v>0</v>
      </c>
      <c r="J2028" t="n">
        <v>0</v>
      </c>
      <c r="K2028" t="n">
        <v>0</v>
      </c>
      <c r="L2028" t="n">
        <v>0</v>
      </c>
      <c r="M2028" t="n">
        <v>0</v>
      </c>
      <c r="N2028" t="n">
        <v>0</v>
      </c>
      <c r="O2028" t="n">
        <v>0</v>
      </c>
      <c r="P2028" t="n">
        <v>0</v>
      </c>
      <c r="Q2028" t="n">
        <v>0</v>
      </c>
      <c r="R2028" s="2" t="inlineStr"/>
    </row>
    <row r="2029" ht="15" customHeight="1">
      <c r="A2029" t="inlineStr">
        <is>
          <t>A 4205-2022</t>
        </is>
      </c>
      <c r="B2029" s="1" t="n">
        <v>44588</v>
      </c>
      <c r="C2029" s="1" t="n">
        <v>45724</v>
      </c>
      <c r="D2029" t="inlineStr">
        <is>
          <t>VÄSTMANLANDS LÄN</t>
        </is>
      </c>
      <c r="E2029" t="inlineStr">
        <is>
          <t>FAGERSTA</t>
        </is>
      </c>
      <c r="F2029" t="inlineStr">
        <is>
          <t>Kommuner</t>
        </is>
      </c>
      <c r="G2029" t="n">
        <v>4.6</v>
      </c>
      <c r="H2029" t="n">
        <v>0</v>
      </c>
      <c r="I2029" t="n">
        <v>0</v>
      </c>
      <c r="J2029" t="n">
        <v>0</v>
      </c>
      <c r="K2029" t="n">
        <v>0</v>
      </c>
      <c r="L2029" t="n">
        <v>0</v>
      </c>
      <c r="M2029" t="n">
        <v>0</v>
      </c>
      <c r="N2029" t="n">
        <v>0</v>
      </c>
      <c r="O2029" t="n">
        <v>0</v>
      </c>
      <c r="P2029" t="n">
        <v>0</v>
      </c>
      <c r="Q2029" t="n">
        <v>0</v>
      </c>
      <c r="R2029" s="2" t="inlineStr"/>
    </row>
    <row r="2030" ht="15" customHeight="1">
      <c r="A2030" t="inlineStr">
        <is>
          <t>A 4281-2022</t>
        </is>
      </c>
      <c r="B2030" s="1" t="n">
        <v>44588</v>
      </c>
      <c r="C2030" s="1" t="n">
        <v>45724</v>
      </c>
      <c r="D2030" t="inlineStr">
        <is>
          <t>VÄSTMANLANDS LÄN</t>
        </is>
      </c>
      <c r="E2030" t="inlineStr">
        <is>
          <t>SALA</t>
        </is>
      </c>
      <c r="G2030" t="n">
        <v>1</v>
      </c>
      <c r="H2030" t="n">
        <v>0</v>
      </c>
      <c r="I2030" t="n">
        <v>0</v>
      </c>
      <c r="J2030" t="n">
        <v>0</v>
      </c>
      <c r="K2030" t="n">
        <v>0</v>
      </c>
      <c r="L2030" t="n">
        <v>0</v>
      </c>
      <c r="M2030" t="n">
        <v>0</v>
      </c>
      <c r="N2030" t="n">
        <v>0</v>
      </c>
      <c r="O2030" t="n">
        <v>0</v>
      </c>
      <c r="P2030" t="n">
        <v>0</v>
      </c>
      <c r="Q2030" t="n">
        <v>0</v>
      </c>
      <c r="R2030" s="2" t="inlineStr"/>
    </row>
    <row r="2031" ht="15" customHeight="1">
      <c r="A2031" t="inlineStr">
        <is>
          <t>A 4663-2022</t>
        </is>
      </c>
      <c r="B2031" s="1" t="n">
        <v>44592</v>
      </c>
      <c r="C2031" s="1" t="n">
        <v>45724</v>
      </c>
      <c r="D2031" t="inlineStr">
        <is>
          <t>VÄSTMANLANDS LÄN</t>
        </is>
      </c>
      <c r="E2031" t="inlineStr">
        <is>
          <t>SALA</t>
        </is>
      </c>
      <c r="G2031" t="n">
        <v>2.5</v>
      </c>
      <c r="H2031" t="n">
        <v>0</v>
      </c>
      <c r="I2031" t="n">
        <v>0</v>
      </c>
      <c r="J2031" t="n">
        <v>0</v>
      </c>
      <c r="K2031" t="n">
        <v>0</v>
      </c>
      <c r="L2031" t="n">
        <v>0</v>
      </c>
      <c r="M2031" t="n">
        <v>0</v>
      </c>
      <c r="N2031" t="n">
        <v>0</v>
      </c>
      <c r="O2031" t="n">
        <v>0</v>
      </c>
      <c r="P2031" t="n">
        <v>0</v>
      </c>
      <c r="Q2031" t="n">
        <v>0</v>
      </c>
      <c r="R2031" s="2" t="inlineStr"/>
    </row>
    <row r="2032" ht="15" customHeight="1">
      <c r="A2032" t="inlineStr">
        <is>
          <t>A 4779-2022</t>
        </is>
      </c>
      <c r="B2032" s="1" t="n">
        <v>44592</v>
      </c>
      <c r="C2032" s="1" t="n">
        <v>45724</v>
      </c>
      <c r="D2032" t="inlineStr">
        <is>
          <t>VÄSTMANLANDS LÄN</t>
        </is>
      </c>
      <c r="E2032" t="inlineStr">
        <is>
          <t>SALA</t>
        </is>
      </c>
      <c r="G2032" t="n">
        <v>4.3</v>
      </c>
      <c r="H2032" t="n">
        <v>0</v>
      </c>
      <c r="I2032" t="n">
        <v>0</v>
      </c>
      <c r="J2032" t="n">
        <v>0</v>
      </c>
      <c r="K2032" t="n">
        <v>0</v>
      </c>
      <c r="L2032" t="n">
        <v>0</v>
      </c>
      <c r="M2032" t="n">
        <v>0</v>
      </c>
      <c r="N2032" t="n">
        <v>0</v>
      </c>
      <c r="O2032" t="n">
        <v>0</v>
      </c>
      <c r="P2032" t="n">
        <v>0</v>
      </c>
      <c r="Q2032" t="n">
        <v>0</v>
      </c>
      <c r="R2032" s="2" t="inlineStr"/>
    </row>
    <row r="2033" ht="15" customHeight="1">
      <c r="A2033" t="inlineStr">
        <is>
          <t>A 5208-2022</t>
        </is>
      </c>
      <c r="B2033" s="1" t="n">
        <v>44594</v>
      </c>
      <c r="C2033" s="1" t="n">
        <v>45724</v>
      </c>
      <c r="D2033" t="inlineStr">
        <is>
          <t>VÄSTMANLANDS LÄN</t>
        </is>
      </c>
      <c r="E2033" t="inlineStr">
        <is>
          <t>VÄSTERÅS</t>
        </is>
      </c>
      <c r="G2033" t="n">
        <v>20.3</v>
      </c>
      <c r="H2033" t="n">
        <v>0</v>
      </c>
      <c r="I2033" t="n">
        <v>0</v>
      </c>
      <c r="J2033" t="n">
        <v>0</v>
      </c>
      <c r="K2033" t="n">
        <v>0</v>
      </c>
      <c r="L2033" t="n">
        <v>0</v>
      </c>
      <c r="M2033" t="n">
        <v>0</v>
      </c>
      <c r="N2033" t="n">
        <v>0</v>
      </c>
      <c r="O2033" t="n">
        <v>0</v>
      </c>
      <c r="P2033" t="n">
        <v>0</v>
      </c>
      <c r="Q2033" t="n">
        <v>0</v>
      </c>
      <c r="R2033" s="2" t="inlineStr"/>
    </row>
    <row r="2034" ht="15" customHeight="1">
      <c r="A2034" t="inlineStr">
        <is>
          <t>A 5335-2022</t>
        </is>
      </c>
      <c r="B2034" s="1" t="n">
        <v>44594</v>
      </c>
      <c r="C2034" s="1" t="n">
        <v>45724</v>
      </c>
      <c r="D2034" t="inlineStr">
        <is>
          <t>VÄSTMANLANDS LÄN</t>
        </is>
      </c>
      <c r="E2034" t="inlineStr">
        <is>
          <t>SALA</t>
        </is>
      </c>
      <c r="G2034" t="n">
        <v>0.6</v>
      </c>
      <c r="H2034" t="n">
        <v>0</v>
      </c>
      <c r="I2034" t="n">
        <v>0</v>
      </c>
      <c r="J2034" t="n">
        <v>0</v>
      </c>
      <c r="K2034" t="n">
        <v>0</v>
      </c>
      <c r="L2034" t="n">
        <v>0</v>
      </c>
      <c r="M2034" t="n">
        <v>0</v>
      </c>
      <c r="N2034" t="n">
        <v>0</v>
      </c>
      <c r="O2034" t="n">
        <v>0</v>
      </c>
      <c r="P2034" t="n">
        <v>0</v>
      </c>
      <c r="Q2034" t="n">
        <v>0</v>
      </c>
      <c r="R2034" s="2" t="inlineStr"/>
    </row>
    <row r="2035" ht="15" customHeight="1">
      <c r="A2035" t="inlineStr">
        <is>
          <t>A 7738-2022</t>
        </is>
      </c>
      <c r="B2035" s="1" t="n">
        <v>44594</v>
      </c>
      <c r="C2035" s="1" t="n">
        <v>45724</v>
      </c>
      <c r="D2035" t="inlineStr">
        <is>
          <t>VÄSTMANLANDS LÄN</t>
        </is>
      </c>
      <c r="E2035" t="inlineStr">
        <is>
          <t>VÄSTERÅS</t>
        </is>
      </c>
      <c r="G2035" t="n">
        <v>2.3</v>
      </c>
      <c r="H2035" t="n">
        <v>0</v>
      </c>
      <c r="I2035" t="n">
        <v>0</v>
      </c>
      <c r="J2035" t="n">
        <v>0</v>
      </c>
      <c r="K2035" t="n">
        <v>0</v>
      </c>
      <c r="L2035" t="n">
        <v>0</v>
      </c>
      <c r="M2035" t="n">
        <v>0</v>
      </c>
      <c r="N2035" t="n">
        <v>0</v>
      </c>
      <c r="O2035" t="n">
        <v>0</v>
      </c>
      <c r="P2035" t="n">
        <v>0</v>
      </c>
      <c r="Q2035" t="n">
        <v>0</v>
      </c>
      <c r="R2035" s="2" t="inlineStr"/>
    </row>
    <row r="2036" ht="15" customHeight="1">
      <c r="A2036" t="inlineStr">
        <is>
          <t>A 5604-2022</t>
        </is>
      </c>
      <c r="B2036" s="1" t="n">
        <v>44595</v>
      </c>
      <c r="C2036" s="1" t="n">
        <v>45724</v>
      </c>
      <c r="D2036" t="inlineStr">
        <is>
          <t>VÄSTMANLANDS LÄN</t>
        </is>
      </c>
      <c r="E2036" t="inlineStr">
        <is>
          <t>VÄSTERÅS</t>
        </is>
      </c>
      <c r="G2036" t="n">
        <v>1.6</v>
      </c>
      <c r="H2036" t="n">
        <v>0</v>
      </c>
      <c r="I2036" t="n">
        <v>0</v>
      </c>
      <c r="J2036" t="n">
        <v>0</v>
      </c>
      <c r="K2036" t="n">
        <v>0</v>
      </c>
      <c r="L2036" t="n">
        <v>0</v>
      </c>
      <c r="M2036" t="n">
        <v>0</v>
      </c>
      <c r="N2036" t="n">
        <v>0</v>
      </c>
      <c r="O2036" t="n">
        <v>0</v>
      </c>
      <c r="P2036" t="n">
        <v>0</v>
      </c>
      <c r="Q2036" t="n">
        <v>0</v>
      </c>
      <c r="R2036" s="2" t="inlineStr"/>
    </row>
    <row r="2037" ht="15" customHeight="1">
      <c r="A2037" t="inlineStr">
        <is>
          <t>A 5567-2022</t>
        </is>
      </c>
      <c r="B2037" s="1" t="n">
        <v>44595</v>
      </c>
      <c r="C2037" s="1" t="n">
        <v>45724</v>
      </c>
      <c r="D2037" t="inlineStr">
        <is>
          <t>VÄSTMANLANDS LÄN</t>
        </is>
      </c>
      <c r="E2037" t="inlineStr">
        <is>
          <t>SURAHAMMAR</t>
        </is>
      </c>
      <c r="G2037" t="n">
        <v>1.3</v>
      </c>
      <c r="H2037" t="n">
        <v>0</v>
      </c>
      <c r="I2037" t="n">
        <v>0</v>
      </c>
      <c r="J2037" t="n">
        <v>0</v>
      </c>
      <c r="K2037" t="n">
        <v>0</v>
      </c>
      <c r="L2037" t="n">
        <v>0</v>
      </c>
      <c r="M2037" t="n">
        <v>0</v>
      </c>
      <c r="N2037" t="n">
        <v>0</v>
      </c>
      <c r="O2037" t="n">
        <v>0</v>
      </c>
      <c r="P2037" t="n">
        <v>0</v>
      </c>
      <c r="Q2037" t="n">
        <v>0</v>
      </c>
      <c r="R2037" s="2" t="inlineStr"/>
    </row>
    <row r="2038" ht="15" customHeight="1">
      <c r="A2038" t="inlineStr">
        <is>
          <t>A 5603-2022</t>
        </is>
      </c>
      <c r="B2038" s="1" t="n">
        <v>44595</v>
      </c>
      <c r="C2038" s="1" t="n">
        <v>45724</v>
      </c>
      <c r="D2038" t="inlineStr">
        <is>
          <t>VÄSTMANLANDS LÄN</t>
        </is>
      </c>
      <c r="E2038" t="inlineStr">
        <is>
          <t>VÄSTERÅS</t>
        </is>
      </c>
      <c r="G2038" t="n">
        <v>1.9</v>
      </c>
      <c r="H2038" t="n">
        <v>0</v>
      </c>
      <c r="I2038" t="n">
        <v>0</v>
      </c>
      <c r="J2038" t="n">
        <v>0</v>
      </c>
      <c r="K2038" t="n">
        <v>0</v>
      </c>
      <c r="L2038" t="n">
        <v>0</v>
      </c>
      <c r="M2038" t="n">
        <v>0</v>
      </c>
      <c r="N2038" t="n">
        <v>0</v>
      </c>
      <c r="O2038" t="n">
        <v>0</v>
      </c>
      <c r="P2038" t="n">
        <v>0</v>
      </c>
      <c r="Q2038" t="n">
        <v>0</v>
      </c>
      <c r="R2038" s="2" t="inlineStr"/>
    </row>
    <row r="2039" ht="15" customHeight="1">
      <c r="A2039" t="inlineStr">
        <is>
          <t>A 5737-2022</t>
        </is>
      </c>
      <c r="B2039" s="1" t="n">
        <v>44596</v>
      </c>
      <c r="C2039" s="1" t="n">
        <v>45724</v>
      </c>
      <c r="D2039" t="inlineStr">
        <is>
          <t>VÄSTMANLANDS LÄN</t>
        </is>
      </c>
      <c r="E2039" t="inlineStr">
        <is>
          <t>SALA</t>
        </is>
      </c>
      <c r="G2039" t="n">
        <v>2</v>
      </c>
      <c r="H2039" t="n">
        <v>0</v>
      </c>
      <c r="I2039" t="n">
        <v>0</v>
      </c>
      <c r="J2039" t="n">
        <v>0</v>
      </c>
      <c r="K2039" t="n">
        <v>0</v>
      </c>
      <c r="L2039" t="n">
        <v>0</v>
      </c>
      <c r="M2039" t="n">
        <v>0</v>
      </c>
      <c r="N2039" t="n">
        <v>0</v>
      </c>
      <c r="O2039" t="n">
        <v>0</v>
      </c>
      <c r="P2039" t="n">
        <v>0</v>
      </c>
      <c r="Q2039" t="n">
        <v>0</v>
      </c>
      <c r="R2039" s="2" t="inlineStr"/>
    </row>
    <row r="2040" ht="15" customHeight="1">
      <c r="A2040" t="inlineStr">
        <is>
          <t>A 5728-2022</t>
        </is>
      </c>
      <c r="B2040" s="1" t="n">
        <v>44596</v>
      </c>
      <c r="C2040" s="1" t="n">
        <v>45724</v>
      </c>
      <c r="D2040" t="inlineStr">
        <is>
          <t>VÄSTMANLANDS LÄN</t>
        </is>
      </c>
      <c r="E2040" t="inlineStr">
        <is>
          <t>SALA</t>
        </is>
      </c>
      <c r="G2040" t="n">
        <v>1.7</v>
      </c>
      <c r="H2040" t="n">
        <v>0</v>
      </c>
      <c r="I2040" t="n">
        <v>0</v>
      </c>
      <c r="J2040" t="n">
        <v>0</v>
      </c>
      <c r="K2040" t="n">
        <v>0</v>
      </c>
      <c r="L2040" t="n">
        <v>0</v>
      </c>
      <c r="M2040" t="n">
        <v>0</v>
      </c>
      <c r="N2040" t="n">
        <v>0</v>
      </c>
      <c r="O2040" t="n">
        <v>0</v>
      </c>
      <c r="P2040" t="n">
        <v>0</v>
      </c>
      <c r="Q2040" t="n">
        <v>0</v>
      </c>
      <c r="R2040" s="2" t="inlineStr"/>
    </row>
    <row r="2041" ht="15" customHeight="1">
      <c r="A2041" t="inlineStr">
        <is>
          <t>A 6097-2022</t>
        </is>
      </c>
      <c r="B2041" s="1" t="n">
        <v>44599</v>
      </c>
      <c r="C2041" s="1" t="n">
        <v>45724</v>
      </c>
      <c r="D2041" t="inlineStr">
        <is>
          <t>VÄSTMANLANDS LÄN</t>
        </is>
      </c>
      <c r="E2041" t="inlineStr">
        <is>
          <t>SALA</t>
        </is>
      </c>
      <c r="G2041" t="n">
        <v>0.6</v>
      </c>
      <c r="H2041" t="n">
        <v>0</v>
      </c>
      <c r="I2041" t="n">
        <v>0</v>
      </c>
      <c r="J2041" t="n">
        <v>0</v>
      </c>
      <c r="K2041" t="n">
        <v>0</v>
      </c>
      <c r="L2041" t="n">
        <v>0</v>
      </c>
      <c r="M2041" t="n">
        <v>0</v>
      </c>
      <c r="N2041" t="n">
        <v>0</v>
      </c>
      <c r="O2041" t="n">
        <v>0</v>
      </c>
      <c r="P2041" t="n">
        <v>0</v>
      </c>
      <c r="Q2041" t="n">
        <v>0</v>
      </c>
      <c r="R2041" s="2" t="inlineStr"/>
    </row>
    <row r="2042" ht="15" customHeight="1">
      <c r="A2042" t="inlineStr">
        <is>
          <t>A 6277-2022</t>
        </is>
      </c>
      <c r="B2042" s="1" t="n">
        <v>44600</v>
      </c>
      <c r="C2042" s="1" t="n">
        <v>45724</v>
      </c>
      <c r="D2042" t="inlineStr">
        <is>
          <t>VÄSTMANLANDS LÄN</t>
        </is>
      </c>
      <c r="E2042" t="inlineStr">
        <is>
          <t>VÄSTERÅS</t>
        </is>
      </c>
      <c r="G2042" t="n">
        <v>2.8</v>
      </c>
      <c r="H2042" t="n">
        <v>0</v>
      </c>
      <c r="I2042" t="n">
        <v>0</v>
      </c>
      <c r="J2042" t="n">
        <v>0</v>
      </c>
      <c r="K2042" t="n">
        <v>0</v>
      </c>
      <c r="L2042" t="n">
        <v>0</v>
      </c>
      <c r="M2042" t="n">
        <v>0</v>
      </c>
      <c r="N2042" t="n">
        <v>0</v>
      </c>
      <c r="O2042" t="n">
        <v>0</v>
      </c>
      <c r="P2042" t="n">
        <v>0</v>
      </c>
      <c r="Q2042" t="n">
        <v>0</v>
      </c>
      <c r="R2042" s="2" t="inlineStr"/>
    </row>
    <row r="2043" ht="15" customHeight="1">
      <c r="A2043" t="inlineStr">
        <is>
          <t>A 6319-2022</t>
        </is>
      </c>
      <c r="B2043" s="1" t="n">
        <v>44600</v>
      </c>
      <c r="C2043" s="1" t="n">
        <v>45724</v>
      </c>
      <c r="D2043" t="inlineStr">
        <is>
          <t>VÄSTMANLANDS LÄN</t>
        </is>
      </c>
      <c r="E2043" t="inlineStr">
        <is>
          <t>KUNGSÖR</t>
        </is>
      </c>
      <c r="G2043" t="n">
        <v>4.8</v>
      </c>
      <c r="H2043" t="n">
        <v>0</v>
      </c>
      <c r="I2043" t="n">
        <v>0</v>
      </c>
      <c r="J2043" t="n">
        <v>0</v>
      </c>
      <c r="K2043" t="n">
        <v>0</v>
      </c>
      <c r="L2043" t="n">
        <v>0</v>
      </c>
      <c r="M2043" t="n">
        <v>0</v>
      </c>
      <c r="N2043" t="n">
        <v>0</v>
      </c>
      <c r="O2043" t="n">
        <v>0</v>
      </c>
      <c r="P2043" t="n">
        <v>0</v>
      </c>
      <c r="Q2043" t="n">
        <v>0</v>
      </c>
      <c r="R2043" s="2" t="inlineStr"/>
    </row>
    <row r="2044" ht="15" customHeight="1">
      <c r="A2044" t="inlineStr">
        <is>
          <t>A 6353-2022</t>
        </is>
      </c>
      <c r="B2044" s="1" t="n">
        <v>44600</v>
      </c>
      <c r="C2044" s="1" t="n">
        <v>45724</v>
      </c>
      <c r="D2044" t="inlineStr">
        <is>
          <t>VÄSTMANLANDS LÄN</t>
        </is>
      </c>
      <c r="E2044" t="inlineStr">
        <is>
          <t>NORBERG</t>
        </is>
      </c>
      <c r="G2044" t="n">
        <v>1.1</v>
      </c>
      <c r="H2044" t="n">
        <v>0</v>
      </c>
      <c r="I2044" t="n">
        <v>0</v>
      </c>
      <c r="J2044" t="n">
        <v>0</v>
      </c>
      <c r="K2044" t="n">
        <v>0</v>
      </c>
      <c r="L2044" t="n">
        <v>0</v>
      </c>
      <c r="M2044" t="n">
        <v>0</v>
      </c>
      <c r="N2044" t="n">
        <v>0</v>
      </c>
      <c r="O2044" t="n">
        <v>0</v>
      </c>
      <c r="P2044" t="n">
        <v>0</v>
      </c>
      <c r="Q2044" t="n">
        <v>0</v>
      </c>
      <c r="R2044" s="2" t="inlineStr"/>
    </row>
    <row r="2045" ht="15" customHeight="1">
      <c r="A2045" t="inlineStr">
        <is>
          <t>A 6420-2022</t>
        </is>
      </c>
      <c r="B2045" s="1" t="n">
        <v>44600</v>
      </c>
      <c r="C2045" s="1" t="n">
        <v>45724</v>
      </c>
      <c r="D2045" t="inlineStr">
        <is>
          <t>VÄSTMANLANDS LÄN</t>
        </is>
      </c>
      <c r="E2045" t="inlineStr">
        <is>
          <t>VÄSTERÅS</t>
        </is>
      </c>
      <c r="G2045" t="n">
        <v>1.1</v>
      </c>
      <c r="H2045" t="n">
        <v>0</v>
      </c>
      <c r="I2045" t="n">
        <v>0</v>
      </c>
      <c r="J2045" t="n">
        <v>0</v>
      </c>
      <c r="K2045" t="n">
        <v>0</v>
      </c>
      <c r="L2045" t="n">
        <v>0</v>
      </c>
      <c r="M2045" t="n">
        <v>0</v>
      </c>
      <c r="N2045" t="n">
        <v>0</v>
      </c>
      <c r="O2045" t="n">
        <v>0</v>
      </c>
      <c r="P2045" t="n">
        <v>0</v>
      </c>
      <c r="Q2045" t="n">
        <v>0</v>
      </c>
      <c r="R2045" s="2" t="inlineStr"/>
    </row>
    <row r="2046" ht="15" customHeight="1">
      <c r="A2046" t="inlineStr">
        <is>
          <t>A 6585-2022</t>
        </is>
      </c>
      <c r="B2046" s="1" t="n">
        <v>44601</v>
      </c>
      <c r="C2046" s="1" t="n">
        <v>45724</v>
      </c>
      <c r="D2046" t="inlineStr">
        <is>
          <t>VÄSTMANLANDS LÄN</t>
        </is>
      </c>
      <c r="E2046" t="inlineStr">
        <is>
          <t>VÄSTERÅS</t>
        </is>
      </c>
      <c r="G2046" t="n">
        <v>6.6</v>
      </c>
      <c r="H2046" t="n">
        <v>0</v>
      </c>
      <c r="I2046" t="n">
        <v>0</v>
      </c>
      <c r="J2046" t="n">
        <v>0</v>
      </c>
      <c r="K2046" t="n">
        <v>0</v>
      </c>
      <c r="L2046" t="n">
        <v>0</v>
      </c>
      <c r="M2046" t="n">
        <v>0</v>
      </c>
      <c r="N2046" t="n">
        <v>0</v>
      </c>
      <c r="O2046" t="n">
        <v>0</v>
      </c>
      <c r="P2046" t="n">
        <v>0</v>
      </c>
      <c r="Q2046" t="n">
        <v>0</v>
      </c>
      <c r="R2046" s="2" t="inlineStr"/>
    </row>
    <row r="2047" ht="15" customHeight="1">
      <c r="A2047" t="inlineStr">
        <is>
          <t>A 6589-2022</t>
        </is>
      </c>
      <c r="B2047" s="1" t="n">
        <v>44601</v>
      </c>
      <c r="C2047" s="1" t="n">
        <v>45724</v>
      </c>
      <c r="D2047" t="inlineStr">
        <is>
          <t>VÄSTMANLANDS LÄN</t>
        </is>
      </c>
      <c r="E2047" t="inlineStr">
        <is>
          <t>VÄSTERÅS</t>
        </is>
      </c>
      <c r="G2047" t="n">
        <v>2.7</v>
      </c>
      <c r="H2047" t="n">
        <v>0</v>
      </c>
      <c r="I2047" t="n">
        <v>0</v>
      </c>
      <c r="J2047" t="n">
        <v>0</v>
      </c>
      <c r="K2047" t="n">
        <v>0</v>
      </c>
      <c r="L2047" t="n">
        <v>0</v>
      </c>
      <c r="M2047" t="n">
        <v>0</v>
      </c>
      <c r="N2047" t="n">
        <v>0</v>
      </c>
      <c r="O2047" t="n">
        <v>0</v>
      </c>
      <c r="P2047" t="n">
        <v>0</v>
      </c>
      <c r="Q2047" t="n">
        <v>0</v>
      </c>
      <c r="R2047" s="2" t="inlineStr"/>
    </row>
    <row r="2048" ht="15" customHeight="1">
      <c r="A2048" t="inlineStr">
        <is>
          <t>A 6603-2022</t>
        </is>
      </c>
      <c r="B2048" s="1" t="n">
        <v>44601</v>
      </c>
      <c r="C2048" s="1" t="n">
        <v>45724</v>
      </c>
      <c r="D2048" t="inlineStr">
        <is>
          <t>VÄSTMANLANDS LÄN</t>
        </is>
      </c>
      <c r="E2048" t="inlineStr">
        <is>
          <t>VÄSTERÅS</t>
        </is>
      </c>
      <c r="G2048" t="n">
        <v>2.1</v>
      </c>
      <c r="H2048" t="n">
        <v>0</v>
      </c>
      <c r="I2048" t="n">
        <v>0</v>
      </c>
      <c r="J2048" t="n">
        <v>0</v>
      </c>
      <c r="K2048" t="n">
        <v>0</v>
      </c>
      <c r="L2048" t="n">
        <v>0</v>
      </c>
      <c r="M2048" t="n">
        <v>0</v>
      </c>
      <c r="N2048" t="n">
        <v>0</v>
      </c>
      <c r="O2048" t="n">
        <v>0</v>
      </c>
      <c r="P2048" t="n">
        <v>0</v>
      </c>
      <c r="Q2048" t="n">
        <v>0</v>
      </c>
      <c r="R2048" s="2" t="inlineStr"/>
    </row>
    <row r="2049" ht="15" customHeight="1">
      <c r="A2049" t="inlineStr">
        <is>
          <t>A 6734-2022</t>
        </is>
      </c>
      <c r="B2049" s="1" t="n">
        <v>44602</v>
      </c>
      <c r="C2049" s="1" t="n">
        <v>45724</v>
      </c>
      <c r="D2049" t="inlineStr">
        <is>
          <t>VÄSTMANLANDS LÄN</t>
        </is>
      </c>
      <c r="E2049" t="inlineStr">
        <is>
          <t>KUNGSÖR</t>
        </is>
      </c>
      <c r="G2049" t="n">
        <v>32.3</v>
      </c>
      <c r="H2049" t="n">
        <v>0</v>
      </c>
      <c r="I2049" t="n">
        <v>0</v>
      </c>
      <c r="J2049" t="n">
        <v>0</v>
      </c>
      <c r="K2049" t="n">
        <v>0</v>
      </c>
      <c r="L2049" t="n">
        <v>0</v>
      </c>
      <c r="M2049" t="n">
        <v>0</v>
      </c>
      <c r="N2049" t="n">
        <v>0</v>
      </c>
      <c r="O2049" t="n">
        <v>0</v>
      </c>
      <c r="P2049" t="n">
        <v>0</v>
      </c>
      <c r="Q2049" t="n">
        <v>0</v>
      </c>
      <c r="R2049" s="2" t="inlineStr"/>
    </row>
    <row r="2050" ht="15" customHeight="1">
      <c r="A2050" t="inlineStr">
        <is>
          <t>A 6705-2022</t>
        </is>
      </c>
      <c r="B2050" s="1" t="n">
        <v>44602</v>
      </c>
      <c r="C2050" s="1" t="n">
        <v>45724</v>
      </c>
      <c r="D2050" t="inlineStr">
        <is>
          <t>VÄSTMANLANDS LÄN</t>
        </is>
      </c>
      <c r="E2050" t="inlineStr">
        <is>
          <t>SALA</t>
        </is>
      </c>
      <c r="G2050" t="n">
        <v>1.7</v>
      </c>
      <c r="H2050" t="n">
        <v>0</v>
      </c>
      <c r="I2050" t="n">
        <v>0</v>
      </c>
      <c r="J2050" t="n">
        <v>0</v>
      </c>
      <c r="K2050" t="n">
        <v>0</v>
      </c>
      <c r="L2050" t="n">
        <v>0</v>
      </c>
      <c r="M2050" t="n">
        <v>0</v>
      </c>
      <c r="N2050" t="n">
        <v>0</v>
      </c>
      <c r="O2050" t="n">
        <v>0</v>
      </c>
      <c r="P2050" t="n">
        <v>0</v>
      </c>
      <c r="Q2050" t="n">
        <v>0</v>
      </c>
      <c r="R2050" s="2" t="inlineStr"/>
    </row>
    <row r="2051" ht="15" customHeight="1">
      <c r="A2051" t="inlineStr">
        <is>
          <t>A 6665-2022</t>
        </is>
      </c>
      <c r="B2051" s="1" t="n">
        <v>44602</v>
      </c>
      <c r="C2051" s="1" t="n">
        <v>45724</v>
      </c>
      <c r="D2051" t="inlineStr">
        <is>
          <t>VÄSTMANLANDS LÄN</t>
        </is>
      </c>
      <c r="E2051" t="inlineStr">
        <is>
          <t>SALA</t>
        </is>
      </c>
      <c r="G2051" t="n">
        <v>0.8</v>
      </c>
      <c r="H2051" t="n">
        <v>0</v>
      </c>
      <c r="I2051" t="n">
        <v>0</v>
      </c>
      <c r="J2051" t="n">
        <v>0</v>
      </c>
      <c r="K2051" t="n">
        <v>0</v>
      </c>
      <c r="L2051" t="n">
        <v>0</v>
      </c>
      <c r="M2051" t="n">
        <v>0</v>
      </c>
      <c r="N2051" t="n">
        <v>0</v>
      </c>
      <c r="O2051" t="n">
        <v>0</v>
      </c>
      <c r="P2051" t="n">
        <v>0</v>
      </c>
      <c r="Q2051" t="n">
        <v>0</v>
      </c>
      <c r="R2051" s="2" t="inlineStr"/>
    </row>
    <row r="2052" ht="15" customHeight="1">
      <c r="A2052" t="inlineStr">
        <is>
          <t>A 6698-2022</t>
        </is>
      </c>
      <c r="B2052" s="1" t="n">
        <v>44602</v>
      </c>
      <c r="C2052" s="1" t="n">
        <v>45724</v>
      </c>
      <c r="D2052" t="inlineStr">
        <is>
          <t>VÄSTMANLANDS LÄN</t>
        </is>
      </c>
      <c r="E2052" t="inlineStr">
        <is>
          <t>ARBOGA</t>
        </is>
      </c>
      <c r="G2052" t="n">
        <v>1.1</v>
      </c>
      <c r="H2052" t="n">
        <v>0</v>
      </c>
      <c r="I2052" t="n">
        <v>0</v>
      </c>
      <c r="J2052" t="n">
        <v>0</v>
      </c>
      <c r="K2052" t="n">
        <v>0</v>
      </c>
      <c r="L2052" t="n">
        <v>0</v>
      </c>
      <c r="M2052" t="n">
        <v>0</v>
      </c>
      <c r="N2052" t="n">
        <v>0</v>
      </c>
      <c r="O2052" t="n">
        <v>0</v>
      </c>
      <c r="P2052" t="n">
        <v>0</v>
      </c>
      <c r="Q2052" t="n">
        <v>0</v>
      </c>
      <c r="R2052" s="2" t="inlineStr"/>
    </row>
    <row r="2053" ht="15" customHeight="1">
      <c r="A2053" t="inlineStr">
        <is>
          <t>A 6757-2022</t>
        </is>
      </c>
      <c r="B2053" s="1" t="n">
        <v>44602</v>
      </c>
      <c r="C2053" s="1" t="n">
        <v>45724</v>
      </c>
      <c r="D2053" t="inlineStr">
        <is>
          <t>VÄSTMANLANDS LÄN</t>
        </is>
      </c>
      <c r="E2053" t="inlineStr">
        <is>
          <t>KUNGSÖR</t>
        </is>
      </c>
      <c r="G2053" t="n">
        <v>6.4</v>
      </c>
      <c r="H2053" t="n">
        <v>0</v>
      </c>
      <c r="I2053" t="n">
        <v>0</v>
      </c>
      <c r="J2053" t="n">
        <v>0</v>
      </c>
      <c r="K2053" t="n">
        <v>0</v>
      </c>
      <c r="L2053" t="n">
        <v>0</v>
      </c>
      <c r="M2053" t="n">
        <v>0</v>
      </c>
      <c r="N2053" t="n">
        <v>0</v>
      </c>
      <c r="O2053" t="n">
        <v>0</v>
      </c>
      <c r="P2053" t="n">
        <v>0</v>
      </c>
      <c r="Q2053" t="n">
        <v>0</v>
      </c>
      <c r="R2053" s="2" t="inlineStr"/>
    </row>
    <row r="2054" ht="15" customHeight="1">
      <c r="A2054" t="inlineStr">
        <is>
          <t>A 6667-2022</t>
        </is>
      </c>
      <c r="B2054" s="1" t="n">
        <v>44602</v>
      </c>
      <c r="C2054" s="1" t="n">
        <v>45724</v>
      </c>
      <c r="D2054" t="inlineStr">
        <is>
          <t>VÄSTMANLANDS LÄN</t>
        </is>
      </c>
      <c r="E2054" t="inlineStr">
        <is>
          <t>SALA</t>
        </is>
      </c>
      <c r="G2054" t="n">
        <v>0.4</v>
      </c>
      <c r="H2054" t="n">
        <v>0</v>
      </c>
      <c r="I2054" t="n">
        <v>0</v>
      </c>
      <c r="J2054" t="n">
        <v>0</v>
      </c>
      <c r="K2054" t="n">
        <v>0</v>
      </c>
      <c r="L2054" t="n">
        <v>0</v>
      </c>
      <c r="M2054" t="n">
        <v>0</v>
      </c>
      <c r="N2054" t="n">
        <v>0</v>
      </c>
      <c r="O2054" t="n">
        <v>0</v>
      </c>
      <c r="P2054" t="n">
        <v>0</v>
      </c>
      <c r="Q2054" t="n">
        <v>0</v>
      </c>
      <c r="R2054" s="2" t="inlineStr"/>
    </row>
    <row r="2055" ht="15" customHeight="1">
      <c r="A2055" t="inlineStr">
        <is>
          <t>A 6710-2022</t>
        </is>
      </c>
      <c r="B2055" s="1" t="n">
        <v>44602</v>
      </c>
      <c r="C2055" s="1" t="n">
        <v>45724</v>
      </c>
      <c r="D2055" t="inlineStr">
        <is>
          <t>VÄSTMANLANDS LÄN</t>
        </is>
      </c>
      <c r="E2055" t="inlineStr">
        <is>
          <t>SALA</t>
        </is>
      </c>
      <c r="G2055" t="n">
        <v>6.4</v>
      </c>
      <c r="H2055" t="n">
        <v>0</v>
      </c>
      <c r="I2055" t="n">
        <v>0</v>
      </c>
      <c r="J2055" t="n">
        <v>0</v>
      </c>
      <c r="K2055" t="n">
        <v>0</v>
      </c>
      <c r="L2055" t="n">
        <v>0</v>
      </c>
      <c r="M2055" t="n">
        <v>0</v>
      </c>
      <c r="N2055" t="n">
        <v>0</v>
      </c>
      <c r="O2055" t="n">
        <v>0</v>
      </c>
      <c r="P2055" t="n">
        <v>0</v>
      </c>
      <c r="Q2055" t="n">
        <v>0</v>
      </c>
      <c r="R2055" s="2" t="inlineStr"/>
    </row>
    <row r="2056" ht="15" customHeight="1">
      <c r="A2056" t="inlineStr">
        <is>
          <t>A 7097-2022</t>
        </is>
      </c>
      <c r="B2056" s="1" t="n">
        <v>44603</v>
      </c>
      <c r="C2056" s="1" t="n">
        <v>45724</v>
      </c>
      <c r="D2056" t="inlineStr">
        <is>
          <t>VÄSTMANLANDS LÄN</t>
        </is>
      </c>
      <c r="E2056" t="inlineStr">
        <is>
          <t>SKINNSKATTEBERG</t>
        </is>
      </c>
      <c r="F2056" t="inlineStr">
        <is>
          <t>Kyrkan</t>
        </is>
      </c>
      <c r="G2056" t="n">
        <v>1.2</v>
      </c>
      <c r="H2056" t="n">
        <v>0</v>
      </c>
      <c r="I2056" t="n">
        <v>0</v>
      </c>
      <c r="J2056" t="n">
        <v>0</v>
      </c>
      <c r="K2056" t="n">
        <v>0</v>
      </c>
      <c r="L2056" t="n">
        <v>0</v>
      </c>
      <c r="M2056" t="n">
        <v>0</v>
      </c>
      <c r="N2056" t="n">
        <v>0</v>
      </c>
      <c r="O2056" t="n">
        <v>0</v>
      </c>
      <c r="P2056" t="n">
        <v>0</v>
      </c>
      <c r="Q2056" t="n">
        <v>0</v>
      </c>
      <c r="R2056" s="2" t="inlineStr"/>
    </row>
    <row r="2057" ht="15" customHeight="1">
      <c r="A2057" t="inlineStr">
        <is>
          <t>A 6957-2022</t>
        </is>
      </c>
      <c r="B2057" s="1" t="n">
        <v>44603</v>
      </c>
      <c r="C2057" s="1" t="n">
        <v>45724</v>
      </c>
      <c r="D2057" t="inlineStr">
        <is>
          <t>VÄSTMANLANDS LÄN</t>
        </is>
      </c>
      <c r="E2057" t="inlineStr">
        <is>
          <t>SALA</t>
        </is>
      </c>
      <c r="G2057" t="n">
        <v>4.5</v>
      </c>
      <c r="H2057" t="n">
        <v>0</v>
      </c>
      <c r="I2057" t="n">
        <v>0</v>
      </c>
      <c r="J2057" t="n">
        <v>0</v>
      </c>
      <c r="K2057" t="n">
        <v>0</v>
      </c>
      <c r="L2057" t="n">
        <v>0</v>
      </c>
      <c r="M2057" t="n">
        <v>0</v>
      </c>
      <c r="N2057" t="n">
        <v>0</v>
      </c>
      <c r="O2057" t="n">
        <v>0</v>
      </c>
      <c r="P2057" t="n">
        <v>0</v>
      </c>
      <c r="Q2057" t="n">
        <v>0</v>
      </c>
      <c r="R2057" s="2" t="inlineStr"/>
    </row>
    <row r="2058" ht="15" customHeight="1">
      <c r="A2058" t="inlineStr">
        <is>
          <t>A 7080-2022</t>
        </is>
      </c>
      <c r="B2058" s="1" t="n">
        <v>44603</v>
      </c>
      <c r="C2058" s="1" t="n">
        <v>45724</v>
      </c>
      <c r="D2058" t="inlineStr">
        <is>
          <t>VÄSTMANLANDS LÄN</t>
        </is>
      </c>
      <c r="E2058" t="inlineStr">
        <is>
          <t>SKINNSKATTEBERG</t>
        </is>
      </c>
      <c r="F2058" t="inlineStr">
        <is>
          <t>Kyrkan</t>
        </is>
      </c>
      <c r="G2058" t="n">
        <v>3.9</v>
      </c>
      <c r="H2058" t="n">
        <v>0</v>
      </c>
      <c r="I2058" t="n">
        <v>0</v>
      </c>
      <c r="J2058" t="n">
        <v>0</v>
      </c>
      <c r="K2058" t="n">
        <v>0</v>
      </c>
      <c r="L2058" t="n">
        <v>0</v>
      </c>
      <c r="M2058" t="n">
        <v>0</v>
      </c>
      <c r="N2058" t="n">
        <v>0</v>
      </c>
      <c r="O2058" t="n">
        <v>0</v>
      </c>
      <c r="P2058" t="n">
        <v>0</v>
      </c>
      <c r="Q2058" t="n">
        <v>0</v>
      </c>
      <c r="R2058" s="2" t="inlineStr"/>
    </row>
    <row r="2059" ht="15" customHeight="1">
      <c r="A2059" t="inlineStr">
        <is>
          <t>A 7088-2022</t>
        </is>
      </c>
      <c r="B2059" s="1" t="n">
        <v>44603</v>
      </c>
      <c r="C2059" s="1" t="n">
        <v>45724</v>
      </c>
      <c r="D2059" t="inlineStr">
        <is>
          <t>VÄSTMANLANDS LÄN</t>
        </is>
      </c>
      <c r="E2059" t="inlineStr">
        <is>
          <t>SKINNSKATTEBERG</t>
        </is>
      </c>
      <c r="F2059" t="inlineStr">
        <is>
          <t>Kyrkan</t>
        </is>
      </c>
      <c r="G2059" t="n">
        <v>2.2</v>
      </c>
      <c r="H2059" t="n">
        <v>0</v>
      </c>
      <c r="I2059" t="n">
        <v>0</v>
      </c>
      <c r="J2059" t="n">
        <v>0</v>
      </c>
      <c r="K2059" t="n">
        <v>0</v>
      </c>
      <c r="L2059" t="n">
        <v>0</v>
      </c>
      <c r="M2059" t="n">
        <v>0</v>
      </c>
      <c r="N2059" t="n">
        <v>0</v>
      </c>
      <c r="O2059" t="n">
        <v>0</v>
      </c>
      <c r="P2059" t="n">
        <v>0</v>
      </c>
      <c r="Q2059" t="n">
        <v>0</v>
      </c>
      <c r="R2059" s="2" t="inlineStr"/>
    </row>
    <row r="2060" ht="15" customHeight="1">
      <c r="A2060" t="inlineStr">
        <is>
          <t>A 7117-2022</t>
        </is>
      </c>
      <c r="B2060" s="1" t="n">
        <v>44603</v>
      </c>
      <c r="C2060" s="1" t="n">
        <v>45724</v>
      </c>
      <c r="D2060" t="inlineStr">
        <is>
          <t>VÄSTMANLANDS LÄN</t>
        </is>
      </c>
      <c r="E2060" t="inlineStr">
        <is>
          <t>KUNGSÖR</t>
        </is>
      </c>
      <c r="G2060" t="n">
        <v>1.6</v>
      </c>
      <c r="H2060" t="n">
        <v>0</v>
      </c>
      <c r="I2060" t="n">
        <v>0</v>
      </c>
      <c r="J2060" t="n">
        <v>0</v>
      </c>
      <c r="K2060" t="n">
        <v>0</v>
      </c>
      <c r="L2060" t="n">
        <v>0</v>
      </c>
      <c r="M2060" t="n">
        <v>0</v>
      </c>
      <c r="N2060" t="n">
        <v>0</v>
      </c>
      <c r="O2060" t="n">
        <v>0</v>
      </c>
      <c r="P2060" t="n">
        <v>0</v>
      </c>
      <c r="Q2060" t="n">
        <v>0</v>
      </c>
      <c r="R2060" s="2" t="inlineStr"/>
    </row>
    <row r="2061" ht="15" customHeight="1">
      <c r="A2061" t="inlineStr">
        <is>
          <t>A 7103-2022</t>
        </is>
      </c>
      <c r="B2061" s="1" t="n">
        <v>44603</v>
      </c>
      <c r="C2061" s="1" t="n">
        <v>45724</v>
      </c>
      <c r="D2061" t="inlineStr">
        <is>
          <t>VÄSTMANLANDS LÄN</t>
        </is>
      </c>
      <c r="E2061" t="inlineStr">
        <is>
          <t>SKINNSKATTEBERG</t>
        </is>
      </c>
      <c r="F2061" t="inlineStr">
        <is>
          <t>Kyrkan</t>
        </is>
      </c>
      <c r="G2061" t="n">
        <v>2.3</v>
      </c>
      <c r="H2061" t="n">
        <v>0</v>
      </c>
      <c r="I2061" t="n">
        <v>0</v>
      </c>
      <c r="J2061" t="n">
        <v>0</v>
      </c>
      <c r="K2061" t="n">
        <v>0</v>
      </c>
      <c r="L2061" t="n">
        <v>0</v>
      </c>
      <c r="M2061" t="n">
        <v>0</v>
      </c>
      <c r="N2061" t="n">
        <v>0</v>
      </c>
      <c r="O2061" t="n">
        <v>0</v>
      </c>
      <c r="P2061" t="n">
        <v>0</v>
      </c>
      <c r="Q2061" t="n">
        <v>0</v>
      </c>
      <c r="R2061" s="2" t="inlineStr"/>
    </row>
    <row r="2062" ht="15" customHeight="1">
      <c r="A2062" t="inlineStr">
        <is>
          <t>A 7169-2022</t>
        </is>
      </c>
      <c r="B2062" s="1" t="n">
        <v>44604</v>
      </c>
      <c r="C2062" s="1" t="n">
        <v>45724</v>
      </c>
      <c r="D2062" t="inlineStr">
        <is>
          <t>VÄSTMANLANDS LÄN</t>
        </is>
      </c>
      <c r="E2062" t="inlineStr">
        <is>
          <t>SALA</t>
        </is>
      </c>
      <c r="G2062" t="n">
        <v>0.9</v>
      </c>
      <c r="H2062" t="n">
        <v>0</v>
      </c>
      <c r="I2062" t="n">
        <v>0</v>
      </c>
      <c r="J2062" t="n">
        <v>0</v>
      </c>
      <c r="K2062" t="n">
        <v>0</v>
      </c>
      <c r="L2062" t="n">
        <v>0</v>
      </c>
      <c r="M2062" t="n">
        <v>0</v>
      </c>
      <c r="N2062" t="n">
        <v>0</v>
      </c>
      <c r="O2062" t="n">
        <v>0</v>
      </c>
      <c r="P2062" t="n">
        <v>0</v>
      </c>
      <c r="Q2062" t="n">
        <v>0</v>
      </c>
      <c r="R2062" s="2" t="inlineStr"/>
    </row>
    <row r="2063" ht="15" customHeight="1">
      <c r="A2063" t="inlineStr">
        <is>
          <t>A 7370-2022</t>
        </is>
      </c>
      <c r="B2063" s="1" t="n">
        <v>44606</v>
      </c>
      <c r="C2063" s="1" t="n">
        <v>45724</v>
      </c>
      <c r="D2063" t="inlineStr">
        <is>
          <t>VÄSTMANLANDS LÄN</t>
        </is>
      </c>
      <c r="E2063" t="inlineStr">
        <is>
          <t>KÖPING</t>
        </is>
      </c>
      <c r="G2063" t="n">
        <v>14.4</v>
      </c>
      <c r="H2063" t="n">
        <v>0</v>
      </c>
      <c r="I2063" t="n">
        <v>0</v>
      </c>
      <c r="J2063" t="n">
        <v>0</v>
      </c>
      <c r="K2063" t="n">
        <v>0</v>
      </c>
      <c r="L2063" t="n">
        <v>0</v>
      </c>
      <c r="M2063" t="n">
        <v>0</v>
      </c>
      <c r="N2063" t="n">
        <v>0</v>
      </c>
      <c r="O2063" t="n">
        <v>0</v>
      </c>
      <c r="P2063" t="n">
        <v>0</v>
      </c>
      <c r="Q2063" t="n">
        <v>0</v>
      </c>
      <c r="R2063" s="2" t="inlineStr"/>
    </row>
    <row r="2064" ht="15" customHeight="1">
      <c r="A2064" t="inlineStr">
        <is>
          <t>A 7375-2022</t>
        </is>
      </c>
      <c r="B2064" s="1" t="n">
        <v>44606</v>
      </c>
      <c r="C2064" s="1" t="n">
        <v>45724</v>
      </c>
      <c r="D2064" t="inlineStr">
        <is>
          <t>VÄSTMANLANDS LÄN</t>
        </is>
      </c>
      <c r="E2064" t="inlineStr">
        <is>
          <t>VÄSTERÅS</t>
        </is>
      </c>
      <c r="F2064" t="inlineStr">
        <is>
          <t>Sveaskog</t>
        </is>
      </c>
      <c r="G2064" t="n">
        <v>2.9</v>
      </c>
      <c r="H2064" t="n">
        <v>0</v>
      </c>
      <c r="I2064" t="n">
        <v>0</v>
      </c>
      <c r="J2064" t="n">
        <v>0</v>
      </c>
      <c r="K2064" t="n">
        <v>0</v>
      </c>
      <c r="L2064" t="n">
        <v>0</v>
      </c>
      <c r="M2064" t="n">
        <v>0</v>
      </c>
      <c r="N2064" t="n">
        <v>0</v>
      </c>
      <c r="O2064" t="n">
        <v>0</v>
      </c>
      <c r="P2064" t="n">
        <v>0</v>
      </c>
      <c r="Q2064" t="n">
        <v>0</v>
      </c>
      <c r="R2064" s="2" t="inlineStr"/>
    </row>
    <row r="2065" ht="15" customHeight="1">
      <c r="A2065" t="inlineStr">
        <is>
          <t>A 7378-2022</t>
        </is>
      </c>
      <c r="B2065" s="1" t="n">
        <v>44606</v>
      </c>
      <c r="C2065" s="1" t="n">
        <v>45724</v>
      </c>
      <c r="D2065" t="inlineStr">
        <is>
          <t>VÄSTMANLANDS LÄN</t>
        </is>
      </c>
      <c r="E2065" t="inlineStr">
        <is>
          <t>VÄSTERÅS</t>
        </is>
      </c>
      <c r="G2065" t="n">
        <v>1.6</v>
      </c>
      <c r="H2065" t="n">
        <v>0</v>
      </c>
      <c r="I2065" t="n">
        <v>0</v>
      </c>
      <c r="J2065" t="n">
        <v>0</v>
      </c>
      <c r="K2065" t="n">
        <v>0</v>
      </c>
      <c r="L2065" t="n">
        <v>0</v>
      </c>
      <c r="M2065" t="n">
        <v>0</v>
      </c>
      <c r="N2065" t="n">
        <v>0</v>
      </c>
      <c r="O2065" t="n">
        <v>0</v>
      </c>
      <c r="P2065" t="n">
        <v>0</v>
      </c>
      <c r="Q2065" t="n">
        <v>0</v>
      </c>
      <c r="R2065" s="2" t="inlineStr"/>
    </row>
    <row r="2066" ht="15" customHeight="1">
      <c r="A2066" t="inlineStr">
        <is>
          <t>A 7536-2022</t>
        </is>
      </c>
      <c r="B2066" s="1" t="n">
        <v>44607</v>
      </c>
      <c r="C2066" s="1" t="n">
        <v>45724</v>
      </c>
      <c r="D2066" t="inlineStr">
        <is>
          <t>VÄSTMANLANDS LÄN</t>
        </is>
      </c>
      <c r="E2066" t="inlineStr">
        <is>
          <t>VÄSTERÅS</t>
        </is>
      </c>
      <c r="G2066" t="n">
        <v>2.3</v>
      </c>
      <c r="H2066" t="n">
        <v>0</v>
      </c>
      <c r="I2066" t="n">
        <v>0</v>
      </c>
      <c r="J2066" t="n">
        <v>0</v>
      </c>
      <c r="K2066" t="n">
        <v>0</v>
      </c>
      <c r="L2066" t="n">
        <v>0</v>
      </c>
      <c r="M2066" t="n">
        <v>0</v>
      </c>
      <c r="N2066" t="n">
        <v>0</v>
      </c>
      <c r="O2066" t="n">
        <v>0</v>
      </c>
      <c r="P2066" t="n">
        <v>0</v>
      </c>
      <c r="Q2066" t="n">
        <v>0</v>
      </c>
      <c r="R2066" s="2" t="inlineStr"/>
    </row>
    <row r="2067" ht="15" customHeight="1">
      <c r="A2067" t="inlineStr">
        <is>
          <t>A 7534-2022</t>
        </is>
      </c>
      <c r="B2067" s="1" t="n">
        <v>44607</v>
      </c>
      <c r="C2067" s="1" t="n">
        <v>45724</v>
      </c>
      <c r="D2067" t="inlineStr">
        <is>
          <t>VÄSTMANLANDS LÄN</t>
        </is>
      </c>
      <c r="E2067" t="inlineStr">
        <is>
          <t>VÄSTERÅS</t>
        </is>
      </c>
      <c r="G2067" t="n">
        <v>1</v>
      </c>
      <c r="H2067" t="n">
        <v>0</v>
      </c>
      <c r="I2067" t="n">
        <v>0</v>
      </c>
      <c r="J2067" t="n">
        <v>0</v>
      </c>
      <c r="K2067" t="n">
        <v>0</v>
      </c>
      <c r="L2067" t="n">
        <v>0</v>
      </c>
      <c r="M2067" t="n">
        <v>0</v>
      </c>
      <c r="N2067" t="n">
        <v>0</v>
      </c>
      <c r="O2067" t="n">
        <v>0</v>
      </c>
      <c r="P2067" t="n">
        <v>0</v>
      </c>
      <c r="Q2067" t="n">
        <v>0</v>
      </c>
      <c r="R2067" s="2" t="inlineStr"/>
    </row>
    <row r="2068" ht="15" customHeight="1">
      <c r="A2068" t="inlineStr">
        <is>
          <t>A 7719-2022</t>
        </is>
      </c>
      <c r="B2068" s="1" t="n">
        <v>44608</v>
      </c>
      <c r="C2068" s="1" t="n">
        <v>45724</v>
      </c>
      <c r="D2068" t="inlineStr">
        <is>
          <t>VÄSTMANLANDS LÄN</t>
        </is>
      </c>
      <c r="E2068" t="inlineStr">
        <is>
          <t>VÄSTERÅS</t>
        </is>
      </c>
      <c r="G2068" t="n">
        <v>0.6</v>
      </c>
      <c r="H2068" t="n">
        <v>0</v>
      </c>
      <c r="I2068" t="n">
        <v>0</v>
      </c>
      <c r="J2068" t="n">
        <v>0</v>
      </c>
      <c r="K2068" t="n">
        <v>0</v>
      </c>
      <c r="L2068" t="n">
        <v>0</v>
      </c>
      <c r="M2068" t="n">
        <v>0</v>
      </c>
      <c r="N2068" t="n">
        <v>0</v>
      </c>
      <c r="O2068" t="n">
        <v>0</v>
      </c>
      <c r="P2068" t="n">
        <v>0</v>
      </c>
      <c r="Q2068" t="n">
        <v>0</v>
      </c>
      <c r="R2068" s="2" t="inlineStr"/>
    </row>
    <row r="2069" ht="15" customHeight="1">
      <c r="A2069" t="inlineStr">
        <is>
          <t>A 7722-2022</t>
        </is>
      </c>
      <c r="B2069" s="1" t="n">
        <v>44608</v>
      </c>
      <c r="C2069" s="1" t="n">
        <v>45724</v>
      </c>
      <c r="D2069" t="inlineStr">
        <is>
          <t>VÄSTMANLANDS LÄN</t>
        </is>
      </c>
      <c r="E2069" t="inlineStr">
        <is>
          <t>VÄSTERÅS</t>
        </is>
      </c>
      <c r="G2069" t="n">
        <v>1.2</v>
      </c>
      <c r="H2069" t="n">
        <v>0</v>
      </c>
      <c r="I2069" t="n">
        <v>0</v>
      </c>
      <c r="J2069" t="n">
        <v>0</v>
      </c>
      <c r="K2069" t="n">
        <v>0</v>
      </c>
      <c r="L2069" t="n">
        <v>0</v>
      </c>
      <c r="M2069" t="n">
        <v>0</v>
      </c>
      <c r="N2069" t="n">
        <v>0</v>
      </c>
      <c r="O2069" t="n">
        <v>0</v>
      </c>
      <c r="P2069" t="n">
        <v>0</v>
      </c>
      <c r="Q2069" t="n">
        <v>0</v>
      </c>
      <c r="R2069" s="2" t="inlineStr"/>
    </row>
    <row r="2070" ht="15" customHeight="1">
      <c r="A2070" t="inlineStr">
        <is>
          <t>A 7848-2022</t>
        </is>
      </c>
      <c r="B2070" s="1" t="n">
        <v>44608</v>
      </c>
      <c r="C2070" s="1" t="n">
        <v>45724</v>
      </c>
      <c r="D2070" t="inlineStr">
        <is>
          <t>VÄSTMANLANDS LÄN</t>
        </is>
      </c>
      <c r="E2070" t="inlineStr">
        <is>
          <t>SURAHAMMAR</t>
        </is>
      </c>
      <c r="G2070" t="n">
        <v>2.1</v>
      </c>
      <c r="H2070" t="n">
        <v>0</v>
      </c>
      <c r="I2070" t="n">
        <v>0</v>
      </c>
      <c r="J2070" t="n">
        <v>0</v>
      </c>
      <c r="K2070" t="n">
        <v>0</v>
      </c>
      <c r="L2070" t="n">
        <v>0</v>
      </c>
      <c r="M2070" t="n">
        <v>0</v>
      </c>
      <c r="N2070" t="n">
        <v>0</v>
      </c>
      <c r="O2070" t="n">
        <v>0</v>
      </c>
      <c r="P2070" t="n">
        <v>0</v>
      </c>
      <c r="Q2070" t="n">
        <v>0</v>
      </c>
      <c r="R2070" s="2" t="inlineStr"/>
    </row>
    <row r="2071" ht="15" customHeight="1">
      <c r="A2071" t="inlineStr">
        <is>
          <t>A 8130-2022</t>
        </is>
      </c>
      <c r="B2071" s="1" t="n">
        <v>44609</v>
      </c>
      <c r="C2071" s="1" t="n">
        <v>45724</v>
      </c>
      <c r="D2071" t="inlineStr">
        <is>
          <t>VÄSTMANLANDS LÄN</t>
        </is>
      </c>
      <c r="E2071" t="inlineStr">
        <is>
          <t>SALA</t>
        </is>
      </c>
      <c r="G2071" t="n">
        <v>3.5</v>
      </c>
      <c r="H2071" t="n">
        <v>0</v>
      </c>
      <c r="I2071" t="n">
        <v>0</v>
      </c>
      <c r="J2071" t="n">
        <v>0</v>
      </c>
      <c r="K2071" t="n">
        <v>0</v>
      </c>
      <c r="L2071" t="n">
        <v>0</v>
      </c>
      <c r="M2071" t="n">
        <v>0</v>
      </c>
      <c r="N2071" t="n">
        <v>0</v>
      </c>
      <c r="O2071" t="n">
        <v>0</v>
      </c>
      <c r="P2071" t="n">
        <v>0</v>
      </c>
      <c r="Q2071" t="n">
        <v>0</v>
      </c>
      <c r="R2071" s="2" t="inlineStr"/>
    </row>
    <row r="2072" ht="15" customHeight="1">
      <c r="A2072" t="inlineStr">
        <is>
          <t>A 8346-2022</t>
        </is>
      </c>
      <c r="B2072" s="1" t="n">
        <v>44610</v>
      </c>
      <c r="C2072" s="1" t="n">
        <v>45724</v>
      </c>
      <c r="D2072" t="inlineStr">
        <is>
          <t>VÄSTMANLANDS LÄN</t>
        </is>
      </c>
      <c r="E2072" t="inlineStr">
        <is>
          <t>VÄSTERÅS</t>
        </is>
      </c>
      <c r="G2072" t="n">
        <v>2.5</v>
      </c>
      <c r="H2072" t="n">
        <v>0</v>
      </c>
      <c r="I2072" t="n">
        <v>0</v>
      </c>
      <c r="J2072" t="n">
        <v>0</v>
      </c>
      <c r="K2072" t="n">
        <v>0</v>
      </c>
      <c r="L2072" t="n">
        <v>0</v>
      </c>
      <c r="M2072" t="n">
        <v>0</v>
      </c>
      <c r="N2072" t="n">
        <v>0</v>
      </c>
      <c r="O2072" t="n">
        <v>0</v>
      </c>
      <c r="P2072" t="n">
        <v>0</v>
      </c>
      <c r="Q2072" t="n">
        <v>0</v>
      </c>
      <c r="R2072" s="2" t="inlineStr"/>
    </row>
    <row r="2073" ht="15" customHeight="1">
      <c r="A2073" t="inlineStr">
        <is>
          <t>A 8337-2022</t>
        </is>
      </c>
      <c r="B2073" s="1" t="n">
        <v>44610</v>
      </c>
      <c r="C2073" s="1" t="n">
        <v>45724</v>
      </c>
      <c r="D2073" t="inlineStr">
        <is>
          <t>VÄSTMANLANDS LÄN</t>
        </is>
      </c>
      <c r="E2073" t="inlineStr">
        <is>
          <t>VÄSTERÅS</t>
        </is>
      </c>
      <c r="G2073" t="n">
        <v>1.7</v>
      </c>
      <c r="H2073" t="n">
        <v>0</v>
      </c>
      <c r="I2073" t="n">
        <v>0</v>
      </c>
      <c r="J2073" t="n">
        <v>0</v>
      </c>
      <c r="K2073" t="n">
        <v>0</v>
      </c>
      <c r="L2073" t="n">
        <v>0</v>
      </c>
      <c r="M2073" t="n">
        <v>0</v>
      </c>
      <c r="N2073" t="n">
        <v>0</v>
      </c>
      <c r="O2073" t="n">
        <v>0</v>
      </c>
      <c r="P2073" t="n">
        <v>0</v>
      </c>
      <c r="Q2073" t="n">
        <v>0</v>
      </c>
      <c r="R2073" s="2" t="inlineStr"/>
    </row>
    <row r="2074" ht="15" customHeight="1">
      <c r="A2074" t="inlineStr">
        <is>
          <t>A 8362-2022</t>
        </is>
      </c>
      <c r="B2074" s="1" t="n">
        <v>44610</v>
      </c>
      <c r="C2074" s="1" t="n">
        <v>45724</v>
      </c>
      <c r="D2074" t="inlineStr">
        <is>
          <t>VÄSTMANLANDS LÄN</t>
        </is>
      </c>
      <c r="E2074" t="inlineStr">
        <is>
          <t>VÄSTERÅS</t>
        </is>
      </c>
      <c r="F2074" t="inlineStr">
        <is>
          <t>Sveaskog</t>
        </is>
      </c>
      <c r="G2074" t="n">
        <v>3.7</v>
      </c>
      <c r="H2074" t="n">
        <v>0</v>
      </c>
      <c r="I2074" t="n">
        <v>0</v>
      </c>
      <c r="J2074" t="n">
        <v>0</v>
      </c>
      <c r="K2074" t="n">
        <v>0</v>
      </c>
      <c r="L2074" t="n">
        <v>0</v>
      </c>
      <c r="M2074" t="n">
        <v>0</v>
      </c>
      <c r="N2074" t="n">
        <v>0</v>
      </c>
      <c r="O2074" t="n">
        <v>0</v>
      </c>
      <c r="P2074" t="n">
        <v>0</v>
      </c>
      <c r="Q2074" t="n">
        <v>0</v>
      </c>
      <c r="R2074" s="2" t="inlineStr"/>
    </row>
    <row r="2075" ht="15" customHeight="1">
      <c r="A2075" t="inlineStr">
        <is>
          <t>A 8357-2022</t>
        </is>
      </c>
      <c r="B2075" s="1" t="n">
        <v>44610</v>
      </c>
      <c r="C2075" s="1" t="n">
        <v>45724</v>
      </c>
      <c r="D2075" t="inlineStr">
        <is>
          <t>VÄSTMANLANDS LÄN</t>
        </is>
      </c>
      <c r="E2075" t="inlineStr">
        <is>
          <t>VÄSTERÅS</t>
        </is>
      </c>
      <c r="F2075" t="inlineStr">
        <is>
          <t>Sveaskog</t>
        </is>
      </c>
      <c r="G2075" t="n">
        <v>1</v>
      </c>
      <c r="H2075" t="n">
        <v>0</v>
      </c>
      <c r="I2075" t="n">
        <v>0</v>
      </c>
      <c r="J2075" t="n">
        <v>0</v>
      </c>
      <c r="K2075" t="n">
        <v>0</v>
      </c>
      <c r="L2075" t="n">
        <v>0</v>
      </c>
      <c r="M2075" t="n">
        <v>0</v>
      </c>
      <c r="N2075" t="n">
        <v>0</v>
      </c>
      <c r="O2075" t="n">
        <v>0</v>
      </c>
      <c r="P2075" t="n">
        <v>0</v>
      </c>
      <c r="Q2075" t="n">
        <v>0</v>
      </c>
      <c r="R2075" s="2" t="inlineStr"/>
    </row>
    <row r="2076" ht="15" customHeight="1">
      <c r="A2076" t="inlineStr">
        <is>
          <t>A 8343-2022</t>
        </is>
      </c>
      <c r="B2076" s="1" t="n">
        <v>44610</v>
      </c>
      <c r="C2076" s="1" t="n">
        <v>45724</v>
      </c>
      <c r="D2076" t="inlineStr">
        <is>
          <t>VÄSTMANLANDS LÄN</t>
        </is>
      </c>
      <c r="E2076" t="inlineStr">
        <is>
          <t>VÄSTERÅS</t>
        </is>
      </c>
      <c r="G2076" t="n">
        <v>5.3</v>
      </c>
      <c r="H2076" t="n">
        <v>0</v>
      </c>
      <c r="I2076" t="n">
        <v>0</v>
      </c>
      <c r="J2076" t="n">
        <v>0</v>
      </c>
      <c r="K2076" t="n">
        <v>0</v>
      </c>
      <c r="L2076" t="n">
        <v>0</v>
      </c>
      <c r="M2076" t="n">
        <v>0</v>
      </c>
      <c r="N2076" t="n">
        <v>0</v>
      </c>
      <c r="O2076" t="n">
        <v>0</v>
      </c>
      <c r="P2076" t="n">
        <v>0</v>
      </c>
      <c r="Q2076" t="n">
        <v>0</v>
      </c>
      <c r="R2076" s="2" t="inlineStr"/>
    </row>
    <row r="2077" ht="15" customHeight="1">
      <c r="A2077" t="inlineStr">
        <is>
          <t>A 8687-2022</t>
        </is>
      </c>
      <c r="B2077" s="1" t="n">
        <v>44613</v>
      </c>
      <c r="C2077" s="1" t="n">
        <v>45724</v>
      </c>
      <c r="D2077" t="inlineStr">
        <is>
          <t>VÄSTMANLANDS LÄN</t>
        </is>
      </c>
      <c r="E2077" t="inlineStr">
        <is>
          <t>KÖPING</t>
        </is>
      </c>
      <c r="G2077" t="n">
        <v>0.4</v>
      </c>
      <c r="H2077" t="n">
        <v>0</v>
      </c>
      <c r="I2077" t="n">
        <v>0</v>
      </c>
      <c r="J2077" t="n">
        <v>0</v>
      </c>
      <c r="K2077" t="n">
        <v>0</v>
      </c>
      <c r="L2077" t="n">
        <v>0</v>
      </c>
      <c r="M2077" t="n">
        <v>0</v>
      </c>
      <c r="N2077" t="n">
        <v>0</v>
      </c>
      <c r="O2077" t="n">
        <v>0</v>
      </c>
      <c r="P2077" t="n">
        <v>0</v>
      </c>
      <c r="Q2077" t="n">
        <v>0</v>
      </c>
      <c r="R2077" s="2" t="inlineStr"/>
    </row>
    <row r="2078" ht="15" customHeight="1">
      <c r="A2078" t="inlineStr">
        <is>
          <t>A 8845-2022</t>
        </is>
      </c>
      <c r="B2078" s="1" t="n">
        <v>44614</v>
      </c>
      <c r="C2078" s="1" t="n">
        <v>45724</v>
      </c>
      <c r="D2078" t="inlineStr">
        <is>
          <t>VÄSTMANLANDS LÄN</t>
        </is>
      </c>
      <c r="E2078" t="inlineStr">
        <is>
          <t>KÖPING</t>
        </is>
      </c>
      <c r="G2078" t="n">
        <v>5.4</v>
      </c>
      <c r="H2078" t="n">
        <v>0</v>
      </c>
      <c r="I2078" t="n">
        <v>0</v>
      </c>
      <c r="J2078" t="n">
        <v>0</v>
      </c>
      <c r="K2078" t="n">
        <v>0</v>
      </c>
      <c r="L2078" t="n">
        <v>0</v>
      </c>
      <c r="M2078" t="n">
        <v>0</v>
      </c>
      <c r="N2078" t="n">
        <v>0</v>
      </c>
      <c r="O2078" t="n">
        <v>0</v>
      </c>
      <c r="P2078" t="n">
        <v>0</v>
      </c>
      <c r="Q2078" t="n">
        <v>0</v>
      </c>
      <c r="R2078" s="2" t="inlineStr"/>
    </row>
    <row r="2079" ht="15" customHeight="1">
      <c r="A2079" t="inlineStr">
        <is>
          <t>A 9260-2022</t>
        </is>
      </c>
      <c r="B2079" s="1" t="n">
        <v>44614</v>
      </c>
      <c r="C2079" s="1" t="n">
        <v>45724</v>
      </c>
      <c r="D2079" t="inlineStr">
        <is>
          <t>VÄSTMANLANDS LÄN</t>
        </is>
      </c>
      <c r="E2079" t="inlineStr">
        <is>
          <t>KÖPING</t>
        </is>
      </c>
      <c r="G2079" t="n">
        <v>0.8</v>
      </c>
      <c r="H2079" t="n">
        <v>0</v>
      </c>
      <c r="I2079" t="n">
        <v>0</v>
      </c>
      <c r="J2079" t="n">
        <v>0</v>
      </c>
      <c r="K2079" t="n">
        <v>0</v>
      </c>
      <c r="L2079" t="n">
        <v>0</v>
      </c>
      <c r="M2079" t="n">
        <v>0</v>
      </c>
      <c r="N2079" t="n">
        <v>0</v>
      </c>
      <c r="O2079" t="n">
        <v>0</v>
      </c>
      <c r="P2079" t="n">
        <v>0</v>
      </c>
      <c r="Q2079" t="n">
        <v>0</v>
      </c>
      <c r="R2079" s="2" t="inlineStr"/>
    </row>
    <row r="2080" ht="15" customHeight="1">
      <c r="A2080" t="inlineStr">
        <is>
          <t>A 9048-2022</t>
        </is>
      </c>
      <c r="B2080" s="1" t="n">
        <v>44615</v>
      </c>
      <c r="C2080" s="1" t="n">
        <v>45724</v>
      </c>
      <c r="D2080" t="inlineStr">
        <is>
          <t>VÄSTMANLANDS LÄN</t>
        </is>
      </c>
      <c r="E2080" t="inlineStr">
        <is>
          <t>SALA</t>
        </is>
      </c>
      <c r="G2080" t="n">
        <v>5.2</v>
      </c>
      <c r="H2080" t="n">
        <v>0</v>
      </c>
      <c r="I2080" t="n">
        <v>0</v>
      </c>
      <c r="J2080" t="n">
        <v>0</v>
      </c>
      <c r="K2080" t="n">
        <v>0</v>
      </c>
      <c r="L2080" t="n">
        <v>0</v>
      </c>
      <c r="M2080" t="n">
        <v>0</v>
      </c>
      <c r="N2080" t="n">
        <v>0</v>
      </c>
      <c r="O2080" t="n">
        <v>0</v>
      </c>
      <c r="P2080" t="n">
        <v>0</v>
      </c>
      <c r="Q2080" t="n">
        <v>0</v>
      </c>
      <c r="R2080" s="2" t="inlineStr"/>
    </row>
    <row r="2081" ht="15" customHeight="1">
      <c r="A2081" t="inlineStr">
        <is>
          <t>A 9032-2022</t>
        </is>
      </c>
      <c r="B2081" s="1" t="n">
        <v>44615</v>
      </c>
      <c r="C2081" s="1" t="n">
        <v>45724</v>
      </c>
      <c r="D2081" t="inlineStr">
        <is>
          <t>VÄSTMANLANDS LÄN</t>
        </is>
      </c>
      <c r="E2081" t="inlineStr">
        <is>
          <t>KÖPING</t>
        </is>
      </c>
      <c r="G2081" t="n">
        <v>2</v>
      </c>
      <c r="H2081" t="n">
        <v>0</v>
      </c>
      <c r="I2081" t="n">
        <v>0</v>
      </c>
      <c r="J2081" t="n">
        <v>0</v>
      </c>
      <c r="K2081" t="n">
        <v>0</v>
      </c>
      <c r="L2081" t="n">
        <v>0</v>
      </c>
      <c r="M2081" t="n">
        <v>0</v>
      </c>
      <c r="N2081" t="n">
        <v>0</v>
      </c>
      <c r="O2081" t="n">
        <v>0</v>
      </c>
      <c r="P2081" t="n">
        <v>0</v>
      </c>
      <c r="Q2081" t="n">
        <v>0</v>
      </c>
      <c r="R2081" s="2" t="inlineStr"/>
    </row>
    <row r="2082" ht="15" customHeight="1">
      <c r="A2082" t="inlineStr">
        <is>
          <t>A 9050-2022</t>
        </is>
      </c>
      <c r="B2082" s="1" t="n">
        <v>44615</v>
      </c>
      <c r="C2082" s="1" t="n">
        <v>45724</v>
      </c>
      <c r="D2082" t="inlineStr">
        <is>
          <t>VÄSTMANLANDS LÄN</t>
        </is>
      </c>
      <c r="E2082" t="inlineStr">
        <is>
          <t>SALA</t>
        </is>
      </c>
      <c r="G2082" t="n">
        <v>3.1</v>
      </c>
      <c r="H2082" t="n">
        <v>0</v>
      </c>
      <c r="I2082" t="n">
        <v>0</v>
      </c>
      <c r="J2082" t="n">
        <v>0</v>
      </c>
      <c r="K2082" t="n">
        <v>0</v>
      </c>
      <c r="L2082" t="n">
        <v>0</v>
      </c>
      <c r="M2082" t="n">
        <v>0</v>
      </c>
      <c r="N2082" t="n">
        <v>0</v>
      </c>
      <c r="O2082" t="n">
        <v>0</v>
      </c>
      <c r="P2082" t="n">
        <v>0</v>
      </c>
      <c r="Q2082" t="n">
        <v>0</v>
      </c>
      <c r="R2082" s="2" t="inlineStr"/>
    </row>
    <row r="2083" ht="15" customHeight="1">
      <c r="A2083" t="inlineStr">
        <is>
          <t>A 9075-2022</t>
        </is>
      </c>
      <c r="B2083" s="1" t="n">
        <v>44615</v>
      </c>
      <c r="C2083" s="1" t="n">
        <v>45724</v>
      </c>
      <c r="D2083" t="inlineStr">
        <is>
          <t>VÄSTMANLANDS LÄN</t>
        </is>
      </c>
      <c r="E2083" t="inlineStr">
        <is>
          <t>SALA</t>
        </is>
      </c>
      <c r="G2083" t="n">
        <v>0.7</v>
      </c>
      <c r="H2083" t="n">
        <v>0</v>
      </c>
      <c r="I2083" t="n">
        <v>0</v>
      </c>
      <c r="J2083" t="n">
        <v>0</v>
      </c>
      <c r="K2083" t="n">
        <v>0</v>
      </c>
      <c r="L2083" t="n">
        <v>0</v>
      </c>
      <c r="M2083" t="n">
        <v>0</v>
      </c>
      <c r="N2083" t="n">
        <v>0</v>
      </c>
      <c r="O2083" t="n">
        <v>0</v>
      </c>
      <c r="P2083" t="n">
        <v>0</v>
      </c>
      <c r="Q2083" t="n">
        <v>0</v>
      </c>
      <c r="R2083" s="2" t="inlineStr"/>
    </row>
    <row r="2084" ht="15" customHeight="1">
      <c r="A2084" t="inlineStr">
        <is>
          <t>A 9335-2022</t>
        </is>
      </c>
      <c r="B2084" s="1" t="n">
        <v>44616</v>
      </c>
      <c r="C2084" s="1" t="n">
        <v>45724</v>
      </c>
      <c r="D2084" t="inlineStr">
        <is>
          <t>VÄSTMANLANDS LÄN</t>
        </is>
      </c>
      <c r="E2084" t="inlineStr">
        <is>
          <t>SALA</t>
        </is>
      </c>
      <c r="G2084" t="n">
        <v>1.5</v>
      </c>
      <c r="H2084" t="n">
        <v>0</v>
      </c>
      <c r="I2084" t="n">
        <v>0</v>
      </c>
      <c r="J2084" t="n">
        <v>0</v>
      </c>
      <c r="K2084" t="n">
        <v>0</v>
      </c>
      <c r="L2084" t="n">
        <v>0</v>
      </c>
      <c r="M2084" t="n">
        <v>0</v>
      </c>
      <c r="N2084" t="n">
        <v>0</v>
      </c>
      <c r="O2084" t="n">
        <v>0</v>
      </c>
      <c r="P2084" t="n">
        <v>0</v>
      </c>
      <c r="Q2084" t="n">
        <v>0</v>
      </c>
      <c r="R2084" s="2" t="inlineStr"/>
    </row>
    <row r="2085" ht="15" customHeight="1">
      <c r="A2085" t="inlineStr">
        <is>
          <t>A 9813-2022</t>
        </is>
      </c>
      <c r="B2085" s="1" t="n">
        <v>44620</v>
      </c>
      <c r="C2085" s="1" t="n">
        <v>45724</v>
      </c>
      <c r="D2085" t="inlineStr">
        <is>
          <t>VÄSTMANLANDS LÄN</t>
        </is>
      </c>
      <c r="E2085" t="inlineStr">
        <is>
          <t>KUNGSÖR</t>
        </is>
      </c>
      <c r="G2085" t="n">
        <v>4.3</v>
      </c>
      <c r="H2085" t="n">
        <v>0</v>
      </c>
      <c r="I2085" t="n">
        <v>0</v>
      </c>
      <c r="J2085" t="n">
        <v>0</v>
      </c>
      <c r="K2085" t="n">
        <v>0</v>
      </c>
      <c r="L2085" t="n">
        <v>0</v>
      </c>
      <c r="M2085" t="n">
        <v>0</v>
      </c>
      <c r="N2085" t="n">
        <v>0</v>
      </c>
      <c r="O2085" t="n">
        <v>0</v>
      </c>
      <c r="P2085" t="n">
        <v>0</v>
      </c>
      <c r="Q2085" t="n">
        <v>0</v>
      </c>
      <c r="R2085" s="2" t="inlineStr"/>
    </row>
    <row r="2086" ht="15" customHeight="1">
      <c r="A2086" t="inlineStr">
        <is>
          <t>A 9875-2022</t>
        </is>
      </c>
      <c r="B2086" s="1" t="n">
        <v>44620</v>
      </c>
      <c r="C2086" s="1" t="n">
        <v>45724</v>
      </c>
      <c r="D2086" t="inlineStr">
        <is>
          <t>VÄSTMANLANDS LÄN</t>
        </is>
      </c>
      <c r="E2086" t="inlineStr">
        <is>
          <t>NORBERG</t>
        </is>
      </c>
      <c r="G2086" t="n">
        <v>1.7</v>
      </c>
      <c r="H2086" t="n">
        <v>0</v>
      </c>
      <c r="I2086" t="n">
        <v>0</v>
      </c>
      <c r="J2086" t="n">
        <v>0</v>
      </c>
      <c r="K2086" t="n">
        <v>0</v>
      </c>
      <c r="L2086" t="n">
        <v>0</v>
      </c>
      <c r="M2086" t="n">
        <v>0</v>
      </c>
      <c r="N2086" t="n">
        <v>0</v>
      </c>
      <c r="O2086" t="n">
        <v>0</v>
      </c>
      <c r="P2086" t="n">
        <v>0</v>
      </c>
      <c r="Q2086" t="n">
        <v>0</v>
      </c>
      <c r="R2086" s="2" t="inlineStr"/>
    </row>
    <row r="2087" ht="15" customHeight="1">
      <c r="A2087" t="inlineStr">
        <is>
          <t>A 9856-2022</t>
        </is>
      </c>
      <c r="B2087" s="1" t="n">
        <v>44620</v>
      </c>
      <c r="C2087" s="1" t="n">
        <v>45724</v>
      </c>
      <c r="D2087" t="inlineStr">
        <is>
          <t>VÄSTMANLANDS LÄN</t>
        </is>
      </c>
      <c r="E2087" t="inlineStr">
        <is>
          <t>SALA</t>
        </is>
      </c>
      <c r="G2087" t="n">
        <v>2.4</v>
      </c>
      <c r="H2087" t="n">
        <v>0</v>
      </c>
      <c r="I2087" t="n">
        <v>0</v>
      </c>
      <c r="J2087" t="n">
        <v>0</v>
      </c>
      <c r="K2087" t="n">
        <v>0</v>
      </c>
      <c r="L2087" t="n">
        <v>0</v>
      </c>
      <c r="M2087" t="n">
        <v>0</v>
      </c>
      <c r="N2087" t="n">
        <v>0</v>
      </c>
      <c r="O2087" t="n">
        <v>0</v>
      </c>
      <c r="P2087" t="n">
        <v>0</v>
      </c>
      <c r="Q2087" t="n">
        <v>0</v>
      </c>
      <c r="R2087" s="2" t="inlineStr"/>
    </row>
    <row r="2088" ht="15" customHeight="1">
      <c r="A2088" t="inlineStr">
        <is>
          <t>A 10083-2022</t>
        </is>
      </c>
      <c r="B2088" s="1" t="n">
        <v>44621</v>
      </c>
      <c r="C2088" s="1" t="n">
        <v>45724</v>
      </c>
      <c r="D2088" t="inlineStr">
        <is>
          <t>VÄSTMANLANDS LÄN</t>
        </is>
      </c>
      <c r="E2088" t="inlineStr">
        <is>
          <t>SALA</t>
        </is>
      </c>
      <c r="G2088" t="n">
        <v>7.8</v>
      </c>
      <c r="H2088" t="n">
        <v>0</v>
      </c>
      <c r="I2088" t="n">
        <v>0</v>
      </c>
      <c r="J2088" t="n">
        <v>0</v>
      </c>
      <c r="K2088" t="n">
        <v>0</v>
      </c>
      <c r="L2088" t="n">
        <v>0</v>
      </c>
      <c r="M2088" t="n">
        <v>0</v>
      </c>
      <c r="N2088" t="n">
        <v>0</v>
      </c>
      <c r="O2088" t="n">
        <v>0</v>
      </c>
      <c r="P2088" t="n">
        <v>0</v>
      </c>
      <c r="Q2088" t="n">
        <v>0</v>
      </c>
      <c r="R2088" s="2" t="inlineStr"/>
    </row>
    <row r="2089" ht="15" customHeight="1">
      <c r="A2089" t="inlineStr">
        <is>
          <t>A 10168-2022</t>
        </is>
      </c>
      <c r="B2089" s="1" t="n">
        <v>44622</v>
      </c>
      <c r="C2089" s="1" t="n">
        <v>45724</v>
      </c>
      <c r="D2089" t="inlineStr">
        <is>
          <t>VÄSTMANLANDS LÄN</t>
        </is>
      </c>
      <c r="E2089" t="inlineStr">
        <is>
          <t>SALA</t>
        </is>
      </c>
      <c r="G2089" t="n">
        <v>2.1</v>
      </c>
      <c r="H2089" t="n">
        <v>0</v>
      </c>
      <c r="I2089" t="n">
        <v>0</v>
      </c>
      <c r="J2089" t="n">
        <v>0</v>
      </c>
      <c r="K2089" t="n">
        <v>0</v>
      </c>
      <c r="L2089" t="n">
        <v>0</v>
      </c>
      <c r="M2089" t="n">
        <v>0</v>
      </c>
      <c r="N2089" t="n">
        <v>0</v>
      </c>
      <c r="O2089" t="n">
        <v>0</v>
      </c>
      <c r="P2089" t="n">
        <v>0</v>
      </c>
      <c r="Q2089" t="n">
        <v>0</v>
      </c>
      <c r="R2089" s="2" t="inlineStr"/>
    </row>
    <row r="2090" ht="15" customHeight="1">
      <c r="A2090" t="inlineStr">
        <is>
          <t>A 10286-2022</t>
        </is>
      </c>
      <c r="B2090" s="1" t="n">
        <v>44622</v>
      </c>
      <c r="C2090" s="1" t="n">
        <v>45724</v>
      </c>
      <c r="D2090" t="inlineStr">
        <is>
          <t>VÄSTMANLANDS LÄN</t>
        </is>
      </c>
      <c r="E2090" t="inlineStr">
        <is>
          <t>ARBOGA</t>
        </is>
      </c>
      <c r="G2090" t="n">
        <v>4.5</v>
      </c>
      <c r="H2090" t="n">
        <v>0</v>
      </c>
      <c r="I2090" t="n">
        <v>0</v>
      </c>
      <c r="J2090" t="n">
        <v>0</v>
      </c>
      <c r="K2090" t="n">
        <v>0</v>
      </c>
      <c r="L2090" t="n">
        <v>0</v>
      </c>
      <c r="M2090" t="n">
        <v>0</v>
      </c>
      <c r="N2090" t="n">
        <v>0</v>
      </c>
      <c r="O2090" t="n">
        <v>0</v>
      </c>
      <c r="P2090" t="n">
        <v>0</v>
      </c>
      <c r="Q2090" t="n">
        <v>0</v>
      </c>
      <c r="R2090" s="2" t="inlineStr"/>
    </row>
    <row r="2091" ht="15" customHeight="1">
      <c r="A2091" t="inlineStr">
        <is>
          <t>A 10434-2022</t>
        </is>
      </c>
      <c r="B2091" s="1" t="n">
        <v>44623</v>
      </c>
      <c r="C2091" s="1" t="n">
        <v>45724</v>
      </c>
      <c r="D2091" t="inlineStr">
        <is>
          <t>VÄSTMANLANDS LÄN</t>
        </is>
      </c>
      <c r="E2091" t="inlineStr">
        <is>
          <t>SALA</t>
        </is>
      </c>
      <c r="G2091" t="n">
        <v>5.5</v>
      </c>
      <c r="H2091" t="n">
        <v>0</v>
      </c>
      <c r="I2091" t="n">
        <v>0</v>
      </c>
      <c r="J2091" t="n">
        <v>0</v>
      </c>
      <c r="K2091" t="n">
        <v>0</v>
      </c>
      <c r="L2091" t="n">
        <v>0</v>
      </c>
      <c r="M2091" t="n">
        <v>0</v>
      </c>
      <c r="N2091" t="n">
        <v>0</v>
      </c>
      <c r="O2091" t="n">
        <v>0</v>
      </c>
      <c r="P2091" t="n">
        <v>0</v>
      </c>
      <c r="Q2091" t="n">
        <v>0</v>
      </c>
      <c r="R2091" s="2" t="inlineStr"/>
    </row>
    <row r="2092" ht="15" customHeight="1">
      <c r="A2092" t="inlineStr">
        <is>
          <t>A 10496-2022</t>
        </is>
      </c>
      <c r="B2092" s="1" t="n">
        <v>44623</v>
      </c>
      <c r="C2092" s="1" t="n">
        <v>45724</v>
      </c>
      <c r="D2092" t="inlineStr">
        <is>
          <t>VÄSTMANLANDS LÄN</t>
        </is>
      </c>
      <c r="E2092" t="inlineStr">
        <is>
          <t>VÄSTERÅS</t>
        </is>
      </c>
      <c r="F2092" t="inlineStr">
        <is>
          <t>Sveaskog</t>
        </is>
      </c>
      <c r="G2092" t="n">
        <v>1.2</v>
      </c>
      <c r="H2092" t="n">
        <v>0</v>
      </c>
      <c r="I2092" t="n">
        <v>0</v>
      </c>
      <c r="J2092" t="n">
        <v>0</v>
      </c>
      <c r="K2092" t="n">
        <v>0</v>
      </c>
      <c r="L2092" t="n">
        <v>0</v>
      </c>
      <c r="M2092" t="n">
        <v>0</v>
      </c>
      <c r="N2092" t="n">
        <v>0</v>
      </c>
      <c r="O2092" t="n">
        <v>0</v>
      </c>
      <c r="P2092" t="n">
        <v>0</v>
      </c>
      <c r="Q2092" t="n">
        <v>0</v>
      </c>
      <c r="R2092" s="2" t="inlineStr"/>
    </row>
    <row r="2093" ht="15" customHeight="1">
      <c r="A2093" t="inlineStr">
        <is>
          <t>A 10517-2022</t>
        </is>
      </c>
      <c r="B2093" s="1" t="n">
        <v>44623</v>
      </c>
      <c r="C2093" s="1" t="n">
        <v>45724</v>
      </c>
      <c r="D2093" t="inlineStr">
        <is>
          <t>VÄSTMANLANDS LÄN</t>
        </is>
      </c>
      <c r="E2093" t="inlineStr">
        <is>
          <t>KUNGSÖR</t>
        </is>
      </c>
      <c r="G2093" t="n">
        <v>1.2</v>
      </c>
      <c r="H2093" t="n">
        <v>0</v>
      </c>
      <c r="I2093" t="n">
        <v>0</v>
      </c>
      <c r="J2093" t="n">
        <v>0</v>
      </c>
      <c r="K2093" t="n">
        <v>0</v>
      </c>
      <c r="L2093" t="n">
        <v>0</v>
      </c>
      <c r="M2093" t="n">
        <v>0</v>
      </c>
      <c r="N2093" t="n">
        <v>0</v>
      </c>
      <c r="O2093" t="n">
        <v>0</v>
      </c>
      <c r="P2093" t="n">
        <v>0</v>
      </c>
      <c r="Q2093" t="n">
        <v>0</v>
      </c>
      <c r="R2093" s="2" t="inlineStr"/>
    </row>
    <row r="2094" ht="15" customHeight="1">
      <c r="A2094" t="inlineStr">
        <is>
          <t>A 10516-2022</t>
        </is>
      </c>
      <c r="B2094" s="1" t="n">
        <v>44623</v>
      </c>
      <c r="C2094" s="1" t="n">
        <v>45724</v>
      </c>
      <c r="D2094" t="inlineStr">
        <is>
          <t>VÄSTMANLANDS LÄN</t>
        </is>
      </c>
      <c r="E2094" t="inlineStr">
        <is>
          <t>KUNGSÖR</t>
        </is>
      </c>
      <c r="G2094" t="n">
        <v>2.1</v>
      </c>
      <c r="H2094" t="n">
        <v>0</v>
      </c>
      <c r="I2094" t="n">
        <v>0</v>
      </c>
      <c r="J2094" t="n">
        <v>0</v>
      </c>
      <c r="K2094" t="n">
        <v>0</v>
      </c>
      <c r="L2094" t="n">
        <v>0</v>
      </c>
      <c r="M2094" t="n">
        <v>0</v>
      </c>
      <c r="N2094" t="n">
        <v>0</v>
      </c>
      <c r="O2094" t="n">
        <v>0</v>
      </c>
      <c r="P2094" t="n">
        <v>0</v>
      </c>
      <c r="Q2094" t="n">
        <v>0</v>
      </c>
      <c r="R2094" s="2" t="inlineStr"/>
    </row>
    <row r="2095" ht="15" customHeight="1">
      <c r="A2095" t="inlineStr">
        <is>
          <t>A 10478-2022</t>
        </is>
      </c>
      <c r="B2095" s="1" t="n">
        <v>44623</v>
      </c>
      <c r="C2095" s="1" t="n">
        <v>45724</v>
      </c>
      <c r="D2095" t="inlineStr">
        <is>
          <t>VÄSTMANLANDS LÄN</t>
        </is>
      </c>
      <c r="E2095" t="inlineStr">
        <is>
          <t>KÖPING</t>
        </is>
      </c>
      <c r="G2095" t="n">
        <v>1.8</v>
      </c>
      <c r="H2095" t="n">
        <v>0</v>
      </c>
      <c r="I2095" t="n">
        <v>0</v>
      </c>
      <c r="J2095" t="n">
        <v>0</v>
      </c>
      <c r="K2095" t="n">
        <v>0</v>
      </c>
      <c r="L2095" t="n">
        <v>0</v>
      </c>
      <c r="M2095" t="n">
        <v>0</v>
      </c>
      <c r="N2095" t="n">
        <v>0</v>
      </c>
      <c r="O2095" t="n">
        <v>0</v>
      </c>
      <c r="P2095" t="n">
        <v>0</v>
      </c>
      <c r="Q2095" t="n">
        <v>0</v>
      </c>
      <c r="R2095" s="2" t="inlineStr"/>
    </row>
    <row r="2096" ht="15" customHeight="1">
      <c r="A2096" t="inlineStr">
        <is>
          <t>A 10499-2022</t>
        </is>
      </c>
      <c r="B2096" s="1" t="n">
        <v>44623</v>
      </c>
      <c r="C2096" s="1" t="n">
        <v>45724</v>
      </c>
      <c r="D2096" t="inlineStr">
        <is>
          <t>VÄSTMANLANDS LÄN</t>
        </is>
      </c>
      <c r="E2096" t="inlineStr">
        <is>
          <t>VÄSTERÅS</t>
        </is>
      </c>
      <c r="F2096" t="inlineStr">
        <is>
          <t>Sveaskog</t>
        </is>
      </c>
      <c r="G2096" t="n">
        <v>0.4</v>
      </c>
      <c r="H2096" t="n">
        <v>0</v>
      </c>
      <c r="I2096" t="n">
        <v>0</v>
      </c>
      <c r="J2096" t="n">
        <v>0</v>
      </c>
      <c r="K2096" t="n">
        <v>0</v>
      </c>
      <c r="L2096" t="n">
        <v>0</v>
      </c>
      <c r="M2096" t="n">
        <v>0</v>
      </c>
      <c r="N2096" t="n">
        <v>0</v>
      </c>
      <c r="O2096" t="n">
        <v>0</v>
      </c>
      <c r="P2096" t="n">
        <v>0</v>
      </c>
      <c r="Q2096" t="n">
        <v>0</v>
      </c>
      <c r="R2096" s="2" t="inlineStr"/>
    </row>
    <row r="2097" ht="15" customHeight="1">
      <c r="A2097" t="inlineStr">
        <is>
          <t>A 10512-2022</t>
        </is>
      </c>
      <c r="B2097" s="1" t="n">
        <v>44623</v>
      </c>
      <c r="C2097" s="1" t="n">
        <v>45724</v>
      </c>
      <c r="D2097" t="inlineStr">
        <is>
          <t>VÄSTMANLANDS LÄN</t>
        </is>
      </c>
      <c r="E2097" t="inlineStr">
        <is>
          <t>KÖPING</t>
        </is>
      </c>
      <c r="G2097" t="n">
        <v>2.1</v>
      </c>
      <c r="H2097" t="n">
        <v>0</v>
      </c>
      <c r="I2097" t="n">
        <v>0</v>
      </c>
      <c r="J2097" t="n">
        <v>0</v>
      </c>
      <c r="K2097" t="n">
        <v>0</v>
      </c>
      <c r="L2097" t="n">
        <v>0</v>
      </c>
      <c r="M2097" t="n">
        <v>0</v>
      </c>
      <c r="N2097" t="n">
        <v>0</v>
      </c>
      <c r="O2097" t="n">
        <v>0</v>
      </c>
      <c r="P2097" t="n">
        <v>0</v>
      </c>
      <c r="Q2097" t="n">
        <v>0</v>
      </c>
      <c r="R2097" s="2" t="inlineStr"/>
    </row>
    <row r="2098" ht="15" customHeight="1">
      <c r="A2098" t="inlineStr">
        <is>
          <t>A 10639-2022</t>
        </is>
      </c>
      <c r="B2098" s="1" t="n">
        <v>44623</v>
      </c>
      <c r="C2098" s="1" t="n">
        <v>45724</v>
      </c>
      <c r="D2098" t="inlineStr">
        <is>
          <t>VÄSTMANLANDS LÄN</t>
        </is>
      </c>
      <c r="E2098" t="inlineStr">
        <is>
          <t>SKINNSKATTEBERG</t>
        </is>
      </c>
      <c r="G2098" t="n">
        <v>3.8</v>
      </c>
      <c r="H2098" t="n">
        <v>0</v>
      </c>
      <c r="I2098" t="n">
        <v>0</v>
      </c>
      <c r="J2098" t="n">
        <v>0</v>
      </c>
      <c r="K2098" t="n">
        <v>0</v>
      </c>
      <c r="L2098" t="n">
        <v>0</v>
      </c>
      <c r="M2098" t="n">
        <v>0</v>
      </c>
      <c r="N2098" t="n">
        <v>0</v>
      </c>
      <c r="O2098" t="n">
        <v>0</v>
      </c>
      <c r="P2098" t="n">
        <v>0</v>
      </c>
      <c r="Q2098" t="n">
        <v>0</v>
      </c>
      <c r="R2098" s="2" t="inlineStr"/>
    </row>
    <row r="2099" ht="15" customHeight="1">
      <c r="A2099" t="inlineStr">
        <is>
          <t>A 10585-2022</t>
        </is>
      </c>
      <c r="B2099" s="1" t="n">
        <v>44624</v>
      </c>
      <c r="C2099" s="1" t="n">
        <v>45724</v>
      </c>
      <c r="D2099" t="inlineStr">
        <is>
          <t>VÄSTMANLANDS LÄN</t>
        </is>
      </c>
      <c r="E2099" t="inlineStr">
        <is>
          <t>SALA</t>
        </is>
      </c>
      <c r="G2099" t="n">
        <v>2</v>
      </c>
      <c r="H2099" t="n">
        <v>0</v>
      </c>
      <c r="I2099" t="n">
        <v>0</v>
      </c>
      <c r="J2099" t="n">
        <v>0</v>
      </c>
      <c r="K2099" t="n">
        <v>0</v>
      </c>
      <c r="L2099" t="n">
        <v>0</v>
      </c>
      <c r="M2099" t="n">
        <v>0</v>
      </c>
      <c r="N2099" t="n">
        <v>0</v>
      </c>
      <c r="O2099" t="n">
        <v>0</v>
      </c>
      <c r="P2099" t="n">
        <v>0</v>
      </c>
      <c r="Q2099" t="n">
        <v>0</v>
      </c>
      <c r="R2099" s="2" t="inlineStr"/>
    </row>
    <row r="2100" ht="15" customHeight="1">
      <c r="A2100" t="inlineStr">
        <is>
          <t>A 10579-2022</t>
        </is>
      </c>
      <c r="B2100" s="1" t="n">
        <v>44624</v>
      </c>
      <c r="C2100" s="1" t="n">
        <v>45724</v>
      </c>
      <c r="D2100" t="inlineStr">
        <is>
          <t>VÄSTMANLANDS LÄN</t>
        </is>
      </c>
      <c r="E2100" t="inlineStr">
        <is>
          <t>SALA</t>
        </is>
      </c>
      <c r="G2100" t="n">
        <v>1</v>
      </c>
      <c r="H2100" t="n">
        <v>0</v>
      </c>
      <c r="I2100" t="n">
        <v>0</v>
      </c>
      <c r="J2100" t="n">
        <v>0</v>
      </c>
      <c r="K2100" t="n">
        <v>0</v>
      </c>
      <c r="L2100" t="n">
        <v>0</v>
      </c>
      <c r="M2100" t="n">
        <v>0</v>
      </c>
      <c r="N2100" t="n">
        <v>0</v>
      </c>
      <c r="O2100" t="n">
        <v>0</v>
      </c>
      <c r="P2100" t="n">
        <v>0</v>
      </c>
      <c r="Q2100" t="n">
        <v>0</v>
      </c>
      <c r="R2100" s="2" t="inlineStr"/>
    </row>
    <row r="2101" ht="15" customHeight="1">
      <c r="A2101" t="inlineStr">
        <is>
          <t>A 10761-2022</t>
        </is>
      </c>
      <c r="B2101" s="1" t="n">
        <v>44627</v>
      </c>
      <c r="C2101" s="1" t="n">
        <v>45724</v>
      </c>
      <c r="D2101" t="inlineStr">
        <is>
          <t>VÄSTMANLANDS LÄN</t>
        </is>
      </c>
      <c r="E2101" t="inlineStr">
        <is>
          <t>KÖPING</t>
        </is>
      </c>
      <c r="G2101" t="n">
        <v>2.1</v>
      </c>
      <c r="H2101" t="n">
        <v>0</v>
      </c>
      <c r="I2101" t="n">
        <v>0</v>
      </c>
      <c r="J2101" t="n">
        <v>0</v>
      </c>
      <c r="K2101" t="n">
        <v>0</v>
      </c>
      <c r="L2101" t="n">
        <v>0</v>
      </c>
      <c r="M2101" t="n">
        <v>0</v>
      </c>
      <c r="N2101" t="n">
        <v>0</v>
      </c>
      <c r="O2101" t="n">
        <v>0</v>
      </c>
      <c r="P2101" t="n">
        <v>0</v>
      </c>
      <c r="Q2101" t="n">
        <v>0</v>
      </c>
      <c r="R2101" s="2" t="inlineStr"/>
    </row>
    <row r="2102" ht="15" customHeight="1">
      <c r="A2102" t="inlineStr">
        <is>
          <t>A 10855-2022</t>
        </is>
      </c>
      <c r="B2102" s="1" t="n">
        <v>44627</v>
      </c>
      <c r="C2102" s="1" t="n">
        <v>45724</v>
      </c>
      <c r="D2102" t="inlineStr">
        <is>
          <t>VÄSTMANLANDS LÄN</t>
        </is>
      </c>
      <c r="E2102" t="inlineStr">
        <is>
          <t>VÄSTERÅS</t>
        </is>
      </c>
      <c r="G2102" t="n">
        <v>3</v>
      </c>
      <c r="H2102" t="n">
        <v>0</v>
      </c>
      <c r="I2102" t="n">
        <v>0</v>
      </c>
      <c r="J2102" t="n">
        <v>0</v>
      </c>
      <c r="K2102" t="n">
        <v>0</v>
      </c>
      <c r="L2102" t="n">
        <v>0</v>
      </c>
      <c r="M2102" t="n">
        <v>0</v>
      </c>
      <c r="N2102" t="n">
        <v>0</v>
      </c>
      <c r="O2102" t="n">
        <v>0</v>
      </c>
      <c r="P2102" t="n">
        <v>0</v>
      </c>
      <c r="Q2102" t="n">
        <v>0</v>
      </c>
      <c r="R2102" s="2" t="inlineStr"/>
    </row>
    <row r="2103" ht="15" customHeight="1">
      <c r="A2103" t="inlineStr">
        <is>
          <t>A 10870-2022</t>
        </is>
      </c>
      <c r="B2103" s="1" t="n">
        <v>44627</v>
      </c>
      <c r="C2103" s="1" t="n">
        <v>45724</v>
      </c>
      <c r="D2103" t="inlineStr">
        <is>
          <t>VÄSTMANLANDS LÄN</t>
        </is>
      </c>
      <c r="E2103" t="inlineStr">
        <is>
          <t>VÄSTERÅS</t>
        </is>
      </c>
      <c r="G2103" t="n">
        <v>5.3</v>
      </c>
      <c r="H2103" t="n">
        <v>0</v>
      </c>
      <c r="I2103" t="n">
        <v>0</v>
      </c>
      <c r="J2103" t="n">
        <v>0</v>
      </c>
      <c r="K2103" t="n">
        <v>0</v>
      </c>
      <c r="L2103" t="n">
        <v>0</v>
      </c>
      <c r="M2103" t="n">
        <v>0</v>
      </c>
      <c r="N2103" t="n">
        <v>0</v>
      </c>
      <c r="O2103" t="n">
        <v>0</v>
      </c>
      <c r="P2103" t="n">
        <v>0</v>
      </c>
      <c r="Q2103" t="n">
        <v>0</v>
      </c>
      <c r="R2103" s="2" t="inlineStr"/>
    </row>
    <row r="2104" ht="15" customHeight="1">
      <c r="A2104" t="inlineStr">
        <is>
          <t>A 11034-2022</t>
        </is>
      </c>
      <c r="B2104" s="1" t="n">
        <v>44628</v>
      </c>
      <c r="C2104" s="1" t="n">
        <v>45724</v>
      </c>
      <c r="D2104" t="inlineStr">
        <is>
          <t>VÄSTMANLANDS LÄN</t>
        </is>
      </c>
      <c r="E2104" t="inlineStr">
        <is>
          <t>KÖPING</t>
        </is>
      </c>
      <c r="G2104" t="n">
        <v>1.7</v>
      </c>
      <c r="H2104" t="n">
        <v>0</v>
      </c>
      <c r="I2104" t="n">
        <v>0</v>
      </c>
      <c r="J2104" t="n">
        <v>0</v>
      </c>
      <c r="K2104" t="n">
        <v>0</v>
      </c>
      <c r="L2104" t="n">
        <v>0</v>
      </c>
      <c r="M2104" t="n">
        <v>0</v>
      </c>
      <c r="N2104" t="n">
        <v>0</v>
      </c>
      <c r="O2104" t="n">
        <v>0</v>
      </c>
      <c r="P2104" t="n">
        <v>0</v>
      </c>
      <c r="Q2104" t="n">
        <v>0</v>
      </c>
      <c r="R2104" s="2" t="inlineStr"/>
    </row>
    <row r="2105" ht="15" customHeight="1">
      <c r="A2105" t="inlineStr">
        <is>
          <t>A 11047-2022</t>
        </is>
      </c>
      <c r="B2105" s="1" t="n">
        <v>44628</v>
      </c>
      <c r="C2105" s="1" t="n">
        <v>45724</v>
      </c>
      <c r="D2105" t="inlineStr">
        <is>
          <t>VÄSTMANLANDS LÄN</t>
        </is>
      </c>
      <c r="E2105" t="inlineStr">
        <is>
          <t>VÄSTERÅS</t>
        </is>
      </c>
      <c r="G2105" t="n">
        <v>1.2</v>
      </c>
      <c r="H2105" t="n">
        <v>0</v>
      </c>
      <c r="I2105" t="n">
        <v>0</v>
      </c>
      <c r="J2105" t="n">
        <v>0</v>
      </c>
      <c r="K2105" t="n">
        <v>0</v>
      </c>
      <c r="L2105" t="n">
        <v>0</v>
      </c>
      <c r="M2105" t="n">
        <v>0</v>
      </c>
      <c r="N2105" t="n">
        <v>0</v>
      </c>
      <c r="O2105" t="n">
        <v>0</v>
      </c>
      <c r="P2105" t="n">
        <v>0</v>
      </c>
      <c r="Q2105" t="n">
        <v>0</v>
      </c>
      <c r="R2105" s="2" t="inlineStr"/>
    </row>
    <row r="2106" ht="15" customHeight="1">
      <c r="A2106" t="inlineStr">
        <is>
          <t>A 11049-2022</t>
        </is>
      </c>
      <c r="B2106" s="1" t="n">
        <v>44628</v>
      </c>
      <c r="C2106" s="1" t="n">
        <v>45724</v>
      </c>
      <c r="D2106" t="inlineStr">
        <is>
          <t>VÄSTMANLANDS LÄN</t>
        </is>
      </c>
      <c r="E2106" t="inlineStr">
        <is>
          <t>VÄSTERÅS</t>
        </is>
      </c>
      <c r="G2106" t="n">
        <v>0.7</v>
      </c>
      <c r="H2106" t="n">
        <v>0</v>
      </c>
      <c r="I2106" t="n">
        <v>0</v>
      </c>
      <c r="J2106" t="n">
        <v>0</v>
      </c>
      <c r="K2106" t="n">
        <v>0</v>
      </c>
      <c r="L2106" t="n">
        <v>0</v>
      </c>
      <c r="M2106" t="n">
        <v>0</v>
      </c>
      <c r="N2106" t="n">
        <v>0</v>
      </c>
      <c r="O2106" t="n">
        <v>0</v>
      </c>
      <c r="P2106" t="n">
        <v>0</v>
      </c>
      <c r="Q2106" t="n">
        <v>0</v>
      </c>
      <c r="R2106" s="2" t="inlineStr"/>
    </row>
    <row r="2107" ht="15" customHeight="1">
      <c r="A2107" t="inlineStr">
        <is>
          <t>A 11044-2022</t>
        </is>
      </c>
      <c r="B2107" s="1" t="n">
        <v>44628</v>
      </c>
      <c r="C2107" s="1" t="n">
        <v>45724</v>
      </c>
      <c r="D2107" t="inlineStr">
        <is>
          <t>VÄSTMANLANDS LÄN</t>
        </is>
      </c>
      <c r="E2107" t="inlineStr">
        <is>
          <t>KÖPING</t>
        </is>
      </c>
      <c r="G2107" t="n">
        <v>3</v>
      </c>
      <c r="H2107" t="n">
        <v>0</v>
      </c>
      <c r="I2107" t="n">
        <v>0</v>
      </c>
      <c r="J2107" t="n">
        <v>0</v>
      </c>
      <c r="K2107" t="n">
        <v>0</v>
      </c>
      <c r="L2107" t="n">
        <v>0</v>
      </c>
      <c r="M2107" t="n">
        <v>0</v>
      </c>
      <c r="N2107" t="n">
        <v>0</v>
      </c>
      <c r="O2107" t="n">
        <v>0</v>
      </c>
      <c r="P2107" t="n">
        <v>0</v>
      </c>
      <c r="Q2107" t="n">
        <v>0</v>
      </c>
      <c r="R2107" s="2" t="inlineStr"/>
    </row>
    <row r="2108" ht="15" customHeight="1">
      <c r="A2108" t="inlineStr">
        <is>
          <t>A 11077-2022</t>
        </is>
      </c>
      <c r="B2108" s="1" t="n">
        <v>44628</v>
      </c>
      <c r="C2108" s="1" t="n">
        <v>45724</v>
      </c>
      <c r="D2108" t="inlineStr">
        <is>
          <t>VÄSTMANLANDS LÄN</t>
        </is>
      </c>
      <c r="E2108" t="inlineStr">
        <is>
          <t>VÄSTERÅS</t>
        </is>
      </c>
      <c r="G2108" t="n">
        <v>1.7</v>
      </c>
      <c r="H2108" t="n">
        <v>0</v>
      </c>
      <c r="I2108" t="n">
        <v>0</v>
      </c>
      <c r="J2108" t="n">
        <v>0</v>
      </c>
      <c r="K2108" t="n">
        <v>0</v>
      </c>
      <c r="L2108" t="n">
        <v>0</v>
      </c>
      <c r="M2108" t="n">
        <v>0</v>
      </c>
      <c r="N2108" t="n">
        <v>0</v>
      </c>
      <c r="O2108" t="n">
        <v>0</v>
      </c>
      <c r="P2108" t="n">
        <v>0</v>
      </c>
      <c r="Q2108" t="n">
        <v>0</v>
      </c>
      <c r="R2108" s="2" t="inlineStr"/>
    </row>
    <row r="2109" ht="15" customHeight="1">
      <c r="A2109" t="inlineStr">
        <is>
          <t>A 11099-2022</t>
        </is>
      </c>
      <c r="B2109" s="1" t="n">
        <v>44628</v>
      </c>
      <c r="C2109" s="1" t="n">
        <v>45724</v>
      </c>
      <c r="D2109" t="inlineStr">
        <is>
          <t>VÄSTMANLANDS LÄN</t>
        </is>
      </c>
      <c r="E2109" t="inlineStr">
        <is>
          <t>NORBERG</t>
        </is>
      </c>
      <c r="G2109" t="n">
        <v>2.4</v>
      </c>
      <c r="H2109" t="n">
        <v>0</v>
      </c>
      <c r="I2109" t="n">
        <v>0</v>
      </c>
      <c r="J2109" t="n">
        <v>0</v>
      </c>
      <c r="K2109" t="n">
        <v>0</v>
      </c>
      <c r="L2109" t="n">
        <v>0</v>
      </c>
      <c r="M2109" t="n">
        <v>0</v>
      </c>
      <c r="N2109" t="n">
        <v>0</v>
      </c>
      <c r="O2109" t="n">
        <v>0</v>
      </c>
      <c r="P2109" t="n">
        <v>0</v>
      </c>
      <c r="Q2109" t="n">
        <v>0</v>
      </c>
      <c r="R2109" s="2" t="inlineStr"/>
    </row>
    <row r="2110" ht="15" customHeight="1">
      <c r="A2110" t="inlineStr">
        <is>
          <t>A 11327-2022</t>
        </is>
      </c>
      <c r="B2110" s="1" t="n">
        <v>44629</v>
      </c>
      <c r="C2110" s="1" t="n">
        <v>45724</v>
      </c>
      <c r="D2110" t="inlineStr">
        <is>
          <t>VÄSTMANLANDS LÄN</t>
        </is>
      </c>
      <c r="E2110" t="inlineStr">
        <is>
          <t>SKINNSKATTEBERG</t>
        </is>
      </c>
      <c r="G2110" t="n">
        <v>37.6</v>
      </c>
      <c r="H2110" t="n">
        <v>0</v>
      </c>
      <c r="I2110" t="n">
        <v>0</v>
      </c>
      <c r="J2110" t="n">
        <v>0</v>
      </c>
      <c r="K2110" t="n">
        <v>0</v>
      </c>
      <c r="L2110" t="n">
        <v>0</v>
      </c>
      <c r="M2110" t="n">
        <v>0</v>
      </c>
      <c r="N2110" t="n">
        <v>0</v>
      </c>
      <c r="O2110" t="n">
        <v>0</v>
      </c>
      <c r="P2110" t="n">
        <v>0</v>
      </c>
      <c r="Q2110" t="n">
        <v>0</v>
      </c>
      <c r="R2110" s="2" t="inlineStr"/>
    </row>
    <row r="2111" ht="15" customHeight="1">
      <c r="A2111" t="inlineStr">
        <is>
          <t>A 11370-2022</t>
        </is>
      </c>
      <c r="B2111" s="1" t="n">
        <v>44630</v>
      </c>
      <c r="C2111" s="1" t="n">
        <v>45724</v>
      </c>
      <c r="D2111" t="inlineStr">
        <is>
          <t>VÄSTMANLANDS LÄN</t>
        </is>
      </c>
      <c r="E2111" t="inlineStr">
        <is>
          <t>SALA</t>
        </is>
      </c>
      <c r="G2111" t="n">
        <v>4.3</v>
      </c>
      <c r="H2111" t="n">
        <v>0</v>
      </c>
      <c r="I2111" t="n">
        <v>0</v>
      </c>
      <c r="J2111" t="n">
        <v>0</v>
      </c>
      <c r="K2111" t="n">
        <v>0</v>
      </c>
      <c r="L2111" t="n">
        <v>0</v>
      </c>
      <c r="M2111" t="n">
        <v>0</v>
      </c>
      <c r="N2111" t="n">
        <v>0</v>
      </c>
      <c r="O2111" t="n">
        <v>0</v>
      </c>
      <c r="P2111" t="n">
        <v>0</v>
      </c>
      <c r="Q2111" t="n">
        <v>0</v>
      </c>
      <c r="R2111" s="2" t="inlineStr"/>
    </row>
    <row r="2112" ht="15" customHeight="1">
      <c r="A2112" t="inlineStr">
        <is>
          <t>A 11635-2022</t>
        </is>
      </c>
      <c r="B2112" s="1" t="n">
        <v>44631</v>
      </c>
      <c r="C2112" s="1" t="n">
        <v>45724</v>
      </c>
      <c r="D2112" t="inlineStr">
        <is>
          <t>VÄSTMANLANDS LÄN</t>
        </is>
      </c>
      <c r="E2112" t="inlineStr">
        <is>
          <t>ARBOGA</t>
        </is>
      </c>
      <c r="G2112" t="n">
        <v>2.3</v>
      </c>
      <c r="H2112" t="n">
        <v>0</v>
      </c>
      <c r="I2112" t="n">
        <v>0</v>
      </c>
      <c r="J2112" t="n">
        <v>0</v>
      </c>
      <c r="K2112" t="n">
        <v>0</v>
      </c>
      <c r="L2112" t="n">
        <v>0</v>
      </c>
      <c r="M2112" t="n">
        <v>0</v>
      </c>
      <c r="N2112" t="n">
        <v>0</v>
      </c>
      <c r="O2112" t="n">
        <v>0</v>
      </c>
      <c r="P2112" t="n">
        <v>0</v>
      </c>
      <c r="Q2112" t="n">
        <v>0</v>
      </c>
      <c r="R2112" s="2" t="inlineStr"/>
    </row>
    <row r="2113" ht="15" customHeight="1">
      <c r="A2113" t="inlineStr">
        <is>
          <t>A 11744-2022</t>
        </is>
      </c>
      <c r="B2113" s="1" t="n">
        <v>44634</v>
      </c>
      <c r="C2113" s="1" t="n">
        <v>45724</v>
      </c>
      <c r="D2113" t="inlineStr">
        <is>
          <t>VÄSTMANLANDS LÄN</t>
        </is>
      </c>
      <c r="E2113" t="inlineStr">
        <is>
          <t>ARBOGA</t>
        </is>
      </c>
      <c r="G2113" t="n">
        <v>1.2</v>
      </c>
      <c r="H2113" t="n">
        <v>0</v>
      </c>
      <c r="I2113" t="n">
        <v>0</v>
      </c>
      <c r="J2113" t="n">
        <v>0</v>
      </c>
      <c r="K2113" t="n">
        <v>0</v>
      </c>
      <c r="L2113" t="n">
        <v>0</v>
      </c>
      <c r="M2113" t="n">
        <v>0</v>
      </c>
      <c r="N2113" t="n">
        <v>0</v>
      </c>
      <c r="O2113" t="n">
        <v>0</v>
      </c>
      <c r="P2113" t="n">
        <v>0</v>
      </c>
      <c r="Q2113" t="n">
        <v>0</v>
      </c>
      <c r="R2113" s="2" t="inlineStr"/>
    </row>
    <row r="2114" ht="15" customHeight="1">
      <c r="A2114" t="inlineStr">
        <is>
          <t>A 11950-2022</t>
        </is>
      </c>
      <c r="B2114" s="1" t="n">
        <v>44635</v>
      </c>
      <c r="C2114" s="1" t="n">
        <v>45724</v>
      </c>
      <c r="D2114" t="inlineStr">
        <is>
          <t>VÄSTMANLANDS LÄN</t>
        </is>
      </c>
      <c r="E2114" t="inlineStr">
        <is>
          <t>VÄSTERÅS</t>
        </is>
      </c>
      <c r="G2114" t="n">
        <v>3</v>
      </c>
      <c r="H2114" t="n">
        <v>0</v>
      </c>
      <c r="I2114" t="n">
        <v>0</v>
      </c>
      <c r="J2114" t="n">
        <v>0</v>
      </c>
      <c r="K2114" t="n">
        <v>0</v>
      </c>
      <c r="L2114" t="n">
        <v>0</v>
      </c>
      <c r="M2114" t="n">
        <v>0</v>
      </c>
      <c r="N2114" t="n">
        <v>0</v>
      </c>
      <c r="O2114" t="n">
        <v>0</v>
      </c>
      <c r="P2114" t="n">
        <v>0</v>
      </c>
      <c r="Q2114" t="n">
        <v>0</v>
      </c>
      <c r="R2114" s="2" t="inlineStr"/>
    </row>
    <row r="2115" ht="15" customHeight="1">
      <c r="A2115" t="inlineStr">
        <is>
          <t>A 11983-2022</t>
        </is>
      </c>
      <c r="B2115" s="1" t="n">
        <v>44635</v>
      </c>
      <c r="C2115" s="1" t="n">
        <v>45724</v>
      </c>
      <c r="D2115" t="inlineStr">
        <is>
          <t>VÄSTMANLANDS LÄN</t>
        </is>
      </c>
      <c r="E2115" t="inlineStr">
        <is>
          <t>VÄSTERÅS</t>
        </is>
      </c>
      <c r="G2115" t="n">
        <v>6.5</v>
      </c>
      <c r="H2115" t="n">
        <v>0</v>
      </c>
      <c r="I2115" t="n">
        <v>0</v>
      </c>
      <c r="J2115" t="n">
        <v>0</v>
      </c>
      <c r="K2115" t="n">
        <v>0</v>
      </c>
      <c r="L2115" t="n">
        <v>0</v>
      </c>
      <c r="M2115" t="n">
        <v>0</v>
      </c>
      <c r="N2115" t="n">
        <v>0</v>
      </c>
      <c r="O2115" t="n">
        <v>0</v>
      </c>
      <c r="P2115" t="n">
        <v>0</v>
      </c>
      <c r="Q2115" t="n">
        <v>0</v>
      </c>
      <c r="R2115" s="2" t="inlineStr"/>
    </row>
    <row r="2116" ht="15" customHeight="1">
      <c r="A2116" t="inlineStr">
        <is>
          <t>A 11971-2022</t>
        </is>
      </c>
      <c r="B2116" s="1" t="n">
        <v>44635</v>
      </c>
      <c r="C2116" s="1" t="n">
        <v>45724</v>
      </c>
      <c r="D2116" t="inlineStr">
        <is>
          <t>VÄSTMANLANDS LÄN</t>
        </is>
      </c>
      <c r="E2116" t="inlineStr">
        <is>
          <t>VÄSTERÅS</t>
        </is>
      </c>
      <c r="G2116" t="n">
        <v>8</v>
      </c>
      <c r="H2116" t="n">
        <v>0</v>
      </c>
      <c r="I2116" t="n">
        <v>0</v>
      </c>
      <c r="J2116" t="n">
        <v>0</v>
      </c>
      <c r="K2116" t="n">
        <v>0</v>
      </c>
      <c r="L2116" t="n">
        <v>0</v>
      </c>
      <c r="M2116" t="n">
        <v>0</v>
      </c>
      <c r="N2116" t="n">
        <v>0</v>
      </c>
      <c r="O2116" t="n">
        <v>0</v>
      </c>
      <c r="P2116" t="n">
        <v>0</v>
      </c>
      <c r="Q2116" t="n">
        <v>0</v>
      </c>
      <c r="R2116" s="2" t="inlineStr"/>
    </row>
    <row r="2117" ht="15" customHeight="1">
      <c r="A2117" t="inlineStr">
        <is>
          <t>A 11989-2022</t>
        </is>
      </c>
      <c r="B2117" s="1" t="n">
        <v>44635</v>
      </c>
      <c r="C2117" s="1" t="n">
        <v>45724</v>
      </c>
      <c r="D2117" t="inlineStr">
        <is>
          <t>VÄSTMANLANDS LÄN</t>
        </is>
      </c>
      <c r="E2117" t="inlineStr">
        <is>
          <t>VÄSTERÅS</t>
        </is>
      </c>
      <c r="G2117" t="n">
        <v>12</v>
      </c>
      <c r="H2117" t="n">
        <v>0</v>
      </c>
      <c r="I2117" t="n">
        <v>0</v>
      </c>
      <c r="J2117" t="n">
        <v>0</v>
      </c>
      <c r="K2117" t="n">
        <v>0</v>
      </c>
      <c r="L2117" t="n">
        <v>0</v>
      </c>
      <c r="M2117" t="n">
        <v>0</v>
      </c>
      <c r="N2117" t="n">
        <v>0</v>
      </c>
      <c r="O2117" t="n">
        <v>0</v>
      </c>
      <c r="P2117" t="n">
        <v>0</v>
      </c>
      <c r="Q2117" t="n">
        <v>0</v>
      </c>
      <c r="R2117" s="2" t="inlineStr"/>
    </row>
    <row r="2118" ht="15" customHeight="1">
      <c r="A2118" t="inlineStr">
        <is>
          <t>A 12233-2022</t>
        </is>
      </c>
      <c r="B2118" s="1" t="n">
        <v>44635</v>
      </c>
      <c r="C2118" s="1" t="n">
        <v>45724</v>
      </c>
      <c r="D2118" t="inlineStr">
        <is>
          <t>VÄSTMANLANDS LÄN</t>
        </is>
      </c>
      <c r="E2118" t="inlineStr">
        <is>
          <t>NORBERG</t>
        </is>
      </c>
      <c r="G2118" t="n">
        <v>0.4</v>
      </c>
      <c r="H2118" t="n">
        <v>0</v>
      </c>
      <c r="I2118" t="n">
        <v>0</v>
      </c>
      <c r="J2118" t="n">
        <v>0</v>
      </c>
      <c r="K2118" t="n">
        <v>0</v>
      </c>
      <c r="L2118" t="n">
        <v>0</v>
      </c>
      <c r="M2118" t="n">
        <v>0</v>
      </c>
      <c r="N2118" t="n">
        <v>0</v>
      </c>
      <c r="O2118" t="n">
        <v>0</v>
      </c>
      <c r="P2118" t="n">
        <v>0</v>
      </c>
      <c r="Q2118" t="n">
        <v>0</v>
      </c>
      <c r="R2118" s="2" t="inlineStr"/>
    </row>
    <row r="2119" ht="15" customHeight="1">
      <c r="A2119" t="inlineStr">
        <is>
          <t>A 12077-2022</t>
        </is>
      </c>
      <c r="B2119" s="1" t="n">
        <v>44636</v>
      </c>
      <c r="C2119" s="1" t="n">
        <v>45724</v>
      </c>
      <c r="D2119" t="inlineStr">
        <is>
          <t>VÄSTMANLANDS LÄN</t>
        </is>
      </c>
      <c r="E2119" t="inlineStr">
        <is>
          <t>HALLSTAHAMMAR</t>
        </is>
      </c>
      <c r="G2119" t="n">
        <v>2.1</v>
      </c>
      <c r="H2119" t="n">
        <v>0</v>
      </c>
      <c r="I2119" t="n">
        <v>0</v>
      </c>
      <c r="J2119" t="n">
        <v>0</v>
      </c>
      <c r="K2119" t="n">
        <v>0</v>
      </c>
      <c r="L2119" t="n">
        <v>0</v>
      </c>
      <c r="M2119" t="n">
        <v>0</v>
      </c>
      <c r="N2119" t="n">
        <v>0</v>
      </c>
      <c r="O2119" t="n">
        <v>0</v>
      </c>
      <c r="P2119" t="n">
        <v>0</v>
      </c>
      <c r="Q2119" t="n">
        <v>0</v>
      </c>
      <c r="R2119" s="2" t="inlineStr"/>
    </row>
    <row r="2120" ht="15" customHeight="1">
      <c r="A2120" t="inlineStr">
        <is>
          <t>A 12131-2022</t>
        </is>
      </c>
      <c r="B2120" s="1" t="n">
        <v>44636</v>
      </c>
      <c r="C2120" s="1" t="n">
        <v>45724</v>
      </c>
      <c r="D2120" t="inlineStr">
        <is>
          <t>VÄSTMANLANDS LÄN</t>
        </is>
      </c>
      <c r="E2120" t="inlineStr">
        <is>
          <t>VÄSTERÅS</t>
        </is>
      </c>
      <c r="G2120" t="n">
        <v>1.2</v>
      </c>
      <c r="H2120" t="n">
        <v>0</v>
      </c>
      <c r="I2120" t="n">
        <v>0</v>
      </c>
      <c r="J2120" t="n">
        <v>0</v>
      </c>
      <c r="K2120" t="n">
        <v>0</v>
      </c>
      <c r="L2120" t="n">
        <v>0</v>
      </c>
      <c r="M2120" t="n">
        <v>0</v>
      </c>
      <c r="N2120" t="n">
        <v>0</v>
      </c>
      <c r="O2120" t="n">
        <v>0</v>
      </c>
      <c r="P2120" t="n">
        <v>0</v>
      </c>
      <c r="Q2120" t="n">
        <v>0</v>
      </c>
      <c r="R2120" s="2" t="inlineStr"/>
    </row>
    <row r="2121" ht="15" customHeight="1">
      <c r="A2121" t="inlineStr">
        <is>
          <t>A 12148-2022</t>
        </is>
      </c>
      <c r="B2121" s="1" t="n">
        <v>44636</v>
      </c>
      <c r="C2121" s="1" t="n">
        <v>45724</v>
      </c>
      <c r="D2121" t="inlineStr">
        <is>
          <t>VÄSTMANLANDS LÄN</t>
        </is>
      </c>
      <c r="E2121" t="inlineStr">
        <is>
          <t>VÄSTERÅS</t>
        </is>
      </c>
      <c r="F2121" t="inlineStr">
        <is>
          <t>Kommuner</t>
        </is>
      </c>
      <c r="G2121" t="n">
        <v>2.3</v>
      </c>
      <c r="H2121" t="n">
        <v>0</v>
      </c>
      <c r="I2121" t="n">
        <v>0</v>
      </c>
      <c r="J2121" t="n">
        <v>0</v>
      </c>
      <c r="K2121" t="n">
        <v>0</v>
      </c>
      <c r="L2121" t="n">
        <v>0</v>
      </c>
      <c r="M2121" t="n">
        <v>0</v>
      </c>
      <c r="N2121" t="n">
        <v>0</v>
      </c>
      <c r="O2121" t="n">
        <v>0</v>
      </c>
      <c r="P2121" t="n">
        <v>0</v>
      </c>
      <c r="Q2121" t="n">
        <v>0</v>
      </c>
      <c r="R2121" s="2" t="inlineStr"/>
    </row>
    <row r="2122" ht="15" customHeight="1">
      <c r="A2122" t="inlineStr">
        <is>
          <t>A 12143-2022</t>
        </is>
      </c>
      <c r="B2122" s="1" t="n">
        <v>44636</v>
      </c>
      <c r="C2122" s="1" t="n">
        <v>45724</v>
      </c>
      <c r="D2122" t="inlineStr">
        <is>
          <t>VÄSTMANLANDS LÄN</t>
        </is>
      </c>
      <c r="E2122" t="inlineStr">
        <is>
          <t>VÄSTERÅS</t>
        </is>
      </c>
      <c r="F2122" t="inlineStr">
        <is>
          <t>Kommuner</t>
        </is>
      </c>
      <c r="G2122" t="n">
        <v>12.9</v>
      </c>
      <c r="H2122" t="n">
        <v>0</v>
      </c>
      <c r="I2122" t="n">
        <v>0</v>
      </c>
      <c r="J2122" t="n">
        <v>0</v>
      </c>
      <c r="K2122" t="n">
        <v>0</v>
      </c>
      <c r="L2122" t="n">
        <v>0</v>
      </c>
      <c r="M2122" t="n">
        <v>0</v>
      </c>
      <c r="N2122" t="n">
        <v>0</v>
      </c>
      <c r="O2122" t="n">
        <v>0</v>
      </c>
      <c r="P2122" t="n">
        <v>0</v>
      </c>
      <c r="Q2122" t="n">
        <v>0</v>
      </c>
      <c r="R2122" s="2" t="inlineStr"/>
    </row>
    <row r="2123" ht="15" customHeight="1">
      <c r="A2123" t="inlineStr">
        <is>
          <t>A 12138-2022</t>
        </is>
      </c>
      <c r="B2123" s="1" t="n">
        <v>44636</v>
      </c>
      <c r="C2123" s="1" t="n">
        <v>45724</v>
      </c>
      <c r="D2123" t="inlineStr">
        <is>
          <t>VÄSTMANLANDS LÄN</t>
        </is>
      </c>
      <c r="E2123" t="inlineStr">
        <is>
          <t>VÄSTERÅS</t>
        </is>
      </c>
      <c r="F2123" t="inlineStr">
        <is>
          <t>Kommuner</t>
        </is>
      </c>
      <c r="G2123" t="n">
        <v>1.2</v>
      </c>
      <c r="H2123" t="n">
        <v>0</v>
      </c>
      <c r="I2123" t="n">
        <v>0</v>
      </c>
      <c r="J2123" t="n">
        <v>0</v>
      </c>
      <c r="K2123" t="n">
        <v>0</v>
      </c>
      <c r="L2123" t="n">
        <v>0</v>
      </c>
      <c r="M2123" t="n">
        <v>0</v>
      </c>
      <c r="N2123" t="n">
        <v>0</v>
      </c>
      <c r="O2123" t="n">
        <v>0</v>
      </c>
      <c r="P2123" t="n">
        <v>0</v>
      </c>
      <c r="Q2123" t="n">
        <v>0</v>
      </c>
      <c r="R2123" s="2" t="inlineStr"/>
    </row>
    <row r="2124" ht="15" customHeight="1">
      <c r="A2124" t="inlineStr">
        <is>
          <t>A 12258-2022</t>
        </is>
      </c>
      <c r="B2124" s="1" t="n">
        <v>44637</v>
      </c>
      <c r="C2124" s="1" t="n">
        <v>45724</v>
      </c>
      <c r="D2124" t="inlineStr">
        <is>
          <t>VÄSTMANLANDS LÄN</t>
        </is>
      </c>
      <c r="E2124" t="inlineStr">
        <is>
          <t>VÄSTERÅS</t>
        </is>
      </c>
      <c r="G2124" t="n">
        <v>5.6</v>
      </c>
      <c r="H2124" t="n">
        <v>0</v>
      </c>
      <c r="I2124" t="n">
        <v>0</v>
      </c>
      <c r="J2124" t="n">
        <v>0</v>
      </c>
      <c r="K2124" t="n">
        <v>0</v>
      </c>
      <c r="L2124" t="n">
        <v>0</v>
      </c>
      <c r="M2124" t="n">
        <v>0</v>
      </c>
      <c r="N2124" t="n">
        <v>0</v>
      </c>
      <c r="O2124" t="n">
        <v>0</v>
      </c>
      <c r="P2124" t="n">
        <v>0</v>
      </c>
      <c r="Q2124" t="n">
        <v>0</v>
      </c>
      <c r="R2124" s="2" t="inlineStr"/>
    </row>
    <row r="2125" ht="15" customHeight="1">
      <c r="A2125" t="inlineStr">
        <is>
          <t>A 12245-2022</t>
        </is>
      </c>
      <c r="B2125" s="1" t="n">
        <v>44637</v>
      </c>
      <c r="C2125" s="1" t="n">
        <v>45724</v>
      </c>
      <c r="D2125" t="inlineStr">
        <is>
          <t>VÄSTMANLANDS LÄN</t>
        </is>
      </c>
      <c r="E2125" t="inlineStr">
        <is>
          <t>SALA</t>
        </is>
      </c>
      <c r="G2125" t="n">
        <v>1.1</v>
      </c>
      <c r="H2125" t="n">
        <v>0</v>
      </c>
      <c r="I2125" t="n">
        <v>0</v>
      </c>
      <c r="J2125" t="n">
        <v>0</v>
      </c>
      <c r="K2125" t="n">
        <v>0</v>
      </c>
      <c r="L2125" t="n">
        <v>0</v>
      </c>
      <c r="M2125" t="n">
        <v>0</v>
      </c>
      <c r="N2125" t="n">
        <v>0</v>
      </c>
      <c r="O2125" t="n">
        <v>0</v>
      </c>
      <c r="P2125" t="n">
        <v>0</v>
      </c>
      <c r="Q2125" t="n">
        <v>0</v>
      </c>
      <c r="R2125" s="2" t="inlineStr"/>
    </row>
    <row r="2126" ht="15" customHeight="1">
      <c r="A2126" t="inlineStr">
        <is>
          <t>A 12909-2022</t>
        </is>
      </c>
      <c r="B2126" s="1" t="n">
        <v>44642</v>
      </c>
      <c r="C2126" s="1" t="n">
        <v>45724</v>
      </c>
      <c r="D2126" t="inlineStr">
        <is>
          <t>VÄSTMANLANDS LÄN</t>
        </is>
      </c>
      <c r="E2126" t="inlineStr">
        <is>
          <t>ARBOGA</t>
        </is>
      </c>
      <c r="G2126" t="n">
        <v>1.2</v>
      </c>
      <c r="H2126" t="n">
        <v>0</v>
      </c>
      <c r="I2126" t="n">
        <v>0</v>
      </c>
      <c r="J2126" t="n">
        <v>0</v>
      </c>
      <c r="K2126" t="n">
        <v>0</v>
      </c>
      <c r="L2126" t="n">
        <v>0</v>
      </c>
      <c r="M2126" t="n">
        <v>0</v>
      </c>
      <c r="N2126" t="n">
        <v>0</v>
      </c>
      <c r="O2126" t="n">
        <v>0</v>
      </c>
      <c r="P2126" t="n">
        <v>0</v>
      </c>
      <c r="Q2126" t="n">
        <v>0</v>
      </c>
      <c r="R2126" s="2" t="inlineStr"/>
    </row>
    <row r="2127" ht="15" customHeight="1">
      <c r="A2127" t="inlineStr">
        <is>
          <t>A 12928-2022</t>
        </is>
      </c>
      <c r="B2127" s="1" t="n">
        <v>44642</v>
      </c>
      <c r="C2127" s="1" t="n">
        <v>45724</v>
      </c>
      <c r="D2127" t="inlineStr">
        <is>
          <t>VÄSTMANLANDS LÄN</t>
        </is>
      </c>
      <c r="E2127" t="inlineStr">
        <is>
          <t>VÄSTERÅS</t>
        </is>
      </c>
      <c r="G2127" t="n">
        <v>3</v>
      </c>
      <c r="H2127" t="n">
        <v>0</v>
      </c>
      <c r="I2127" t="n">
        <v>0</v>
      </c>
      <c r="J2127" t="n">
        <v>0</v>
      </c>
      <c r="K2127" t="n">
        <v>0</v>
      </c>
      <c r="L2127" t="n">
        <v>0</v>
      </c>
      <c r="M2127" t="n">
        <v>0</v>
      </c>
      <c r="N2127" t="n">
        <v>0</v>
      </c>
      <c r="O2127" t="n">
        <v>0</v>
      </c>
      <c r="P2127" t="n">
        <v>0</v>
      </c>
      <c r="Q2127" t="n">
        <v>0</v>
      </c>
      <c r="R2127" s="2" t="inlineStr"/>
    </row>
    <row r="2128" ht="15" customHeight="1">
      <c r="A2128" t="inlineStr">
        <is>
          <t>A 13119-2022</t>
        </is>
      </c>
      <c r="B2128" s="1" t="n">
        <v>44643</v>
      </c>
      <c r="C2128" s="1" t="n">
        <v>45724</v>
      </c>
      <c r="D2128" t="inlineStr">
        <is>
          <t>VÄSTMANLANDS LÄN</t>
        </is>
      </c>
      <c r="E2128" t="inlineStr">
        <is>
          <t>SURAHAMMAR</t>
        </is>
      </c>
      <c r="F2128" t="inlineStr">
        <is>
          <t>Bergvik skog väst AB</t>
        </is>
      </c>
      <c r="G2128" t="n">
        <v>2</v>
      </c>
      <c r="H2128" t="n">
        <v>0</v>
      </c>
      <c r="I2128" t="n">
        <v>0</v>
      </c>
      <c r="J2128" t="n">
        <v>0</v>
      </c>
      <c r="K2128" t="n">
        <v>0</v>
      </c>
      <c r="L2128" t="n">
        <v>0</v>
      </c>
      <c r="M2128" t="n">
        <v>0</v>
      </c>
      <c r="N2128" t="n">
        <v>0</v>
      </c>
      <c r="O2128" t="n">
        <v>0</v>
      </c>
      <c r="P2128" t="n">
        <v>0</v>
      </c>
      <c r="Q2128" t="n">
        <v>0</v>
      </c>
      <c r="R2128" s="2" t="inlineStr"/>
    </row>
    <row r="2129" ht="15" customHeight="1">
      <c r="A2129" t="inlineStr">
        <is>
          <t>A 13070-2022</t>
        </is>
      </c>
      <c r="B2129" s="1" t="n">
        <v>44643</v>
      </c>
      <c r="C2129" s="1" t="n">
        <v>45724</v>
      </c>
      <c r="D2129" t="inlineStr">
        <is>
          <t>VÄSTMANLANDS LÄN</t>
        </is>
      </c>
      <c r="E2129" t="inlineStr">
        <is>
          <t>SURAHAMMAR</t>
        </is>
      </c>
      <c r="F2129" t="inlineStr">
        <is>
          <t>Bergvik skog väst AB</t>
        </is>
      </c>
      <c r="G2129" t="n">
        <v>4.3</v>
      </c>
      <c r="H2129" t="n">
        <v>0</v>
      </c>
      <c r="I2129" t="n">
        <v>0</v>
      </c>
      <c r="J2129" t="n">
        <v>0</v>
      </c>
      <c r="K2129" t="n">
        <v>0</v>
      </c>
      <c r="L2129" t="n">
        <v>0</v>
      </c>
      <c r="M2129" t="n">
        <v>0</v>
      </c>
      <c r="N2129" t="n">
        <v>0</v>
      </c>
      <c r="O2129" t="n">
        <v>0</v>
      </c>
      <c r="P2129" t="n">
        <v>0</v>
      </c>
      <c r="Q2129" t="n">
        <v>0</v>
      </c>
      <c r="R2129" s="2" t="inlineStr"/>
    </row>
    <row r="2130" ht="15" customHeight="1">
      <c r="A2130" t="inlineStr">
        <is>
          <t>A 13367-2022</t>
        </is>
      </c>
      <c r="B2130" s="1" t="n">
        <v>44645</v>
      </c>
      <c r="C2130" s="1" t="n">
        <v>45724</v>
      </c>
      <c r="D2130" t="inlineStr">
        <is>
          <t>VÄSTMANLANDS LÄN</t>
        </is>
      </c>
      <c r="E2130" t="inlineStr">
        <is>
          <t>VÄSTERÅS</t>
        </is>
      </c>
      <c r="G2130" t="n">
        <v>0.3</v>
      </c>
      <c r="H2130" t="n">
        <v>0</v>
      </c>
      <c r="I2130" t="n">
        <v>0</v>
      </c>
      <c r="J2130" t="n">
        <v>0</v>
      </c>
      <c r="K2130" t="n">
        <v>0</v>
      </c>
      <c r="L2130" t="n">
        <v>0</v>
      </c>
      <c r="M2130" t="n">
        <v>0</v>
      </c>
      <c r="N2130" t="n">
        <v>0</v>
      </c>
      <c r="O2130" t="n">
        <v>0</v>
      </c>
      <c r="P2130" t="n">
        <v>0</v>
      </c>
      <c r="Q2130" t="n">
        <v>0</v>
      </c>
      <c r="R2130" s="2" t="inlineStr"/>
    </row>
    <row r="2131" ht="15" customHeight="1">
      <c r="A2131" t="inlineStr">
        <is>
          <t>A 13614-2022</t>
        </is>
      </c>
      <c r="B2131" s="1" t="n">
        <v>44648</v>
      </c>
      <c r="C2131" s="1" t="n">
        <v>45724</v>
      </c>
      <c r="D2131" t="inlineStr">
        <is>
          <t>VÄSTMANLANDS LÄN</t>
        </is>
      </c>
      <c r="E2131" t="inlineStr">
        <is>
          <t>VÄSTERÅS</t>
        </is>
      </c>
      <c r="G2131" t="n">
        <v>1.4</v>
      </c>
      <c r="H2131" t="n">
        <v>0</v>
      </c>
      <c r="I2131" t="n">
        <v>0</v>
      </c>
      <c r="J2131" t="n">
        <v>0</v>
      </c>
      <c r="K2131" t="n">
        <v>0</v>
      </c>
      <c r="L2131" t="n">
        <v>0</v>
      </c>
      <c r="M2131" t="n">
        <v>0</v>
      </c>
      <c r="N2131" t="n">
        <v>0</v>
      </c>
      <c r="O2131" t="n">
        <v>0</v>
      </c>
      <c r="P2131" t="n">
        <v>0</v>
      </c>
      <c r="Q2131" t="n">
        <v>0</v>
      </c>
      <c r="R2131" s="2" t="inlineStr"/>
    </row>
    <row r="2132" ht="15" customHeight="1">
      <c r="A2132" t="inlineStr">
        <is>
          <t>A 13608-2022</t>
        </is>
      </c>
      <c r="B2132" s="1" t="n">
        <v>44648</v>
      </c>
      <c r="C2132" s="1" t="n">
        <v>45724</v>
      </c>
      <c r="D2132" t="inlineStr">
        <is>
          <t>VÄSTMANLANDS LÄN</t>
        </is>
      </c>
      <c r="E2132" t="inlineStr">
        <is>
          <t>SALA</t>
        </is>
      </c>
      <c r="G2132" t="n">
        <v>5.9</v>
      </c>
      <c r="H2132" t="n">
        <v>0</v>
      </c>
      <c r="I2132" t="n">
        <v>0</v>
      </c>
      <c r="J2132" t="n">
        <v>0</v>
      </c>
      <c r="K2132" t="n">
        <v>0</v>
      </c>
      <c r="L2132" t="n">
        <v>0</v>
      </c>
      <c r="M2132" t="n">
        <v>0</v>
      </c>
      <c r="N2132" t="n">
        <v>0</v>
      </c>
      <c r="O2132" t="n">
        <v>0</v>
      </c>
      <c r="P2132" t="n">
        <v>0</v>
      </c>
      <c r="Q2132" t="n">
        <v>0</v>
      </c>
      <c r="R2132" s="2" t="inlineStr"/>
    </row>
    <row r="2133" ht="15" customHeight="1">
      <c r="A2133" t="inlineStr">
        <is>
          <t>A 13676-2022</t>
        </is>
      </c>
      <c r="B2133" s="1" t="n">
        <v>44648</v>
      </c>
      <c r="C2133" s="1" t="n">
        <v>45724</v>
      </c>
      <c r="D2133" t="inlineStr">
        <is>
          <t>VÄSTMANLANDS LÄN</t>
        </is>
      </c>
      <c r="E2133" t="inlineStr">
        <is>
          <t>SKINNSKATTEBERG</t>
        </is>
      </c>
      <c r="G2133" t="n">
        <v>1.4</v>
      </c>
      <c r="H2133" t="n">
        <v>0</v>
      </c>
      <c r="I2133" t="n">
        <v>0</v>
      </c>
      <c r="J2133" t="n">
        <v>0</v>
      </c>
      <c r="K2133" t="n">
        <v>0</v>
      </c>
      <c r="L2133" t="n">
        <v>0</v>
      </c>
      <c r="M2133" t="n">
        <v>0</v>
      </c>
      <c r="N2133" t="n">
        <v>0</v>
      </c>
      <c r="O2133" t="n">
        <v>0</v>
      </c>
      <c r="P2133" t="n">
        <v>0</v>
      </c>
      <c r="Q2133" t="n">
        <v>0</v>
      </c>
      <c r="R2133" s="2" t="inlineStr"/>
    </row>
    <row r="2134" ht="15" customHeight="1">
      <c r="A2134" t="inlineStr">
        <is>
          <t>A 13962-2022</t>
        </is>
      </c>
      <c r="B2134" s="1" t="n">
        <v>44650</v>
      </c>
      <c r="C2134" s="1" t="n">
        <v>45724</v>
      </c>
      <c r="D2134" t="inlineStr">
        <is>
          <t>VÄSTMANLANDS LÄN</t>
        </is>
      </c>
      <c r="E2134" t="inlineStr">
        <is>
          <t>SALA</t>
        </is>
      </c>
      <c r="G2134" t="n">
        <v>2.3</v>
      </c>
      <c r="H2134" t="n">
        <v>0</v>
      </c>
      <c r="I2134" t="n">
        <v>0</v>
      </c>
      <c r="J2134" t="n">
        <v>0</v>
      </c>
      <c r="K2134" t="n">
        <v>0</v>
      </c>
      <c r="L2134" t="n">
        <v>0</v>
      </c>
      <c r="M2134" t="n">
        <v>0</v>
      </c>
      <c r="N2134" t="n">
        <v>0</v>
      </c>
      <c r="O2134" t="n">
        <v>0</v>
      </c>
      <c r="P2134" t="n">
        <v>0</v>
      </c>
      <c r="Q2134" t="n">
        <v>0</v>
      </c>
      <c r="R2134" s="2" t="inlineStr"/>
    </row>
    <row r="2135" ht="15" customHeight="1">
      <c r="A2135" t="inlineStr">
        <is>
          <t>A 14149-2022</t>
        </is>
      </c>
      <c r="B2135" s="1" t="n">
        <v>44651</v>
      </c>
      <c r="C2135" s="1" t="n">
        <v>45724</v>
      </c>
      <c r="D2135" t="inlineStr">
        <is>
          <t>VÄSTMANLANDS LÄN</t>
        </is>
      </c>
      <c r="E2135" t="inlineStr">
        <is>
          <t>HALLSTAHAMMAR</t>
        </is>
      </c>
      <c r="F2135" t="inlineStr">
        <is>
          <t>Allmännings- och besparingsskogar</t>
        </is>
      </c>
      <c r="G2135" t="n">
        <v>3.8</v>
      </c>
      <c r="H2135" t="n">
        <v>0</v>
      </c>
      <c r="I2135" t="n">
        <v>0</v>
      </c>
      <c r="J2135" t="n">
        <v>0</v>
      </c>
      <c r="K2135" t="n">
        <v>0</v>
      </c>
      <c r="L2135" t="n">
        <v>0</v>
      </c>
      <c r="M2135" t="n">
        <v>0</v>
      </c>
      <c r="N2135" t="n">
        <v>0</v>
      </c>
      <c r="O2135" t="n">
        <v>0</v>
      </c>
      <c r="P2135" t="n">
        <v>0</v>
      </c>
      <c r="Q2135" t="n">
        <v>0</v>
      </c>
      <c r="R2135" s="2" t="inlineStr"/>
    </row>
    <row r="2136" ht="15" customHeight="1">
      <c r="A2136" t="inlineStr">
        <is>
          <t>A 14204-2022</t>
        </is>
      </c>
      <c r="B2136" s="1" t="n">
        <v>44651</v>
      </c>
      <c r="C2136" s="1" t="n">
        <v>45724</v>
      </c>
      <c r="D2136" t="inlineStr">
        <is>
          <t>VÄSTMANLANDS LÄN</t>
        </is>
      </c>
      <c r="E2136" t="inlineStr">
        <is>
          <t>SKINNSKATTEBERG</t>
        </is>
      </c>
      <c r="G2136" t="n">
        <v>3.9</v>
      </c>
      <c r="H2136" t="n">
        <v>0</v>
      </c>
      <c r="I2136" t="n">
        <v>0</v>
      </c>
      <c r="J2136" t="n">
        <v>0</v>
      </c>
      <c r="K2136" t="n">
        <v>0</v>
      </c>
      <c r="L2136" t="n">
        <v>0</v>
      </c>
      <c r="M2136" t="n">
        <v>0</v>
      </c>
      <c r="N2136" t="n">
        <v>0</v>
      </c>
      <c r="O2136" t="n">
        <v>0</v>
      </c>
      <c r="P2136" t="n">
        <v>0</v>
      </c>
      <c r="Q2136" t="n">
        <v>0</v>
      </c>
      <c r="R2136" s="2" t="inlineStr"/>
    </row>
    <row r="2137" ht="15" customHeight="1">
      <c r="A2137" t="inlineStr">
        <is>
          <t>A 14667-2022</t>
        </is>
      </c>
      <c r="B2137" s="1" t="n">
        <v>44655</v>
      </c>
      <c r="C2137" s="1" t="n">
        <v>45724</v>
      </c>
      <c r="D2137" t="inlineStr">
        <is>
          <t>VÄSTMANLANDS LÄN</t>
        </is>
      </c>
      <c r="E2137" t="inlineStr">
        <is>
          <t>KÖPING</t>
        </is>
      </c>
      <c r="G2137" t="n">
        <v>0.8</v>
      </c>
      <c r="H2137" t="n">
        <v>0</v>
      </c>
      <c r="I2137" t="n">
        <v>0</v>
      </c>
      <c r="J2137" t="n">
        <v>0</v>
      </c>
      <c r="K2137" t="n">
        <v>0</v>
      </c>
      <c r="L2137" t="n">
        <v>0</v>
      </c>
      <c r="M2137" t="n">
        <v>0</v>
      </c>
      <c r="N2137" t="n">
        <v>0</v>
      </c>
      <c r="O2137" t="n">
        <v>0</v>
      </c>
      <c r="P2137" t="n">
        <v>0</v>
      </c>
      <c r="Q2137" t="n">
        <v>0</v>
      </c>
      <c r="R2137" s="2" t="inlineStr"/>
    </row>
    <row r="2138" ht="15" customHeight="1">
      <c r="A2138" t="inlineStr">
        <is>
          <t>A 14662-2022</t>
        </is>
      </c>
      <c r="B2138" s="1" t="n">
        <v>44655</v>
      </c>
      <c r="C2138" s="1" t="n">
        <v>45724</v>
      </c>
      <c r="D2138" t="inlineStr">
        <is>
          <t>VÄSTMANLANDS LÄN</t>
        </is>
      </c>
      <c r="E2138" t="inlineStr">
        <is>
          <t>KÖPING</t>
        </is>
      </c>
      <c r="G2138" t="n">
        <v>2.5</v>
      </c>
      <c r="H2138" t="n">
        <v>0</v>
      </c>
      <c r="I2138" t="n">
        <v>0</v>
      </c>
      <c r="J2138" t="n">
        <v>0</v>
      </c>
      <c r="K2138" t="n">
        <v>0</v>
      </c>
      <c r="L2138" t="n">
        <v>0</v>
      </c>
      <c r="M2138" t="n">
        <v>0</v>
      </c>
      <c r="N2138" t="n">
        <v>0</v>
      </c>
      <c r="O2138" t="n">
        <v>0</v>
      </c>
      <c r="P2138" t="n">
        <v>0</v>
      </c>
      <c r="Q2138" t="n">
        <v>0</v>
      </c>
      <c r="R2138" s="2" t="inlineStr"/>
    </row>
    <row r="2139" ht="15" customHeight="1">
      <c r="A2139" t="inlineStr">
        <is>
          <t>A 14663-2022</t>
        </is>
      </c>
      <c r="B2139" s="1" t="n">
        <v>44655</v>
      </c>
      <c r="C2139" s="1" t="n">
        <v>45724</v>
      </c>
      <c r="D2139" t="inlineStr">
        <is>
          <t>VÄSTMANLANDS LÄN</t>
        </is>
      </c>
      <c r="E2139" t="inlineStr">
        <is>
          <t>KÖPING</t>
        </is>
      </c>
      <c r="G2139" t="n">
        <v>1.3</v>
      </c>
      <c r="H2139" t="n">
        <v>0</v>
      </c>
      <c r="I2139" t="n">
        <v>0</v>
      </c>
      <c r="J2139" t="n">
        <v>0</v>
      </c>
      <c r="K2139" t="n">
        <v>0</v>
      </c>
      <c r="L2139" t="n">
        <v>0</v>
      </c>
      <c r="M2139" t="n">
        <v>0</v>
      </c>
      <c r="N2139" t="n">
        <v>0</v>
      </c>
      <c r="O2139" t="n">
        <v>0</v>
      </c>
      <c r="P2139" t="n">
        <v>0</v>
      </c>
      <c r="Q2139" t="n">
        <v>0</v>
      </c>
      <c r="R2139" s="2" t="inlineStr"/>
    </row>
    <row r="2140" ht="15" customHeight="1">
      <c r="A2140" t="inlineStr">
        <is>
          <t>A 14664-2022</t>
        </is>
      </c>
      <c r="B2140" s="1" t="n">
        <v>44655</v>
      </c>
      <c r="C2140" s="1" t="n">
        <v>45724</v>
      </c>
      <c r="D2140" t="inlineStr">
        <is>
          <t>VÄSTMANLANDS LÄN</t>
        </is>
      </c>
      <c r="E2140" t="inlineStr">
        <is>
          <t>KÖPING</t>
        </is>
      </c>
      <c r="G2140" t="n">
        <v>1.2</v>
      </c>
      <c r="H2140" t="n">
        <v>0</v>
      </c>
      <c r="I2140" t="n">
        <v>0</v>
      </c>
      <c r="J2140" t="n">
        <v>0</v>
      </c>
      <c r="K2140" t="n">
        <v>0</v>
      </c>
      <c r="L2140" t="n">
        <v>0</v>
      </c>
      <c r="M2140" t="n">
        <v>0</v>
      </c>
      <c r="N2140" t="n">
        <v>0</v>
      </c>
      <c r="O2140" t="n">
        <v>0</v>
      </c>
      <c r="P2140" t="n">
        <v>0</v>
      </c>
      <c r="Q2140" t="n">
        <v>0</v>
      </c>
      <c r="R2140" s="2" t="inlineStr"/>
    </row>
    <row r="2141" ht="15" customHeight="1">
      <c r="A2141" t="inlineStr">
        <is>
          <t>A 14691-2022</t>
        </is>
      </c>
      <c r="B2141" s="1" t="n">
        <v>44656</v>
      </c>
      <c r="C2141" s="1" t="n">
        <v>45724</v>
      </c>
      <c r="D2141" t="inlineStr">
        <is>
          <t>VÄSTMANLANDS LÄN</t>
        </is>
      </c>
      <c r="E2141" t="inlineStr">
        <is>
          <t>VÄSTERÅS</t>
        </is>
      </c>
      <c r="G2141" t="n">
        <v>4.6</v>
      </c>
      <c r="H2141" t="n">
        <v>0</v>
      </c>
      <c r="I2141" t="n">
        <v>0</v>
      </c>
      <c r="J2141" t="n">
        <v>0</v>
      </c>
      <c r="K2141" t="n">
        <v>0</v>
      </c>
      <c r="L2141" t="n">
        <v>0</v>
      </c>
      <c r="M2141" t="n">
        <v>0</v>
      </c>
      <c r="N2141" t="n">
        <v>0</v>
      </c>
      <c r="O2141" t="n">
        <v>0</v>
      </c>
      <c r="P2141" t="n">
        <v>0</v>
      </c>
      <c r="Q2141" t="n">
        <v>0</v>
      </c>
      <c r="R2141" s="2" t="inlineStr"/>
    </row>
    <row r="2142" ht="15" customHeight="1">
      <c r="A2142" t="inlineStr">
        <is>
          <t>A 14926-2022</t>
        </is>
      </c>
      <c r="B2142" s="1" t="n">
        <v>44657</v>
      </c>
      <c r="C2142" s="1" t="n">
        <v>45724</v>
      </c>
      <c r="D2142" t="inlineStr">
        <is>
          <t>VÄSTMANLANDS LÄN</t>
        </is>
      </c>
      <c r="E2142" t="inlineStr">
        <is>
          <t>VÄSTERÅS</t>
        </is>
      </c>
      <c r="G2142" t="n">
        <v>1.6</v>
      </c>
      <c r="H2142" t="n">
        <v>0</v>
      </c>
      <c r="I2142" t="n">
        <v>0</v>
      </c>
      <c r="J2142" t="n">
        <v>0</v>
      </c>
      <c r="K2142" t="n">
        <v>0</v>
      </c>
      <c r="L2142" t="n">
        <v>0</v>
      </c>
      <c r="M2142" t="n">
        <v>0</v>
      </c>
      <c r="N2142" t="n">
        <v>0</v>
      </c>
      <c r="O2142" t="n">
        <v>0</v>
      </c>
      <c r="P2142" t="n">
        <v>0</v>
      </c>
      <c r="Q2142" t="n">
        <v>0</v>
      </c>
      <c r="R2142" s="2" t="inlineStr"/>
    </row>
    <row r="2143" ht="15" customHeight="1">
      <c r="A2143" t="inlineStr">
        <is>
          <t>A 15165-2022</t>
        </is>
      </c>
      <c r="B2143" s="1" t="n">
        <v>44658</v>
      </c>
      <c r="C2143" s="1" t="n">
        <v>45724</v>
      </c>
      <c r="D2143" t="inlineStr">
        <is>
          <t>VÄSTMANLANDS LÄN</t>
        </is>
      </c>
      <c r="E2143" t="inlineStr">
        <is>
          <t>KÖPING</t>
        </is>
      </c>
      <c r="G2143" t="n">
        <v>0.8</v>
      </c>
      <c r="H2143" t="n">
        <v>0</v>
      </c>
      <c r="I2143" t="n">
        <v>0</v>
      </c>
      <c r="J2143" t="n">
        <v>0</v>
      </c>
      <c r="K2143" t="n">
        <v>0</v>
      </c>
      <c r="L2143" t="n">
        <v>0</v>
      </c>
      <c r="M2143" t="n">
        <v>0</v>
      </c>
      <c r="N2143" t="n">
        <v>0</v>
      </c>
      <c r="O2143" t="n">
        <v>0</v>
      </c>
      <c r="P2143" t="n">
        <v>0</v>
      </c>
      <c r="Q2143" t="n">
        <v>0</v>
      </c>
      <c r="R2143" s="2" t="inlineStr"/>
    </row>
    <row r="2144" ht="15" customHeight="1">
      <c r="A2144" t="inlineStr">
        <is>
          <t>A 15160-2022</t>
        </is>
      </c>
      <c r="B2144" s="1" t="n">
        <v>44658</v>
      </c>
      <c r="C2144" s="1" t="n">
        <v>45724</v>
      </c>
      <c r="D2144" t="inlineStr">
        <is>
          <t>VÄSTMANLANDS LÄN</t>
        </is>
      </c>
      <c r="E2144" t="inlineStr">
        <is>
          <t>KÖPING</t>
        </is>
      </c>
      <c r="G2144" t="n">
        <v>0.5</v>
      </c>
      <c r="H2144" t="n">
        <v>0</v>
      </c>
      <c r="I2144" t="n">
        <v>0</v>
      </c>
      <c r="J2144" t="n">
        <v>0</v>
      </c>
      <c r="K2144" t="n">
        <v>0</v>
      </c>
      <c r="L2144" t="n">
        <v>0</v>
      </c>
      <c r="M2144" t="n">
        <v>0</v>
      </c>
      <c r="N2144" t="n">
        <v>0</v>
      </c>
      <c r="O2144" t="n">
        <v>0</v>
      </c>
      <c r="P2144" t="n">
        <v>0</v>
      </c>
      <c r="Q2144" t="n">
        <v>0</v>
      </c>
      <c r="R2144" s="2" t="inlineStr"/>
    </row>
    <row r="2145" ht="15" customHeight="1">
      <c r="A2145" t="inlineStr">
        <is>
          <t>A 15201-2022</t>
        </is>
      </c>
      <c r="B2145" s="1" t="n">
        <v>44658</v>
      </c>
      <c r="C2145" s="1" t="n">
        <v>45724</v>
      </c>
      <c r="D2145" t="inlineStr">
        <is>
          <t>VÄSTMANLANDS LÄN</t>
        </is>
      </c>
      <c r="E2145" t="inlineStr">
        <is>
          <t>VÄSTERÅS</t>
        </is>
      </c>
      <c r="G2145" t="n">
        <v>1.3</v>
      </c>
      <c r="H2145" t="n">
        <v>0</v>
      </c>
      <c r="I2145" t="n">
        <v>0</v>
      </c>
      <c r="J2145" t="n">
        <v>0</v>
      </c>
      <c r="K2145" t="n">
        <v>0</v>
      </c>
      <c r="L2145" t="n">
        <v>0</v>
      </c>
      <c r="M2145" t="n">
        <v>0</v>
      </c>
      <c r="N2145" t="n">
        <v>0</v>
      </c>
      <c r="O2145" t="n">
        <v>0</v>
      </c>
      <c r="P2145" t="n">
        <v>0</v>
      </c>
      <c r="Q2145" t="n">
        <v>0</v>
      </c>
      <c r="R2145" s="2" t="inlineStr"/>
    </row>
    <row r="2146" ht="15" customHeight="1">
      <c r="A2146" t="inlineStr">
        <is>
          <t>A 15158-2022</t>
        </is>
      </c>
      <c r="B2146" s="1" t="n">
        <v>44658</v>
      </c>
      <c r="C2146" s="1" t="n">
        <v>45724</v>
      </c>
      <c r="D2146" t="inlineStr">
        <is>
          <t>VÄSTMANLANDS LÄN</t>
        </is>
      </c>
      <c r="E2146" t="inlineStr">
        <is>
          <t>KÖPING</t>
        </is>
      </c>
      <c r="G2146" t="n">
        <v>0.4</v>
      </c>
      <c r="H2146" t="n">
        <v>0</v>
      </c>
      <c r="I2146" t="n">
        <v>0</v>
      </c>
      <c r="J2146" t="n">
        <v>0</v>
      </c>
      <c r="K2146" t="n">
        <v>0</v>
      </c>
      <c r="L2146" t="n">
        <v>0</v>
      </c>
      <c r="M2146" t="n">
        <v>0</v>
      </c>
      <c r="N2146" t="n">
        <v>0</v>
      </c>
      <c r="O2146" t="n">
        <v>0</v>
      </c>
      <c r="P2146" t="n">
        <v>0</v>
      </c>
      <c r="Q2146" t="n">
        <v>0</v>
      </c>
      <c r="R2146" s="2" t="inlineStr"/>
    </row>
    <row r="2147" ht="15" customHeight="1">
      <c r="A2147" t="inlineStr">
        <is>
          <t>A 15162-2022</t>
        </is>
      </c>
      <c r="B2147" s="1" t="n">
        <v>44658</v>
      </c>
      <c r="C2147" s="1" t="n">
        <v>45724</v>
      </c>
      <c r="D2147" t="inlineStr">
        <is>
          <t>VÄSTMANLANDS LÄN</t>
        </is>
      </c>
      <c r="E2147" t="inlineStr">
        <is>
          <t>KÖPING</t>
        </is>
      </c>
      <c r="G2147" t="n">
        <v>4.6</v>
      </c>
      <c r="H2147" t="n">
        <v>0</v>
      </c>
      <c r="I2147" t="n">
        <v>0</v>
      </c>
      <c r="J2147" t="n">
        <v>0</v>
      </c>
      <c r="K2147" t="n">
        <v>0</v>
      </c>
      <c r="L2147" t="n">
        <v>0</v>
      </c>
      <c r="M2147" t="n">
        <v>0</v>
      </c>
      <c r="N2147" t="n">
        <v>0</v>
      </c>
      <c r="O2147" t="n">
        <v>0</v>
      </c>
      <c r="P2147" t="n">
        <v>0</v>
      </c>
      <c r="Q2147" t="n">
        <v>0</v>
      </c>
      <c r="R2147" s="2" t="inlineStr"/>
    </row>
    <row r="2148" ht="15" customHeight="1">
      <c r="A2148" t="inlineStr">
        <is>
          <t>A 15373-2022</t>
        </is>
      </c>
      <c r="B2148" s="1" t="n">
        <v>44659</v>
      </c>
      <c r="C2148" s="1" t="n">
        <v>45724</v>
      </c>
      <c r="D2148" t="inlineStr">
        <is>
          <t>VÄSTMANLANDS LÄN</t>
        </is>
      </c>
      <c r="E2148" t="inlineStr">
        <is>
          <t>ARBOGA</t>
        </is>
      </c>
      <c r="G2148" t="n">
        <v>3.1</v>
      </c>
      <c r="H2148" t="n">
        <v>0</v>
      </c>
      <c r="I2148" t="n">
        <v>0</v>
      </c>
      <c r="J2148" t="n">
        <v>0</v>
      </c>
      <c r="K2148" t="n">
        <v>0</v>
      </c>
      <c r="L2148" t="n">
        <v>0</v>
      </c>
      <c r="M2148" t="n">
        <v>0</v>
      </c>
      <c r="N2148" t="n">
        <v>0</v>
      </c>
      <c r="O2148" t="n">
        <v>0</v>
      </c>
      <c r="P2148" t="n">
        <v>0</v>
      </c>
      <c r="Q2148" t="n">
        <v>0</v>
      </c>
      <c r="R2148" s="2" t="inlineStr"/>
    </row>
    <row r="2149" ht="15" customHeight="1">
      <c r="A2149" t="inlineStr">
        <is>
          <t>A 15316-2022</t>
        </is>
      </c>
      <c r="B2149" s="1" t="n">
        <v>44659</v>
      </c>
      <c r="C2149" s="1" t="n">
        <v>45724</v>
      </c>
      <c r="D2149" t="inlineStr">
        <is>
          <t>VÄSTMANLANDS LÄN</t>
        </is>
      </c>
      <c r="E2149" t="inlineStr">
        <is>
          <t>VÄSTERÅS</t>
        </is>
      </c>
      <c r="G2149" t="n">
        <v>1.4</v>
      </c>
      <c r="H2149" t="n">
        <v>0</v>
      </c>
      <c r="I2149" t="n">
        <v>0</v>
      </c>
      <c r="J2149" t="n">
        <v>0</v>
      </c>
      <c r="K2149" t="n">
        <v>0</v>
      </c>
      <c r="L2149" t="n">
        <v>0</v>
      </c>
      <c r="M2149" t="n">
        <v>0</v>
      </c>
      <c r="N2149" t="n">
        <v>0</v>
      </c>
      <c r="O2149" t="n">
        <v>0</v>
      </c>
      <c r="P2149" t="n">
        <v>0</v>
      </c>
      <c r="Q2149" t="n">
        <v>0</v>
      </c>
      <c r="R2149" s="2" t="inlineStr"/>
    </row>
    <row r="2150" ht="15" customHeight="1">
      <c r="A2150" t="inlineStr">
        <is>
          <t>A 15427-2022</t>
        </is>
      </c>
      <c r="B2150" s="1" t="n">
        <v>44659</v>
      </c>
      <c r="C2150" s="1" t="n">
        <v>45724</v>
      </c>
      <c r="D2150" t="inlineStr">
        <is>
          <t>VÄSTMANLANDS LÄN</t>
        </is>
      </c>
      <c r="E2150" t="inlineStr">
        <is>
          <t>NORBERG</t>
        </is>
      </c>
      <c r="G2150" t="n">
        <v>3.2</v>
      </c>
      <c r="H2150" t="n">
        <v>0</v>
      </c>
      <c r="I2150" t="n">
        <v>0</v>
      </c>
      <c r="J2150" t="n">
        <v>0</v>
      </c>
      <c r="K2150" t="n">
        <v>0</v>
      </c>
      <c r="L2150" t="n">
        <v>0</v>
      </c>
      <c r="M2150" t="n">
        <v>0</v>
      </c>
      <c r="N2150" t="n">
        <v>0</v>
      </c>
      <c r="O2150" t="n">
        <v>0</v>
      </c>
      <c r="P2150" t="n">
        <v>0</v>
      </c>
      <c r="Q2150" t="n">
        <v>0</v>
      </c>
      <c r="R2150" s="2" t="inlineStr"/>
    </row>
    <row r="2151" ht="15" customHeight="1">
      <c r="A2151" t="inlineStr">
        <is>
          <t>A 15487-2022</t>
        </is>
      </c>
      <c r="B2151" s="1" t="n">
        <v>44662</v>
      </c>
      <c r="C2151" s="1" t="n">
        <v>45724</v>
      </c>
      <c r="D2151" t="inlineStr">
        <is>
          <t>VÄSTMANLANDS LÄN</t>
        </is>
      </c>
      <c r="E2151" t="inlineStr">
        <is>
          <t>ARBOGA</t>
        </is>
      </c>
      <c r="G2151" t="n">
        <v>3.1</v>
      </c>
      <c r="H2151" t="n">
        <v>0</v>
      </c>
      <c r="I2151" t="n">
        <v>0</v>
      </c>
      <c r="J2151" t="n">
        <v>0</v>
      </c>
      <c r="K2151" t="n">
        <v>0</v>
      </c>
      <c r="L2151" t="n">
        <v>0</v>
      </c>
      <c r="M2151" t="n">
        <v>0</v>
      </c>
      <c r="N2151" t="n">
        <v>0</v>
      </c>
      <c r="O2151" t="n">
        <v>0</v>
      </c>
      <c r="P2151" t="n">
        <v>0</v>
      </c>
      <c r="Q2151" t="n">
        <v>0</v>
      </c>
      <c r="R2151" s="2" t="inlineStr"/>
    </row>
    <row r="2152" ht="15" customHeight="1">
      <c r="A2152" t="inlineStr">
        <is>
          <t>A 15622-2022</t>
        </is>
      </c>
      <c r="B2152" s="1" t="n">
        <v>44662</v>
      </c>
      <c r="C2152" s="1" t="n">
        <v>45724</v>
      </c>
      <c r="D2152" t="inlineStr">
        <is>
          <t>VÄSTMANLANDS LÄN</t>
        </is>
      </c>
      <c r="E2152" t="inlineStr">
        <is>
          <t>VÄSTERÅS</t>
        </is>
      </c>
      <c r="G2152" t="n">
        <v>4.6</v>
      </c>
      <c r="H2152" t="n">
        <v>0</v>
      </c>
      <c r="I2152" t="n">
        <v>0</v>
      </c>
      <c r="J2152" t="n">
        <v>0</v>
      </c>
      <c r="K2152" t="n">
        <v>0</v>
      </c>
      <c r="L2152" t="n">
        <v>0</v>
      </c>
      <c r="M2152" t="n">
        <v>0</v>
      </c>
      <c r="N2152" t="n">
        <v>0</v>
      </c>
      <c r="O2152" t="n">
        <v>0</v>
      </c>
      <c r="P2152" t="n">
        <v>0</v>
      </c>
      <c r="Q2152" t="n">
        <v>0</v>
      </c>
      <c r="R2152" s="2" t="inlineStr"/>
    </row>
    <row r="2153" ht="15" customHeight="1">
      <c r="A2153" t="inlineStr">
        <is>
          <t>A 15637-2022</t>
        </is>
      </c>
      <c r="B2153" s="1" t="n">
        <v>44662</v>
      </c>
      <c r="C2153" s="1" t="n">
        <v>45724</v>
      </c>
      <c r="D2153" t="inlineStr">
        <is>
          <t>VÄSTMANLANDS LÄN</t>
        </is>
      </c>
      <c r="E2153" t="inlineStr">
        <is>
          <t>SURAHAMMAR</t>
        </is>
      </c>
      <c r="G2153" t="n">
        <v>2.2</v>
      </c>
      <c r="H2153" t="n">
        <v>0</v>
      </c>
      <c r="I2153" t="n">
        <v>0</v>
      </c>
      <c r="J2153" t="n">
        <v>0</v>
      </c>
      <c r="K2153" t="n">
        <v>0</v>
      </c>
      <c r="L2153" t="n">
        <v>0</v>
      </c>
      <c r="M2153" t="n">
        <v>0</v>
      </c>
      <c r="N2153" t="n">
        <v>0</v>
      </c>
      <c r="O2153" t="n">
        <v>0</v>
      </c>
      <c r="P2153" t="n">
        <v>0</v>
      </c>
      <c r="Q2153" t="n">
        <v>0</v>
      </c>
      <c r="R2153" s="2" t="inlineStr"/>
    </row>
    <row r="2154" ht="15" customHeight="1">
      <c r="A2154" t="inlineStr">
        <is>
          <t>A 15640-2022</t>
        </is>
      </c>
      <c r="B2154" s="1" t="n">
        <v>44662</v>
      </c>
      <c r="C2154" s="1" t="n">
        <v>45724</v>
      </c>
      <c r="D2154" t="inlineStr">
        <is>
          <t>VÄSTMANLANDS LÄN</t>
        </is>
      </c>
      <c r="E2154" t="inlineStr">
        <is>
          <t>VÄSTERÅS</t>
        </is>
      </c>
      <c r="G2154" t="n">
        <v>1.4</v>
      </c>
      <c r="H2154" t="n">
        <v>0</v>
      </c>
      <c r="I2154" t="n">
        <v>0</v>
      </c>
      <c r="J2154" t="n">
        <v>0</v>
      </c>
      <c r="K2154" t="n">
        <v>0</v>
      </c>
      <c r="L2154" t="n">
        <v>0</v>
      </c>
      <c r="M2154" t="n">
        <v>0</v>
      </c>
      <c r="N2154" t="n">
        <v>0</v>
      </c>
      <c r="O2154" t="n">
        <v>0</v>
      </c>
      <c r="P2154" t="n">
        <v>0</v>
      </c>
      <c r="Q2154" t="n">
        <v>0</v>
      </c>
      <c r="R2154" s="2" t="inlineStr"/>
    </row>
    <row r="2155" ht="15" customHeight="1">
      <c r="A2155" t="inlineStr">
        <is>
          <t>A 15711-2022</t>
        </is>
      </c>
      <c r="B2155" s="1" t="n">
        <v>44663</v>
      </c>
      <c r="C2155" s="1" t="n">
        <v>45724</v>
      </c>
      <c r="D2155" t="inlineStr">
        <is>
          <t>VÄSTMANLANDS LÄN</t>
        </is>
      </c>
      <c r="E2155" t="inlineStr">
        <is>
          <t>ARBOGA</t>
        </is>
      </c>
      <c r="G2155" t="n">
        <v>0.6</v>
      </c>
      <c r="H2155" t="n">
        <v>0</v>
      </c>
      <c r="I2155" t="n">
        <v>0</v>
      </c>
      <c r="J2155" t="n">
        <v>0</v>
      </c>
      <c r="K2155" t="n">
        <v>0</v>
      </c>
      <c r="L2155" t="n">
        <v>0</v>
      </c>
      <c r="M2155" t="n">
        <v>0</v>
      </c>
      <c r="N2155" t="n">
        <v>0</v>
      </c>
      <c r="O2155" t="n">
        <v>0</v>
      </c>
      <c r="P2155" t="n">
        <v>0</v>
      </c>
      <c r="Q2155" t="n">
        <v>0</v>
      </c>
      <c r="R2155" s="2" t="inlineStr"/>
    </row>
    <row r="2156" ht="15" customHeight="1">
      <c r="A2156" t="inlineStr">
        <is>
          <t>A 15716-2022</t>
        </is>
      </c>
      <c r="B2156" s="1" t="n">
        <v>44663</v>
      </c>
      <c r="C2156" s="1" t="n">
        <v>45724</v>
      </c>
      <c r="D2156" t="inlineStr">
        <is>
          <t>VÄSTMANLANDS LÄN</t>
        </is>
      </c>
      <c r="E2156" t="inlineStr">
        <is>
          <t>KÖPING</t>
        </is>
      </c>
      <c r="G2156" t="n">
        <v>7</v>
      </c>
      <c r="H2156" t="n">
        <v>0</v>
      </c>
      <c r="I2156" t="n">
        <v>0</v>
      </c>
      <c r="J2156" t="n">
        <v>0</v>
      </c>
      <c r="K2156" t="n">
        <v>0</v>
      </c>
      <c r="L2156" t="n">
        <v>0</v>
      </c>
      <c r="M2156" t="n">
        <v>0</v>
      </c>
      <c r="N2156" t="n">
        <v>0</v>
      </c>
      <c r="O2156" t="n">
        <v>0</v>
      </c>
      <c r="P2156" t="n">
        <v>0</v>
      </c>
      <c r="Q2156" t="n">
        <v>0</v>
      </c>
      <c r="R2156" s="2" t="inlineStr"/>
    </row>
    <row r="2157" ht="15" customHeight="1">
      <c r="A2157" t="inlineStr">
        <is>
          <t>A 15776-2022</t>
        </is>
      </c>
      <c r="B2157" s="1" t="n">
        <v>44663</v>
      </c>
      <c r="C2157" s="1" t="n">
        <v>45724</v>
      </c>
      <c r="D2157" t="inlineStr">
        <is>
          <t>VÄSTMANLANDS LÄN</t>
        </is>
      </c>
      <c r="E2157" t="inlineStr">
        <is>
          <t>ARBOGA</t>
        </is>
      </c>
      <c r="G2157" t="n">
        <v>1.3</v>
      </c>
      <c r="H2157" t="n">
        <v>0</v>
      </c>
      <c r="I2157" t="n">
        <v>0</v>
      </c>
      <c r="J2157" t="n">
        <v>0</v>
      </c>
      <c r="K2157" t="n">
        <v>0</v>
      </c>
      <c r="L2157" t="n">
        <v>0</v>
      </c>
      <c r="M2157" t="n">
        <v>0</v>
      </c>
      <c r="N2157" t="n">
        <v>0</v>
      </c>
      <c r="O2157" t="n">
        <v>0</v>
      </c>
      <c r="P2157" t="n">
        <v>0</v>
      </c>
      <c r="Q2157" t="n">
        <v>0</v>
      </c>
      <c r="R2157" s="2" t="inlineStr"/>
    </row>
    <row r="2158" ht="15" customHeight="1">
      <c r="A2158" t="inlineStr">
        <is>
          <t>A 15850-2022</t>
        </is>
      </c>
      <c r="B2158" s="1" t="n">
        <v>44664</v>
      </c>
      <c r="C2158" s="1" t="n">
        <v>45724</v>
      </c>
      <c r="D2158" t="inlineStr">
        <is>
          <t>VÄSTMANLANDS LÄN</t>
        </is>
      </c>
      <c r="E2158" t="inlineStr">
        <is>
          <t>SALA</t>
        </is>
      </c>
      <c r="G2158" t="n">
        <v>1</v>
      </c>
      <c r="H2158" t="n">
        <v>0</v>
      </c>
      <c r="I2158" t="n">
        <v>0</v>
      </c>
      <c r="J2158" t="n">
        <v>0</v>
      </c>
      <c r="K2158" t="n">
        <v>0</v>
      </c>
      <c r="L2158" t="n">
        <v>0</v>
      </c>
      <c r="M2158" t="n">
        <v>0</v>
      </c>
      <c r="N2158" t="n">
        <v>0</v>
      </c>
      <c r="O2158" t="n">
        <v>0</v>
      </c>
      <c r="P2158" t="n">
        <v>0</v>
      </c>
      <c r="Q2158" t="n">
        <v>0</v>
      </c>
      <c r="R2158" s="2" t="inlineStr"/>
    </row>
    <row r="2159" ht="15" customHeight="1">
      <c r="A2159" t="inlineStr">
        <is>
          <t>A 15879-2022</t>
        </is>
      </c>
      <c r="B2159" s="1" t="n">
        <v>44664</v>
      </c>
      <c r="C2159" s="1" t="n">
        <v>45724</v>
      </c>
      <c r="D2159" t="inlineStr">
        <is>
          <t>VÄSTMANLANDS LÄN</t>
        </is>
      </c>
      <c r="E2159" t="inlineStr">
        <is>
          <t>VÄSTERÅS</t>
        </is>
      </c>
      <c r="G2159" t="n">
        <v>1.7</v>
      </c>
      <c r="H2159" t="n">
        <v>0</v>
      </c>
      <c r="I2159" t="n">
        <v>0</v>
      </c>
      <c r="J2159" t="n">
        <v>0</v>
      </c>
      <c r="K2159" t="n">
        <v>0</v>
      </c>
      <c r="L2159" t="n">
        <v>0</v>
      </c>
      <c r="M2159" t="n">
        <v>0</v>
      </c>
      <c r="N2159" t="n">
        <v>0</v>
      </c>
      <c r="O2159" t="n">
        <v>0</v>
      </c>
      <c r="P2159" t="n">
        <v>0</v>
      </c>
      <c r="Q2159" t="n">
        <v>0</v>
      </c>
      <c r="R2159" s="2" t="inlineStr"/>
    </row>
    <row r="2160" ht="15" customHeight="1">
      <c r="A2160" t="inlineStr">
        <is>
          <t>A 15889-2022</t>
        </is>
      </c>
      <c r="B2160" s="1" t="n">
        <v>44664</v>
      </c>
      <c r="C2160" s="1" t="n">
        <v>45724</v>
      </c>
      <c r="D2160" t="inlineStr">
        <is>
          <t>VÄSTMANLANDS LÄN</t>
        </is>
      </c>
      <c r="E2160" t="inlineStr">
        <is>
          <t>VÄSTERÅS</t>
        </is>
      </c>
      <c r="G2160" t="n">
        <v>0.9</v>
      </c>
      <c r="H2160" t="n">
        <v>0</v>
      </c>
      <c r="I2160" t="n">
        <v>0</v>
      </c>
      <c r="J2160" t="n">
        <v>0</v>
      </c>
      <c r="K2160" t="n">
        <v>0</v>
      </c>
      <c r="L2160" t="n">
        <v>0</v>
      </c>
      <c r="M2160" t="n">
        <v>0</v>
      </c>
      <c r="N2160" t="n">
        <v>0</v>
      </c>
      <c r="O2160" t="n">
        <v>0</v>
      </c>
      <c r="P2160" t="n">
        <v>0</v>
      </c>
      <c r="Q2160" t="n">
        <v>0</v>
      </c>
      <c r="R2160" s="2" t="inlineStr"/>
    </row>
    <row r="2161" ht="15" customHeight="1">
      <c r="A2161" t="inlineStr">
        <is>
          <t>A 15891-2022</t>
        </is>
      </c>
      <c r="B2161" s="1" t="n">
        <v>44664</v>
      </c>
      <c r="C2161" s="1" t="n">
        <v>45724</v>
      </c>
      <c r="D2161" t="inlineStr">
        <is>
          <t>VÄSTMANLANDS LÄN</t>
        </is>
      </c>
      <c r="E2161" t="inlineStr">
        <is>
          <t>VÄSTERÅS</t>
        </is>
      </c>
      <c r="G2161" t="n">
        <v>9.4</v>
      </c>
      <c r="H2161" t="n">
        <v>0</v>
      </c>
      <c r="I2161" t="n">
        <v>0</v>
      </c>
      <c r="J2161" t="n">
        <v>0</v>
      </c>
      <c r="K2161" t="n">
        <v>0</v>
      </c>
      <c r="L2161" t="n">
        <v>0</v>
      </c>
      <c r="M2161" t="n">
        <v>0</v>
      </c>
      <c r="N2161" t="n">
        <v>0</v>
      </c>
      <c r="O2161" t="n">
        <v>0</v>
      </c>
      <c r="P2161" t="n">
        <v>0</v>
      </c>
      <c r="Q2161" t="n">
        <v>0</v>
      </c>
      <c r="R2161" s="2" t="inlineStr"/>
    </row>
    <row r="2162" ht="15" customHeight="1">
      <c r="A2162" t="inlineStr">
        <is>
          <t>A 15870-2022</t>
        </is>
      </c>
      <c r="B2162" s="1" t="n">
        <v>44664</v>
      </c>
      <c r="C2162" s="1" t="n">
        <v>45724</v>
      </c>
      <c r="D2162" t="inlineStr">
        <is>
          <t>VÄSTMANLANDS LÄN</t>
        </is>
      </c>
      <c r="E2162" t="inlineStr">
        <is>
          <t>VÄSTERÅS</t>
        </is>
      </c>
      <c r="G2162" t="n">
        <v>6.3</v>
      </c>
      <c r="H2162" t="n">
        <v>0</v>
      </c>
      <c r="I2162" t="n">
        <v>0</v>
      </c>
      <c r="J2162" t="n">
        <v>0</v>
      </c>
      <c r="K2162" t="n">
        <v>0</v>
      </c>
      <c r="L2162" t="n">
        <v>0</v>
      </c>
      <c r="M2162" t="n">
        <v>0</v>
      </c>
      <c r="N2162" t="n">
        <v>0</v>
      </c>
      <c r="O2162" t="n">
        <v>0</v>
      </c>
      <c r="P2162" t="n">
        <v>0</v>
      </c>
      <c r="Q2162" t="n">
        <v>0</v>
      </c>
      <c r="R2162" s="2" t="inlineStr"/>
    </row>
    <row r="2163" ht="15" customHeight="1">
      <c r="A2163" t="inlineStr">
        <is>
          <t>A 15883-2022</t>
        </is>
      </c>
      <c r="B2163" s="1" t="n">
        <v>44664</v>
      </c>
      <c r="C2163" s="1" t="n">
        <v>45724</v>
      </c>
      <c r="D2163" t="inlineStr">
        <is>
          <t>VÄSTMANLANDS LÄN</t>
        </is>
      </c>
      <c r="E2163" t="inlineStr">
        <is>
          <t>VÄSTERÅS</t>
        </is>
      </c>
      <c r="G2163" t="n">
        <v>1</v>
      </c>
      <c r="H2163" t="n">
        <v>0</v>
      </c>
      <c r="I2163" t="n">
        <v>0</v>
      </c>
      <c r="J2163" t="n">
        <v>0</v>
      </c>
      <c r="K2163" t="n">
        <v>0</v>
      </c>
      <c r="L2163" t="n">
        <v>0</v>
      </c>
      <c r="M2163" t="n">
        <v>0</v>
      </c>
      <c r="N2163" t="n">
        <v>0</v>
      </c>
      <c r="O2163" t="n">
        <v>0</v>
      </c>
      <c r="P2163" t="n">
        <v>0</v>
      </c>
      <c r="Q2163" t="n">
        <v>0</v>
      </c>
      <c r="R2163" s="2" t="inlineStr"/>
    </row>
    <row r="2164" ht="15" customHeight="1">
      <c r="A2164" t="inlineStr">
        <is>
          <t>A 16116-2022</t>
        </is>
      </c>
      <c r="B2164" s="1" t="n">
        <v>44665</v>
      </c>
      <c r="C2164" s="1" t="n">
        <v>45724</v>
      </c>
      <c r="D2164" t="inlineStr">
        <is>
          <t>VÄSTMANLANDS LÄN</t>
        </is>
      </c>
      <c r="E2164" t="inlineStr">
        <is>
          <t>ARBOGA</t>
        </is>
      </c>
      <c r="G2164" t="n">
        <v>2.7</v>
      </c>
      <c r="H2164" t="n">
        <v>0</v>
      </c>
      <c r="I2164" t="n">
        <v>0</v>
      </c>
      <c r="J2164" t="n">
        <v>0</v>
      </c>
      <c r="K2164" t="n">
        <v>0</v>
      </c>
      <c r="L2164" t="n">
        <v>0</v>
      </c>
      <c r="M2164" t="n">
        <v>0</v>
      </c>
      <c r="N2164" t="n">
        <v>0</v>
      </c>
      <c r="O2164" t="n">
        <v>0</v>
      </c>
      <c r="P2164" t="n">
        <v>0</v>
      </c>
      <c r="Q2164" t="n">
        <v>0</v>
      </c>
      <c r="R2164" s="2" t="inlineStr"/>
    </row>
    <row r="2165" ht="15" customHeight="1">
      <c r="A2165" t="inlineStr">
        <is>
          <t>A 16178-2022</t>
        </is>
      </c>
      <c r="B2165" s="1" t="n">
        <v>44668</v>
      </c>
      <c r="C2165" s="1" t="n">
        <v>45724</v>
      </c>
      <c r="D2165" t="inlineStr">
        <is>
          <t>VÄSTMANLANDS LÄN</t>
        </is>
      </c>
      <c r="E2165" t="inlineStr">
        <is>
          <t>ARBOGA</t>
        </is>
      </c>
      <c r="G2165" t="n">
        <v>2</v>
      </c>
      <c r="H2165" t="n">
        <v>0</v>
      </c>
      <c r="I2165" t="n">
        <v>0</v>
      </c>
      <c r="J2165" t="n">
        <v>0</v>
      </c>
      <c r="K2165" t="n">
        <v>0</v>
      </c>
      <c r="L2165" t="n">
        <v>0</v>
      </c>
      <c r="M2165" t="n">
        <v>0</v>
      </c>
      <c r="N2165" t="n">
        <v>0</v>
      </c>
      <c r="O2165" t="n">
        <v>0</v>
      </c>
      <c r="P2165" t="n">
        <v>0</v>
      </c>
      <c r="Q2165" t="n">
        <v>0</v>
      </c>
      <c r="R2165" s="2" t="inlineStr"/>
    </row>
    <row r="2166" ht="15" customHeight="1">
      <c r="A2166" t="inlineStr">
        <is>
          <t>A 16174-2022</t>
        </is>
      </c>
      <c r="B2166" s="1" t="n">
        <v>44668</v>
      </c>
      <c r="C2166" s="1" t="n">
        <v>45724</v>
      </c>
      <c r="D2166" t="inlineStr">
        <is>
          <t>VÄSTMANLANDS LÄN</t>
        </is>
      </c>
      <c r="E2166" t="inlineStr">
        <is>
          <t>ARBOGA</t>
        </is>
      </c>
      <c r="G2166" t="n">
        <v>2.1</v>
      </c>
      <c r="H2166" t="n">
        <v>0</v>
      </c>
      <c r="I2166" t="n">
        <v>0</v>
      </c>
      <c r="J2166" t="n">
        <v>0</v>
      </c>
      <c r="K2166" t="n">
        <v>0</v>
      </c>
      <c r="L2166" t="n">
        <v>0</v>
      </c>
      <c r="M2166" t="n">
        <v>0</v>
      </c>
      <c r="N2166" t="n">
        <v>0</v>
      </c>
      <c r="O2166" t="n">
        <v>0</v>
      </c>
      <c r="P2166" t="n">
        <v>0</v>
      </c>
      <c r="Q2166" t="n">
        <v>0</v>
      </c>
      <c r="R2166" s="2" t="inlineStr"/>
    </row>
    <row r="2167" ht="15" customHeight="1">
      <c r="A2167" t="inlineStr">
        <is>
          <t>A 16173-2022</t>
        </is>
      </c>
      <c r="B2167" s="1" t="n">
        <v>44668</v>
      </c>
      <c r="C2167" s="1" t="n">
        <v>45724</v>
      </c>
      <c r="D2167" t="inlineStr">
        <is>
          <t>VÄSTMANLANDS LÄN</t>
        </is>
      </c>
      <c r="E2167" t="inlineStr">
        <is>
          <t>ARBOGA</t>
        </is>
      </c>
      <c r="G2167" t="n">
        <v>1.5</v>
      </c>
      <c r="H2167" t="n">
        <v>0</v>
      </c>
      <c r="I2167" t="n">
        <v>0</v>
      </c>
      <c r="J2167" t="n">
        <v>0</v>
      </c>
      <c r="K2167" t="n">
        <v>0</v>
      </c>
      <c r="L2167" t="n">
        <v>0</v>
      </c>
      <c r="M2167" t="n">
        <v>0</v>
      </c>
      <c r="N2167" t="n">
        <v>0</v>
      </c>
      <c r="O2167" t="n">
        <v>0</v>
      </c>
      <c r="P2167" t="n">
        <v>0</v>
      </c>
      <c r="Q2167" t="n">
        <v>0</v>
      </c>
      <c r="R2167" s="2" t="inlineStr"/>
    </row>
    <row r="2168" ht="15" customHeight="1">
      <c r="A2168" t="inlineStr">
        <is>
          <t>A 16175-2022</t>
        </is>
      </c>
      <c r="B2168" s="1" t="n">
        <v>44668</v>
      </c>
      <c r="C2168" s="1" t="n">
        <v>45724</v>
      </c>
      <c r="D2168" t="inlineStr">
        <is>
          <t>VÄSTMANLANDS LÄN</t>
        </is>
      </c>
      <c r="E2168" t="inlineStr">
        <is>
          <t>ARBOGA</t>
        </is>
      </c>
      <c r="G2168" t="n">
        <v>4.1</v>
      </c>
      <c r="H2168" t="n">
        <v>0</v>
      </c>
      <c r="I2168" t="n">
        <v>0</v>
      </c>
      <c r="J2168" t="n">
        <v>0</v>
      </c>
      <c r="K2168" t="n">
        <v>0</v>
      </c>
      <c r="L2168" t="n">
        <v>0</v>
      </c>
      <c r="M2168" t="n">
        <v>0</v>
      </c>
      <c r="N2168" t="n">
        <v>0</v>
      </c>
      <c r="O2168" t="n">
        <v>0</v>
      </c>
      <c r="P2168" t="n">
        <v>0</v>
      </c>
      <c r="Q2168" t="n">
        <v>0</v>
      </c>
      <c r="R2168" s="2" t="inlineStr"/>
    </row>
    <row r="2169" ht="15" customHeight="1">
      <c r="A2169" t="inlineStr">
        <is>
          <t>A 16255-2022</t>
        </is>
      </c>
      <c r="B2169" s="1" t="n">
        <v>44670</v>
      </c>
      <c r="C2169" s="1" t="n">
        <v>45724</v>
      </c>
      <c r="D2169" t="inlineStr">
        <is>
          <t>VÄSTMANLANDS LÄN</t>
        </is>
      </c>
      <c r="E2169" t="inlineStr">
        <is>
          <t>SALA</t>
        </is>
      </c>
      <c r="G2169" t="n">
        <v>2.3</v>
      </c>
      <c r="H2169" t="n">
        <v>0</v>
      </c>
      <c r="I2169" t="n">
        <v>0</v>
      </c>
      <c r="J2169" t="n">
        <v>0</v>
      </c>
      <c r="K2169" t="n">
        <v>0</v>
      </c>
      <c r="L2169" t="n">
        <v>0</v>
      </c>
      <c r="M2169" t="n">
        <v>0</v>
      </c>
      <c r="N2169" t="n">
        <v>0</v>
      </c>
      <c r="O2169" t="n">
        <v>0</v>
      </c>
      <c r="P2169" t="n">
        <v>0</v>
      </c>
      <c r="Q2169" t="n">
        <v>0</v>
      </c>
      <c r="R2169" s="2" t="inlineStr"/>
    </row>
    <row r="2170" ht="15" customHeight="1">
      <c r="A2170" t="inlineStr">
        <is>
          <t>A 16404-2022</t>
        </is>
      </c>
      <c r="B2170" s="1" t="n">
        <v>44671</v>
      </c>
      <c r="C2170" s="1" t="n">
        <v>45724</v>
      </c>
      <c r="D2170" t="inlineStr">
        <is>
          <t>VÄSTMANLANDS LÄN</t>
        </is>
      </c>
      <c r="E2170" t="inlineStr">
        <is>
          <t>SALA</t>
        </is>
      </c>
      <c r="G2170" t="n">
        <v>0.8</v>
      </c>
      <c r="H2170" t="n">
        <v>0</v>
      </c>
      <c r="I2170" t="n">
        <v>0</v>
      </c>
      <c r="J2170" t="n">
        <v>0</v>
      </c>
      <c r="K2170" t="n">
        <v>0</v>
      </c>
      <c r="L2170" t="n">
        <v>0</v>
      </c>
      <c r="M2170" t="n">
        <v>0</v>
      </c>
      <c r="N2170" t="n">
        <v>0</v>
      </c>
      <c r="O2170" t="n">
        <v>0</v>
      </c>
      <c r="P2170" t="n">
        <v>0</v>
      </c>
      <c r="Q2170" t="n">
        <v>0</v>
      </c>
      <c r="R2170" s="2" t="inlineStr"/>
    </row>
    <row r="2171" ht="15" customHeight="1">
      <c r="A2171" t="inlineStr">
        <is>
          <t>A 16448-2022</t>
        </is>
      </c>
      <c r="B2171" s="1" t="n">
        <v>44671</v>
      </c>
      <c r="C2171" s="1" t="n">
        <v>45724</v>
      </c>
      <c r="D2171" t="inlineStr">
        <is>
          <t>VÄSTMANLANDS LÄN</t>
        </is>
      </c>
      <c r="E2171" t="inlineStr">
        <is>
          <t>VÄSTERÅS</t>
        </is>
      </c>
      <c r="G2171" t="n">
        <v>3.4</v>
      </c>
      <c r="H2171" t="n">
        <v>0</v>
      </c>
      <c r="I2171" t="n">
        <v>0</v>
      </c>
      <c r="J2171" t="n">
        <v>0</v>
      </c>
      <c r="K2171" t="n">
        <v>0</v>
      </c>
      <c r="L2171" t="n">
        <v>0</v>
      </c>
      <c r="M2171" t="n">
        <v>0</v>
      </c>
      <c r="N2171" t="n">
        <v>0</v>
      </c>
      <c r="O2171" t="n">
        <v>0</v>
      </c>
      <c r="P2171" t="n">
        <v>0</v>
      </c>
      <c r="Q2171" t="n">
        <v>0</v>
      </c>
      <c r="R2171" s="2" t="inlineStr"/>
    </row>
    <row r="2172" ht="15" customHeight="1">
      <c r="A2172" t="inlineStr">
        <is>
          <t>A 16430-2022</t>
        </is>
      </c>
      <c r="B2172" s="1" t="n">
        <v>44671</v>
      </c>
      <c r="C2172" s="1" t="n">
        <v>45724</v>
      </c>
      <c r="D2172" t="inlineStr">
        <is>
          <t>VÄSTMANLANDS LÄN</t>
        </is>
      </c>
      <c r="E2172" t="inlineStr">
        <is>
          <t>KÖPING</t>
        </is>
      </c>
      <c r="G2172" t="n">
        <v>3.3</v>
      </c>
      <c r="H2172" t="n">
        <v>0</v>
      </c>
      <c r="I2172" t="n">
        <v>0</v>
      </c>
      <c r="J2172" t="n">
        <v>0</v>
      </c>
      <c r="K2172" t="n">
        <v>0</v>
      </c>
      <c r="L2172" t="n">
        <v>0</v>
      </c>
      <c r="M2172" t="n">
        <v>0</v>
      </c>
      <c r="N2172" t="n">
        <v>0</v>
      </c>
      <c r="O2172" t="n">
        <v>0</v>
      </c>
      <c r="P2172" t="n">
        <v>0</v>
      </c>
      <c r="Q2172" t="n">
        <v>0</v>
      </c>
      <c r="R2172" s="2" t="inlineStr"/>
    </row>
    <row r="2173" ht="15" customHeight="1">
      <c r="A2173" t="inlineStr">
        <is>
          <t>A 16447-2022</t>
        </is>
      </c>
      <c r="B2173" s="1" t="n">
        <v>44671</v>
      </c>
      <c r="C2173" s="1" t="n">
        <v>45724</v>
      </c>
      <c r="D2173" t="inlineStr">
        <is>
          <t>VÄSTMANLANDS LÄN</t>
        </is>
      </c>
      <c r="E2173" t="inlineStr">
        <is>
          <t>ARBOGA</t>
        </is>
      </c>
      <c r="G2173" t="n">
        <v>0.9</v>
      </c>
      <c r="H2173" t="n">
        <v>0</v>
      </c>
      <c r="I2173" t="n">
        <v>0</v>
      </c>
      <c r="J2173" t="n">
        <v>0</v>
      </c>
      <c r="K2173" t="n">
        <v>0</v>
      </c>
      <c r="L2173" t="n">
        <v>0</v>
      </c>
      <c r="M2173" t="n">
        <v>0</v>
      </c>
      <c r="N2173" t="n">
        <v>0</v>
      </c>
      <c r="O2173" t="n">
        <v>0</v>
      </c>
      <c r="P2173" t="n">
        <v>0</v>
      </c>
      <c r="Q2173" t="n">
        <v>0</v>
      </c>
      <c r="R2173" s="2" t="inlineStr"/>
    </row>
    <row r="2174" ht="15" customHeight="1">
      <c r="A2174" t="inlineStr">
        <is>
          <t>A 16497-2022</t>
        </is>
      </c>
      <c r="B2174" s="1" t="n">
        <v>44671</v>
      </c>
      <c r="C2174" s="1" t="n">
        <v>45724</v>
      </c>
      <c r="D2174" t="inlineStr">
        <is>
          <t>VÄSTMANLANDS LÄN</t>
        </is>
      </c>
      <c r="E2174" t="inlineStr">
        <is>
          <t>VÄSTERÅS</t>
        </is>
      </c>
      <c r="G2174" t="n">
        <v>6.8</v>
      </c>
      <c r="H2174" t="n">
        <v>0</v>
      </c>
      <c r="I2174" t="n">
        <v>0</v>
      </c>
      <c r="J2174" t="n">
        <v>0</v>
      </c>
      <c r="K2174" t="n">
        <v>0</v>
      </c>
      <c r="L2174" t="n">
        <v>0</v>
      </c>
      <c r="M2174" t="n">
        <v>0</v>
      </c>
      <c r="N2174" t="n">
        <v>0</v>
      </c>
      <c r="O2174" t="n">
        <v>0</v>
      </c>
      <c r="P2174" t="n">
        <v>0</v>
      </c>
      <c r="Q2174" t="n">
        <v>0</v>
      </c>
      <c r="R2174" s="2" t="inlineStr"/>
    </row>
    <row r="2175" ht="15" customHeight="1">
      <c r="A2175" t="inlineStr">
        <is>
          <t>A 16608-2022</t>
        </is>
      </c>
      <c r="B2175" s="1" t="n">
        <v>44672</v>
      </c>
      <c r="C2175" s="1" t="n">
        <v>45724</v>
      </c>
      <c r="D2175" t="inlineStr">
        <is>
          <t>VÄSTMANLANDS LÄN</t>
        </is>
      </c>
      <c r="E2175" t="inlineStr">
        <is>
          <t>SURAHAMMAR</t>
        </is>
      </c>
      <c r="F2175" t="inlineStr">
        <is>
          <t>Bergvik skog väst AB</t>
        </is>
      </c>
      <c r="G2175" t="n">
        <v>2</v>
      </c>
      <c r="H2175" t="n">
        <v>0</v>
      </c>
      <c r="I2175" t="n">
        <v>0</v>
      </c>
      <c r="J2175" t="n">
        <v>0</v>
      </c>
      <c r="K2175" t="n">
        <v>0</v>
      </c>
      <c r="L2175" t="n">
        <v>0</v>
      </c>
      <c r="M2175" t="n">
        <v>0</v>
      </c>
      <c r="N2175" t="n">
        <v>0</v>
      </c>
      <c r="O2175" t="n">
        <v>0</v>
      </c>
      <c r="P2175" t="n">
        <v>0</v>
      </c>
      <c r="Q2175" t="n">
        <v>0</v>
      </c>
      <c r="R2175" s="2" t="inlineStr"/>
    </row>
    <row r="2176" ht="15" customHeight="1">
      <c r="A2176" t="inlineStr">
        <is>
          <t>A 16693-2022</t>
        </is>
      </c>
      <c r="B2176" s="1" t="n">
        <v>44673</v>
      </c>
      <c r="C2176" s="1" t="n">
        <v>45724</v>
      </c>
      <c r="D2176" t="inlineStr">
        <is>
          <t>VÄSTMANLANDS LÄN</t>
        </is>
      </c>
      <c r="E2176" t="inlineStr">
        <is>
          <t>KÖPING</t>
        </is>
      </c>
      <c r="G2176" t="n">
        <v>4.8</v>
      </c>
      <c r="H2176" t="n">
        <v>0</v>
      </c>
      <c r="I2176" t="n">
        <v>0</v>
      </c>
      <c r="J2176" t="n">
        <v>0</v>
      </c>
      <c r="K2176" t="n">
        <v>0</v>
      </c>
      <c r="L2176" t="n">
        <v>0</v>
      </c>
      <c r="M2176" t="n">
        <v>0</v>
      </c>
      <c r="N2176" t="n">
        <v>0</v>
      </c>
      <c r="O2176" t="n">
        <v>0</v>
      </c>
      <c r="P2176" t="n">
        <v>0</v>
      </c>
      <c r="Q2176" t="n">
        <v>0</v>
      </c>
      <c r="R2176" s="2" t="inlineStr"/>
    </row>
    <row r="2177" ht="15" customHeight="1">
      <c r="A2177" t="inlineStr">
        <is>
          <t>A 16762-2022</t>
        </is>
      </c>
      <c r="B2177" s="1" t="n">
        <v>44673</v>
      </c>
      <c r="C2177" s="1" t="n">
        <v>45724</v>
      </c>
      <c r="D2177" t="inlineStr">
        <is>
          <t>VÄSTMANLANDS LÄN</t>
        </is>
      </c>
      <c r="E2177" t="inlineStr">
        <is>
          <t>HALLSTAHAMMAR</t>
        </is>
      </c>
      <c r="G2177" t="n">
        <v>4.2</v>
      </c>
      <c r="H2177" t="n">
        <v>0</v>
      </c>
      <c r="I2177" t="n">
        <v>0</v>
      </c>
      <c r="J2177" t="n">
        <v>0</v>
      </c>
      <c r="K2177" t="n">
        <v>0</v>
      </c>
      <c r="L2177" t="n">
        <v>0</v>
      </c>
      <c r="M2177" t="n">
        <v>0</v>
      </c>
      <c r="N2177" t="n">
        <v>0</v>
      </c>
      <c r="O2177" t="n">
        <v>0</v>
      </c>
      <c r="P2177" t="n">
        <v>0</v>
      </c>
      <c r="Q2177" t="n">
        <v>0</v>
      </c>
      <c r="R2177" s="2" t="inlineStr"/>
    </row>
    <row r="2178" ht="15" customHeight="1">
      <c r="A2178" t="inlineStr">
        <is>
          <t>A 16768-2022</t>
        </is>
      </c>
      <c r="B2178" s="1" t="n">
        <v>44673</v>
      </c>
      <c r="C2178" s="1" t="n">
        <v>45724</v>
      </c>
      <c r="D2178" t="inlineStr">
        <is>
          <t>VÄSTMANLANDS LÄN</t>
        </is>
      </c>
      <c r="E2178" t="inlineStr">
        <is>
          <t>SALA</t>
        </is>
      </c>
      <c r="G2178" t="n">
        <v>4.7</v>
      </c>
      <c r="H2178" t="n">
        <v>0</v>
      </c>
      <c r="I2178" t="n">
        <v>0</v>
      </c>
      <c r="J2178" t="n">
        <v>0</v>
      </c>
      <c r="K2178" t="n">
        <v>0</v>
      </c>
      <c r="L2178" t="n">
        <v>0</v>
      </c>
      <c r="M2178" t="n">
        <v>0</v>
      </c>
      <c r="N2178" t="n">
        <v>0</v>
      </c>
      <c r="O2178" t="n">
        <v>0</v>
      </c>
      <c r="P2178" t="n">
        <v>0</v>
      </c>
      <c r="Q2178" t="n">
        <v>0</v>
      </c>
      <c r="R2178" s="2" t="inlineStr"/>
    </row>
    <row r="2179" ht="15" customHeight="1">
      <c r="A2179" t="inlineStr">
        <is>
          <t>A 16860-2022</t>
        </is>
      </c>
      <c r="B2179" s="1" t="n">
        <v>44674</v>
      </c>
      <c r="C2179" s="1" t="n">
        <v>45724</v>
      </c>
      <c r="D2179" t="inlineStr">
        <is>
          <t>VÄSTMANLANDS LÄN</t>
        </is>
      </c>
      <c r="E2179" t="inlineStr">
        <is>
          <t>SKINNSKATTEBERG</t>
        </is>
      </c>
      <c r="G2179" t="n">
        <v>1.9</v>
      </c>
      <c r="H2179" t="n">
        <v>0</v>
      </c>
      <c r="I2179" t="n">
        <v>0</v>
      </c>
      <c r="J2179" t="n">
        <v>0</v>
      </c>
      <c r="K2179" t="n">
        <v>0</v>
      </c>
      <c r="L2179" t="n">
        <v>0</v>
      </c>
      <c r="M2179" t="n">
        <v>0</v>
      </c>
      <c r="N2179" t="n">
        <v>0</v>
      </c>
      <c r="O2179" t="n">
        <v>0</v>
      </c>
      <c r="P2179" t="n">
        <v>0</v>
      </c>
      <c r="Q2179" t="n">
        <v>0</v>
      </c>
      <c r="R2179" s="2" t="inlineStr"/>
    </row>
    <row r="2180" ht="15" customHeight="1">
      <c r="A2180" t="inlineStr">
        <is>
          <t>A 16905-2022</t>
        </is>
      </c>
      <c r="B2180" s="1" t="n">
        <v>44676</v>
      </c>
      <c r="C2180" s="1" t="n">
        <v>45724</v>
      </c>
      <c r="D2180" t="inlineStr">
        <is>
          <t>VÄSTMANLANDS LÄN</t>
        </is>
      </c>
      <c r="E2180" t="inlineStr">
        <is>
          <t>SALA</t>
        </is>
      </c>
      <c r="G2180" t="n">
        <v>1</v>
      </c>
      <c r="H2180" t="n">
        <v>0</v>
      </c>
      <c r="I2180" t="n">
        <v>0</v>
      </c>
      <c r="J2180" t="n">
        <v>0</v>
      </c>
      <c r="K2180" t="n">
        <v>0</v>
      </c>
      <c r="L2180" t="n">
        <v>0</v>
      </c>
      <c r="M2180" t="n">
        <v>0</v>
      </c>
      <c r="N2180" t="n">
        <v>0</v>
      </c>
      <c r="O2180" t="n">
        <v>0</v>
      </c>
      <c r="P2180" t="n">
        <v>0</v>
      </c>
      <c r="Q2180" t="n">
        <v>0</v>
      </c>
      <c r="R2180" s="2" t="inlineStr"/>
    </row>
    <row r="2181" ht="15" customHeight="1">
      <c r="A2181" t="inlineStr">
        <is>
          <t>A 16988-2022</t>
        </is>
      </c>
      <c r="B2181" s="1" t="n">
        <v>44676</v>
      </c>
      <c r="C2181" s="1" t="n">
        <v>45724</v>
      </c>
      <c r="D2181" t="inlineStr">
        <is>
          <t>VÄSTMANLANDS LÄN</t>
        </is>
      </c>
      <c r="E2181" t="inlineStr">
        <is>
          <t>KUNGSÖR</t>
        </is>
      </c>
      <c r="G2181" t="n">
        <v>0.8</v>
      </c>
      <c r="H2181" t="n">
        <v>0</v>
      </c>
      <c r="I2181" t="n">
        <v>0</v>
      </c>
      <c r="J2181" t="n">
        <v>0</v>
      </c>
      <c r="K2181" t="n">
        <v>0</v>
      </c>
      <c r="L2181" t="n">
        <v>0</v>
      </c>
      <c r="M2181" t="n">
        <v>0</v>
      </c>
      <c r="N2181" t="n">
        <v>0</v>
      </c>
      <c r="O2181" t="n">
        <v>0</v>
      </c>
      <c r="P2181" t="n">
        <v>0</v>
      </c>
      <c r="Q2181" t="n">
        <v>0</v>
      </c>
      <c r="R2181" s="2" t="inlineStr"/>
    </row>
    <row r="2182" ht="15" customHeight="1">
      <c r="A2182" t="inlineStr">
        <is>
          <t>A 16951-2022</t>
        </is>
      </c>
      <c r="B2182" s="1" t="n">
        <v>44676</v>
      </c>
      <c r="C2182" s="1" t="n">
        <v>45724</v>
      </c>
      <c r="D2182" t="inlineStr">
        <is>
          <t>VÄSTMANLANDS LÄN</t>
        </is>
      </c>
      <c r="E2182" t="inlineStr">
        <is>
          <t>ARBOGA</t>
        </is>
      </c>
      <c r="G2182" t="n">
        <v>2</v>
      </c>
      <c r="H2182" t="n">
        <v>0</v>
      </c>
      <c r="I2182" t="n">
        <v>0</v>
      </c>
      <c r="J2182" t="n">
        <v>0</v>
      </c>
      <c r="K2182" t="n">
        <v>0</v>
      </c>
      <c r="L2182" t="n">
        <v>0</v>
      </c>
      <c r="M2182" t="n">
        <v>0</v>
      </c>
      <c r="N2182" t="n">
        <v>0</v>
      </c>
      <c r="O2182" t="n">
        <v>0</v>
      </c>
      <c r="P2182" t="n">
        <v>0</v>
      </c>
      <c r="Q2182" t="n">
        <v>0</v>
      </c>
      <c r="R2182" s="2" t="inlineStr"/>
    </row>
    <row r="2183" ht="15" customHeight="1">
      <c r="A2183" t="inlineStr">
        <is>
          <t>A 17036-2022</t>
        </is>
      </c>
      <c r="B2183" s="1" t="n">
        <v>44676</v>
      </c>
      <c r="C2183" s="1" t="n">
        <v>45724</v>
      </c>
      <c r="D2183" t="inlineStr">
        <is>
          <t>VÄSTMANLANDS LÄN</t>
        </is>
      </c>
      <c r="E2183" t="inlineStr">
        <is>
          <t>VÄSTERÅS</t>
        </is>
      </c>
      <c r="G2183" t="n">
        <v>4.7</v>
      </c>
      <c r="H2183" t="n">
        <v>0</v>
      </c>
      <c r="I2183" t="n">
        <v>0</v>
      </c>
      <c r="J2183" t="n">
        <v>0</v>
      </c>
      <c r="K2183" t="n">
        <v>0</v>
      </c>
      <c r="L2183" t="n">
        <v>0</v>
      </c>
      <c r="M2183" t="n">
        <v>0</v>
      </c>
      <c r="N2183" t="n">
        <v>0</v>
      </c>
      <c r="O2183" t="n">
        <v>0</v>
      </c>
      <c r="P2183" t="n">
        <v>0</v>
      </c>
      <c r="Q2183" t="n">
        <v>0</v>
      </c>
      <c r="R2183" s="2" t="inlineStr"/>
    </row>
    <row r="2184" ht="15" customHeight="1">
      <c r="A2184" t="inlineStr">
        <is>
          <t>A 17062-2022</t>
        </is>
      </c>
      <c r="B2184" s="1" t="n">
        <v>44676</v>
      </c>
      <c r="C2184" s="1" t="n">
        <v>45724</v>
      </c>
      <c r="D2184" t="inlineStr">
        <is>
          <t>VÄSTMANLANDS LÄN</t>
        </is>
      </c>
      <c r="E2184" t="inlineStr">
        <is>
          <t>ARBOGA</t>
        </is>
      </c>
      <c r="G2184" t="n">
        <v>0.4</v>
      </c>
      <c r="H2184" t="n">
        <v>0</v>
      </c>
      <c r="I2184" t="n">
        <v>0</v>
      </c>
      <c r="J2184" t="n">
        <v>0</v>
      </c>
      <c r="K2184" t="n">
        <v>0</v>
      </c>
      <c r="L2184" t="n">
        <v>0</v>
      </c>
      <c r="M2184" t="n">
        <v>0</v>
      </c>
      <c r="N2184" t="n">
        <v>0</v>
      </c>
      <c r="O2184" t="n">
        <v>0</v>
      </c>
      <c r="P2184" t="n">
        <v>0</v>
      </c>
      <c r="Q2184" t="n">
        <v>0</v>
      </c>
      <c r="R2184" s="2" t="inlineStr"/>
    </row>
    <row r="2185" ht="15" customHeight="1">
      <c r="A2185" t="inlineStr">
        <is>
          <t>A 17093-2022</t>
        </is>
      </c>
      <c r="B2185" s="1" t="n">
        <v>44677</v>
      </c>
      <c r="C2185" s="1" t="n">
        <v>45724</v>
      </c>
      <c r="D2185" t="inlineStr">
        <is>
          <t>VÄSTMANLANDS LÄN</t>
        </is>
      </c>
      <c r="E2185" t="inlineStr">
        <is>
          <t>KUNGSÖR</t>
        </is>
      </c>
      <c r="F2185" t="inlineStr">
        <is>
          <t>Kommuner</t>
        </is>
      </c>
      <c r="G2185" t="n">
        <v>4</v>
      </c>
      <c r="H2185" t="n">
        <v>0</v>
      </c>
      <c r="I2185" t="n">
        <v>0</v>
      </c>
      <c r="J2185" t="n">
        <v>0</v>
      </c>
      <c r="K2185" t="n">
        <v>0</v>
      </c>
      <c r="L2185" t="n">
        <v>0</v>
      </c>
      <c r="M2185" t="n">
        <v>0</v>
      </c>
      <c r="N2185" t="n">
        <v>0</v>
      </c>
      <c r="O2185" t="n">
        <v>0</v>
      </c>
      <c r="P2185" t="n">
        <v>0</v>
      </c>
      <c r="Q2185" t="n">
        <v>0</v>
      </c>
      <c r="R2185" s="2" t="inlineStr"/>
    </row>
    <row r="2186" ht="15" customHeight="1">
      <c r="A2186" t="inlineStr">
        <is>
          <t>A 17199-2022</t>
        </is>
      </c>
      <c r="B2186" s="1" t="n">
        <v>44677</v>
      </c>
      <c r="C2186" s="1" t="n">
        <v>45724</v>
      </c>
      <c r="D2186" t="inlineStr">
        <is>
          <t>VÄSTMANLANDS LÄN</t>
        </is>
      </c>
      <c r="E2186" t="inlineStr">
        <is>
          <t>ARBOGA</t>
        </is>
      </c>
      <c r="G2186" t="n">
        <v>1.4</v>
      </c>
      <c r="H2186" t="n">
        <v>0</v>
      </c>
      <c r="I2186" t="n">
        <v>0</v>
      </c>
      <c r="J2186" t="n">
        <v>0</v>
      </c>
      <c r="K2186" t="n">
        <v>0</v>
      </c>
      <c r="L2186" t="n">
        <v>0</v>
      </c>
      <c r="M2186" t="n">
        <v>0</v>
      </c>
      <c r="N2186" t="n">
        <v>0</v>
      </c>
      <c r="O2186" t="n">
        <v>0</v>
      </c>
      <c r="P2186" t="n">
        <v>0</v>
      </c>
      <c r="Q2186" t="n">
        <v>0</v>
      </c>
      <c r="R2186" s="2" t="inlineStr"/>
    </row>
    <row r="2187" ht="15" customHeight="1">
      <c r="A2187" t="inlineStr">
        <is>
          <t>A 17261-2022</t>
        </is>
      </c>
      <c r="B2187" s="1" t="n">
        <v>44678</v>
      </c>
      <c r="C2187" s="1" t="n">
        <v>45724</v>
      </c>
      <c r="D2187" t="inlineStr">
        <is>
          <t>VÄSTMANLANDS LÄN</t>
        </is>
      </c>
      <c r="E2187" t="inlineStr">
        <is>
          <t>VÄSTERÅS</t>
        </is>
      </c>
      <c r="G2187" t="n">
        <v>1.1</v>
      </c>
      <c r="H2187" t="n">
        <v>0</v>
      </c>
      <c r="I2187" t="n">
        <v>0</v>
      </c>
      <c r="J2187" t="n">
        <v>0</v>
      </c>
      <c r="K2187" t="n">
        <v>0</v>
      </c>
      <c r="L2187" t="n">
        <v>0</v>
      </c>
      <c r="M2187" t="n">
        <v>0</v>
      </c>
      <c r="N2187" t="n">
        <v>0</v>
      </c>
      <c r="O2187" t="n">
        <v>0</v>
      </c>
      <c r="P2187" t="n">
        <v>0</v>
      </c>
      <c r="Q2187" t="n">
        <v>0</v>
      </c>
      <c r="R2187" s="2" t="inlineStr"/>
    </row>
    <row r="2188" ht="15" customHeight="1">
      <c r="A2188" t="inlineStr">
        <is>
          <t>A 17398-2022</t>
        </is>
      </c>
      <c r="B2188" s="1" t="n">
        <v>44678</v>
      </c>
      <c r="C2188" s="1" t="n">
        <v>45724</v>
      </c>
      <c r="D2188" t="inlineStr">
        <is>
          <t>VÄSTMANLANDS LÄN</t>
        </is>
      </c>
      <c r="E2188" t="inlineStr">
        <is>
          <t>KÖPING</t>
        </is>
      </c>
      <c r="G2188" t="n">
        <v>3.2</v>
      </c>
      <c r="H2188" t="n">
        <v>0</v>
      </c>
      <c r="I2188" t="n">
        <v>0</v>
      </c>
      <c r="J2188" t="n">
        <v>0</v>
      </c>
      <c r="K2188" t="n">
        <v>0</v>
      </c>
      <c r="L2188" t="n">
        <v>0</v>
      </c>
      <c r="M2188" t="n">
        <v>0</v>
      </c>
      <c r="N2188" t="n">
        <v>0</v>
      </c>
      <c r="O2188" t="n">
        <v>0</v>
      </c>
      <c r="P2188" t="n">
        <v>0</v>
      </c>
      <c r="Q2188" t="n">
        <v>0</v>
      </c>
      <c r="R2188" s="2" t="inlineStr"/>
    </row>
    <row r="2189" ht="15" customHeight="1">
      <c r="A2189" t="inlineStr">
        <is>
          <t>A 17258-2022</t>
        </is>
      </c>
      <c r="B2189" s="1" t="n">
        <v>44678</v>
      </c>
      <c r="C2189" s="1" t="n">
        <v>45724</v>
      </c>
      <c r="D2189" t="inlineStr">
        <is>
          <t>VÄSTMANLANDS LÄN</t>
        </is>
      </c>
      <c r="E2189" t="inlineStr">
        <is>
          <t>VÄSTERÅS</t>
        </is>
      </c>
      <c r="G2189" t="n">
        <v>0.8</v>
      </c>
      <c r="H2189" t="n">
        <v>0</v>
      </c>
      <c r="I2189" t="n">
        <v>0</v>
      </c>
      <c r="J2189" t="n">
        <v>0</v>
      </c>
      <c r="K2189" t="n">
        <v>0</v>
      </c>
      <c r="L2189" t="n">
        <v>0</v>
      </c>
      <c r="M2189" t="n">
        <v>0</v>
      </c>
      <c r="N2189" t="n">
        <v>0</v>
      </c>
      <c r="O2189" t="n">
        <v>0</v>
      </c>
      <c r="P2189" t="n">
        <v>0</v>
      </c>
      <c r="Q2189" t="n">
        <v>0</v>
      </c>
      <c r="R2189" s="2" t="inlineStr"/>
    </row>
    <row r="2190" ht="15" customHeight="1">
      <c r="A2190" t="inlineStr">
        <is>
          <t>A 17320-2022</t>
        </is>
      </c>
      <c r="B2190" s="1" t="n">
        <v>44678</v>
      </c>
      <c r="C2190" s="1" t="n">
        <v>45724</v>
      </c>
      <c r="D2190" t="inlineStr">
        <is>
          <t>VÄSTMANLANDS LÄN</t>
        </is>
      </c>
      <c r="E2190" t="inlineStr">
        <is>
          <t>FAGERSTA</t>
        </is>
      </c>
      <c r="F2190" t="inlineStr">
        <is>
          <t>Sveaskog</t>
        </is>
      </c>
      <c r="G2190" t="n">
        <v>7.1</v>
      </c>
      <c r="H2190" t="n">
        <v>0</v>
      </c>
      <c r="I2190" t="n">
        <v>0</v>
      </c>
      <c r="J2190" t="n">
        <v>0</v>
      </c>
      <c r="K2190" t="n">
        <v>0</v>
      </c>
      <c r="L2190" t="n">
        <v>0</v>
      </c>
      <c r="M2190" t="n">
        <v>0</v>
      </c>
      <c r="N2190" t="n">
        <v>0</v>
      </c>
      <c r="O2190" t="n">
        <v>0</v>
      </c>
      <c r="P2190" t="n">
        <v>0</v>
      </c>
      <c r="Q2190" t="n">
        <v>0</v>
      </c>
      <c r="R2190" s="2" t="inlineStr"/>
    </row>
    <row r="2191" ht="15" customHeight="1">
      <c r="A2191" t="inlineStr">
        <is>
          <t>A 17345-2022</t>
        </is>
      </c>
      <c r="B2191" s="1" t="n">
        <v>44678</v>
      </c>
      <c r="C2191" s="1" t="n">
        <v>45724</v>
      </c>
      <c r="D2191" t="inlineStr">
        <is>
          <t>VÄSTMANLANDS LÄN</t>
        </is>
      </c>
      <c r="E2191" t="inlineStr">
        <is>
          <t>KÖPING</t>
        </is>
      </c>
      <c r="G2191" t="n">
        <v>3.2</v>
      </c>
      <c r="H2191" t="n">
        <v>0</v>
      </c>
      <c r="I2191" t="n">
        <v>0</v>
      </c>
      <c r="J2191" t="n">
        <v>0</v>
      </c>
      <c r="K2191" t="n">
        <v>0</v>
      </c>
      <c r="L2191" t="n">
        <v>0</v>
      </c>
      <c r="M2191" t="n">
        <v>0</v>
      </c>
      <c r="N2191" t="n">
        <v>0</v>
      </c>
      <c r="O2191" t="n">
        <v>0</v>
      </c>
      <c r="P2191" t="n">
        <v>0</v>
      </c>
      <c r="Q2191" t="n">
        <v>0</v>
      </c>
      <c r="R2191" s="2" t="inlineStr"/>
    </row>
    <row r="2192" ht="15" customHeight="1">
      <c r="A2192" t="inlineStr">
        <is>
          <t>A 17479-2022</t>
        </is>
      </c>
      <c r="B2192" s="1" t="n">
        <v>44679</v>
      </c>
      <c r="C2192" s="1" t="n">
        <v>45724</v>
      </c>
      <c r="D2192" t="inlineStr">
        <is>
          <t>VÄSTMANLANDS LÄN</t>
        </is>
      </c>
      <c r="E2192" t="inlineStr">
        <is>
          <t>VÄSTERÅS</t>
        </is>
      </c>
      <c r="G2192" t="n">
        <v>2.1</v>
      </c>
      <c r="H2192" t="n">
        <v>0</v>
      </c>
      <c r="I2192" t="n">
        <v>0</v>
      </c>
      <c r="J2192" t="n">
        <v>0</v>
      </c>
      <c r="K2192" t="n">
        <v>0</v>
      </c>
      <c r="L2192" t="n">
        <v>0</v>
      </c>
      <c r="M2192" t="n">
        <v>0</v>
      </c>
      <c r="N2192" t="n">
        <v>0</v>
      </c>
      <c r="O2192" t="n">
        <v>0</v>
      </c>
      <c r="P2192" t="n">
        <v>0</v>
      </c>
      <c r="Q2192" t="n">
        <v>0</v>
      </c>
      <c r="R2192" s="2" t="inlineStr"/>
    </row>
    <row r="2193" ht="15" customHeight="1">
      <c r="A2193" t="inlineStr">
        <is>
          <t>A 17725-2022</t>
        </is>
      </c>
      <c r="B2193" s="1" t="n">
        <v>44680</v>
      </c>
      <c r="C2193" s="1" t="n">
        <v>45724</v>
      </c>
      <c r="D2193" t="inlineStr">
        <is>
          <t>VÄSTMANLANDS LÄN</t>
        </is>
      </c>
      <c r="E2193" t="inlineStr">
        <is>
          <t>VÄSTERÅS</t>
        </is>
      </c>
      <c r="G2193" t="n">
        <v>1.5</v>
      </c>
      <c r="H2193" t="n">
        <v>0</v>
      </c>
      <c r="I2193" t="n">
        <v>0</v>
      </c>
      <c r="J2193" t="n">
        <v>0</v>
      </c>
      <c r="K2193" t="n">
        <v>0</v>
      </c>
      <c r="L2193" t="n">
        <v>0</v>
      </c>
      <c r="M2193" t="n">
        <v>0</v>
      </c>
      <c r="N2193" t="n">
        <v>0</v>
      </c>
      <c r="O2193" t="n">
        <v>0</v>
      </c>
      <c r="P2193" t="n">
        <v>0</v>
      </c>
      <c r="Q2193" t="n">
        <v>0</v>
      </c>
      <c r="R2193" s="2" t="inlineStr"/>
    </row>
    <row r="2194" ht="15" customHeight="1">
      <c r="A2194" t="inlineStr">
        <is>
          <t>A 17810-2022</t>
        </is>
      </c>
      <c r="B2194" s="1" t="n">
        <v>44683</v>
      </c>
      <c r="C2194" s="1" t="n">
        <v>45724</v>
      </c>
      <c r="D2194" t="inlineStr">
        <is>
          <t>VÄSTMANLANDS LÄN</t>
        </is>
      </c>
      <c r="E2194" t="inlineStr">
        <is>
          <t>KÖPING</t>
        </is>
      </c>
      <c r="G2194" t="n">
        <v>0.5</v>
      </c>
      <c r="H2194" t="n">
        <v>0</v>
      </c>
      <c r="I2194" t="n">
        <v>0</v>
      </c>
      <c r="J2194" t="n">
        <v>0</v>
      </c>
      <c r="K2194" t="n">
        <v>0</v>
      </c>
      <c r="L2194" t="n">
        <v>0</v>
      </c>
      <c r="M2194" t="n">
        <v>0</v>
      </c>
      <c r="N2194" t="n">
        <v>0</v>
      </c>
      <c r="O2194" t="n">
        <v>0</v>
      </c>
      <c r="P2194" t="n">
        <v>0</v>
      </c>
      <c r="Q2194" t="n">
        <v>0</v>
      </c>
      <c r="R2194" s="2" t="inlineStr"/>
    </row>
    <row r="2195" ht="15" customHeight="1">
      <c r="A2195" t="inlineStr">
        <is>
          <t>A 17863-2022</t>
        </is>
      </c>
      <c r="B2195" s="1" t="n">
        <v>44683</v>
      </c>
      <c r="C2195" s="1" t="n">
        <v>45724</v>
      </c>
      <c r="D2195" t="inlineStr">
        <is>
          <t>VÄSTMANLANDS LÄN</t>
        </is>
      </c>
      <c r="E2195" t="inlineStr">
        <is>
          <t>FAGERSTA</t>
        </is>
      </c>
      <c r="G2195" t="n">
        <v>6.5</v>
      </c>
      <c r="H2195" t="n">
        <v>0</v>
      </c>
      <c r="I2195" t="n">
        <v>0</v>
      </c>
      <c r="J2195" t="n">
        <v>0</v>
      </c>
      <c r="K2195" t="n">
        <v>0</v>
      </c>
      <c r="L2195" t="n">
        <v>0</v>
      </c>
      <c r="M2195" t="n">
        <v>0</v>
      </c>
      <c r="N2195" t="n">
        <v>0</v>
      </c>
      <c r="O2195" t="n">
        <v>0</v>
      </c>
      <c r="P2195" t="n">
        <v>0</v>
      </c>
      <c r="Q2195" t="n">
        <v>0</v>
      </c>
      <c r="R2195" s="2" t="inlineStr"/>
    </row>
    <row r="2196" ht="15" customHeight="1">
      <c r="A2196" t="inlineStr">
        <is>
          <t>A 17897-2022</t>
        </is>
      </c>
      <c r="B2196" s="1" t="n">
        <v>44683</v>
      </c>
      <c r="C2196" s="1" t="n">
        <v>45724</v>
      </c>
      <c r="D2196" t="inlineStr">
        <is>
          <t>VÄSTMANLANDS LÄN</t>
        </is>
      </c>
      <c r="E2196" t="inlineStr">
        <is>
          <t>SALA</t>
        </is>
      </c>
      <c r="G2196" t="n">
        <v>1.2</v>
      </c>
      <c r="H2196" t="n">
        <v>0</v>
      </c>
      <c r="I2196" t="n">
        <v>0</v>
      </c>
      <c r="J2196" t="n">
        <v>0</v>
      </c>
      <c r="K2196" t="n">
        <v>0</v>
      </c>
      <c r="L2196" t="n">
        <v>0</v>
      </c>
      <c r="M2196" t="n">
        <v>0</v>
      </c>
      <c r="N2196" t="n">
        <v>0</v>
      </c>
      <c r="O2196" t="n">
        <v>0</v>
      </c>
      <c r="P2196" t="n">
        <v>0</v>
      </c>
      <c r="Q2196" t="n">
        <v>0</v>
      </c>
      <c r="R2196" s="2" t="inlineStr"/>
    </row>
    <row r="2197" ht="15" customHeight="1">
      <c r="A2197" t="inlineStr">
        <is>
          <t>A 17865-2022</t>
        </is>
      </c>
      <c r="B2197" s="1" t="n">
        <v>44683</v>
      </c>
      <c r="C2197" s="1" t="n">
        <v>45724</v>
      </c>
      <c r="D2197" t="inlineStr">
        <is>
          <t>VÄSTMANLANDS LÄN</t>
        </is>
      </c>
      <c r="E2197" t="inlineStr">
        <is>
          <t>FAGERSTA</t>
        </is>
      </c>
      <c r="G2197" t="n">
        <v>2.3</v>
      </c>
      <c r="H2197" t="n">
        <v>0</v>
      </c>
      <c r="I2197" t="n">
        <v>0</v>
      </c>
      <c r="J2197" t="n">
        <v>0</v>
      </c>
      <c r="K2197" t="n">
        <v>0</v>
      </c>
      <c r="L2197" t="n">
        <v>0</v>
      </c>
      <c r="M2197" t="n">
        <v>0</v>
      </c>
      <c r="N2197" t="n">
        <v>0</v>
      </c>
      <c r="O2197" t="n">
        <v>0</v>
      </c>
      <c r="P2197" t="n">
        <v>0</v>
      </c>
      <c r="Q2197" t="n">
        <v>0</v>
      </c>
      <c r="R2197" s="2" t="inlineStr"/>
    </row>
    <row r="2198" ht="15" customHeight="1">
      <c r="A2198" t="inlineStr">
        <is>
          <t>A 17989-2022</t>
        </is>
      </c>
      <c r="B2198" s="1" t="n">
        <v>44683</v>
      </c>
      <c r="C2198" s="1" t="n">
        <v>45724</v>
      </c>
      <c r="D2198" t="inlineStr">
        <is>
          <t>VÄSTMANLANDS LÄN</t>
        </is>
      </c>
      <c r="E2198" t="inlineStr">
        <is>
          <t>FAGERSTA</t>
        </is>
      </c>
      <c r="F2198" t="inlineStr">
        <is>
          <t>Sveaskog</t>
        </is>
      </c>
      <c r="G2198" t="n">
        <v>3.5</v>
      </c>
      <c r="H2198" t="n">
        <v>0</v>
      </c>
      <c r="I2198" t="n">
        <v>0</v>
      </c>
      <c r="J2198" t="n">
        <v>0</v>
      </c>
      <c r="K2198" t="n">
        <v>0</v>
      </c>
      <c r="L2198" t="n">
        <v>0</v>
      </c>
      <c r="M2198" t="n">
        <v>0</v>
      </c>
      <c r="N2198" t="n">
        <v>0</v>
      </c>
      <c r="O2198" t="n">
        <v>0</v>
      </c>
      <c r="P2198" t="n">
        <v>0</v>
      </c>
      <c r="Q2198" t="n">
        <v>0</v>
      </c>
      <c r="R2198" s="2" t="inlineStr"/>
    </row>
    <row r="2199" ht="15" customHeight="1">
      <c r="A2199" t="inlineStr">
        <is>
          <t>A 17991-2022</t>
        </is>
      </c>
      <c r="B2199" s="1" t="n">
        <v>44683</v>
      </c>
      <c r="C2199" s="1" t="n">
        <v>45724</v>
      </c>
      <c r="D2199" t="inlineStr">
        <is>
          <t>VÄSTMANLANDS LÄN</t>
        </is>
      </c>
      <c r="E2199" t="inlineStr">
        <is>
          <t>VÄSTERÅS</t>
        </is>
      </c>
      <c r="F2199" t="inlineStr">
        <is>
          <t>Sveaskog</t>
        </is>
      </c>
      <c r="G2199" t="n">
        <v>0.7</v>
      </c>
      <c r="H2199" t="n">
        <v>0</v>
      </c>
      <c r="I2199" t="n">
        <v>0</v>
      </c>
      <c r="J2199" t="n">
        <v>0</v>
      </c>
      <c r="K2199" t="n">
        <v>0</v>
      </c>
      <c r="L2199" t="n">
        <v>0</v>
      </c>
      <c r="M2199" t="n">
        <v>0</v>
      </c>
      <c r="N2199" t="n">
        <v>0</v>
      </c>
      <c r="O2199" t="n">
        <v>0</v>
      </c>
      <c r="P2199" t="n">
        <v>0</v>
      </c>
      <c r="Q2199" t="n">
        <v>0</v>
      </c>
      <c r="R2199" s="2" t="inlineStr"/>
    </row>
    <row r="2200" ht="15" customHeight="1">
      <c r="A2200" t="inlineStr">
        <is>
          <t>A 18281-2022</t>
        </is>
      </c>
      <c r="B2200" s="1" t="n">
        <v>44685</v>
      </c>
      <c r="C2200" s="1" t="n">
        <v>45724</v>
      </c>
      <c r="D2200" t="inlineStr">
        <is>
          <t>VÄSTMANLANDS LÄN</t>
        </is>
      </c>
      <c r="E2200" t="inlineStr">
        <is>
          <t>VÄSTERÅS</t>
        </is>
      </c>
      <c r="G2200" t="n">
        <v>1.3</v>
      </c>
      <c r="H2200" t="n">
        <v>0</v>
      </c>
      <c r="I2200" t="n">
        <v>0</v>
      </c>
      <c r="J2200" t="n">
        <v>0</v>
      </c>
      <c r="K2200" t="n">
        <v>0</v>
      </c>
      <c r="L2200" t="n">
        <v>0</v>
      </c>
      <c r="M2200" t="n">
        <v>0</v>
      </c>
      <c r="N2200" t="n">
        <v>0</v>
      </c>
      <c r="O2200" t="n">
        <v>0</v>
      </c>
      <c r="P2200" t="n">
        <v>0</v>
      </c>
      <c r="Q2200" t="n">
        <v>0</v>
      </c>
      <c r="R2200" s="2" t="inlineStr"/>
    </row>
    <row r="2201" ht="15" customHeight="1">
      <c r="A2201" t="inlineStr">
        <is>
          <t>A 18276-2022</t>
        </is>
      </c>
      <c r="B2201" s="1" t="n">
        <v>44685</v>
      </c>
      <c r="C2201" s="1" t="n">
        <v>45724</v>
      </c>
      <c r="D2201" t="inlineStr">
        <is>
          <t>VÄSTMANLANDS LÄN</t>
        </is>
      </c>
      <c r="E2201" t="inlineStr">
        <is>
          <t>VÄSTERÅS</t>
        </is>
      </c>
      <c r="G2201" t="n">
        <v>1.5</v>
      </c>
      <c r="H2201" t="n">
        <v>0</v>
      </c>
      <c r="I2201" t="n">
        <v>0</v>
      </c>
      <c r="J2201" t="n">
        <v>0</v>
      </c>
      <c r="K2201" t="n">
        <v>0</v>
      </c>
      <c r="L2201" t="n">
        <v>0</v>
      </c>
      <c r="M2201" t="n">
        <v>0</v>
      </c>
      <c r="N2201" t="n">
        <v>0</v>
      </c>
      <c r="O2201" t="n">
        <v>0</v>
      </c>
      <c r="P2201" t="n">
        <v>0</v>
      </c>
      <c r="Q2201" t="n">
        <v>0</v>
      </c>
      <c r="R2201" s="2" t="inlineStr"/>
    </row>
    <row r="2202" ht="15" customHeight="1">
      <c r="A2202" t="inlineStr">
        <is>
          <t>A 18326-2022</t>
        </is>
      </c>
      <c r="B2202" s="1" t="n">
        <v>44685</v>
      </c>
      <c r="C2202" s="1" t="n">
        <v>45724</v>
      </c>
      <c r="D2202" t="inlineStr">
        <is>
          <t>VÄSTMANLANDS LÄN</t>
        </is>
      </c>
      <c r="E2202" t="inlineStr">
        <is>
          <t>NORBERG</t>
        </is>
      </c>
      <c r="G2202" t="n">
        <v>6.8</v>
      </c>
      <c r="H2202" t="n">
        <v>0</v>
      </c>
      <c r="I2202" t="n">
        <v>0</v>
      </c>
      <c r="J2202" t="n">
        <v>0</v>
      </c>
      <c r="K2202" t="n">
        <v>0</v>
      </c>
      <c r="L2202" t="n">
        <v>0</v>
      </c>
      <c r="M2202" t="n">
        <v>0</v>
      </c>
      <c r="N2202" t="n">
        <v>0</v>
      </c>
      <c r="O2202" t="n">
        <v>0</v>
      </c>
      <c r="P2202" t="n">
        <v>0</v>
      </c>
      <c r="Q2202" t="n">
        <v>0</v>
      </c>
      <c r="R2202" s="2" t="inlineStr"/>
    </row>
    <row r="2203" ht="15" customHeight="1">
      <c r="A2203" t="inlineStr">
        <is>
          <t>A 18284-2022</t>
        </is>
      </c>
      <c r="B2203" s="1" t="n">
        <v>44685</v>
      </c>
      <c r="C2203" s="1" t="n">
        <v>45724</v>
      </c>
      <c r="D2203" t="inlineStr">
        <is>
          <t>VÄSTMANLANDS LÄN</t>
        </is>
      </c>
      <c r="E2203" t="inlineStr">
        <is>
          <t>VÄSTERÅS</t>
        </is>
      </c>
      <c r="G2203" t="n">
        <v>1.6</v>
      </c>
      <c r="H2203" t="n">
        <v>0</v>
      </c>
      <c r="I2203" t="n">
        <v>0</v>
      </c>
      <c r="J2203" t="n">
        <v>0</v>
      </c>
      <c r="K2203" t="n">
        <v>0</v>
      </c>
      <c r="L2203" t="n">
        <v>0</v>
      </c>
      <c r="M2203" t="n">
        <v>0</v>
      </c>
      <c r="N2203" t="n">
        <v>0</v>
      </c>
      <c r="O2203" t="n">
        <v>0</v>
      </c>
      <c r="P2203" t="n">
        <v>0</v>
      </c>
      <c r="Q2203" t="n">
        <v>0</v>
      </c>
      <c r="R2203" s="2" t="inlineStr"/>
    </row>
    <row r="2204" ht="15" customHeight="1">
      <c r="A2204" t="inlineStr">
        <is>
          <t>A 18531-2022</t>
        </is>
      </c>
      <c r="B2204" s="1" t="n">
        <v>44686</v>
      </c>
      <c r="C2204" s="1" t="n">
        <v>45724</v>
      </c>
      <c r="D2204" t="inlineStr">
        <is>
          <t>VÄSTMANLANDS LÄN</t>
        </is>
      </c>
      <c r="E2204" t="inlineStr">
        <is>
          <t>VÄSTERÅS</t>
        </is>
      </c>
      <c r="G2204" t="n">
        <v>3.3</v>
      </c>
      <c r="H2204" t="n">
        <v>0</v>
      </c>
      <c r="I2204" t="n">
        <v>0</v>
      </c>
      <c r="J2204" t="n">
        <v>0</v>
      </c>
      <c r="K2204" t="n">
        <v>0</v>
      </c>
      <c r="L2204" t="n">
        <v>0</v>
      </c>
      <c r="M2204" t="n">
        <v>0</v>
      </c>
      <c r="N2204" t="n">
        <v>0</v>
      </c>
      <c r="O2204" t="n">
        <v>0</v>
      </c>
      <c r="P2204" t="n">
        <v>0</v>
      </c>
      <c r="Q2204" t="n">
        <v>0</v>
      </c>
      <c r="R2204" s="2" t="inlineStr"/>
    </row>
    <row r="2205" ht="15" customHeight="1">
      <c r="A2205" t="inlineStr">
        <is>
          <t>A 18673-2022</t>
        </is>
      </c>
      <c r="B2205" s="1" t="n">
        <v>44687</v>
      </c>
      <c r="C2205" s="1" t="n">
        <v>45724</v>
      </c>
      <c r="D2205" t="inlineStr">
        <is>
          <t>VÄSTMANLANDS LÄN</t>
        </is>
      </c>
      <c r="E2205" t="inlineStr">
        <is>
          <t>NORBERG</t>
        </is>
      </c>
      <c r="G2205" t="n">
        <v>6.6</v>
      </c>
      <c r="H2205" t="n">
        <v>0</v>
      </c>
      <c r="I2205" t="n">
        <v>0</v>
      </c>
      <c r="J2205" t="n">
        <v>0</v>
      </c>
      <c r="K2205" t="n">
        <v>0</v>
      </c>
      <c r="L2205" t="n">
        <v>0</v>
      </c>
      <c r="M2205" t="n">
        <v>0</v>
      </c>
      <c r="N2205" t="n">
        <v>0</v>
      </c>
      <c r="O2205" t="n">
        <v>0</v>
      </c>
      <c r="P2205" t="n">
        <v>0</v>
      </c>
      <c r="Q2205" t="n">
        <v>0</v>
      </c>
      <c r="R2205" s="2" t="inlineStr"/>
    </row>
    <row r="2206" ht="15" customHeight="1">
      <c r="A2206" t="inlineStr">
        <is>
          <t>A 19076-2022</t>
        </is>
      </c>
      <c r="B2206" s="1" t="n">
        <v>44691</v>
      </c>
      <c r="C2206" s="1" t="n">
        <v>45724</v>
      </c>
      <c r="D2206" t="inlineStr">
        <is>
          <t>VÄSTMANLANDS LÄN</t>
        </is>
      </c>
      <c r="E2206" t="inlineStr">
        <is>
          <t>NORBERG</t>
        </is>
      </c>
      <c r="F2206" t="inlineStr">
        <is>
          <t>Övriga Aktiebolag</t>
        </is>
      </c>
      <c r="G2206" t="n">
        <v>5.6</v>
      </c>
      <c r="H2206" t="n">
        <v>0</v>
      </c>
      <c r="I2206" t="n">
        <v>0</v>
      </c>
      <c r="J2206" t="n">
        <v>0</v>
      </c>
      <c r="K2206" t="n">
        <v>0</v>
      </c>
      <c r="L2206" t="n">
        <v>0</v>
      </c>
      <c r="M2206" t="n">
        <v>0</v>
      </c>
      <c r="N2206" t="n">
        <v>0</v>
      </c>
      <c r="O2206" t="n">
        <v>0</v>
      </c>
      <c r="P2206" t="n">
        <v>0</v>
      </c>
      <c r="Q2206" t="n">
        <v>0</v>
      </c>
      <c r="R2206" s="2" t="inlineStr"/>
    </row>
    <row r="2207" ht="15" customHeight="1">
      <c r="A2207" t="inlineStr">
        <is>
          <t>A 19058-2022</t>
        </is>
      </c>
      <c r="B2207" s="1" t="n">
        <v>44691</v>
      </c>
      <c r="C2207" s="1" t="n">
        <v>45724</v>
      </c>
      <c r="D2207" t="inlineStr">
        <is>
          <t>VÄSTMANLANDS LÄN</t>
        </is>
      </c>
      <c r="E2207" t="inlineStr">
        <is>
          <t>SALA</t>
        </is>
      </c>
      <c r="G2207" t="n">
        <v>1.2</v>
      </c>
      <c r="H2207" t="n">
        <v>0</v>
      </c>
      <c r="I2207" t="n">
        <v>0</v>
      </c>
      <c r="J2207" t="n">
        <v>0</v>
      </c>
      <c r="K2207" t="n">
        <v>0</v>
      </c>
      <c r="L2207" t="n">
        <v>0</v>
      </c>
      <c r="M2207" t="n">
        <v>0</v>
      </c>
      <c r="N2207" t="n">
        <v>0</v>
      </c>
      <c r="O2207" t="n">
        <v>0</v>
      </c>
      <c r="P2207" t="n">
        <v>0</v>
      </c>
      <c r="Q2207" t="n">
        <v>0</v>
      </c>
      <c r="R2207" s="2" t="inlineStr"/>
    </row>
    <row r="2208" ht="15" customHeight="1">
      <c r="A2208" t="inlineStr">
        <is>
          <t>A 19075-2022</t>
        </is>
      </c>
      <c r="B2208" s="1" t="n">
        <v>44691</v>
      </c>
      <c r="C2208" s="1" t="n">
        <v>45724</v>
      </c>
      <c r="D2208" t="inlineStr">
        <is>
          <t>VÄSTMANLANDS LÄN</t>
        </is>
      </c>
      <c r="E2208" t="inlineStr">
        <is>
          <t>NORBERG</t>
        </is>
      </c>
      <c r="F2208" t="inlineStr">
        <is>
          <t>Övriga Aktiebolag</t>
        </is>
      </c>
      <c r="G2208" t="n">
        <v>4.1</v>
      </c>
      <c r="H2208" t="n">
        <v>0</v>
      </c>
      <c r="I2208" t="n">
        <v>0</v>
      </c>
      <c r="J2208" t="n">
        <v>0</v>
      </c>
      <c r="K2208" t="n">
        <v>0</v>
      </c>
      <c r="L2208" t="n">
        <v>0</v>
      </c>
      <c r="M2208" t="n">
        <v>0</v>
      </c>
      <c r="N2208" t="n">
        <v>0</v>
      </c>
      <c r="O2208" t="n">
        <v>0</v>
      </c>
      <c r="P2208" t="n">
        <v>0</v>
      </c>
      <c r="Q2208" t="n">
        <v>0</v>
      </c>
      <c r="R2208" s="2" t="inlineStr"/>
    </row>
    <row r="2209" ht="15" customHeight="1">
      <c r="A2209" t="inlineStr">
        <is>
          <t>A 19065-2022</t>
        </is>
      </c>
      <c r="B2209" s="1" t="n">
        <v>44691</v>
      </c>
      <c r="C2209" s="1" t="n">
        <v>45724</v>
      </c>
      <c r="D2209" t="inlineStr">
        <is>
          <t>VÄSTMANLANDS LÄN</t>
        </is>
      </c>
      <c r="E2209" t="inlineStr">
        <is>
          <t>SALA</t>
        </is>
      </c>
      <c r="G2209" t="n">
        <v>3.4</v>
      </c>
      <c r="H2209" t="n">
        <v>0</v>
      </c>
      <c r="I2209" t="n">
        <v>0</v>
      </c>
      <c r="J2209" t="n">
        <v>0</v>
      </c>
      <c r="K2209" t="n">
        <v>0</v>
      </c>
      <c r="L2209" t="n">
        <v>0</v>
      </c>
      <c r="M2209" t="n">
        <v>0</v>
      </c>
      <c r="N2209" t="n">
        <v>0</v>
      </c>
      <c r="O2209" t="n">
        <v>0</v>
      </c>
      <c r="P2209" t="n">
        <v>0</v>
      </c>
      <c r="Q2209" t="n">
        <v>0</v>
      </c>
      <c r="R2209" s="2" t="inlineStr"/>
    </row>
    <row r="2210" ht="15" customHeight="1">
      <c r="A2210" t="inlineStr">
        <is>
          <t>A 19073-2022</t>
        </is>
      </c>
      <c r="B2210" s="1" t="n">
        <v>44691</v>
      </c>
      <c r="C2210" s="1" t="n">
        <v>45724</v>
      </c>
      <c r="D2210" t="inlineStr">
        <is>
          <t>VÄSTMANLANDS LÄN</t>
        </is>
      </c>
      <c r="E2210" t="inlineStr">
        <is>
          <t>NORBERG</t>
        </is>
      </c>
      <c r="F2210" t="inlineStr">
        <is>
          <t>Övriga Aktiebolag</t>
        </is>
      </c>
      <c r="G2210" t="n">
        <v>4.2</v>
      </c>
      <c r="H2210" t="n">
        <v>0</v>
      </c>
      <c r="I2210" t="n">
        <v>0</v>
      </c>
      <c r="J2210" t="n">
        <v>0</v>
      </c>
      <c r="K2210" t="n">
        <v>0</v>
      </c>
      <c r="L2210" t="n">
        <v>0</v>
      </c>
      <c r="M2210" t="n">
        <v>0</v>
      </c>
      <c r="N2210" t="n">
        <v>0</v>
      </c>
      <c r="O2210" t="n">
        <v>0</v>
      </c>
      <c r="P2210" t="n">
        <v>0</v>
      </c>
      <c r="Q2210" t="n">
        <v>0</v>
      </c>
      <c r="R2210" s="2" t="inlineStr"/>
    </row>
    <row r="2211" ht="15" customHeight="1">
      <c r="A2211" t="inlineStr">
        <is>
          <t>A 19099-2022</t>
        </is>
      </c>
      <c r="B2211" s="1" t="n">
        <v>44691</v>
      </c>
      <c r="C2211" s="1" t="n">
        <v>45724</v>
      </c>
      <c r="D2211" t="inlineStr">
        <is>
          <t>VÄSTMANLANDS LÄN</t>
        </is>
      </c>
      <c r="E2211" t="inlineStr">
        <is>
          <t>SURAHAMMAR</t>
        </is>
      </c>
      <c r="F2211" t="inlineStr">
        <is>
          <t>Övriga Aktiebolag</t>
        </is>
      </c>
      <c r="G2211" t="n">
        <v>3.4</v>
      </c>
      <c r="H2211" t="n">
        <v>0</v>
      </c>
      <c r="I2211" t="n">
        <v>0</v>
      </c>
      <c r="J2211" t="n">
        <v>0</v>
      </c>
      <c r="K2211" t="n">
        <v>0</v>
      </c>
      <c r="L2211" t="n">
        <v>0</v>
      </c>
      <c r="M2211" t="n">
        <v>0</v>
      </c>
      <c r="N2211" t="n">
        <v>0</v>
      </c>
      <c r="O2211" t="n">
        <v>0</v>
      </c>
      <c r="P2211" t="n">
        <v>0</v>
      </c>
      <c r="Q2211" t="n">
        <v>0</v>
      </c>
      <c r="R2211" s="2" t="inlineStr"/>
    </row>
    <row r="2212" ht="15" customHeight="1">
      <c r="A2212" t="inlineStr">
        <is>
          <t>A 19164-2022</t>
        </is>
      </c>
      <c r="B2212" s="1" t="n">
        <v>44691</v>
      </c>
      <c r="C2212" s="1" t="n">
        <v>45724</v>
      </c>
      <c r="D2212" t="inlineStr">
        <is>
          <t>VÄSTMANLANDS LÄN</t>
        </is>
      </c>
      <c r="E2212" t="inlineStr">
        <is>
          <t>VÄSTERÅS</t>
        </is>
      </c>
      <c r="F2212" t="inlineStr">
        <is>
          <t>Övriga Aktiebolag</t>
        </is>
      </c>
      <c r="G2212" t="n">
        <v>0.7</v>
      </c>
      <c r="H2212" t="n">
        <v>0</v>
      </c>
      <c r="I2212" t="n">
        <v>0</v>
      </c>
      <c r="J2212" t="n">
        <v>0</v>
      </c>
      <c r="K2212" t="n">
        <v>0</v>
      </c>
      <c r="L2212" t="n">
        <v>0</v>
      </c>
      <c r="M2212" t="n">
        <v>0</v>
      </c>
      <c r="N2212" t="n">
        <v>0</v>
      </c>
      <c r="O2212" t="n">
        <v>0</v>
      </c>
      <c r="P2212" t="n">
        <v>0</v>
      </c>
      <c r="Q2212" t="n">
        <v>0</v>
      </c>
      <c r="R2212" s="2" t="inlineStr"/>
    </row>
    <row r="2213" ht="15" customHeight="1">
      <c r="A2213" t="inlineStr">
        <is>
          <t>A 19336-2022</t>
        </is>
      </c>
      <c r="B2213" s="1" t="n">
        <v>44692</v>
      </c>
      <c r="C2213" s="1" t="n">
        <v>45724</v>
      </c>
      <c r="D2213" t="inlineStr">
        <is>
          <t>VÄSTMANLANDS LÄN</t>
        </is>
      </c>
      <c r="E2213" t="inlineStr">
        <is>
          <t>VÄSTERÅS</t>
        </is>
      </c>
      <c r="F2213" t="inlineStr">
        <is>
          <t>Övriga Aktiebolag</t>
        </is>
      </c>
      <c r="G2213" t="n">
        <v>2.6</v>
      </c>
      <c r="H2213" t="n">
        <v>0</v>
      </c>
      <c r="I2213" t="n">
        <v>0</v>
      </c>
      <c r="J2213" t="n">
        <v>0</v>
      </c>
      <c r="K2213" t="n">
        <v>0</v>
      </c>
      <c r="L2213" t="n">
        <v>0</v>
      </c>
      <c r="M2213" t="n">
        <v>0</v>
      </c>
      <c r="N2213" t="n">
        <v>0</v>
      </c>
      <c r="O2213" t="n">
        <v>0</v>
      </c>
      <c r="P2213" t="n">
        <v>0</v>
      </c>
      <c r="Q2213" t="n">
        <v>0</v>
      </c>
      <c r="R2213" s="2" t="inlineStr"/>
    </row>
    <row r="2214" ht="15" customHeight="1">
      <c r="A2214" t="inlineStr">
        <is>
          <t>A 19637-2022</t>
        </is>
      </c>
      <c r="B2214" s="1" t="n">
        <v>44694</v>
      </c>
      <c r="C2214" s="1" t="n">
        <v>45724</v>
      </c>
      <c r="D2214" t="inlineStr">
        <is>
          <t>VÄSTMANLANDS LÄN</t>
        </is>
      </c>
      <c r="E2214" t="inlineStr">
        <is>
          <t>SURAHAMMAR</t>
        </is>
      </c>
      <c r="F2214" t="inlineStr">
        <is>
          <t>Bergvik skog väst AB</t>
        </is>
      </c>
      <c r="G2214" t="n">
        <v>0.7</v>
      </c>
      <c r="H2214" t="n">
        <v>0</v>
      </c>
      <c r="I2214" t="n">
        <v>0</v>
      </c>
      <c r="J2214" t="n">
        <v>0</v>
      </c>
      <c r="K2214" t="n">
        <v>0</v>
      </c>
      <c r="L2214" t="n">
        <v>0</v>
      </c>
      <c r="M2214" t="n">
        <v>0</v>
      </c>
      <c r="N2214" t="n">
        <v>0</v>
      </c>
      <c r="O2214" t="n">
        <v>0</v>
      </c>
      <c r="P2214" t="n">
        <v>0</v>
      </c>
      <c r="Q2214" t="n">
        <v>0</v>
      </c>
      <c r="R2214" s="2" t="inlineStr"/>
    </row>
    <row r="2215" ht="15" customHeight="1">
      <c r="A2215" t="inlineStr">
        <is>
          <t>A 19636-2022</t>
        </is>
      </c>
      <c r="B2215" s="1" t="n">
        <v>44694</v>
      </c>
      <c r="C2215" s="1" t="n">
        <v>45724</v>
      </c>
      <c r="D2215" t="inlineStr">
        <is>
          <t>VÄSTMANLANDS LÄN</t>
        </is>
      </c>
      <c r="E2215" t="inlineStr">
        <is>
          <t>NORBERG</t>
        </is>
      </c>
      <c r="F2215" t="inlineStr">
        <is>
          <t>Bergvik skog väst AB</t>
        </is>
      </c>
      <c r="G2215" t="n">
        <v>10.1</v>
      </c>
      <c r="H2215" t="n">
        <v>0</v>
      </c>
      <c r="I2215" t="n">
        <v>0</v>
      </c>
      <c r="J2215" t="n">
        <v>0</v>
      </c>
      <c r="K2215" t="n">
        <v>0</v>
      </c>
      <c r="L2215" t="n">
        <v>0</v>
      </c>
      <c r="M2215" t="n">
        <v>0</v>
      </c>
      <c r="N2215" t="n">
        <v>0</v>
      </c>
      <c r="O2215" t="n">
        <v>0</v>
      </c>
      <c r="P2215" t="n">
        <v>0</v>
      </c>
      <c r="Q2215" t="n">
        <v>0</v>
      </c>
      <c r="R2215" s="2" t="inlineStr"/>
    </row>
    <row r="2216" ht="15" customHeight="1">
      <c r="A2216" t="inlineStr">
        <is>
          <t>A 19751-2022</t>
        </is>
      </c>
      <c r="B2216" s="1" t="n">
        <v>44694</v>
      </c>
      <c r="C2216" s="1" t="n">
        <v>45724</v>
      </c>
      <c r="D2216" t="inlineStr">
        <is>
          <t>VÄSTMANLANDS LÄN</t>
        </is>
      </c>
      <c r="E2216" t="inlineStr">
        <is>
          <t>SALA</t>
        </is>
      </c>
      <c r="G2216" t="n">
        <v>2.7</v>
      </c>
      <c r="H2216" t="n">
        <v>0</v>
      </c>
      <c r="I2216" t="n">
        <v>0</v>
      </c>
      <c r="J2216" t="n">
        <v>0</v>
      </c>
      <c r="K2216" t="n">
        <v>0</v>
      </c>
      <c r="L2216" t="n">
        <v>0</v>
      </c>
      <c r="M2216" t="n">
        <v>0</v>
      </c>
      <c r="N2216" t="n">
        <v>0</v>
      </c>
      <c r="O2216" t="n">
        <v>0</v>
      </c>
      <c r="P2216" t="n">
        <v>0</v>
      </c>
      <c r="Q2216" t="n">
        <v>0</v>
      </c>
      <c r="R2216" s="2" t="inlineStr"/>
    </row>
    <row r="2217" ht="15" customHeight="1">
      <c r="A2217" t="inlineStr">
        <is>
          <t>A 19760-2022</t>
        </is>
      </c>
      <c r="B2217" s="1" t="n">
        <v>44694</v>
      </c>
      <c r="C2217" s="1" t="n">
        <v>45724</v>
      </c>
      <c r="D2217" t="inlineStr">
        <is>
          <t>VÄSTMANLANDS LÄN</t>
        </is>
      </c>
      <c r="E2217" t="inlineStr">
        <is>
          <t>SALA</t>
        </is>
      </c>
      <c r="G2217" t="n">
        <v>0.9</v>
      </c>
      <c r="H2217" t="n">
        <v>0</v>
      </c>
      <c r="I2217" t="n">
        <v>0</v>
      </c>
      <c r="J2217" t="n">
        <v>0</v>
      </c>
      <c r="K2217" t="n">
        <v>0</v>
      </c>
      <c r="L2217" t="n">
        <v>0</v>
      </c>
      <c r="M2217" t="n">
        <v>0</v>
      </c>
      <c r="N2217" t="n">
        <v>0</v>
      </c>
      <c r="O2217" t="n">
        <v>0</v>
      </c>
      <c r="P2217" t="n">
        <v>0</v>
      </c>
      <c r="Q2217" t="n">
        <v>0</v>
      </c>
      <c r="R2217" s="2" t="inlineStr"/>
    </row>
    <row r="2218" ht="15" customHeight="1">
      <c r="A2218" t="inlineStr">
        <is>
          <t>A 19844-2022</t>
        </is>
      </c>
      <c r="B2218" s="1" t="n">
        <v>44696</v>
      </c>
      <c r="C2218" s="1" t="n">
        <v>45724</v>
      </c>
      <c r="D2218" t="inlineStr">
        <is>
          <t>VÄSTMANLANDS LÄN</t>
        </is>
      </c>
      <c r="E2218" t="inlineStr">
        <is>
          <t>SURAHAMMAR</t>
        </is>
      </c>
      <c r="F2218" t="inlineStr">
        <is>
          <t>Kommuner</t>
        </is>
      </c>
      <c r="G2218" t="n">
        <v>2.1</v>
      </c>
      <c r="H2218" t="n">
        <v>0</v>
      </c>
      <c r="I2218" t="n">
        <v>0</v>
      </c>
      <c r="J2218" t="n">
        <v>0</v>
      </c>
      <c r="K2218" t="n">
        <v>0</v>
      </c>
      <c r="L2218" t="n">
        <v>0</v>
      </c>
      <c r="M2218" t="n">
        <v>0</v>
      </c>
      <c r="N2218" t="n">
        <v>0</v>
      </c>
      <c r="O2218" t="n">
        <v>0</v>
      </c>
      <c r="P2218" t="n">
        <v>0</v>
      </c>
      <c r="Q2218" t="n">
        <v>0</v>
      </c>
      <c r="R2218" s="2" t="inlineStr"/>
    </row>
    <row r="2219" ht="15" customHeight="1">
      <c r="A2219" t="inlineStr">
        <is>
          <t>A 19845-2022</t>
        </is>
      </c>
      <c r="B2219" s="1" t="n">
        <v>44696</v>
      </c>
      <c r="C2219" s="1" t="n">
        <v>45724</v>
      </c>
      <c r="D2219" t="inlineStr">
        <is>
          <t>VÄSTMANLANDS LÄN</t>
        </is>
      </c>
      <c r="E2219" t="inlineStr">
        <is>
          <t>SURAHAMMAR</t>
        </is>
      </c>
      <c r="F2219" t="inlineStr">
        <is>
          <t>Kommuner</t>
        </is>
      </c>
      <c r="G2219" t="n">
        <v>3.3</v>
      </c>
      <c r="H2219" t="n">
        <v>0</v>
      </c>
      <c r="I2219" t="n">
        <v>0</v>
      </c>
      <c r="J2219" t="n">
        <v>0</v>
      </c>
      <c r="K2219" t="n">
        <v>0</v>
      </c>
      <c r="L2219" t="n">
        <v>0</v>
      </c>
      <c r="M2219" t="n">
        <v>0</v>
      </c>
      <c r="N2219" t="n">
        <v>0</v>
      </c>
      <c r="O2219" t="n">
        <v>0</v>
      </c>
      <c r="P2219" t="n">
        <v>0</v>
      </c>
      <c r="Q2219" t="n">
        <v>0</v>
      </c>
      <c r="R2219" s="2" t="inlineStr"/>
    </row>
    <row r="2220" ht="15" customHeight="1">
      <c r="A2220" t="inlineStr">
        <is>
          <t>A 19846-2022</t>
        </is>
      </c>
      <c r="B2220" s="1" t="n">
        <v>44696</v>
      </c>
      <c r="C2220" s="1" t="n">
        <v>45724</v>
      </c>
      <c r="D2220" t="inlineStr">
        <is>
          <t>VÄSTMANLANDS LÄN</t>
        </is>
      </c>
      <c r="E2220" t="inlineStr">
        <is>
          <t>SURAHAMMAR</t>
        </is>
      </c>
      <c r="F2220" t="inlineStr">
        <is>
          <t>Kommuner</t>
        </is>
      </c>
      <c r="G2220" t="n">
        <v>3.4</v>
      </c>
      <c r="H2220" t="n">
        <v>0</v>
      </c>
      <c r="I2220" t="n">
        <v>0</v>
      </c>
      <c r="J2220" t="n">
        <v>0</v>
      </c>
      <c r="K2220" t="n">
        <v>0</v>
      </c>
      <c r="L2220" t="n">
        <v>0</v>
      </c>
      <c r="M2220" t="n">
        <v>0</v>
      </c>
      <c r="N2220" t="n">
        <v>0</v>
      </c>
      <c r="O2220" t="n">
        <v>0</v>
      </c>
      <c r="P2220" t="n">
        <v>0</v>
      </c>
      <c r="Q2220" t="n">
        <v>0</v>
      </c>
      <c r="R2220" s="2" t="inlineStr"/>
    </row>
    <row r="2221" ht="15" customHeight="1">
      <c r="A2221" t="inlineStr">
        <is>
          <t>A 19992-2022</t>
        </is>
      </c>
      <c r="B2221" s="1" t="n">
        <v>44697</v>
      </c>
      <c r="C2221" s="1" t="n">
        <v>45724</v>
      </c>
      <c r="D2221" t="inlineStr">
        <is>
          <t>VÄSTMANLANDS LÄN</t>
        </is>
      </c>
      <c r="E2221" t="inlineStr">
        <is>
          <t>ARBOGA</t>
        </is>
      </c>
      <c r="F2221" t="inlineStr">
        <is>
          <t>Allmännings- och besparingsskogar</t>
        </is>
      </c>
      <c r="G2221" t="n">
        <v>0.8</v>
      </c>
      <c r="H2221" t="n">
        <v>0</v>
      </c>
      <c r="I2221" t="n">
        <v>0</v>
      </c>
      <c r="J2221" t="n">
        <v>0</v>
      </c>
      <c r="K2221" t="n">
        <v>0</v>
      </c>
      <c r="L2221" t="n">
        <v>0</v>
      </c>
      <c r="M2221" t="n">
        <v>0</v>
      </c>
      <c r="N2221" t="n">
        <v>0</v>
      </c>
      <c r="O2221" t="n">
        <v>0</v>
      </c>
      <c r="P2221" t="n">
        <v>0</v>
      </c>
      <c r="Q2221" t="n">
        <v>0</v>
      </c>
      <c r="R2221" s="2" t="inlineStr"/>
    </row>
    <row r="2222" ht="15" customHeight="1">
      <c r="A2222" t="inlineStr">
        <is>
          <t>A 19877-2022</t>
        </is>
      </c>
      <c r="B2222" s="1" t="n">
        <v>44697</v>
      </c>
      <c r="C2222" s="1" t="n">
        <v>45724</v>
      </c>
      <c r="D2222" t="inlineStr">
        <is>
          <t>VÄSTMANLANDS LÄN</t>
        </is>
      </c>
      <c r="E2222" t="inlineStr">
        <is>
          <t>SKINNSKATTEBERG</t>
        </is>
      </c>
      <c r="F2222" t="inlineStr">
        <is>
          <t>Sveaskog</t>
        </is>
      </c>
      <c r="G2222" t="n">
        <v>0.7</v>
      </c>
      <c r="H2222" t="n">
        <v>0</v>
      </c>
      <c r="I2222" t="n">
        <v>0</v>
      </c>
      <c r="J2222" t="n">
        <v>0</v>
      </c>
      <c r="K2222" t="n">
        <v>0</v>
      </c>
      <c r="L2222" t="n">
        <v>0</v>
      </c>
      <c r="M2222" t="n">
        <v>0</v>
      </c>
      <c r="N2222" t="n">
        <v>0</v>
      </c>
      <c r="O2222" t="n">
        <v>0</v>
      </c>
      <c r="P2222" t="n">
        <v>0</v>
      </c>
      <c r="Q2222" t="n">
        <v>0</v>
      </c>
      <c r="R2222" s="2" t="inlineStr"/>
    </row>
    <row r="2223" ht="15" customHeight="1">
      <c r="A2223" t="inlineStr">
        <is>
          <t>A 20134-2022</t>
        </is>
      </c>
      <c r="B2223" s="1" t="n">
        <v>44698</v>
      </c>
      <c r="C2223" s="1" t="n">
        <v>45724</v>
      </c>
      <c r="D2223" t="inlineStr">
        <is>
          <t>VÄSTMANLANDS LÄN</t>
        </is>
      </c>
      <c r="E2223" t="inlineStr">
        <is>
          <t>VÄSTERÅS</t>
        </is>
      </c>
      <c r="G2223" t="n">
        <v>2</v>
      </c>
      <c r="H2223" t="n">
        <v>0</v>
      </c>
      <c r="I2223" t="n">
        <v>0</v>
      </c>
      <c r="J2223" t="n">
        <v>0</v>
      </c>
      <c r="K2223" t="n">
        <v>0</v>
      </c>
      <c r="L2223" t="n">
        <v>0</v>
      </c>
      <c r="M2223" t="n">
        <v>0</v>
      </c>
      <c r="N2223" t="n">
        <v>0</v>
      </c>
      <c r="O2223" t="n">
        <v>0</v>
      </c>
      <c r="P2223" t="n">
        <v>0</v>
      </c>
      <c r="Q2223" t="n">
        <v>0</v>
      </c>
      <c r="R2223" s="2" t="inlineStr"/>
    </row>
    <row r="2224" ht="15" customHeight="1">
      <c r="A2224" t="inlineStr">
        <is>
          <t>A 20118-2022</t>
        </is>
      </c>
      <c r="B2224" s="1" t="n">
        <v>44698</v>
      </c>
      <c r="C2224" s="1" t="n">
        <v>45724</v>
      </c>
      <c r="D2224" t="inlineStr">
        <is>
          <t>VÄSTMANLANDS LÄN</t>
        </is>
      </c>
      <c r="E2224" t="inlineStr">
        <is>
          <t>NORBERG</t>
        </is>
      </c>
      <c r="F2224" t="inlineStr">
        <is>
          <t>Bergvik skog väst AB</t>
        </is>
      </c>
      <c r="G2224" t="n">
        <v>5</v>
      </c>
      <c r="H2224" t="n">
        <v>0</v>
      </c>
      <c r="I2224" t="n">
        <v>0</v>
      </c>
      <c r="J2224" t="n">
        <v>0</v>
      </c>
      <c r="K2224" t="n">
        <v>0</v>
      </c>
      <c r="L2224" t="n">
        <v>0</v>
      </c>
      <c r="M2224" t="n">
        <v>0</v>
      </c>
      <c r="N2224" t="n">
        <v>0</v>
      </c>
      <c r="O2224" t="n">
        <v>0</v>
      </c>
      <c r="P2224" t="n">
        <v>0</v>
      </c>
      <c r="Q2224" t="n">
        <v>0</v>
      </c>
      <c r="R2224" s="2" t="inlineStr"/>
    </row>
    <row r="2225" ht="15" customHeight="1">
      <c r="A2225" t="inlineStr">
        <is>
          <t>A 20271-2022</t>
        </is>
      </c>
      <c r="B2225" s="1" t="n">
        <v>44698</v>
      </c>
      <c r="C2225" s="1" t="n">
        <v>45724</v>
      </c>
      <c r="D2225" t="inlineStr">
        <is>
          <t>VÄSTMANLANDS LÄN</t>
        </is>
      </c>
      <c r="E2225" t="inlineStr">
        <is>
          <t>ARBOGA</t>
        </is>
      </c>
      <c r="G2225" t="n">
        <v>0.4</v>
      </c>
      <c r="H2225" t="n">
        <v>0</v>
      </c>
      <c r="I2225" t="n">
        <v>0</v>
      </c>
      <c r="J2225" t="n">
        <v>0</v>
      </c>
      <c r="K2225" t="n">
        <v>0</v>
      </c>
      <c r="L2225" t="n">
        <v>0</v>
      </c>
      <c r="M2225" t="n">
        <v>0</v>
      </c>
      <c r="N2225" t="n">
        <v>0</v>
      </c>
      <c r="O2225" t="n">
        <v>0</v>
      </c>
      <c r="P2225" t="n">
        <v>0</v>
      </c>
      <c r="Q2225" t="n">
        <v>0</v>
      </c>
      <c r="R2225" s="2" t="inlineStr"/>
    </row>
    <row r="2226" ht="15" customHeight="1">
      <c r="A2226" t="inlineStr">
        <is>
          <t>A 20344-2022</t>
        </is>
      </c>
      <c r="B2226" s="1" t="n">
        <v>44699</v>
      </c>
      <c r="C2226" s="1" t="n">
        <v>45724</v>
      </c>
      <c r="D2226" t="inlineStr">
        <is>
          <t>VÄSTMANLANDS LÄN</t>
        </is>
      </c>
      <c r="E2226" t="inlineStr">
        <is>
          <t>SALA</t>
        </is>
      </c>
      <c r="G2226" t="n">
        <v>1.7</v>
      </c>
      <c r="H2226" t="n">
        <v>0</v>
      </c>
      <c r="I2226" t="n">
        <v>0</v>
      </c>
      <c r="J2226" t="n">
        <v>0</v>
      </c>
      <c r="K2226" t="n">
        <v>0</v>
      </c>
      <c r="L2226" t="n">
        <v>0</v>
      </c>
      <c r="M2226" t="n">
        <v>0</v>
      </c>
      <c r="N2226" t="n">
        <v>0</v>
      </c>
      <c r="O2226" t="n">
        <v>0</v>
      </c>
      <c r="P2226" t="n">
        <v>0</v>
      </c>
      <c r="Q2226" t="n">
        <v>0</v>
      </c>
      <c r="R2226" s="2" t="inlineStr"/>
    </row>
    <row r="2227" ht="15" customHeight="1">
      <c r="A2227" t="inlineStr">
        <is>
          <t>A 20352-2022</t>
        </is>
      </c>
      <c r="B2227" s="1" t="n">
        <v>44699</v>
      </c>
      <c r="C2227" s="1" t="n">
        <v>45724</v>
      </c>
      <c r="D2227" t="inlineStr">
        <is>
          <t>VÄSTMANLANDS LÄN</t>
        </is>
      </c>
      <c r="E2227" t="inlineStr">
        <is>
          <t>SALA</t>
        </is>
      </c>
      <c r="G2227" t="n">
        <v>1.3</v>
      </c>
      <c r="H2227" t="n">
        <v>0</v>
      </c>
      <c r="I2227" t="n">
        <v>0</v>
      </c>
      <c r="J2227" t="n">
        <v>0</v>
      </c>
      <c r="K2227" t="n">
        <v>0</v>
      </c>
      <c r="L2227" t="n">
        <v>0</v>
      </c>
      <c r="M2227" t="n">
        <v>0</v>
      </c>
      <c r="N2227" t="n">
        <v>0</v>
      </c>
      <c r="O2227" t="n">
        <v>0</v>
      </c>
      <c r="P2227" t="n">
        <v>0</v>
      </c>
      <c r="Q2227" t="n">
        <v>0</v>
      </c>
      <c r="R2227" s="2" t="inlineStr"/>
    </row>
    <row r="2228" ht="15" customHeight="1">
      <c r="A2228" t="inlineStr">
        <is>
          <t>A 20433-2022</t>
        </is>
      </c>
      <c r="B2228" s="1" t="n">
        <v>44699</v>
      </c>
      <c r="C2228" s="1" t="n">
        <v>45724</v>
      </c>
      <c r="D2228" t="inlineStr">
        <is>
          <t>VÄSTMANLANDS LÄN</t>
        </is>
      </c>
      <c r="E2228" t="inlineStr">
        <is>
          <t>ARBOGA</t>
        </is>
      </c>
      <c r="G2228" t="n">
        <v>8.5</v>
      </c>
      <c r="H2228" t="n">
        <v>0</v>
      </c>
      <c r="I2228" t="n">
        <v>0</v>
      </c>
      <c r="J2228" t="n">
        <v>0</v>
      </c>
      <c r="K2228" t="n">
        <v>0</v>
      </c>
      <c r="L2228" t="n">
        <v>0</v>
      </c>
      <c r="M2228" t="n">
        <v>0</v>
      </c>
      <c r="N2228" t="n">
        <v>0</v>
      </c>
      <c r="O2228" t="n">
        <v>0</v>
      </c>
      <c r="P2228" t="n">
        <v>0</v>
      </c>
      <c r="Q2228" t="n">
        <v>0</v>
      </c>
      <c r="R2228" s="2" t="inlineStr"/>
    </row>
    <row r="2229" ht="15" customHeight="1">
      <c r="A2229" t="inlineStr">
        <is>
          <t>A 20492-2022</t>
        </is>
      </c>
      <c r="B2229" s="1" t="n">
        <v>44699</v>
      </c>
      <c r="C2229" s="1" t="n">
        <v>45724</v>
      </c>
      <c r="D2229" t="inlineStr">
        <is>
          <t>VÄSTMANLANDS LÄN</t>
        </is>
      </c>
      <c r="E2229" t="inlineStr">
        <is>
          <t>VÄSTERÅS</t>
        </is>
      </c>
      <c r="G2229" t="n">
        <v>0.5</v>
      </c>
      <c r="H2229" t="n">
        <v>0</v>
      </c>
      <c r="I2229" t="n">
        <v>0</v>
      </c>
      <c r="J2229" t="n">
        <v>0</v>
      </c>
      <c r="K2229" t="n">
        <v>0</v>
      </c>
      <c r="L2229" t="n">
        <v>0</v>
      </c>
      <c r="M2229" t="n">
        <v>0</v>
      </c>
      <c r="N2229" t="n">
        <v>0</v>
      </c>
      <c r="O2229" t="n">
        <v>0</v>
      </c>
      <c r="P2229" t="n">
        <v>0</v>
      </c>
      <c r="Q2229" t="n">
        <v>0</v>
      </c>
      <c r="R2229" s="2" t="inlineStr"/>
    </row>
    <row r="2230" ht="15" customHeight="1">
      <c r="A2230" t="inlineStr">
        <is>
          <t>A 20445-2022</t>
        </is>
      </c>
      <c r="B2230" s="1" t="n">
        <v>44699</v>
      </c>
      <c r="C2230" s="1" t="n">
        <v>45724</v>
      </c>
      <c r="D2230" t="inlineStr">
        <is>
          <t>VÄSTMANLANDS LÄN</t>
        </is>
      </c>
      <c r="E2230" t="inlineStr">
        <is>
          <t>ARBOGA</t>
        </is>
      </c>
      <c r="G2230" t="n">
        <v>4.6</v>
      </c>
      <c r="H2230" t="n">
        <v>0</v>
      </c>
      <c r="I2230" t="n">
        <v>0</v>
      </c>
      <c r="J2230" t="n">
        <v>0</v>
      </c>
      <c r="K2230" t="n">
        <v>0</v>
      </c>
      <c r="L2230" t="n">
        <v>0</v>
      </c>
      <c r="M2230" t="n">
        <v>0</v>
      </c>
      <c r="N2230" t="n">
        <v>0</v>
      </c>
      <c r="O2230" t="n">
        <v>0</v>
      </c>
      <c r="P2230" t="n">
        <v>0</v>
      </c>
      <c r="Q2230" t="n">
        <v>0</v>
      </c>
      <c r="R2230" s="2" t="inlineStr"/>
    </row>
    <row r="2231" ht="15" customHeight="1">
      <c r="A2231" t="inlineStr">
        <is>
          <t>A 20552-2022</t>
        </is>
      </c>
      <c r="B2231" s="1" t="n">
        <v>44700</v>
      </c>
      <c r="C2231" s="1" t="n">
        <v>45724</v>
      </c>
      <c r="D2231" t="inlineStr">
        <is>
          <t>VÄSTMANLANDS LÄN</t>
        </is>
      </c>
      <c r="E2231" t="inlineStr">
        <is>
          <t>ARBOGA</t>
        </is>
      </c>
      <c r="G2231" t="n">
        <v>2.8</v>
      </c>
      <c r="H2231" t="n">
        <v>0</v>
      </c>
      <c r="I2231" t="n">
        <v>0</v>
      </c>
      <c r="J2231" t="n">
        <v>0</v>
      </c>
      <c r="K2231" t="n">
        <v>0</v>
      </c>
      <c r="L2231" t="n">
        <v>0</v>
      </c>
      <c r="M2231" t="n">
        <v>0</v>
      </c>
      <c r="N2231" t="n">
        <v>0</v>
      </c>
      <c r="O2231" t="n">
        <v>0</v>
      </c>
      <c r="P2231" t="n">
        <v>0</v>
      </c>
      <c r="Q2231" t="n">
        <v>0</v>
      </c>
      <c r="R2231" s="2" t="inlineStr"/>
    </row>
    <row r="2232" ht="15" customHeight="1">
      <c r="A2232" t="inlineStr">
        <is>
          <t>A 20567-2022</t>
        </is>
      </c>
      <c r="B2232" s="1" t="n">
        <v>44700</v>
      </c>
      <c r="C2232" s="1" t="n">
        <v>45724</v>
      </c>
      <c r="D2232" t="inlineStr">
        <is>
          <t>VÄSTMANLANDS LÄN</t>
        </is>
      </c>
      <c r="E2232" t="inlineStr">
        <is>
          <t>NORBERG</t>
        </is>
      </c>
      <c r="F2232" t="inlineStr">
        <is>
          <t>Bergvik skog väst AB</t>
        </is>
      </c>
      <c r="G2232" t="n">
        <v>3.8</v>
      </c>
      <c r="H2232" t="n">
        <v>0</v>
      </c>
      <c r="I2232" t="n">
        <v>0</v>
      </c>
      <c r="J2232" t="n">
        <v>0</v>
      </c>
      <c r="K2232" t="n">
        <v>0</v>
      </c>
      <c r="L2232" t="n">
        <v>0</v>
      </c>
      <c r="M2232" t="n">
        <v>0</v>
      </c>
      <c r="N2232" t="n">
        <v>0</v>
      </c>
      <c r="O2232" t="n">
        <v>0</v>
      </c>
      <c r="P2232" t="n">
        <v>0</v>
      </c>
      <c r="Q2232" t="n">
        <v>0</v>
      </c>
      <c r="R2232" s="2" t="inlineStr"/>
    </row>
    <row r="2233" ht="15" customHeight="1">
      <c r="A2233" t="inlineStr">
        <is>
          <t>A 20798-2022</t>
        </is>
      </c>
      <c r="B2233" s="1" t="n">
        <v>44701</v>
      </c>
      <c r="C2233" s="1" t="n">
        <v>45724</v>
      </c>
      <c r="D2233" t="inlineStr">
        <is>
          <t>VÄSTMANLANDS LÄN</t>
        </is>
      </c>
      <c r="E2233" t="inlineStr">
        <is>
          <t>KÖPING</t>
        </is>
      </c>
      <c r="F2233" t="inlineStr">
        <is>
          <t>Sveaskog</t>
        </is>
      </c>
      <c r="G2233" t="n">
        <v>1.8</v>
      </c>
      <c r="H2233" t="n">
        <v>0</v>
      </c>
      <c r="I2233" t="n">
        <v>0</v>
      </c>
      <c r="J2233" t="n">
        <v>0</v>
      </c>
      <c r="K2233" t="n">
        <v>0</v>
      </c>
      <c r="L2233" t="n">
        <v>0</v>
      </c>
      <c r="M2233" t="n">
        <v>0</v>
      </c>
      <c r="N2233" t="n">
        <v>0</v>
      </c>
      <c r="O2233" t="n">
        <v>0</v>
      </c>
      <c r="P2233" t="n">
        <v>0</v>
      </c>
      <c r="Q2233" t="n">
        <v>0</v>
      </c>
      <c r="R2233" s="2" t="inlineStr"/>
    </row>
    <row r="2234" ht="15" customHeight="1">
      <c r="A2234" t="inlineStr">
        <is>
          <t>A 20875-2022</t>
        </is>
      </c>
      <c r="B2234" s="1" t="n">
        <v>44701</v>
      </c>
      <c r="C2234" s="1" t="n">
        <v>45724</v>
      </c>
      <c r="D2234" t="inlineStr">
        <is>
          <t>VÄSTMANLANDS LÄN</t>
        </is>
      </c>
      <c r="E2234" t="inlineStr">
        <is>
          <t>SALA</t>
        </is>
      </c>
      <c r="G2234" t="n">
        <v>2.6</v>
      </c>
      <c r="H2234" t="n">
        <v>0</v>
      </c>
      <c r="I2234" t="n">
        <v>0</v>
      </c>
      <c r="J2234" t="n">
        <v>0</v>
      </c>
      <c r="K2234" t="n">
        <v>0</v>
      </c>
      <c r="L2234" t="n">
        <v>0</v>
      </c>
      <c r="M2234" t="n">
        <v>0</v>
      </c>
      <c r="N2234" t="n">
        <v>0</v>
      </c>
      <c r="O2234" t="n">
        <v>0</v>
      </c>
      <c r="P2234" t="n">
        <v>0</v>
      </c>
      <c r="Q2234" t="n">
        <v>0</v>
      </c>
      <c r="R2234" s="2" t="inlineStr"/>
    </row>
    <row r="2235" ht="15" customHeight="1">
      <c r="A2235" t="inlineStr">
        <is>
          <t>A 20898-2022</t>
        </is>
      </c>
      <c r="B2235" s="1" t="n">
        <v>44701</v>
      </c>
      <c r="C2235" s="1" t="n">
        <v>45724</v>
      </c>
      <c r="D2235" t="inlineStr">
        <is>
          <t>VÄSTMANLANDS LÄN</t>
        </is>
      </c>
      <c r="E2235" t="inlineStr">
        <is>
          <t>KÖPING</t>
        </is>
      </c>
      <c r="G2235" t="n">
        <v>0.8</v>
      </c>
      <c r="H2235" t="n">
        <v>0</v>
      </c>
      <c r="I2235" t="n">
        <v>0</v>
      </c>
      <c r="J2235" t="n">
        <v>0</v>
      </c>
      <c r="K2235" t="n">
        <v>0</v>
      </c>
      <c r="L2235" t="n">
        <v>0</v>
      </c>
      <c r="M2235" t="n">
        <v>0</v>
      </c>
      <c r="N2235" t="n">
        <v>0</v>
      </c>
      <c r="O2235" t="n">
        <v>0</v>
      </c>
      <c r="P2235" t="n">
        <v>0</v>
      </c>
      <c r="Q2235" t="n">
        <v>0</v>
      </c>
      <c r="R2235" s="2" t="inlineStr"/>
    </row>
    <row r="2236" ht="15" customHeight="1">
      <c r="A2236" t="inlineStr">
        <is>
          <t>A 21055-2022</t>
        </is>
      </c>
      <c r="B2236" s="1" t="n">
        <v>44704</v>
      </c>
      <c r="C2236" s="1" t="n">
        <v>45724</v>
      </c>
      <c r="D2236" t="inlineStr">
        <is>
          <t>VÄSTMANLANDS LÄN</t>
        </is>
      </c>
      <c r="E2236" t="inlineStr">
        <is>
          <t>SALA</t>
        </is>
      </c>
      <c r="G2236" t="n">
        <v>1.9</v>
      </c>
      <c r="H2236" t="n">
        <v>0</v>
      </c>
      <c r="I2236" t="n">
        <v>0</v>
      </c>
      <c r="J2236" t="n">
        <v>0</v>
      </c>
      <c r="K2236" t="n">
        <v>0</v>
      </c>
      <c r="L2236" t="n">
        <v>0</v>
      </c>
      <c r="M2236" t="n">
        <v>0</v>
      </c>
      <c r="N2236" t="n">
        <v>0</v>
      </c>
      <c r="O2236" t="n">
        <v>0</v>
      </c>
      <c r="P2236" t="n">
        <v>0</v>
      </c>
      <c r="Q2236" t="n">
        <v>0</v>
      </c>
      <c r="R2236" s="2" t="inlineStr"/>
    </row>
    <row r="2237" ht="15" customHeight="1">
      <c r="A2237" t="inlineStr">
        <is>
          <t>A 21053-2022</t>
        </is>
      </c>
      <c r="B2237" s="1" t="n">
        <v>44704</v>
      </c>
      <c r="C2237" s="1" t="n">
        <v>45724</v>
      </c>
      <c r="D2237" t="inlineStr">
        <is>
          <t>VÄSTMANLANDS LÄN</t>
        </is>
      </c>
      <c r="E2237" t="inlineStr">
        <is>
          <t>SALA</t>
        </is>
      </c>
      <c r="G2237" t="n">
        <v>2</v>
      </c>
      <c r="H2237" t="n">
        <v>0</v>
      </c>
      <c r="I2237" t="n">
        <v>0</v>
      </c>
      <c r="J2237" t="n">
        <v>0</v>
      </c>
      <c r="K2237" t="n">
        <v>0</v>
      </c>
      <c r="L2237" t="n">
        <v>0</v>
      </c>
      <c r="M2237" t="n">
        <v>0</v>
      </c>
      <c r="N2237" t="n">
        <v>0</v>
      </c>
      <c r="O2237" t="n">
        <v>0</v>
      </c>
      <c r="P2237" t="n">
        <v>0</v>
      </c>
      <c r="Q2237" t="n">
        <v>0</v>
      </c>
      <c r="R2237" s="2" t="inlineStr"/>
    </row>
    <row r="2238" ht="15" customHeight="1">
      <c r="A2238" t="inlineStr">
        <is>
          <t>A 21159-2022</t>
        </is>
      </c>
      <c r="B2238" s="1" t="n">
        <v>44704</v>
      </c>
      <c r="C2238" s="1" t="n">
        <v>45724</v>
      </c>
      <c r="D2238" t="inlineStr">
        <is>
          <t>VÄSTMANLANDS LÄN</t>
        </is>
      </c>
      <c r="E2238" t="inlineStr">
        <is>
          <t>SALA</t>
        </is>
      </c>
      <c r="G2238" t="n">
        <v>1.4</v>
      </c>
      <c r="H2238" t="n">
        <v>0</v>
      </c>
      <c r="I2238" t="n">
        <v>0</v>
      </c>
      <c r="J2238" t="n">
        <v>0</v>
      </c>
      <c r="K2238" t="n">
        <v>0</v>
      </c>
      <c r="L2238" t="n">
        <v>0</v>
      </c>
      <c r="M2238" t="n">
        <v>0</v>
      </c>
      <c r="N2238" t="n">
        <v>0</v>
      </c>
      <c r="O2238" t="n">
        <v>0</v>
      </c>
      <c r="P2238" t="n">
        <v>0</v>
      </c>
      <c r="Q2238" t="n">
        <v>0</v>
      </c>
      <c r="R2238" s="2" t="inlineStr"/>
    </row>
    <row r="2239" ht="15" customHeight="1">
      <c r="A2239" t="inlineStr">
        <is>
          <t>A 21264-2022</t>
        </is>
      </c>
      <c r="B2239" s="1" t="n">
        <v>44705</v>
      </c>
      <c r="C2239" s="1" t="n">
        <v>45724</v>
      </c>
      <c r="D2239" t="inlineStr">
        <is>
          <t>VÄSTMANLANDS LÄN</t>
        </is>
      </c>
      <c r="E2239" t="inlineStr">
        <is>
          <t>HALLSTAHAMMAR</t>
        </is>
      </c>
      <c r="F2239" t="inlineStr">
        <is>
          <t>Allmännings- och besparingsskogar</t>
        </is>
      </c>
      <c r="G2239" t="n">
        <v>2.4</v>
      </c>
      <c r="H2239" t="n">
        <v>0</v>
      </c>
      <c r="I2239" t="n">
        <v>0</v>
      </c>
      <c r="J2239" t="n">
        <v>0</v>
      </c>
      <c r="K2239" t="n">
        <v>0</v>
      </c>
      <c r="L2239" t="n">
        <v>0</v>
      </c>
      <c r="M2239" t="n">
        <v>0</v>
      </c>
      <c r="N2239" t="n">
        <v>0</v>
      </c>
      <c r="O2239" t="n">
        <v>0</v>
      </c>
      <c r="P2239" t="n">
        <v>0</v>
      </c>
      <c r="Q2239" t="n">
        <v>0</v>
      </c>
      <c r="R2239" s="2" t="inlineStr"/>
    </row>
    <row r="2240" ht="15" customHeight="1">
      <c r="A2240" t="inlineStr">
        <is>
          <t>A 21761-2022</t>
        </is>
      </c>
      <c r="B2240" s="1" t="n">
        <v>44708</v>
      </c>
      <c r="C2240" s="1" t="n">
        <v>45724</v>
      </c>
      <c r="D2240" t="inlineStr">
        <is>
          <t>VÄSTMANLANDS LÄN</t>
        </is>
      </c>
      <c r="E2240" t="inlineStr">
        <is>
          <t>VÄSTERÅS</t>
        </is>
      </c>
      <c r="F2240" t="inlineStr">
        <is>
          <t>Sveaskog</t>
        </is>
      </c>
      <c r="G2240" t="n">
        <v>3.6</v>
      </c>
      <c r="H2240" t="n">
        <v>0</v>
      </c>
      <c r="I2240" t="n">
        <v>0</v>
      </c>
      <c r="J2240" t="n">
        <v>0</v>
      </c>
      <c r="K2240" t="n">
        <v>0</v>
      </c>
      <c r="L2240" t="n">
        <v>0</v>
      </c>
      <c r="M2240" t="n">
        <v>0</v>
      </c>
      <c r="N2240" t="n">
        <v>0</v>
      </c>
      <c r="O2240" t="n">
        <v>0</v>
      </c>
      <c r="P2240" t="n">
        <v>0</v>
      </c>
      <c r="Q2240" t="n">
        <v>0</v>
      </c>
      <c r="R2240" s="2" t="inlineStr"/>
    </row>
    <row r="2241" ht="15" customHeight="1">
      <c r="A2241" t="inlineStr">
        <is>
          <t>A 21777-2022</t>
        </is>
      </c>
      <c r="B2241" s="1" t="n">
        <v>44708</v>
      </c>
      <c r="C2241" s="1" t="n">
        <v>45724</v>
      </c>
      <c r="D2241" t="inlineStr">
        <is>
          <t>VÄSTMANLANDS LÄN</t>
        </is>
      </c>
      <c r="E2241" t="inlineStr">
        <is>
          <t>SALA</t>
        </is>
      </c>
      <c r="G2241" t="n">
        <v>0.7</v>
      </c>
      <c r="H2241" t="n">
        <v>0</v>
      </c>
      <c r="I2241" t="n">
        <v>0</v>
      </c>
      <c r="J2241" t="n">
        <v>0</v>
      </c>
      <c r="K2241" t="n">
        <v>0</v>
      </c>
      <c r="L2241" t="n">
        <v>0</v>
      </c>
      <c r="M2241" t="n">
        <v>0</v>
      </c>
      <c r="N2241" t="n">
        <v>0</v>
      </c>
      <c r="O2241" t="n">
        <v>0</v>
      </c>
      <c r="P2241" t="n">
        <v>0</v>
      </c>
      <c r="Q2241" t="n">
        <v>0</v>
      </c>
      <c r="R2241" s="2" t="inlineStr"/>
    </row>
    <row r="2242" ht="15" customHeight="1">
      <c r="A2242" t="inlineStr">
        <is>
          <t>A 21754-2022</t>
        </is>
      </c>
      <c r="B2242" s="1" t="n">
        <v>44708</v>
      </c>
      <c r="C2242" s="1" t="n">
        <v>45724</v>
      </c>
      <c r="D2242" t="inlineStr">
        <is>
          <t>VÄSTMANLANDS LÄN</t>
        </is>
      </c>
      <c r="E2242" t="inlineStr">
        <is>
          <t>SKINNSKATTEBERG</t>
        </is>
      </c>
      <c r="F2242" t="inlineStr">
        <is>
          <t>Sveaskog</t>
        </is>
      </c>
      <c r="G2242" t="n">
        <v>4.8</v>
      </c>
      <c r="H2242" t="n">
        <v>0</v>
      </c>
      <c r="I2242" t="n">
        <v>0</v>
      </c>
      <c r="J2242" t="n">
        <v>0</v>
      </c>
      <c r="K2242" t="n">
        <v>0</v>
      </c>
      <c r="L2242" t="n">
        <v>0</v>
      </c>
      <c r="M2242" t="n">
        <v>0</v>
      </c>
      <c r="N2242" t="n">
        <v>0</v>
      </c>
      <c r="O2242" t="n">
        <v>0</v>
      </c>
      <c r="P2242" t="n">
        <v>0</v>
      </c>
      <c r="Q2242" t="n">
        <v>0</v>
      </c>
      <c r="R2242" s="2" t="inlineStr"/>
    </row>
    <row r="2243" ht="15" customHeight="1">
      <c r="A2243" t="inlineStr">
        <is>
          <t>A 21857-2022</t>
        </is>
      </c>
      <c r="B2243" s="1" t="n">
        <v>44711</v>
      </c>
      <c r="C2243" s="1" t="n">
        <v>45724</v>
      </c>
      <c r="D2243" t="inlineStr">
        <is>
          <t>VÄSTMANLANDS LÄN</t>
        </is>
      </c>
      <c r="E2243" t="inlineStr">
        <is>
          <t>VÄSTERÅS</t>
        </is>
      </c>
      <c r="G2243" t="n">
        <v>1</v>
      </c>
      <c r="H2243" t="n">
        <v>0</v>
      </c>
      <c r="I2243" t="n">
        <v>0</v>
      </c>
      <c r="J2243" t="n">
        <v>0</v>
      </c>
      <c r="K2243" t="n">
        <v>0</v>
      </c>
      <c r="L2243" t="n">
        <v>0</v>
      </c>
      <c r="M2243" t="n">
        <v>0</v>
      </c>
      <c r="N2243" t="n">
        <v>0</v>
      </c>
      <c r="O2243" t="n">
        <v>0</v>
      </c>
      <c r="P2243" t="n">
        <v>0</v>
      </c>
      <c r="Q2243" t="n">
        <v>0</v>
      </c>
      <c r="R2243" s="2" t="inlineStr"/>
    </row>
    <row r="2244" ht="15" customHeight="1">
      <c r="A2244" t="inlineStr">
        <is>
          <t>A 22113-2022</t>
        </is>
      </c>
      <c r="B2244" s="1" t="n">
        <v>44712</v>
      </c>
      <c r="C2244" s="1" t="n">
        <v>45724</v>
      </c>
      <c r="D2244" t="inlineStr">
        <is>
          <t>VÄSTMANLANDS LÄN</t>
        </is>
      </c>
      <c r="E2244" t="inlineStr">
        <is>
          <t>SKINNSKATTEBERG</t>
        </is>
      </c>
      <c r="G2244" t="n">
        <v>1.6</v>
      </c>
      <c r="H2244" t="n">
        <v>0</v>
      </c>
      <c r="I2244" t="n">
        <v>0</v>
      </c>
      <c r="J2244" t="n">
        <v>0</v>
      </c>
      <c r="K2244" t="n">
        <v>0</v>
      </c>
      <c r="L2244" t="n">
        <v>0</v>
      </c>
      <c r="M2244" t="n">
        <v>0</v>
      </c>
      <c r="N2244" t="n">
        <v>0</v>
      </c>
      <c r="O2244" t="n">
        <v>0</v>
      </c>
      <c r="P2244" t="n">
        <v>0</v>
      </c>
      <c r="Q2244" t="n">
        <v>0</v>
      </c>
      <c r="R2244" s="2" t="inlineStr"/>
    </row>
    <row r="2245" ht="15" customHeight="1">
      <c r="A2245" t="inlineStr">
        <is>
          <t>A 22182-2022</t>
        </is>
      </c>
      <c r="B2245" s="1" t="n">
        <v>44712</v>
      </c>
      <c r="C2245" s="1" t="n">
        <v>45724</v>
      </c>
      <c r="D2245" t="inlineStr">
        <is>
          <t>VÄSTMANLANDS LÄN</t>
        </is>
      </c>
      <c r="E2245" t="inlineStr">
        <is>
          <t>KÖPING</t>
        </is>
      </c>
      <c r="G2245" t="n">
        <v>2.5</v>
      </c>
      <c r="H2245" t="n">
        <v>0</v>
      </c>
      <c r="I2245" t="n">
        <v>0</v>
      </c>
      <c r="J2245" t="n">
        <v>0</v>
      </c>
      <c r="K2245" t="n">
        <v>0</v>
      </c>
      <c r="L2245" t="n">
        <v>0</v>
      </c>
      <c r="M2245" t="n">
        <v>0</v>
      </c>
      <c r="N2245" t="n">
        <v>0</v>
      </c>
      <c r="O2245" t="n">
        <v>0</v>
      </c>
      <c r="P2245" t="n">
        <v>0</v>
      </c>
      <c r="Q2245" t="n">
        <v>0</v>
      </c>
      <c r="R2245" s="2" t="inlineStr"/>
    </row>
    <row r="2246" ht="15" customHeight="1">
      <c r="A2246" t="inlineStr">
        <is>
          <t>A 22279-2022</t>
        </is>
      </c>
      <c r="B2246" s="1" t="n">
        <v>44712</v>
      </c>
      <c r="C2246" s="1" t="n">
        <v>45724</v>
      </c>
      <c r="D2246" t="inlineStr">
        <is>
          <t>VÄSTMANLANDS LÄN</t>
        </is>
      </c>
      <c r="E2246" t="inlineStr">
        <is>
          <t>SKINNSKATTEBERG</t>
        </is>
      </c>
      <c r="F2246" t="inlineStr">
        <is>
          <t>Sveaskog</t>
        </is>
      </c>
      <c r="G2246" t="n">
        <v>3.6</v>
      </c>
      <c r="H2246" t="n">
        <v>0</v>
      </c>
      <c r="I2246" t="n">
        <v>0</v>
      </c>
      <c r="J2246" t="n">
        <v>0</v>
      </c>
      <c r="K2246" t="n">
        <v>0</v>
      </c>
      <c r="L2246" t="n">
        <v>0</v>
      </c>
      <c r="M2246" t="n">
        <v>0</v>
      </c>
      <c r="N2246" t="n">
        <v>0</v>
      </c>
      <c r="O2246" t="n">
        <v>0</v>
      </c>
      <c r="P2246" t="n">
        <v>0</v>
      </c>
      <c r="Q2246" t="n">
        <v>0</v>
      </c>
      <c r="R2246" s="2" t="inlineStr"/>
    </row>
    <row r="2247" ht="15" customHeight="1">
      <c r="A2247" t="inlineStr">
        <is>
          <t>A 22397-2022</t>
        </is>
      </c>
      <c r="B2247" s="1" t="n">
        <v>44713</v>
      </c>
      <c r="C2247" s="1" t="n">
        <v>45724</v>
      </c>
      <c r="D2247" t="inlineStr">
        <is>
          <t>VÄSTMANLANDS LÄN</t>
        </is>
      </c>
      <c r="E2247" t="inlineStr">
        <is>
          <t>SALA</t>
        </is>
      </c>
      <c r="G2247" t="n">
        <v>2.1</v>
      </c>
      <c r="H2247" t="n">
        <v>0</v>
      </c>
      <c r="I2247" t="n">
        <v>0</v>
      </c>
      <c r="J2247" t="n">
        <v>0</v>
      </c>
      <c r="K2247" t="n">
        <v>0</v>
      </c>
      <c r="L2247" t="n">
        <v>0</v>
      </c>
      <c r="M2247" t="n">
        <v>0</v>
      </c>
      <c r="N2247" t="n">
        <v>0</v>
      </c>
      <c r="O2247" t="n">
        <v>0</v>
      </c>
      <c r="P2247" t="n">
        <v>0</v>
      </c>
      <c r="Q2247" t="n">
        <v>0</v>
      </c>
      <c r="R2247" s="2" t="inlineStr"/>
    </row>
    <row r="2248" ht="15" customHeight="1">
      <c r="A2248" t="inlineStr">
        <is>
          <t>A 22394-2022</t>
        </is>
      </c>
      <c r="B2248" s="1" t="n">
        <v>44713</v>
      </c>
      <c r="C2248" s="1" t="n">
        <v>45724</v>
      </c>
      <c r="D2248" t="inlineStr">
        <is>
          <t>VÄSTMANLANDS LÄN</t>
        </is>
      </c>
      <c r="E2248" t="inlineStr">
        <is>
          <t>SKINNSKATTEBERG</t>
        </is>
      </c>
      <c r="F2248" t="inlineStr">
        <is>
          <t>Sveaskog</t>
        </is>
      </c>
      <c r="G2248" t="n">
        <v>0.9</v>
      </c>
      <c r="H2248" t="n">
        <v>0</v>
      </c>
      <c r="I2248" t="n">
        <v>0</v>
      </c>
      <c r="J2248" t="n">
        <v>0</v>
      </c>
      <c r="K2248" t="n">
        <v>0</v>
      </c>
      <c r="L2248" t="n">
        <v>0</v>
      </c>
      <c r="M2248" t="n">
        <v>0</v>
      </c>
      <c r="N2248" t="n">
        <v>0</v>
      </c>
      <c r="O2248" t="n">
        <v>0</v>
      </c>
      <c r="P2248" t="n">
        <v>0</v>
      </c>
      <c r="Q2248" t="n">
        <v>0</v>
      </c>
      <c r="R2248" s="2" t="inlineStr"/>
    </row>
    <row r="2249" ht="15" customHeight="1">
      <c r="A2249" t="inlineStr">
        <is>
          <t>A 22575-2022</t>
        </is>
      </c>
      <c r="B2249" s="1" t="n">
        <v>44713</v>
      </c>
      <c r="C2249" s="1" t="n">
        <v>45724</v>
      </c>
      <c r="D2249" t="inlineStr">
        <is>
          <t>VÄSTMANLANDS LÄN</t>
        </is>
      </c>
      <c r="E2249" t="inlineStr">
        <is>
          <t>SALA</t>
        </is>
      </c>
      <c r="G2249" t="n">
        <v>0.7</v>
      </c>
      <c r="H2249" t="n">
        <v>0</v>
      </c>
      <c r="I2249" t="n">
        <v>0</v>
      </c>
      <c r="J2249" t="n">
        <v>0</v>
      </c>
      <c r="K2249" t="n">
        <v>0</v>
      </c>
      <c r="L2249" t="n">
        <v>0</v>
      </c>
      <c r="M2249" t="n">
        <v>0</v>
      </c>
      <c r="N2249" t="n">
        <v>0</v>
      </c>
      <c r="O2249" t="n">
        <v>0</v>
      </c>
      <c r="P2249" t="n">
        <v>0</v>
      </c>
      <c r="Q2249" t="n">
        <v>0</v>
      </c>
      <c r="R2249" s="2" t="inlineStr"/>
    </row>
    <row r="2250" ht="15" customHeight="1">
      <c r="A2250" t="inlineStr">
        <is>
          <t>A 22562-2022</t>
        </is>
      </c>
      <c r="B2250" s="1" t="n">
        <v>44713</v>
      </c>
      <c r="C2250" s="1" t="n">
        <v>45724</v>
      </c>
      <c r="D2250" t="inlineStr">
        <is>
          <t>VÄSTMANLANDS LÄN</t>
        </is>
      </c>
      <c r="E2250" t="inlineStr">
        <is>
          <t>SALA</t>
        </is>
      </c>
      <c r="G2250" t="n">
        <v>0.8</v>
      </c>
      <c r="H2250" t="n">
        <v>0</v>
      </c>
      <c r="I2250" t="n">
        <v>0</v>
      </c>
      <c r="J2250" t="n">
        <v>0</v>
      </c>
      <c r="K2250" t="n">
        <v>0</v>
      </c>
      <c r="L2250" t="n">
        <v>0</v>
      </c>
      <c r="M2250" t="n">
        <v>0</v>
      </c>
      <c r="N2250" t="n">
        <v>0</v>
      </c>
      <c r="O2250" t="n">
        <v>0</v>
      </c>
      <c r="P2250" t="n">
        <v>0</v>
      </c>
      <c r="Q2250" t="n">
        <v>0</v>
      </c>
      <c r="R2250" s="2" t="inlineStr"/>
    </row>
    <row r="2251" ht="15" customHeight="1">
      <c r="A2251" t="inlineStr">
        <is>
          <t>A 22602-2022</t>
        </is>
      </c>
      <c r="B2251" s="1" t="n">
        <v>44714</v>
      </c>
      <c r="C2251" s="1" t="n">
        <v>45724</v>
      </c>
      <c r="D2251" t="inlineStr">
        <is>
          <t>VÄSTMANLANDS LÄN</t>
        </is>
      </c>
      <c r="E2251" t="inlineStr">
        <is>
          <t>VÄSTERÅS</t>
        </is>
      </c>
      <c r="F2251" t="inlineStr">
        <is>
          <t>Sveaskog</t>
        </is>
      </c>
      <c r="G2251" t="n">
        <v>1.1</v>
      </c>
      <c r="H2251" t="n">
        <v>0</v>
      </c>
      <c r="I2251" t="n">
        <v>0</v>
      </c>
      <c r="J2251" t="n">
        <v>0</v>
      </c>
      <c r="K2251" t="n">
        <v>0</v>
      </c>
      <c r="L2251" t="n">
        <v>0</v>
      </c>
      <c r="M2251" t="n">
        <v>0</v>
      </c>
      <c r="N2251" t="n">
        <v>0</v>
      </c>
      <c r="O2251" t="n">
        <v>0</v>
      </c>
      <c r="P2251" t="n">
        <v>0</v>
      </c>
      <c r="Q2251" t="n">
        <v>0</v>
      </c>
      <c r="R2251" s="2" t="inlineStr"/>
    </row>
    <row r="2252" ht="15" customHeight="1">
      <c r="A2252" t="inlineStr">
        <is>
          <t>A 22811-2022</t>
        </is>
      </c>
      <c r="B2252" s="1" t="n">
        <v>44715</v>
      </c>
      <c r="C2252" s="1" t="n">
        <v>45724</v>
      </c>
      <c r="D2252" t="inlineStr">
        <is>
          <t>VÄSTMANLANDS LÄN</t>
        </is>
      </c>
      <c r="E2252" t="inlineStr">
        <is>
          <t>SALA</t>
        </is>
      </c>
      <c r="G2252" t="n">
        <v>5</v>
      </c>
      <c r="H2252" t="n">
        <v>0</v>
      </c>
      <c r="I2252" t="n">
        <v>0</v>
      </c>
      <c r="J2252" t="n">
        <v>0</v>
      </c>
      <c r="K2252" t="n">
        <v>0</v>
      </c>
      <c r="L2252" t="n">
        <v>0</v>
      </c>
      <c r="M2252" t="n">
        <v>0</v>
      </c>
      <c r="N2252" t="n">
        <v>0</v>
      </c>
      <c r="O2252" t="n">
        <v>0</v>
      </c>
      <c r="P2252" t="n">
        <v>0</v>
      </c>
      <c r="Q2252" t="n">
        <v>0</v>
      </c>
      <c r="R2252" s="2" t="inlineStr"/>
    </row>
    <row r="2253" ht="15" customHeight="1">
      <c r="A2253" t="inlineStr">
        <is>
          <t>A 22866-2022</t>
        </is>
      </c>
      <c r="B2253" s="1" t="n">
        <v>44715</v>
      </c>
      <c r="C2253" s="1" t="n">
        <v>45724</v>
      </c>
      <c r="D2253" t="inlineStr">
        <is>
          <t>VÄSTMANLANDS LÄN</t>
        </is>
      </c>
      <c r="E2253" t="inlineStr">
        <is>
          <t>VÄSTERÅS</t>
        </is>
      </c>
      <c r="G2253" t="n">
        <v>4.9</v>
      </c>
      <c r="H2253" t="n">
        <v>0</v>
      </c>
      <c r="I2253" t="n">
        <v>0</v>
      </c>
      <c r="J2253" t="n">
        <v>0</v>
      </c>
      <c r="K2253" t="n">
        <v>0</v>
      </c>
      <c r="L2253" t="n">
        <v>0</v>
      </c>
      <c r="M2253" t="n">
        <v>0</v>
      </c>
      <c r="N2253" t="n">
        <v>0</v>
      </c>
      <c r="O2253" t="n">
        <v>0</v>
      </c>
      <c r="P2253" t="n">
        <v>0</v>
      </c>
      <c r="Q2253" t="n">
        <v>0</v>
      </c>
      <c r="R2253" s="2" t="inlineStr"/>
    </row>
    <row r="2254" ht="15" customHeight="1">
      <c r="A2254" t="inlineStr">
        <is>
          <t>A 22978-2022</t>
        </is>
      </c>
      <c r="B2254" s="1" t="n">
        <v>44717</v>
      </c>
      <c r="C2254" s="1" t="n">
        <v>45724</v>
      </c>
      <c r="D2254" t="inlineStr">
        <is>
          <t>VÄSTMANLANDS LÄN</t>
        </is>
      </c>
      <c r="E2254" t="inlineStr">
        <is>
          <t>VÄSTERÅS</t>
        </is>
      </c>
      <c r="G2254" t="n">
        <v>2.7</v>
      </c>
      <c r="H2254" t="n">
        <v>0</v>
      </c>
      <c r="I2254" t="n">
        <v>0</v>
      </c>
      <c r="J2254" t="n">
        <v>0</v>
      </c>
      <c r="K2254" t="n">
        <v>0</v>
      </c>
      <c r="L2254" t="n">
        <v>0</v>
      </c>
      <c r="M2254" t="n">
        <v>0</v>
      </c>
      <c r="N2254" t="n">
        <v>0</v>
      </c>
      <c r="O2254" t="n">
        <v>0</v>
      </c>
      <c r="P2254" t="n">
        <v>0</v>
      </c>
      <c r="Q2254" t="n">
        <v>0</v>
      </c>
      <c r="R2254" s="2" t="inlineStr"/>
    </row>
    <row r="2255" ht="15" customHeight="1">
      <c r="A2255" t="inlineStr">
        <is>
          <t>A 22979-2022</t>
        </is>
      </c>
      <c r="B2255" s="1" t="n">
        <v>44717</v>
      </c>
      <c r="C2255" s="1" t="n">
        <v>45724</v>
      </c>
      <c r="D2255" t="inlineStr">
        <is>
          <t>VÄSTMANLANDS LÄN</t>
        </is>
      </c>
      <c r="E2255" t="inlineStr">
        <is>
          <t>VÄSTERÅS</t>
        </is>
      </c>
      <c r="G2255" t="n">
        <v>2.7</v>
      </c>
      <c r="H2255" t="n">
        <v>0</v>
      </c>
      <c r="I2255" t="n">
        <v>0</v>
      </c>
      <c r="J2255" t="n">
        <v>0</v>
      </c>
      <c r="K2255" t="n">
        <v>0</v>
      </c>
      <c r="L2255" t="n">
        <v>0</v>
      </c>
      <c r="M2255" t="n">
        <v>0</v>
      </c>
      <c r="N2255" t="n">
        <v>0</v>
      </c>
      <c r="O2255" t="n">
        <v>0</v>
      </c>
      <c r="P2255" t="n">
        <v>0</v>
      </c>
      <c r="Q2255" t="n">
        <v>0</v>
      </c>
      <c r="R2255" s="2" t="inlineStr"/>
    </row>
    <row r="2256" ht="15" customHeight="1">
      <c r="A2256" t="inlineStr">
        <is>
          <t>A 23009-2022</t>
        </is>
      </c>
      <c r="B2256" s="1" t="n">
        <v>44719</v>
      </c>
      <c r="C2256" s="1" t="n">
        <v>45724</v>
      </c>
      <c r="D2256" t="inlineStr">
        <is>
          <t>VÄSTMANLANDS LÄN</t>
        </is>
      </c>
      <c r="E2256" t="inlineStr">
        <is>
          <t>NORBERG</t>
        </is>
      </c>
      <c r="F2256" t="inlineStr">
        <is>
          <t>Bergvik skog väst AB</t>
        </is>
      </c>
      <c r="G2256" t="n">
        <v>18</v>
      </c>
      <c r="H2256" t="n">
        <v>0</v>
      </c>
      <c r="I2256" t="n">
        <v>0</v>
      </c>
      <c r="J2256" t="n">
        <v>0</v>
      </c>
      <c r="K2256" t="n">
        <v>0</v>
      </c>
      <c r="L2256" t="n">
        <v>0</v>
      </c>
      <c r="M2256" t="n">
        <v>0</v>
      </c>
      <c r="N2256" t="n">
        <v>0</v>
      </c>
      <c r="O2256" t="n">
        <v>0</v>
      </c>
      <c r="P2256" t="n">
        <v>0</v>
      </c>
      <c r="Q2256" t="n">
        <v>0</v>
      </c>
      <c r="R2256" s="2" t="inlineStr"/>
    </row>
    <row r="2257" ht="15" customHeight="1">
      <c r="A2257" t="inlineStr">
        <is>
          <t>A 23119-2022</t>
        </is>
      </c>
      <c r="B2257" s="1" t="n">
        <v>44719</v>
      </c>
      <c r="C2257" s="1" t="n">
        <v>45724</v>
      </c>
      <c r="D2257" t="inlineStr">
        <is>
          <t>VÄSTMANLANDS LÄN</t>
        </is>
      </c>
      <c r="E2257" t="inlineStr">
        <is>
          <t>SALA</t>
        </is>
      </c>
      <c r="G2257" t="n">
        <v>7</v>
      </c>
      <c r="H2257" t="n">
        <v>0</v>
      </c>
      <c r="I2257" t="n">
        <v>0</v>
      </c>
      <c r="J2257" t="n">
        <v>0</v>
      </c>
      <c r="K2257" t="n">
        <v>0</v>
      </c>
      <c r="L2257" t="n">
        <v>0</v>
      </c>
      <c r="M2257" t="n">
        <v>0</v>
      </c>
      <c r="N2257" t="n">
        <v>0</v>
      </c>
      <c r="O2257" t="n">
        <v>0</v>
      </c>
      <c r="P2257" t="n">
        <v>0</v>
      </c>
      <c r="Q2257" t="n">
        <v>0</v>
      </c>
      <c r="R2257" s="2" t="inlineStr"/>
    </row>
    <row r="2258" ht="15" customHeight="1">
      <c r="A2258" t="inlineStr">
        <is>
          <t>A 23181-2022</t>
        </is>
      </c>
      <c r="B2258" s="1" t="n">
        <v>44719</v>
      </c>
      <c r="C2258" s="1" t="n">
        <v>45724</v>
      </c>
      <c r="D2258" t="inlineStr">
        <is>
          <t>VÄSTMANLANDS LÄN</t>
        </is>
      </c>
      <c r="E2258" t="inlineStr">
        <is>
          <t>SALA</t>
        </is>
      </c>
      <c r="G2258" t="n">
        <v>0.8</v>
      </c>
      <c r="H2258" t="n">
        <v>0</v>
      </c>
      <c r="I2258" t="n">
        <v>0</v>
      </c>
      <c r="J2258" t="n">
        <v>0</v>
      </c>
      <c r="K2258" t="n">
        <v>0</v>
      </c>
      <c r="L2258" t="n">
        <v>0</v>
      </c>
      <c r="M2258" t="n">
        <v>0</v>
      </c>
      <c r="N2258" t="n">
        <v>0</v>
      </c>
      <c r="O2258" t="n">
        <v>0</v>
      </c>
      <c r="P2258" t="n">
        <v>0</v>
      </c>
      <c r="Q2258" t="n">
        <v>0</v>
      </c>
      <c r="R2258" s="2" t="inlineStr"/>
    </row>
    <row r="2259" ht="15" customHeight="1">
      <c r="A2259" t="inlineStr">
        <is>
          <t>A 23180-2022</t>
        </is>
      </c>
      <c r="B2259" s="1" t="n">
        <v>44719</v>
      </c>
      <c r="C2259" s="1" t="n">
        <v>45724</v>
      </c>
      <c r="D2259" t="inlineStr">
        <is>
          <t>VÄSTMANLANDS LÄN</t>
        </is>
      </c>
      <c r="E2259" t="inlineStr">
        <is>
          <t>SALA</t>
        </is>
      </c>
      <c r="G2259" t="n">
        <v>1.2</v>
      </c>
      <c r="H2259" t="n">
        <v>0</v>
      </c>
      <c r="I2259" t="n">
        <v>0</v>
      </c>
      <c r="J2259" t="n">
        <v>0</v>
      </c>
      <c r="K2259" t="n">
        <v>0</v>
      </c>
      <c r="L2259" t="n">
        <v>0</v>
      </c>
      <c r="M2259" t="n">
        <v>0</v>
      </c>
      <c r="N2259" t="n">
        <v>0</v>
      </c>
      <c r="O2259" t="n">
        <v>0</v>
      </c>
      <c r="P2259" t="n">
        <v>0</v>
      </c>
      <c r="Q2259" t="n">
        <v>0</v>
      </c>
      <c r="R2259" s="2" t="inlineStr"/>
    </row>
    <row r="2260" ht="15" customHeight="1">
      <c r="A2260" t="inlineStr">
        <is>
          <t>A 23182-2022</t>
        </is>
      </c>
      <c r="B2260" s="1" t="n">
        <v>44719</v>
      </c>
      <c r="C2260" s="1" t="n">
        <v>45724</v>
      </c>
      <c r="D2260" t="inlineStr">
        <is>
          <t>VÄSTMANLANDS LÄN</t>
        </is>
      </c>
      <c r="E2260" t="inlineStr">
        <is>
          <t>SALA</t>
        </is>
      </c>
      <c r="G2260" t="n">
        <v>1.2</v>
      </c>
      <c r="H2260" t="n">
        <v>0</v>
      </c>
      <c r="I2260" t="n">
        <v>0</v>
      </c>
      <c r="J2260" t="n">
        <v>0</v>
      </c>
      <c r="K2260" t="n">
        <v>0</v>
      </c>
      <c r="L2260" t="n">
        <v>0</v>
      </c>
      <c r="M2260" t="n">
        <v>0</v>
      </c>
      <c r="N2260" t="n">
        <v>0</v>
      </c>
      <c r="O2260" t="n">
        <v>0</v>
      </c>
      <c r="P2260" t="n">
        <v>0</v>
      </c>
      <c r="Q2260" t="n">
        <v>0</v>
      </c>
      <c r="R2260" s="2" t="inlineStr"/>
    </row>
    <row r="2261" ht="15" customHeight="1">
      <c r="A2261" t="inlineStr">
        <is>
          <t>A 23043-2022</t>
        </is>
      </c>
      <c r="B2261" s="1" t="n">
        <v>44719</v>
      </c>
      <c r="C2261" s="1" t="n">
        <v>45724</v>
      </c>
      <c r="D2261" t="inlineStr">
        <is>
          <t>VÄSTMANLANDS LÄN</t>
        </is>
      </c>
      <c r="E2261" t="inlineStr">
        <is>
          <t>NORBERG</t>
        </is>
      </c>
      <c r="G2261" t="n">
        <v>1.3</v>
      </c>
      <c r="H2261" t="n">
        <v>0</v>
      </c>
      <c r="I2261" t="n">
        <v>0</v>
      </c>
      <c r="J2261" t="n">
        <v>0</v>
      </c>
      <c r="K2261" t="n">
        <v>0</v>
      </c>
      <c r="L2261" t="n">
        <v>0</v>
      </c>
      <c r="M2261" t="n">
        <v>0</v>
      </c>
      <c r="N2261" t="n">
        <v>0</v>
      </c>
      <c r="O2261" t="n">
        <v>0</v>
      </c>
      <c r="P2261" t="n">
        <v>0</v>
      </c>
      <c r="Q2261" t="n">
        <v>0</v>
      </c>
      <c r="R2261" s="2" t="inlineStr"/>
    </row>
    <row r="2262" ht="15" customHeight="1">
      <c r="A2262" t="inlineStr">
        <is>
          <t>A 23624-2022</t>
        </is>
      </c>
      <c r="B2262" s="1" t="n">
        <v>44721</v>
      </c>
      <c r="C2262" s="1" t="n">
        <v>45724</v>
      </c>
      <c r="D2262" t="inlineStr">
        <is>
          <t>VÄSTMANLANDS LÄN</t>
        </is>
      </c>
      <c r="E2262" t="inlineStr">
        <is>
          <t>KÖPING</t>
        </is>
      </c>
      <c r="G2262" t="n">
        <v>14.1</v>
      </c>
      <c r="H2262" t="n">
        <v>0</v>
      </c>
      <c r="I2262" t="n">
        <v>0</v>
      </c>
      <c r="J2262" t="n">
        <v>0</v>
      </c>
      <c r="K2262" t="n">
        <v>0</v>
      </c>
      <c r="L2262" t="n">
        <v>0</v>
      </c>
      <c r="M2262" t="n">
        <v>0</v>
      </c>
      <c r="N2262" t="n">
        <v>0</v>
      </c>
      <c r="O2262" t="n">
        <v>0</v>
      </c>
      <c r="P2262" t="n">
        <v>0</v>
      </c>
      <c r="Q2262" t="n">
        <v>0</v>
      </c>
      <c r="R2262" s="2" t="inlineStr"/>
    </row>
    <row r="2263" ht="15" customHeight="1">
      <c r="A2263" t="inlineStr">
        <is>
          <t>A 23757-2022</t>
        </is>
      </c>
      <c r="B2263" s="1" t="n">
        <v>44722</v>
      </c>
      <c r="C2263" s="1" t="n">
        <v>45724</v>
      </c>
      <c r="D2263" t="inlineStr">
        <is>
          <t>VÄSTMANLANDS LÄN</t>
        </is>
      </c>
      <c r="E2263" t="inlineStr">
        <is>
          <t>SALA</t>
        </is>
      </c>
      <c r="F2263" t="inlineStr">
        <is>
          <t>Sveaskog</t>
        </is>
      </c>
      <c r="G2263" t="n">
        <v>1.2</v>
      </c>
      <c r="H2263" t="n">
        <v>0</v>
      </c>
      <c r="I2263" t="n">
        <v>0</v>
      </c>
      <c r="J2263" t="n">
        <v>0</v>
      </c>
      <c r="K2263" t="n">
        <v>0</v>
      </c>
      <c r="L2263" t="n">
        <v>0</v>
      </c>
      <c r="M2263" t="n">
        <v>0</v>
      </c>
      <c r="N2263" t="n">
        <v>0</v>
      </c>
      <c r="O2263" t="n">
        <v>0</v>
      </c>
      <c r="P2263" t="n">
        <v>0</v>
      </c>
      <c r="Q2263" t="n">
        <v>0</v>
      </c>
      <c r="R2263" s="2" t="inlineStr"/>
    </row>
    <row r="2264" ht="15" customHeight="1">
      <c r="A2264" t="inlineStr">
        <is>
          <t>A 23765-2022</t>
        </is>
      </c>
      <c r="B2264" s="1" t="n">
        <v>44722</v>
      </c>
      <c r="C2264" s="1" t="n">
        <v>45724</v>
      </c>
      <c r="D2264" t="inlineStr">
        <is>
          <t>VÄSTMANLANDS LÄN</t>
        </is>
      </c>
      <c r="E2264" t="inlineStr">
        <is>
          <t>VÄSTERÅS</t>
        </is>
      </c>
      <c r="F2264" t="inlineStr">
        <is>
          <t>Sveaskog</t>
        </is>
      </c>
      <c r="G2264" t="n">
        <v>1.1</v>
      </c>
      <c r="H2264" t="n">
        <v>0</v>
      </c>
      <c r="I2264" t="n">
        <v>0</v>
      </c>
      <c r="J2264" t="n">
        <v>0</v>
      </c>
      <c r="K2264" t="n">
        <v>0</v>
      </c>
      <c r="L2264" t="n">
        <v>0</v>
      </c>
      <c r="M2264" t="n">
        <v>0</v>
      </c>
      <c r="N2264" t="n">
        <v>0</v>
      </c>
      <c r="O2264" t="n">
        <v>0</v>
      </c>
      <c r="P2264" t="n">
        <v>0</v>
      </c>
      <c r="Q2264" t="n">
        <v>0</v>
      </c>
      <c r="R2264" s="2" t="inlineStr"/>
    </row>
    <row r="2265" ht="15" customHeight="1">
      <c r="A2265" t="inlineStr">
        <is>
          <t>A 23781-2022</t>
        </is>
      </c>
      <c r="B2265" s="1" t="n">
        <v>44722</v>
      </c>
      <c r="C2265" s="1" t="n">
        <v>45724</v>
      </c>
      <c r="D2265" t="inlineStr">
        <is>
          <t>VÄSTMANLANDS LÄN</t>
        </is>
      </c>
      <c r="E2265" t="inlineStr">
        <is>
          <t>FAGERSTA</t>
        </is>
      </c>
      <c r="G2265" t="n">
        <v>2</v>
      </c>
      <c r="H2265" t="n">
        <v>0</v>
      </c>
      <c r="I2265" t="n">
        <v>0</v>
      </c>
      <c r="J2265" t="n">
        <v>0</v>
      </c>
      <c r="K2265" t="n">
        <v>0</v>
      </c>
      <c r="L2265" t="n">
        <v>0</v>
      </c>
      <c r="M2265" t="n">
        <v>0</v>
      </c>
      <c r="N2265" t="n">
        <v>0</v>
      </c>
      <c r="O2265" t="n">
        <v>0</v>
      </c>
      <c r="P2265" t="n">
        <v>0</v>
      </c>
      <c r="Q2265" t="n">
        <v>0</v>
      </c>
      <c r="R2265" s="2" t="inlineStr"/>
    </row>
    <row r="2266" ht="15" customHeight="1">
      <c r="A2266" t="inlineStr">
        <is>
          <t>A 23847-2022</t>
        </is>
      </c>
      <c r="B2266" s="1" t="n">
        <v>44722</v>
      </c>
      <c r="C2266" s="1" t="n">
        <v>45724</v>
      </c>
      <c r="D2266" t="inlineStr">
        <is>
          <t>VÄSTMANLANDS LÄN</t>
        </is>
      </c>
      <c r="E2266" t="inlineStr">
        <is>
          <t>SALA</t>
        </is>
      </c>
      <c r="G2266" t="n">
        <v>1</v>
      </c>
      <c r="H2266" t="n">
        <v>0</v>
      </c>
      <c r="I2266" t="n">
        <v>0</v>
      </c>
      <c r="J2266" t="n">
        <v>0</v>
      </c>
      <c r="K2266" t="n">
        <v>0</v>
      </c>
      <c r="L2266" t="n">
        <v>0</v>
      </c>
      <c r="M2266" t="n">
        <v>0</v>
      </c>
      <c r="N2266" t="n">
        <v>0</v>
      </c>
      <c r="O2266" t="n">
        <v>0</v>
      </c>
      <c r="P2266" t="n">
        <v>0</v>
      </c>
      <c r="Q2266" t="n">
        <v>0</v>
      </c>
      <c r="R2266" s="2" t="inlineStr"/>
    </row>
    <row r="2267" ht="15" customHeight="1">
      <c r="A2267" t="inlineStr">
        <is>
          <t>A 23763-2022</t>
        </is>
      </c>
      <c r="B2267" s="1" t="n">
        <v>44722</v>
      </c>
      <c r="C2267" s="1" t="n">
        <v>45724</v>
      </c>
      <c r="D2267" t="inlineStr">
        <is>
          <t>VÄSTMANLANDS LÄN</t>
        </is>
      </c>
      <c r="E2267" t="inlineStr">
        <is>
          <t>VÄSTERÅS</t>
        </is>
      </c>
      <c r="F2267" t="inlineStr">
        <is>
          <t>Sveaskog</t>
        </is>
      </c>
      <c r="G2267" t="n">
        <v>10.4</v>
      </c>
      <c r="H2267" t="n">
        <v>0</v>
      </c>
      <c r="I2267" t="n">
        <v>0</v>
      </c>
      <c r="J2267" t="n">
        <v>0</v>
      </c>
      <c r="K2267" t="n">
        <v>0</v>
      </c>
      <c r="L2267" t="n">
        <v>0</v>
      </c>
      <c r="M2267" t="n">
        <v>0</v>
      </c>
      <c r="N2267" t="n">
        <v>0</v>
      </c>
      <c r="O2267" t="n">
        <v>0</v>
      </c>
      <c r="P2267" t="n">
        <v>0</v>
      </c>
      <c r="Q2267" t="n">
        <v>0</v>
      </c>
      <c r="R2267" s="2" t="inlineStr"/>
    </row>
    <row r="2268" ht="15" customHeight="1">
      <c r="A2268" t="inlineStr">
        <is>
          <t>A 23791-2022</t>
        </is>
      </c>
      <c r="B2268" s="1" t="n">
        <v>44722</v>
      </c>
      <c r="C2268" s="1" t="n">
        <v>45724</v>
      </c>
      <c r="D2268" t="inlineStr">
        <is>
          <t>VÄSTMANLANDS LÄN</t>
        </is>
      </c>
      <c r="E2268" t="inlineStr">
        <is>
          <t>KÖPING</t>
        </is>
      </c>
      <c r="G2268" t="n">
        <v>1.3</v>
      </c>
      <c r="H2268" t="n">
        <v>0</v>
      </c>
      <c r="I2268" t="n">
        <v>0</v>
      </c>
      <c r="J2268" t="n">
        <v>0</v>
      </c>
      <c r="K2268" t="n">
        <v>0</v>
      </c>
      <c r="L2268" t="n">
        <v>0</v>
      </c>
      <c r="M2268" t="n">
        <v>0</v>
      </c>
      <c r="N2268" t="n">
        <v>0</v>
      </c>
      <c r="O2268" t="n">
        <v>0</v>
      </c>
      <c r="P2268" t="n">
        <v>0</v>
      </c>
      <c r="Q2268" t="n">
        <v>0</v>
      </c>
      <c r="R2268" s="2" t="inlineStr"/>
    </row>
    <row r="2269" ht="15" customHeight="1">
      <c r="A2269" t="inlineStr">
        <is>
          <t>A 23766-2022</t>
        </is>
      </c>
      <c r="B2269" s="1" t="n">
        <v>44722</v>
      </c>
      <c r="C2269" s="1" t="n">
        <v>45724</v>
      </c>
      <c r="D2269" t="inlineStr">
        <is>
          <t>VÄSTMANLANDS LÄN</t>
        </is>
      </c>
      <c r="E2269" t="inlineStr">
        <is>
          <t>VÄSTERÅS</t>
        </is>
      </c>
      <c r="F2269" t="inlineStr">
        <is>
          <t>Sveaskog</t>
        </is>
      </c>
      <c r="G2269" t="n">
        <v>0.7</v>
      </c>
      <c r="H2269" t="n">
        <v>0</v>
      </c>
      <c r="I2269" t="n">
        <v>0</v>
      </c>
      <c r="J2269" t="n">
        <v>0</v>
      </c>
      <c r="K2269" t="n">
        <v>0</v>
      </c>
      <c r="L2269" t="n">
        <v>0</v>
      </c>
      <c r="M2269" t="n">
        <v>0</v>
      </c>
      <c r="N2269" t="n">
        <v>0</v>
      </c>
      <c r="O2269" t="n">
        <v>0</v>
      </c>
      <c r="P2269" t="n">
        <v>0</v>
      </c>
      <c r="Q2269" t="n">
        <v>0</v>
      </c>
      <c r="R2269" s="2" t="inlineStr"/>
    </row>
    <row r="2270" ht="15" customHeight="1">
      <c r="A2270" t="inlineStr">
        <is>
          <t>A 23907-2022</t>
        </is>
      </c>
      <c r="B2270" s="1" t="n">
        <v>44722</v>
      </c>
      <c r="C2270" s="1" t="n">
        <v>45724</v>
      </c>
      <c r="D2270" t="inlineStr">
        <is>
          <t>VÄSTMANLANDS LÄN</t>
        </is>
      </c>
      <c r="E2270" t="inlineStr">
        <is>
          <t>KÖPING</t>
        </is>
      </c>
      <c r="G2270" t="n">
        <v>3.1</v>
      </c>
      <c r="H2270" t="n">
        <v>0</v>
      </c>
      <c r="I2270" t="n">
        <v>0</v>
      </c>
      <c r="J2270" t="n">
        <v>0</v>
      </c>
      <c r="K2270" t="n">
        <v>0</v>
      </c>
      <c r="L2270" t="n">
        <v>0</v>
      </c>
      <c r="M2270" t="n">
        <v>0</v>
      </c>
      <c r="N2270" t="n">
        <v>0</v>
      </c>
      <c r="O2270" t="n">
        <v>0</v>
      </c>
      <c r="P2270" t="n">
        <v>0</v>
      </c>
      <c r="Q2270" t="n">
        <v>0</v>
      </c>
      <c r="R2270" s="2" t="inlineStr"/>
    </row>
    <row r="2271" ht="15" customHeight="1">
      <c r="A2271" t="inlineStr">
        <is>
          <t>A 24039-2022</t>
        </is>
      </c>
      <c r="B2271" s="1" t="n">
        <v>44724</v>
      </c>
      <c r="C2271" s="1" t="n">
        <v>45724</v>
      </c>
      <c r="D2271" t="inlineStr">
        <is>
          <t>VÄSTMANLANDS LÄN</t>
        </is>
      </c>
      <c r="E2271" t="inlineStr">
        <is>
          <t>ARBOGA</t>
        </is>
      </c>
      <c r="G2271" t="n">
        <v>2.1</v>
      </c>
      <c r="H2271" t="n">
        <v>0</v>
      </c>
      <c r="I2271" t="n">
        <v>0</v>
      </c>
      <c r="J2271" t="n">
        <v>0</v>
      </c>
      <c r="K2271" t="n">
        <v>0</v>
      </c>
      <c r="L2271" t="n">
        <v>0</v>
      </c>
      <c r="M2271" t="n">
        <v>0</v>
      </c>
      <c r="N2271" t="n">
        <v>0</v>
      </c>
      <c r="O2271" t="n">
        <v>0</v>
      </c>
      <c r="P2271" t="n">
        <v>0</v>
      </c>
      <c r="Q2271" t="n">
        <v>0</v>
      </c>
      <c r="R2271" s="2" t="inlineStr"/>
    </row>
    <row r="2272" ht="15" customHeight="1">
      <c r="A2272" t="inlineStr">
        <is>
          <t>A 24073-2022</t>
        </is>
      </c>
      <c r="B2272" s="1" t="n">
        <v>44725</v>
      </c>
      <c r="C2272" s="1" t="n">
        <v>45724</v>
      </c>
      <c r="D2272" t="inlineStr">
        <is>
          <t>VÄSTMANLANDS LÄN</t>
        </is>
      </c>
      <c r="E2272" t="inlineStr">
        <is>
          <t>KÖPING</t>
        </is>
      </c>
      <c r="G2272" t="n">
        <v>0.6</v>
      </c>
      <c r="H2272" t="n">
        <v>0</v>
      </c>
      <c r="I2272" t="n">
        <v>0</v>
      </c>
      <c r="J2272" t="n">
        <v>0</v>
      </c>
      <c r="K2272" t="n">
        <v>0</v>
      </c>
      <c r="L2272" t="n">
        <v>0</v>
      </c>
      <c r="M2272" t="n">
        <v>0</v>
      </c>
      <c r="N2272" t="n">
        <v>0</v>
      </c>
      <c r="O2272" t="n">
        <v>0</v>
      </c>
      <c r="P2272" t="n">
        <v>0</v>
      </c>
      <c r="Q2272" t="n">
        <v>0</v>
      </c>
      <c r="R2272" s="2" t="inlineStr"/>
    </row>
    <row r="2273" ht="15" customHeight="1">
      <c r="A2273" t="inlineStr">
        <is>
          <t>A 24175-2022</t>
        </is>
      </c>
      <c r="B2273" s="1" t="n">
        <v>44725</v>
      </c>
      <c r="C2273" s="1" t="n">
        <v>45724</v>
      </c>
      <c r="D2273" t="inlineStr">
        <is>
          <t>VÄSTMANLANDS LÄN</t>
        </is>
      </c>
      <c r="E2273" t="inlineStr">
        <is>
          <t>KUNGSÖR</t>
        </is>
      </c>
      <c r="G2273" t="n">
        <v>3.2</v>
      </c>
      <c r="H2273" t="n">
        <v>0</v>
      </c>
      <c r="I2273" t="n">
        <v>0</v>
      </c>
      <c r="J2273" t="n">
        <v>0</v>
      </c>
      <c r="K2273" t="n">
        <v>0</v>
      </c>
      <c r="L2273" t="n">
        <v>0</v>
      </c>
      <c r="M2273" t="n">
        <v>0</v>
      </c>
      <c r="N2273" t="n">
        <v>0</v>
      </c>
      <c r="O2273" t="n">
        <v>0</v>
      </c>
      <c r="P2273" t="n">
        <v>0</v>
      </c>
      <c r="Q2273" t="n">
        <v>0</v>
      </c>
      <c r="R2273" s="2" t="inlineStr"/>
    </row>
    <row r="2274" ht="15" customHeight="1">
      <c r="A2274" t="inlineStr">
        <is>
          <t>A 24195-2022</t>
        </is>
      </c>
      <c r="B2274" s="1" t="n">
        <v>44725</v>
      </c>
      <c r="C2274" s="1" t="n">
        <v>45724</v>
      </c>
      <c r="D2274" t="inlineStr">
        <is>
          <t>VÄSTMANLANDS LÄN</t>
        </is>
      </c>
      <c r="E2274" t="inlineStr">
        <is>
          <t>KÖPING</t>
        </is>
      </c>
      <c r="G2274" t="n">
        <v>1.7</v>
      </c>
      <c r="H2274" t="n">
        <v>0</v>
      </c>
      <c r="I2274" t="n">
        <v>0</v>
      </c>
      <c r="J2274" t="n">
        <v>0</v>
      </c>
      <c r="K2274" t="n">
        <v>0</v>
      </c>
      <c r="L2274" t="n">
        <v>0</v>
      </c>
      <c r="M2274" t="n">
        <v>0</v>
      </c>
      <c r="N2274" t="n">
        <v>0</v>
      </c>
      <c r="O2274" t="n">
        <v>0</v>
      </c>
      <c r="P2274" t="n">
        <v>0</v>
      </c>
      <c r="Q2274" t="n">
        <v>0</v>
      </c>
      <c r="R2274" s="2" t="inlineStr"/>
    </row>
    <row r="2275" ht="15" customHeight="1">
      <c r="A2275" t="inlineStr">
        <is>
          <t>A 24540-2022</t>
        </is>
      </c>
      <c r="B2275" s="1" t="n">
        <v>44727</v>
      </c>
      <c r="C2275" s="1" t="n">
        <v>45724</v>
      </c>
      <c r="D2275" t="inlineStr">
        <is>
          <t>VÄSTMANLANDS LÄN</t>
        </is>
      </c>
      <c r="E2275" t="inlineStr">
        <is>
          <t>NORBERG</t>
        </is>
      </c>
      <c r="F2275" t="inlineStr">
        <is>
          <t>Bergvik skog väst AB</t>
        </is>
      </c>
      <c r="G2275" t="n">
        <v>6.7</v>
      </c>
      <c r="H2275" t="n">
        <v>0</v>
      </c>
      <c r="I2275" t="n">
        <v>0</v>
      </c>
      <c r="J2275" t="n">
        <v>0</v>
      </c>
      <c r="K2275" t="n">
        <v>0</v>
      </c>
      <c r="L2275" t="n">
        <v>0</v>
      </c>
      <c r="M2275" t="n">
        <v>0</v>
      </c>
      <c r="N2275" t="n">
        <v>0</v>
      </c>
      <c r="O2275" t="n">
        <v>0</v>
      </c>
      <c r="P2275" t="n">
        <v>0</v>
      </c>
      <c r="Q2275" t="n">
        <v>0</v>
      </c>
      <c r="R2275" s="2" t="inlineStr"/>
    </row>
    <row r="2276" ht="15" customHeight="1">
      <c r="A2276" t="inlineStr">
        <is>
          <t>A 24818-2022</t>
        </is>
      </c>
      <c r="B2276" s="1" t="n">
        <v>44727</v>
      </c>
      <c r="C2276" s="1" t="n">
        <v>45724</v>
      </c>
      <c r="D2276" t="inlineStr">
        <is>
          <t>VÄSTMANLANDS LÄN</t>
        </is>
      </c>
      <c r="E2276" t="inlineStr">
        <is>
          <t>SALA</t>
        </is>
      </c>
      <c r="G2276" t="n">
        <v>1.7</v>
      </c>
      <c r="H2276" t="n">
        <v>0</v>
      </c>
      <c r="I2276" t="n">
        <v>0</v>
      </c>
      <c r="J2276" t="n">
        <v>0</v>
      </c>
      <c r="K2276" t="n">
        <v>0</v>
      </c>
      <c r="L2276" t="n">
        <v>0</v>
      </c>
      <c r="M2276" t="n">
        <v>0</v>
      </c>
      <c r="N2276" t="n">
        <v>0</v>
      </c>
      <c r="O2276" t="n">
        <v>0</v>
      </c>
      <c r="P2276" t="n">
        <v>0</v>
      </c>
      <c r="Q2276" t="n">
        <v>0</v>
      </c>
      <c r="R2276" s="2" t="inlineStr"/>
    </row>
    <row r="2277" ht="15" customHeight="1">
      <c r="A2277" t="inlineStr">
        <is>
          <t>A 24835-2022</t>
        </is>
      </c>
      <c r="B2277" s="1" t="n">
        <v>44727</v>
      </c>
      <c r="C2277" s="1" t="n">
        <v>45724</v>
      </c>
      <c r="D2277" t="inlineStr">
        <is>
          <t>VÄSTMANLANDS LÄN</t>
        </is>
      </c>
      <c r="E2277" t="inlineStr">
        <is>
          <t>SALA</t>
        </is>
      </c>
      <c r="G2277" t="n">
        <v>5.8</v>
      </c>
      <c r="H2277" t="n">
        <v>0</v>
      </c>
      <c r="I2277" t="n">
        <v>0</v>
      </c>
      <c r="J2277" t="n">
        <v>0</v>
      </c>
      <c r="K2277" t="n">
        <v>0</v>
      </c>
      <c r="L2277" t="n">
        <v>0</v>
      </c>
      <c r="M2277" t="n">
        <v>0</v>
      </c>
      <c r="N2277" t="n">
        <v>0</v>
      </c>
      <c r="O2277" t="n">
        <v>0</v>
      </c>
      <c r="P2277" t="n">
        <v>0</v>
      </c>
      <c r="Q2277" t="n">
        <v>0</v>
      </c>
      <c r="R2277" s="2" t="inlineStr"/>
    </row>
    <row r="2278" ht="15" customHeight="1">
      <c r="A2278" t="inlineStr">
        <is>
          <t>A 24777-2022</t>
        </is>
      </c>
      <c r="B2278" s="1" t="n">
        <v>44728</v>
      </c>
      <c r="C2278" s="1" t="n">
        <v>45724</v>
      </c>
      <c r="D2278" t="inlineStr">
        <is>
          <t>VÄSTMANLANDS LÄN</t>
        </is>
      </c>
      <c r="E2278" t="inlineStr">
        <is>
          <t>SKINNSKATTEBERG</t>
        </is>
      </c>
      <c r="F2278" t="inlineStr">
        <is>
          <t>Sveaskog</t>
        </is>
      </c>
      <c r="G2278" t="n">
        <v>1.6</v>
      </c>
      <c r="H2278" t="n">
        <v>0</v>
      </c>
      <c r="I2278" t="n">
        <v>0</v>
      </c>
      <c r="J2278" t="n">
        <v>0</v>
      </c>
      <c r="K2278" t="n">
        <v>0</v>
      </c>
      <c r="L2278" t="n">
        <v>0</v>
      </c>
      <c r="M2278" t="n">
        <v>0</v>
      </c>
      <c r="N2278" t="n">
        <v>0</v>
      </c>
      <c r="O2278" t="n">
        <v>0</v>
      </c>
      <c r="P2278" t="n">
        <v>0</v>
      </c>
      <c r="Q2278" t="n">
        <v>0</v>
      </c>
      <c r="R2278" s="2" t="inlineStr"/>
    </row>
    <row r="2279" ht="15" customHeight="1">
      <c r="A2279" t="inlineStr">
        <is>
          <t>A 24793-2022</t>
        </is>
      </c>
      <c r="B2279" s="1" t="n">
        <v>44728</v>
      </c>
      <c r="C2279" s="1" t="n">
        <v>45724</v>
      </c>
      <c r="D2279" t="inlineStr">
        <is>
          <t>VÄSTMANLANDS LÄN</t>
        </is>
      </c>
      <c r="E2279" t="inlineStr">
        <is>
          <t>SKINNSKATTEBERG</t>
        </is>
      </c>
      <c r="F2279" t="inlineStr">
        <is>
          <t>Sveaskog</t>
        </is>
      </c>
      <c r="G2279" t="n">
        <v>0.9</v>
      </c>
      <c r="H2279" t="n">
        <v>0</v>
      </c>
      <c r="I2279" t="n">
        <v>0</v>
      </c>
      <c r="J2279" t="n">
        <v>0</v>
      </c>
      <c r="K2279" t="n">
        <v>0</v>
      </c>
      <c r="L2279" t="n">
        <v>0</v>
      </c>
      <c r="M2279" t="n">
        <v>0</v>
      </c>
      <c r="N2279" t="n">
        <v>0</v>
      </c>
      <c r="O2279" t="n">
        <v>0</v>
      </c>
      <c r="P2279" t="n">
        <v>0</v>
      </c>
      <c r="Q2279" t="n">
        <v>0</v>
      </c>
      <c r="R2279" s="2" t="inlineStr"/>
    </row>
    <row r="2280" ht="15" customHeight="1">
      <c r="A2280" t="inlineStr">
        <is>
          <t>A 24870-2022</t>
        </is>
      </c>
      <c r="B2280" s="1" t="n">
        <v>44728</v>
      </c>
      <c r="C2280" s="1" t="n">
        <v>45724</v>
      </c>
      <c r="D2280" t="inlineStr">
        <is>
          <t>VÄSTMANLANDS LÄN</t>
        </is>
      </c>
      <c r="E2280" t="inlineStr">
        <is>
          <t>ARBOGA</t>
        </is>
      </c>
      <c r="G2280" t="n">
        <v>0.8</v>
      </c>
      <c r="H2280" t="n">
        <v>0</v>
      </c>
      <c r="I2280" t="n">
        <v>0</v>
      </c>
      <c r="J2280" t="n">
        <v>0</v>
      </c>
      <c r="K2280" t="n">
        <v>0</v>
      </c>
      <c r="L2280" t="n">
        <v>0</v>
      </c>
      <c r="M2280" t="n">
        <v>0</v>
      </c>
      <c r="N2280" t="n">
        <v>0</v>
      </c>
      <c r="O2280" t="n">
        <v>0</v>
      </c>
      <c r="P2280" t="n">
        <v>0</v>
      </c>
      <c r="Q2280" t="n">
        <v>0</v>
      </c>
      <c r="R2280" s="2" t="inlineStr"/>
    </row>
    <row r="2281" ht="15" customHeight="1">
      <c r="A2281" t="inlineStr">
        <is>
          <t>A 24882-2022</t>
        </is>
      </c>
      <c r="B2281" s="1" t="n">
        <v>44728</v>
      </c>
      <c r="C2281" s="1" t="n">
        <v>45724</v>
      </c>
      <c r="D2281" t="inlineStr">
        <is>
          <t>VÄSTMANLANDS LÄN</t>
        </is>
      </c>
      <c r="E2281" t="inlineStr">
        <is>
          <t>SALA</t>
        </is>
      </c>
      <c r="G2281" t="n">
        <v>0.5</v>
      </c>
      <c r="H2281" t="n">
        <v>0</v>
      </c>
      <c r="I2281" t="n">
        <v>0</v>
      </c>
      <c r="J2281" t="n">
        <v>0</v>
      </c>
      <c r="K2281" t="n">
        <v>0</v>
      </c>
      <c r="L2281" t="n">
        <v>0</v>
      </c>
      <c r="M2281" t="n">
        <v>0</v>
      </c>
      <c r="N2281" t="n">
        <v>0</v>
      </c>
      <c r="O2281" t="n">
        <v>0</v>
      </c>
      <c r="P2281" t="n">
        <v>0</v>
      </c>
      <c r="Q2281" t="n">
        <v>0</v>
      </c>
      <c r="R2281" s="2" t="inlineStr"/>
    </row>
    <row r="2282" ht="15" customHeight="1">
      <c r="A2282" t="inlineStr">
        <is>
          <t>A 25057-2022</t>
        </is>
      </c>
      <c r="B2282" s="1" t="n">
        <v>44729</v>
      </c>
      <c r="C2282" s="1" t="n">
        <v>45724</v>
      </c>
      <c r="D2282" t="inlineStr">
        <is>
          <t>VÄSTMANLANDS LÄN</t>
        </is>
      </c>
      <c r="E2282" t="inlineStr">
        <is>
          <t>FAGERSTA</t>
        </is>
      </c>
      <c r="G2282" t="n">
        <v>3.1</v>
      </c>
      <c r="H2282" t="n">
        <v>0</v>
      </c>
      <c r="I2282" t="n">
        <v>0</v>
      </c>
      <c r="J2282" t="n">
        <v>0</v>
      </c>
      <c r="K2282" t="n">
        <v>0</v>
      </c>
      <c r="L2282" t="n">
        <v>0</v>
      </c>
      <c r="M2282" t="n">
        <v>0</v>
      </c>
      <c r="N2282" t="n">
        <v>0</v>
      </c>
      <c r="O2282" t="n">
        <v>0</v>
      </c>
      <c r="P2282" t="n">
        <v>0</v>
      </c>
      <c r="Q2282" t="n">
        <v>0</v>
      </c>
      <c r="R2282" s="2" t="inlineStr"/>
    </row>
    <row r="2283" ht="15" customHeight="1">
      <c r="A2283" t="inlineStr">
        <is>
          <t>A 25053-2022</t>
        </is>
      </c>
      <c r="B2283" s="1" t="n">
        <v>44729</v>
      </c>
      <c r="C2283" s="1" t="n">
        <v>45724</v>
      </c>
      <c r="D2283" t="inlineStr">
        <is>
          <t>VÄSTMANLANDS LÄN</t>
        </is>
      </c>
      <c r="E2283" t="inlineStr">
        <is>
          <t>FAGERSTA</t>
        </is>
      </c>
      <c r="G2283" t="n">
        <v>2.1</v>
      </c>
      <c r="H2283" t="n">
        <v>0</v>
      </c>
      <c r="I2283" t="n">
        <v>0</v>
      </c>
      <c r="J2283" t="n">
        <v>0</v>
      </c>
      <c r="K2283" t="n">
        <v>0</v>
      </c>
      <c r="L2283" t="n">
        <v>0</v>
      </c>
      <c r="M2283" t="n">
        <v>0</v>
      </c>
      <c r="N2283" t="n">
        <v>0</v>
      </c>
      <c r="O2283" t="n">
        <v>0</v>
      </c>
      <c r="P2283" t="n">
        <v>0</v>
      </c>
      <c r="Q2283" t="n">
        <v>0</v>
      </c>
      <c r="R2283" s="2" t="inlineStr"/>
    </row>
    <row r="2284" ht="15" customHeight="1">
      <c r="A2284" t="inlineStr">
        <is>
          <t>A 25215-2022</t>
        </is>
      </c>
      <c r="B2284" s="1" t="n">
        <v>44729</v>
      </c>
      <c r="C2284" s="1" t="n">
        <v>45724</v>
      </c>
      <c r="D2284" t="inlineStr">
        <is>
          <t>VÄSTMANLANDS LÄN</t>
        </is>
      </c>
      <c r="E2284" t="inlineStr">
        <is>
          <t>VÄSTERÅS</t>
        </is>
      </c>
      <c r="F2284" t="inlineStr">
        <is>
          <t>Sveaskog</t>
        </is>
      </c>
      <c r="G2284" t="n">
        <v>0.6</v>
      </c>
      <c r="H2284" t="n">
        <v>0</v>
      </c>
      <c r="I2284" t="n">
        <v>0</v>
      </c>
      <c r="J2284" t="n">
        <v>0</v>
      </c>
      <c r="K2284" t="n">
        <v>0</v>
      </c>
      <c r="L2284" t="n">
        <v>0</v>
      </c>
      <c r="M2284" t="n">
        <v>0</v>
      </c>
      <c r="N2284" t="n">
        <v>0</v>
      </c>
      <c r="O2284" t="n">
        <v>0</v>
      </c>
      <c r="P2284" t="n">
        <v>0</v>
      </c>
      <c r="Q2284" t="n">
        <v>0</v>
      </c>
      <c r="R2284" s="2" t="inlineStr"/>
    </row>
    <row r="2285" ht="15" customHeight="1">
      <c r="A2285" t="inlineStr">
        <is>
          <t>A 25322-2022</t>
        </is>
      </c>
      <c r="B2285" s="1" t="n">
        <v>44731</v>
      </c>
      <c r="C2285" s="1" t="n">
        <v>45724</v>
      </c>
      <c r="D2285" t="inlineStr">
        <is>
          <t>VÄSTMANLANDS LÄN</t>
        </is>
      </c>
      <c r="E2285" t="inlineStr">
        <is>
          <t>KÖPING</t>
        </is>
      </c>
      <c r="F2285" t="inlineStr">
        <is>
          <t>Sveaskog</t>
        </is>
      </c>
      <c r="G2285" t="n">
        <v>4.9</v>
      </c>
      <c r="H2285" t="n">
        <v>0</v>
      </c>
      <c r="I2285" t="n">
        <v>0</v>
      </c>
      <c r="J2285" t="n">
        <v>0</v>
      </c>
      <c r="K2285" t="n">
        <v>0</v>
      </c>
      <c r="L2285" t="n">
        <v>0</v>
      </c>
      <c r="M2285" t="n">
        <v>0</v>
      </c>
      <c r="N2285" t="n">
        <v>0</v>
      </c>
      <c r="O2285" t="n">
        <v>0</v>
      </c>
      <c r="P2285" t="n">
        <v>0</v>
      </c>
      <c r="Q2285" t="n">
        <v>0</v>
      </c>
      <c r="R2285" s="2" t="inlineStr"/>
    </row>
    <row r="2286" ht="15" customHeight="1">
      <c r="A2286" t="inlineStr">
        <is>
          <t>A 25357-2022</t>
        </is>
      </c>
      <c r="B2286" s="1" t="n">
        <v>44732</v>
      </c>
      <c r="C2286" s="1" t="n">
        <v>45724</v>
      </c>
      <c r="D2286" t="inlineStr">
        <is>
          <t>VÄSTMANLANDS LÄN</t>
        </is>
      </c>
      <c r="E2286" t="inlineStr">
        <is>
          <t>SKINNSKATTEBERG</t>
        </is>
      </c>
      <c r="F2286" t="inlineStr">
        <is>
          <t>Sveaskog</t>
        </is>
      </c>
      <c r="G2286" t="n">
        <v>0.5</v>
      </c>
      <c r="H2286" t="n">
        <v>0</v>
      </c>
      <c r="I2286" t="n">
        <v>0</v>
      </c>
      <c r="J2286" t="n">
        <v>0</v>
      </c>
      <c r="K2286" t="n">
        <v>0</v>
      </c>
      <c r="L2286" t="n">
        <v>0</v>
      </c>
      <c r="M2286" t="n">
        <v>0</v>
      </c>
      <c r="N2286" t="n">
        <v>0</v>
      </c>
      <c r="O2286" t="n">
        <v>0</v>
      </c>
      <c r="P2286" t="n">
        <v>0</v>
      </c>
      <c r="Q2286" t="n">
        <v>0</v>
      </c>
      <c r="R2286" s="2" t="inlineStr"/>
    </row>
    <row r="2287" ht="15" customHeight="1">
      <c r="A2287" t="inlineStr">
        <is>
          <t>A 25406-2022</t>
        </is>
      </c>
      <c r="B2287" s="1" t="n">
        <v>44732</v>
      </c>
      <c r="C2287" s="1" t="n">
        <v>45724</v>
      </c>
      <c r="D2287" t="inlineStr">
        <is>
          <t>VÄSTMANLANDS LÄN</t>
        </is>
      </c>
      <c r="E2287" t="inlineStr">
        <is>
          <t>SKINNSKATTEBERG</t>
        </is>
      </c>
      <c r="F2287" t="inlineStr">
        <is>
          <t>Sveaskog</t>
        </is>
      </c>
      <c r="G2287" t="n">
        <v>2.4</v>
      </c>
      <c r="H2287" t="n">
        <v>0</v>
      </c>
      <c r="I2287" t="n">
        <v>0</v>
      </c>
      <c r="J2287" t="n">
        <v>0</v>
      </c>
      <c r="K2287" t="n">
        <v>0</v>
      </c>
      <c r="L2287" t="n">
        <v>0</v>
      </c>
      <c r="M2287" t="n">
        <v>0</v>
      </c>
      <c r="N2287" t="n">
        <v>0</v>
      </c>
      <c r="O2287" t="n">
        <v>0</v>
      </c>
      <c r="P2287" t="n">
        <v>0</v>
      </c>
      <c r="Q2287" t="n">
        <v>0</v>
      </c>
      <c r="R2287" s="2" t="inlineStr"/>
    </row>
    <row r="2288" ht="15" customHeight="1">
      <c r="A2288" t="inlineStr">
        <is>
          <t>A 25387-2022</t>
        </is>
      </c>
      <c r="B2288" s="1" t="n">
        <v>44732</v>
      </c>
      <c r="C2288" s="1" t="n">
        <v>45724</v>
      </c>
      <c r="D2288" t="inlineStr">
        <is>
          <t>VÄSTMANLANDS LÄN</t>
        </is>
      </c>
      <c r="E2288" t="inlineStr">
        <is>
          <t>SKINNSKATTEBERG</t>
        </is>
      </c>
      <c r="F2288" t="inlineStr">
        <is>
          <t>Sveaskog</t>
        </is>
      </c>
      <c r="G2288" t="n">
        <v>0.8</v>
      </c>
      <c r="H2288" t="n">
        <v>0</v>
      </c>
      <c r="I2288" t="n">
        <v>0</v>
      </c>
      <c r="J2288" t="n">
        <v>0</v>
      </c>
      <c r="K2288" t="n">
        <v>0</v>
      </c>
      <c r="L2288" t="n">
        <v>0</v>
      </c>
      <c r="M2288" t="n">
        <v>0</v>
      </c>
      <c r="N2288" t="n">
        <v>0</v>
      </c>
      <c r="O2288" t="n">
        <v>0</v>
      </c>
      <c r="P2288" t="n">
        <v>0</v>
      </c>
      <c r="Q2288" t="n">
        <v>0</v>
      </c>
      <c r="R2288" s="2" t="inlineStr"/>
    </row>
    <row r="2289" ht="15" customHeight="1">
      <c r="A2289" t="inlineStr">
        <is>
          <t>A 25410-2022</t>
        </is>
      </c>
      <c r="B2289" s="1" t="n">
        <v>44732</v>
      </c>
      <c r="C2289" s="1" t="n">
        <v>45724</v>
      </c>
      <c r="D2289" t="inlineStr">
        <is>
          <t>VÄSTMANLANDS LÄN</t>
        </is>
      </c>
      <c r="E2289" t="inlineStr">
        <is>
          <t>SKINNSKATTEBERG</t>
        </is>
      </c>
      <c r="F2289" t="inlineStr">
        <is>
          <t>Sveaskog</t>
        </is>
      </c>
      <c r="G2289" t="n">
        <v>4.4</v>
      </c>
      <c r="H2289" t="n">
        <v>0</v>
      </c>
      <c r="I2289" t="n">
        <v>0</v>
      </c>
      <c r="J2289" t="n">
        <v>0</v>
      </c>
      <c r="K2289" t="n">
        <v>0</v>
      </c>
      <c r="L2289" t="n">
        <v>0</v>
      </c>
      <c r="M2289" t="n">
        <v>0</v>
      </c>
      <c r="N2289" t="n">
        <v>0</v>
      </c>
      <c r="O2289" t="n">
        <v>0</v>
      </c>
      <c r="P2289" t="n">
        <v>0</v>
      </c>
      <c r="Q2289" t="n">
        <v>0</v>
      </c>
      <c r="R2289" s="2" t="inlineStr"/>
    </row>
    <row r="2290" ht="15" customHeight="1">
      <c r="A2290" t="inlineStr">
        <is>
          <t>A 25603-2022</t>
        </is>
      </c>
      <c r="B2290" s="1" t="n">
        <v>44732</v>
      </c>
      <c r="C2290" s="1" t="n">
        <v>45724</v>
      </c>
      <c r="D2290" t="inlineStr">
        <is>
          <t>VÄSTMANLANDS LÄN</t>
        </is>
      </c>
      <c r="E2290" t="inlineStr">
        <is>
          <t>SALA</t>
        </is>
      </c>
      <c r="G2290" t="n">
        <v>2</v>
      </c>
      <c r="H2290" t="n">
        <v>0</v>
      </c>
      <c r="I2290" t="n">
        <v>0</v>
      </c>
      <c r="J2290" t="n">
        <v>0</v>
      </c>
      <c r="K2290" t="n">
        <v>0</v>
      </c>
      <c r="L2290" t="n">
        <v>0</v>
      </c>
      <c r="M2290" t="n">
        <v>0</v>
      </c>
      <c r="N2290" t="n">
        <v>0</v>
      </c>
      <c r="O2290" t="n">
        <v>0</v>
      </c>
      <c r="P2290" t="n">
        <v>0</v>
      </c>
      <c r="Q2290" t="n">
        <v>0</v>
      </c>
      <c r="R2290" s="2" t="inlineStr"/>
    </row>
    <row r="2291" ht="15" customHeight="1">
      <c r="A2291" t="inlineStr">
        <is>
          <t>A 25748-2022</t>
        </is>
      </c>
      <c r="B2291" s="1" t="n">
        <v>44732</v>
      </c>
      <c r="C2291" s="1" t="n">
        <v>45724</v>
      </c>
      <c r="D2291" t="inlineStr">
        <is>
          <t>VÄSTMANLANDS LÄN</t>
        </is>
      </c>
      <c r="E2291" t="inlineStr">
        <is>
          <t>SALA</t>
        </is>
      </c>
      <c r="G2291" t="n">
        <v>7.7</v>
      </c>
      <c r="H2291" t="n">
        <v>0</v>
      </c>
      <c r="I2291" t="n">
        <v>0</v>
      </c>
      <c r="J2291" t="n">
        <v>0</v>
      </c>
      <c r="K2291" t="n">
        <v>0</v>
      </c>
      <c r="L2291" t="n">
        <v>0</v>
      </c>
      <c r="M2291" t="n">
        <v>0</v>
      </c>
      <c r="N2291" t="n">
        <v>0</v>
      </c>
      <c r="O2291" t="n">
        <v>0</v>
      </c>
      <c r="P2291" t="n">
        <v>0</v>
      </c>
      <c r="Q2291" t="n">
        <v>0</v>
      </c>
      <c r="R2291" s="2" t="inlineStr"/>
    </row>
    <row r="2292" ht="15" customHeight="1">
      <c r="A2292" t="inlineStr">
        <is>
          <t>A 25804-2022</t>
        </is>
      </c>
      <c r="B2292" s="1" t="n">
        <v>44733</v>
      </c>
      <c r="C2292" s="1" t="n">
        <v>45724</v>
      </c>
      <c r="D2292" t="inlineStr">
        <is>
          <t>VÄSTMANLANDS LÄN</t>
        </is>
      </c>
      <c r="E2292" t="inlineStr">
        <is>
          <t>KÖPING</t>
        </is>
      </c>
      <c r="G2292" t="n">
        <v>2.4</v>
      </c>
      <c r="H2292" t="n">
        <v>0</v>
      </c>
      <c r="I2292" t="n">
        <v>0</v>
      </c>
      <c r="J2292" t="n">
        <v>0</v>
      </c>
      <c r="K2292" t="n">
        <v>0</v>
      </c>
      <c r="L2292" t="n">
        <v>0</v>
      </c>
      <c r="M2292" t="n">
        <v>0</v>
      </c>
      <c r="N2292" t="n">
        <v>0</v>
      </c>
      <c r="O2292" t="n">
        <v>0</v>
      </c>
      <c r="P2292" t="n">
        <v>0</v>
      </c>
      <c r="Q2292" t="n">
        <v>0</v>
      </c>
      <c r="R2292" s="2" t="inlineStr"/>
    </row>
    <row r="2293" ht="15" customHeight="1">
      <c r="A2293" t="inlineStr">
        <is>
          <t>A 25878-2022</t>
        </is>
      </c>
      <c r="B2293" s="1" t="n">
        <v>44733</v>
      </c>
      <c r="C2293" s="1" t="n">
        <v>45724</v>
      </c>
      <c r="D2293" t="inlineStr">
        <is>
          <t>VÄSTMANLANDS LÄN</t>
        </is>
      </c>
      <c r="E2293" t="inlineStr">
        <is>
          <t>VÄSTERÅS</t>
        </is>
      </c>
      <c r="G2293" t="n">
        <v>9.300000000000001</v>
      </c>
      <c r="H2293" t="n">
        <v>0</v>
      </c>
      <c r="I2293" t="n">
        <v>0</v>
      </c>
      <c r="J2293" t="n">
        <v>0</v>
      </c>
      <c r="K2293" t="n">
        <v>0</v>
      </c>
      <c r="L2293" t="n">
        <v>0</v>
      </c>
      <c r="M2293" t="n">
        <v>0</v>
      </c>
      <c r="N2293" t="n">
        <v>0</v>
      </c>
      <c r="O2293" t="n">
        <v>0</v>
      </c>
      <c r="P2293" t="n">
        <v>0</v>
      </c>
      <c r="Q2293" t="n">
        <v>0</v>
      </c>
      <c r="R2293" s="2" t="inlineStr"/>
    </row>
    <row r="2294" ht="15" customHeight="1">
      <c r="A2294" t="inlineStr">
        <is>
          <t>A 25944-2022</t>
        </is>
      </c>
      <c r="B2294" s="1" t="n">
        <v>44734</v>
      </c>
      <c r="C2294" s="1" t="n">
        <v>45724</v>
      </c>
      <c r="D2294" t="inlineStr">
        <is>
          <t>VÄSTMANLANDS LÄN</t>
        </is>
      </c>
      <c r="E2294" t="inlineStr">
        <is>
          <t>KÖPING</t>
        </is>
      </c>
      <c r="F2294" t="inlineStr">
        <is>
          <t>Sveaskog</t>
        </is>
      </c>
      <c r="G2294" t="n">
        <v>1.3</v>
      </c>
      <c r="H2294" t="n">
        <v>0</v>
      </c>
      <c r="I2294" t="n">
        <v>0</v>
      </c>
      <c r="J2294" t="n">
        <v>0</v>
      </c>
      <c r="K2294" t="n">
        <v>0</v>
      </c>
      <c r="L2294" t="n">
        <v>0</v>
      </c>
      <c r="M2294" t="n">
        <v>0</v>
      </c>
      <c r="N2294" t="n">
        <v>0</v>
      </c>
      <c r="O2294" t="n">
        <v>0</v>
      </c>
      <c r="P2294" t="n">
        <v>0</v>
      </c>
      <c r="Q2294" t="n">
        <v>0</v>
      </c>
      <c r="R2294" s="2" t="inlineStr"/>
    </row>
    <row r="2295" ht="15" customHeight="1">
      <c r="A2295" t="inlineStr">
        <is>
          <t>A 25971-2022</t>
        </is>
      </c>
      <c r="B2295" s="1" t="n">
        <v>44734</v>
      </c>
      <c r="C2295" s="1" t="n">
        <v>45724</v>
      </c>
      <c r="D2295" t="inlineStr">
        <is>
          <t>VÄSTMANLANDS LÄN</t>
        </is>
      </c>
      <c r="E2295" t="inlineStr">
        <is>
          <t>KÖPING</t>
        </is>
      </c>
      <c r="G2295" t="n">
        <v>2.4</v>
      </c>
      <c r="H2295" t="n">
        <v>0</v>
      </c>
      <c r="I2295" t="n">
        <v>0</v>
      </c>
      <c r="J2295" t="n">
        <v>0</v>
      </c>
      <c r="K2295" t="n">
        <v>0</v>
      </c>
      <c r="L2295" t="n">
        <v>0</v>
      </c>
      <c r="M2295" t="n">
        <v>0</v>
      </c>
      <c r="N2295" t="n">
        <v>0</v>
      </c>
      <c r="O2295" t="n">
        <v>0</v>
      </c>
      <c r="P2295" t="n">
        <v>0</v>
      </c>
      <c r="Q2295" t="n">
        <v>0</v>
      </c>
      <c r="R2295" s="2" t="inlineStr"/>
    </row>
    <row r="2296" ht="15" customHeight="1">
      <c r="A2296" t="inlineStr">
        <is>
          <t>A 26029-2022</t>
        </is>
      </c>
      <c r="B2296" s="1" t="n">
        <v>44734</v>
      </c>
      <c r="C2296" s="1" t="n">
        <v>45724</v>
      </c>
      <c r="D2296" t="inlineStr">
        <is>
          <t>VÄSTMANLANDS LÄN</t>
        </is>
      </c>
      <c r="E2296" t="inlineStr">
        <is>
          <t>KUNGSÖR</t>
        </is>
      </c>
      <c r="F2296" t="inlineStr">
        <is>
          <t>Allmännings- och besparingsskogar</t>
        </is>
      </c>
      <c r="G2296" t="n">
        <v>9.699999999999999</v>
      </c>
      <c r="H2296" t="n">
        <v>0</v>
      </c>
      <c r="I2296" t="n">
        <v>0</v>
      </c>
      <c r="J2296" t="n">
        <v>0</v>
      </c>
      <c r="K2296" t="n">
        <v>0</v>
      </c>
      <c r="L2296" t="n">
        <v>0</v>
      </c>
      <c r="M2296" t="n">
        <v>0</v>
      </c>
      <c r="N2296" t="n">
        <v>0</v>
      </c>
      <c r="O2296" t="n">
        <v>0</v>
      </c>
      <c r="P2296" t="n">
        <v>0</v>
      </c>
      <c r="Q2296" t="n">
        <v>0</v>
      </c>
      <c r="R2296" s="2" t="inlineStr"/>
    </row>
    <row r="2297" ht="15" customHeight="1">
      <c r="A2297" t="inlineStr">
        <is>
          <t>A 26342-2022</t>
        </is>
      </c>
      <c r="B2297" s="1" t="n">
        <v>44735</v>
      </c>
      <c r="C2297" s="1" t="n">
        <v>45724</v>
      </c>
      <c r="D2297" t="inlineStr">
        <is>
          <t>VÄSTMANLANDS LÄN</t>
        </is>
      </c>
      <c r="E2297" t="inlineStr">
        <is>
          <t>SKINNSKATTEBERG</t>
        </is>
      </c>
      <c r="F2297" t="inlineStr">
        <is>
          <t>Sveaskog</t>
        </is>
      </c>
      <c r="G2297" t="n">
        <v>1.2</v>
      </c>
      <c r="H2297" t="n">
        <v>0</v>
      </c>
      <c r="I2297" t="n">
        <v>0</v>
      </c>
      <c r="J2297" t="n">
        <v>0</v>
      </c>
      <c r="K2297" t="n">
        <v>0</v>
      </c>
      <c r="L2297" t="n">
        <v>0</v>
      </c>
      <c r="M2297" t="n">
        <v>0</v>
      </c>
      <c r="N2297" t="n">
        <v>0</v>
      </c>
      <c r="O2297" t="n">
        <v>0</v>
      </c>
      <c r="P2297" t="n">
        <v>0</v>
      </c>
      <c r="Q2297" t="n">
        <v>0</v>
      </c>
      <c r="R2297" s="2" t="inlineStr"/>
    </row>
    <row r="2298" ht="15" customHeight="1">
      <c r="A2298" t="inlineStr">
        <is>
          <t>A 26559-2022</t>
        </is>
      </c>
      <c r="B2298" s="1" t="n">
        <v>44739</v>
      </c>
      <c r="C2298" s="1" t="n">
        <v>45724</v>
      </c>
      <c r="D2298" t="inlineStr">
        <is>
          <t>VÄSTMANLANDS LÄN</t>
        </is>
      </c>
      <c r="E2298" t="inlineStr">
        <is>
          <t>VÄSTERÅS</t>
        </is>
      </c>
      <c r="G2298" t="n">
        <v>1.4</v>
      </c>
      <c r="H2298" t="n">
        <v>0</v>
      </c>
      <c r="I2298" t="n">
        <v>0</v>
      </c>
      <c r="J2298" t="n">
        <v>0</v>
      </c>
      <c r="K2298" t="n">
        <v>0</v>
      </c>
      <c r="L2298" t="n">
        <v>0</v>
      </c>
      <c r="M2298" t="n">
        <v>0</v>
      </c>
      <c r="N2298" t="n">
        <v>0</v>
      </c>
      <c r="O2298" t="n">
        <v>0</v>
      </c>
      <c r="P2298" t="n">
        <v>0</v>
      </c>
      <c r="Q2298" t="n">
        <v>0</v>
      </c>
      <c r="R2298" s="2" t="inlineStr"/>
    </row>
    <row r="2299" ht="15" customHeight="1">
      <c r="A2299" t="inlineStr">
        <is>
          <t>A 26509-2022</t>
        </is>
      </c>
      <c r="B2299" s="1" t="n">
        <v>44739</v>
      </c>
      <c r="C2299" s="1" t="n">
        <v>45724</v>
      </c>
      <c r="D2299" t="inlineStr">
        <is>
          <t>VÄSTMANLANDS LÄN</t>
        </is>
      </c>
      <c r="E2299" t="inlineStr">
        <is>
          <t>FAGERSTA</t>
        </is>
      </c>
      <c r="G2299" t="n">
        <v>3</v>
      </c>
      <c r="H2299" t="n">
        <v>0</v>
      </c>
      <c r="I2299" t="n">
        <v>0</v>
      </c>
      <c r="J2299" t="n">
        <v>0</v>
      </c>
      <c r="K2299" t="n">
        <v>0</v>
      </c>
      <c r="L2299" t="n">
        <v>0</v>
      </c>
      <c r="M2299" t="n">
        <v>0</v>
      </c>
      <c r="N2299" t="n">
        <v>0</v>
      </c>
      <c r="O2299" t="n">
        <v>0</v>
      </c>
      <c r="P2299" t="n">
        <v>0</v>
      </c>
      <c r="Q2299" t="n">
        <v>0</v>
      </c>
      <c r="R2299" s="2" t="inlineStr"/>
    </row>
    <row r="2300" ht="15" customHeight="1">
      <c r="A2300" t="inlineStr">
        <is>
          <t>A 26696-2022</t>
        </is>
      </c>
      <c r="B2300" s="1" t="n">
        <v>44739</v>
      </c>
      <c r="C2300" s="1" t="n">
        <v>45724</v>
      </c>
      <c r="D2300" t="inlineStr">
        <is>
          <t>VÄSTMANLANDS LÄN</t>
        </is>
      </c>
      <c r="E2300" t="inlineStr">
        <is>
          <t>VÄSTERÅS</t>
        </is>
      </c>
      <c r="G2300" t="n">
        <v>4.5</v>
      </c>
      <c r="H2300" t="n">
        <v>0</v>
      </c>
      <c r="I2300" t="n">
        <v>0</v>
      </c>
      <c r="J2300" t="n">
        <v>0</v>
      </c>
      <c r="K2300" t="n">
        <v>0</v>
      </c>
      <c r="L2300" t="n">
        <v>0</v>
      </c>
      <c r="M2300" t="n">
        <v>0</v>
      </c>
      <c r="N2300" t="n">
        <v>0</v>
      </c>
      <c r="O2300" t="n">
        <v>0</v>
      </c>
      <c r="P2300" t="n">
        <v>0</v>
      </c>
      <c r="Q2300" t="n">
        <v>0</v>
      </c>
      <c r="R2300" s="2" t="inlineStr"/>
    </row>
    <row r="2301" ht="15" customHeight="1">
      <c r="A2301" t="inlineStr">
        <is>
          <t>A 26700-2022</t>
        </is>
      </c>
      <c r="B2301" s="1" t="n">
        <v>44739</v>
      </c>
      <c r="C2301" s="1" t="n">
        <v>45724</v>
      </c>
      <c r="D2301" t="inlineStr">
        <is>
          <t>VÄSTMANLANDS LÄN</t>
        </is>
      </c>
      <c r="E2301" t="inlineStr">
        <is>
          <t>SURAHAMMAR</t>
        </is>
      </c>
      <c r="F2301" t="inlineStr">
        <is>
          <t>Kommuner</t>
        </is>
      </c>
      <c r="G2301" t="n">
        <v>3.1</v>
      </c>
      <c r="H2301" t="n">
        <v>0</v>
      </c>
      <c r="I2301" t="n">
        <v>0</v>
      </c>
      <c r="J2301" t="n">
        <v>0</v>
      </c>
      <c r="K2301" t="n">
        <v>0</v>
      </c>
      <c r="L2301" t="n">
        <v>0</v>
      </c>
      <c r="M2301" t="n">
        <v>0</v>
      </c>
      <c r="N2301" t="n">
        <v>0</v>
      </c>
      <c r="O2301" t="n">
        <v>0</v>
      </c>
      <c r="P2301" t="n">
        <v>0</v>
      </c>
      <c r="Q2301" t="n">
        <v>0</v>
      </c>
      <c r="R2301" s="2" t="inlineStr"/>
    </row>
    <row r="2302" ht="15" customHeight="1">
      <c r="A2302" t="inlineStr">
        <is>
          <t>A 26680-2022</t>
        </is>
      </c>
      <c r="B2302" s="1" t="n">
        <v>44739</v>
      </c>
      <c r="C2302" s="1" t="n">
        <v>45724</v>
      </c>
      <c r="D2302" t="inlineStr">
        <is>
          <t>VÄSTMANLANDS LÄN</t>
        </is>
      </c>
      <c r="E2302" t="inlineStr">
        <is>
          <t>VÄSTERÅS</t>
        </is>
      </c>
      <c r="G2302" t="n">
        <v>2.8</v>
      </c>
      <c r="H2302" t="n">
        <v>0</v>
      </c>
      <c r="I2302" t="n">
        <v>0</v>
      </c>
      <c r="J2302" t="n">
        <v>0</v>
      </c>
      <c r="K2302" t="n">
        <v>0</v>
      </c>
      <c r="L2302" t="n">
        <v>0</v>
      </c>
      <c r="M2302" t="n">
        <v>0</v>
      </c>
      <c r="N2302" t="n">
        <v>0</v>
      </c>
      <c r="O2302" t="n">
        <v>0</v>
      </c>
      <c r="P2302" t="n">
        <v>0</v>
      </c>
      <c r="Q2302" t="n">
        <v>0</v>
      </c>
      <c r="R2302" s="2" t="inlineStr"/>
    </row>
    <row r="2303" ht="15" customHeight="1">
      <c r="A2303" t="inlineStr">
        <is>
          <t>A 26702-2022</t>
        </is>
      </c>
      <c r="B2303" s="1" t="n">
        <v>44739</v>
      </c>
      <c r="C2303" s="1" t="n">
        <v>45724</v>
      </c>
      <c r="D2303" t="inlineStr">
        <is>
          <t>VÄSTMANLANDS LÄN</t>
        </is>
      </c>
      <c r="E2303" t="inlineStr">
        <is>
          <t>HALLSTAHAMMAR</t>
        </is>
      </c>
      <c r="G2303" t="n">
        <v>3.8</v>
      </c>
      <c r="H2303" t="n">
        <v>0</v>
      </c>
      <c r="I2303" t="n">
        <v>0</v>
      </c>
      <c r="J2303" t="n">
        <v>0</v>
      </c>
      <c r="K2303" t="n">
        <v>0</v>
      </c>
      <c r="L2303" t="n">
        <v>0</v>
      </c>
      <c r="M2303" t="n">
        <v>0</v>
      </c>
      <c r="N2303" t="n">
        <v>0</v>
      </c>
      <c r="O2303" t="n">
        <v>0</v>
      </c>
      <c r="P2303" t="n">
        <v>0</v>
      </c>
      <c r="Q2303" t="n">
        <v>0</v>
      </c>
      <c r="R2303" s="2" t="inlineStr"/>
    </row>
    <row r="2304" ht="15" customHeight="1">
      <c r="A2304" t="inlineStr">
        <is>
          <t>A 26697-2022</t>
        </is>
      </c>
      <c r="B2304" s="1" t="n">
        <v>44739</v>
      </c>
      <c r="C2304" s="1" t="n">
        <v>45724</v>
      </c>
      <c r="D2304" t="inlineStr">
        <is>
          <t>VÄSTMANLANDS LÄN</t>
        </is>
      </c>
      <c r="E2304" t="inlineStr">
        <is>
          <t>VÄSTERÅS</t>
        </is>
      </c>
      <c r="G2304" t="n">
        <v>1.4</v>
      </c>
      <c r="H2304" t="n">
        <v>0</v>
      </c>
      <c r="I2304" t="n">
        <v>0</v>
      </c>
      <c r="J2304" t="n">
        <v>0</v>
      </c>
      <c r="K2304" t="n">
        <v>0</v>
      </c>
      <c r="L2304" t="n">
        <v>0</v>
      </c>
      <c r="M2304" t="n">
        <v>0</v>
      </c>
      <c r="N2304" t="n">
        <v>0</v>
      </c>
      <c r="O2304" t="n">
        <v>0</v>
      </c>
      <c r="P2304" t="n">
        <v>0</v>
      </c>
      <c r="Q2304" t="n">
        <v>0</v>
      </c>
      <c r="R2304" s="2" t="inlineStr"/>
    </row>
    <row r="2305" ht="15" customHeight="1">
      <c r="A2305" t="inlineStr">
        <is>
          <t>A 26556-2022</t>
        </is>
      </c>
      <c r="B2305" s="1" t="n">
        <v>44739</v>
      </c>
      <c r="C2305" s="1" t="n">
        <v>45724</v>
      </c>
      <c r="D2305" t="inlineStr">
        <is>
          <t>VÄSTMANLANDS LÄN</t>
        </is>
      </c>
      <c r="E2305" t="inlineStr">
        <is>
          <t>VÄSTERÅS</t>
        </is>
      </c>
      <c r="G2305" t="n">
        <v>0.8</v>
      </c>
      <c r="H2305" t="n">
        <v>0</v>
      </c>
      <c r="I2305" t="n">
        <v>0</v>
      </c>
      <c r="J2305" t="n">
        <v>0</v>
      </c>
      <c r="K2305" t="n">
        <v>0</v>
      </c>
      <c r="L2305" t="n">
        <v>0</v>
      </c>
      <c r="M2305" t="n">
        <v>0</v>
      </c>
      <c r="N2305" t="n">
        <v>0</v>
      </c>
      <c r="O2305" t="n">
        <v>0</v>
      </c>
      <c r="P2305" t="n">
        <v>0</v>
      </c>
      <c r="Q2305" t="n">
        <v>0</v>
      </c>
      <c r="R2305" s="2" t="inlineStr"/>
    </row>
    <row r="2306" ht="15" customHeight="1">
      <c r="A2306" t="inlineStr">
        <is>
          <t>A 26568-2022</t>
        </is>
      </c>
      <c r="B2306" s="1" t="n">
        <v>44739</v>
      </c>
      <c r="C2306" s="1" t="n">
        <v>45724</v>
      </c>
      <c r="D2306" t="inlineStr">
        <is>
          <t>VÄSTMANLANDS LÄN</t>
        </is>
      </c>
      <c r="E2306" t="inlineStr">
        <is>
          <t>VÄSTERÅS</t>
        </is>
      </c>
      <c r="G2306" t="n">
        <v>2.6</v>
      </c>
      <c r="H2306" t="n">
        <v>0</v>
      </c>
      <c r="I2306" t="n">
        <v>0</v>
      </c>
      <c r="J2306" t="n">
        <v>0</v>
      </c>
      <c r="K2306" t="n">
        <v>0</v>
      </c>
      <c r="L2306" t="n">
        <v>0</v>
      </c>
      <c r="M2306" t="n">
        <v>0</v>
      </c>
      <c r="N2306" t="n">
        <v>0</v>
      </c>
      <c r="O2306" t="n">
        <v>0</v>
      </c>
      <c r="P2306" t="n">
        <v>0</v>
      </c>
      <c r="Q2306" t="n">
        <v>0</v>
      </c>
      <c r="R2306" s="2" t="inlineStr"/>
    </row>
    <row r="2307" ht="15" customHeight="1">
      <c r="A2307" t="inlineStr">
        <is>
          <t>A 26835-2022</t>
        </is>
      </c>
      <c r="B2307" s="1" t="n">
        <v>44740</v>
      </c>
      <c r="C2307" s="1" t="n">
        <v>45724</v>
      </c>
      <c r="D2307" t="inlineStr">
        <is>
          <t>VÄSTMANLANDS LÄN</t>
        </is>
      </c>
      <c r="E2307" t="inlineStr">
        <is>
          <t>VÄSTERÅS</t>
        </is>
      </c>
      <c r="G2307" t="n">
        <v>1.5</v>
      </c>
      <c r="H2307" t="n">
        <v>0</v>
      </c>
      <c r="I2307" t="n">
        <v>0</v>
      </c>
      <c r="J2307" t="n">
        <v>0</v>
      </c>
      <c r="K2307" t="n">
        <v>0</v>
      </c>
      <c r="L2307" t="n">
        <v>0</v>
      </c>
      <c r="M2307" t="n">
        <v>0</v>
      </c>
      <c r="N2307" t="n">
        <v>0</v>
      </c>
      <c r="O2307" t="n">
        <v>0</v>
      </c>
      <c r="P2307" t="n">
        <v>0</v>
      </c>
      <c r="Q2307" t="n">
        <v>0</v>
      </c>
      <c r="R2307" s="2" t="inlineStr"/>
    </row>
    <row r="2308" ht="15" customHeight="1">
      <c r="A2308" t="inlineStr">
        <is>
          <t>A 27164-2022</t>
        </is>
      </c>
      <c r="B2308" s="1" t="n">
        <v>44741</v>
      </c>
      <c r="C2308" s="1" t="n">
        <v>45724</v>
      </c>
      <c r="D2308" t="inlineStr">
        <is>
          <t>VÄSTMANLANDS LÄN</t>
        </is>
      </c>
      <c r="E2308" t="inlineStr">
        <is>
          <t>SKINNSKATTEBERG</t>
        </is>
      </c>
      <c r="F2308" t="inlineStr">
        <is>
          <t>Sveaskog</t>
        </is>
      </c>
      <c r="G2308" t="n">
        <v>0.5</v>
      </c>
      <c r="H2308" t="n">
        <v>0</v>
      </c>
      <c r="I2308" t="n">
        <v>0</v>
      </c>
      <c r="J2308" t="n">
        <v>0</v>
      </c>
      <c r="K2308" t="n">
        <v>0</v>
      </c>
      <c r="L2308" t="n">
        <v>0</v>
      </c>
      <c r="M2308" t="n">
        <v>0</v>
      </c>
      <c r="N2308" t="n">
        <v>0</v>
      </c>
      <c r="O2308" t="n">
        <v>0</v>
      </c>
      <c r="P2308" t="n">
        <v>0</v>
      </c>
      <c r="Q2308" t="n">
        <v>0</v>
      </c>
      <c r="R2308" s="2" t="inlineStr"/>
    </row>
    <row r="2309" ht="15" customHeight="1">
      <c r="A2309" t="inlineStr">
        <is>
          <t>A 27229-2022</t>
        </is>
      </c>
      <c r="B2309" s="1" t="n">
        <v>44741</v>
      </c>
      <c r="C2309" s="1" t="n">
        <v>45724</v>
      </c>
      <c r="D2309" t="inlineStr">
        <is>
          <t>VÄSTMANLANDS LÄN</t>
        </is>
      </c>
      <c r="E2309" t="inlineStr">
        <is>
          <t>SALA</t>
        </is>
      </c>
      <c r="F2309" t="inlineStr">
        <is>
          <t>Kommuner</t>
        </is>
      </c>
      <c r="G2309" t="n">
        <v>1.4</v>
      </c>
      <c r="H2309" t="n">
        <v>0</v>
      </c>
      <c r="I2309" t="n">
        <v>0</v>
      </c>
      <c r="J2309" t="n">
        <v>0</v>
      </c>
      <c r="K2309" t="n">
        <v>0</v>
      </c>
      <c r="L2309" t="n">
        <v>0</v>
      </c>
      <c r="M2309" t="n">
        <v>0</v>
      </c>
      <c r="N2309" t="n">
        <v>0</v>
      </c>
      <c r="O2309" t="n">
        <v>0</v>
      </c>
      <c r="P2309" t="n">
        <v>0</v>
      </c>
      <c r="Q2309" t="n">
        <v>0</v>
      </c>
      <c r="R2309" s="2" t="inlineStr"/>
    </row>
    <row r="2310" ht="15" customHeight="1">
      <c r="A2310" t="inlineStr">
        <is>
          <t>A 27240-2022</t>
        </is>
      </c>
      <c r="B2310" s="1" t="n">
        <v>44741</v>
      </c>
      <c r="C2310" s="1" t="n">
        <v>45724</v>
      </c>
      <c r="D2310" t="inlineStr">
        <is>
          <t>VÄSTMANLANDS LÄN</t>
        </is>
      </c>
      <c r="E2310" t="inlineStr">
        <is>
          <t>SALA</t>
        </is>
      </c>
      <c r="F2310" t="inlineStr">
        <is>
          <t>Sveaskog</t>
        </is>
      </c>
      <c r="G2310" t="n">
        <v>2.6</v>
      </c>
      <c r="H2310" t="n">
        <v>0</v>
      </c>
      <c r="I2310" t="n">
        <v>0</v>
      </c>
      <c r="J2310" t="n">
        <v>0</v>
      </c>
      <c r="K2310" t="n">
        <v>0</v>
      </c>
      <c r="L2310" t="n">
        <v>0</v>
      </c>
      <c r="M2310" t="n">
        <v>0</v>
      </c>
      <c r="N2310" t="n">
        <v>0</v>
      </c>
      <c r="O2310" t="n">
        <v>0</v>
      </c>
      <c r="P2310" t="n">
        <v>0</v>
      </c>
      <c r="Q2310" t="n">
        <v>0</v>
      </c>
      <c r="R2310" s="2" t="inlineStr"/>
    </row>
    <row r="2311" ht="15" customHeight="1">
      <c r="A2311" t="inlineStr">
        <is>
          <t>A 27260-2022</t>
        </is>
      </c>
      <c r="B2311" s="1" t="n">
        <v>44741</v>
      </c>
      <c r="C2311" s="1" t="n">
        <v>45724</v>
      </c>
      <c r="D2311" t="inlineStr">
        <is>
          <t>VÄSTMANLANDS LÄN</t>
        </is>
      </c>
      <c r="E2311" t="inlineStr">
        <is>
          <t>KÖPING</t>
        </is>
      </c>
      <c r="F2311" t="inlineStr">
        <is>
          <t>Sveaskog</t>
        </is>
      </c>
      <c r="G2311" t="n">
        <v>5.7</v>
      </c>
      <c r="H2311" t="n">
        <v>0</v>
      </c>
      <c r="I2311" t="n">
        <v>0</v>
      </c>
      <c r="J2311" t="n">
        <v>0</v>
      </c>
      <c r="K2311" t="n">
        <v>0</v>
      </c>
      <c r="L2311" t="n">
        <v>0</v>
      </c>
      <c r="M2311" t="n">
        <v>0</v>
      </c>
      <c r="N2311" t="n">
        <v>0</v>
      </c>
      <c r="O2311" t="n">
        <v>0</v>
      </c>
      <c r="P2311" t="n">
        <v>0</v>
      </c>
      <c r="Q2311" t="n">
        <v>0</v>
      </c>
      <c r="R2311" s="2" t="inlineStr"/>
    </row>
    <row r="2312" ht="15" customHeight="1">
      <c r="A2312" t="inlineStr">
        <is>
          <t>A 27261-2022</t>
        </is>
      </c>
      <c r="B2312" s="1" t="n">
        <v>44741</v>
      </c>
      <c r="C2312" s="1" t="n">
        <v>45724</v>
      </c>
      <c r="D2312" t="inlineStr">
        <is>
          <t>VÄSTMANLANDS LÄN</t>
        </is>
      </c>
      <c r="E2312" t="inlineStr">
        <is>
          <t>KÖPING</t>
        </is>
      </c>
      <c r="F2312" t="inlineStr">
        <is>
          <t>Sveaskog</t>
        </is>
      </c>
      <c r="G2312" t="n">
        <v>3.5</v>
      </c>
      <c r="H2312" t="n">
        <v>0</v>
      </c>
      <c r="I2312" t="n">
        <v>0</v>
      </c>
      <c r="J2312" t="n">
        <v>0</v>
      </c>
      <c r="K2312" t="n">
        <v>0</v>
      </c>
      <c r="L2312" t="n">
        <v>0</v>
      </c>
      <c r="M2312" t="n">
        <v>0</v>
      </c>
      <c r="N2312" t="n">
        <v>0</v>
      </c>
      <c r="O2312" t="n">
        <v>0</v>
      </c>
      <c r="P2312" t="n">
        <v>0</v>
      </c>
      <c r="Q2312" t="n">
        <v>0</v>
      </c>
      <c r="R2312" s="2" t="inlineStr"/>
    </row>
    <row r="2313" ht="15" customHeight="1">
      <c r="A2313" t="inlineStr">
        <is>
          <t>A 27446-2022</t>
        </is>
      </c>
      <c r="B2313" s="1" t="n">
        <v>44742</v>
      </c>
      <c r="C2313" s="1" t="n">
        <v>45724</v>
      </c>
      <c r="D2313" t="inlineStr">
        <is>
          <t>VÄSTMANLANDS LÄN</t>
        </is>
      </c>
      <c r="E2313" t="inlineStr">
        <is>
          <t>SALA</t>
        </is>
      </c>
      <c r="G2313" t="n">
        <v>6.7</v>
      </c>
      <c r="H2313" t="n">
        <v>0</v>
      </c>
      <c r="I2313" t="n">
        <v>0</v>
      </c>
      <c r="J2313" t="n">
        <v>0</v>
      </c>
      <c r="K2313" t="n">
        <v>0</v>
      </c>
      <c r="L2313" t="n">
        <v>0</v>
      </c>
      <c r="M2313" t="n">
        <v>0</v>
      </c>
      <c r="N2313" t="n">
        <v>0</v>
      </c>
      <c r="O2313" t="n">
        <v>0</v>
      </c>
      <c r="P2313" t="n">
        <v>0</v>
      </c>
      <c r="Q2313" t="n">
        <v>0</v>
      </c>
      <c r="R2313" s="2" t="inlineStr"/>
    </row>
    <row r="2314" ht="15" customHeight="1">
      <c r="A2314" t="inlineStr">
        <is>
          <t>A 27381-2022</t>
        </is>
      </c>
      <c r="B2314" s="1" t="n">
        <v>44742</v>
      </c>
      <c r="C2314" s="1" t="n">
        <v>45724</v>
      </c>
      <c r="D2314" t="inlineStr">
        <is>
          <t>VÄSTMANLANDS LÄN</t>
        </is>
      </c>
      <c r="E2314" t="inlineStr">
        <is>
          <t>KÖPING</t>
        </is>
      </c>
      <c r="G2314" t="n">
        <v>1.8</v>
      </c>
      <c r="H2314" t="n">
        <v>0</v>
      </c>
      <c r="I2314" t="n">
        <v>0</v>
      </c>
      <c r="J2314" t="n">
        <v>0</v>
      </c>
      <c r="K2314" t="n">
        <v>0</v>
      </c>
      <c r="L2314" t="n">
        <v>0</v>
      </c>
      <c r="M2314" t="n">
        <v>0</v>
      </c>
      <c r="N2314" t="n">
        <v>0</v>
      </c>
      <c r="O2314" t="n">
        <v>0</v>
      </c>
      <c r="P2314" t="n">
        <v>0</v>
      </c>
      <c r="Q2314" t="n">
        <v>0</v>
      </c>
      <c r="R2314" s="2" t="inlineStr"/>
    </row>
    <row r="2315" ht="15" customHeight="1">
      <c r="A2315" t="inlineStr">
        <is>
          <t>A 27528-2022</t>
        </is>
      </c>
      <c r="B2315" s="1" t="n">
        <v>44742</v>
      </c>
      <c r="C2315" s="1" t="n">
        <v>45724</v>
      </c>
      <c r="D2315" t="inlineStr">
        <is>
          <t>VÄSTMANLANDS LÄN</t>
        </is>
      </c>
      <c r="E2315" t="inlineStr">
        <is>
          <t>SALA</t>
        </is>
      </c>
      <c r="G2315" t="n">
        <v>3.2</v>
      </c>
      <c r="H2315" t="n">
        <v>0</v>
      </c>
      <c r="I2315" t="n">
        <v>0</v>
      </c>
      <c r="J2315" t="n">
        <v>0</v>
      </c>
      <c r="K2315" t="n">
        <v>0</v>
      </c>
      <c r="L2315" t="n">
        <v>0</v>
      </c>
      <c r="M2315" t="n">
        <v>0</v>
      </c>
      <c r="N2315" t="n">
        <v>0</v>
      </c>
      <c r="O2315" t="n">
        <v>0</v>
      </c>
      <c r="P2315" t="n">
        <v>0</v>
      </c>
      <c r="Q2315" t="n">
        <v>0</v>
      </c>
      <c r="R2315" s="2" t="inlineStr"/>
    </row>
    <row r="2316" ht="15" customHeight="1">
      <c r="A2316" t="inlineStr">
        <is>
          <t>A 27486-2022</t>
        </is>
      </c>
      <c r="B2316" s="1" t="n">
        <v>44742</v>
      </c>
      <c r="C2316" s="1" t="n">
        <v>45724</v>
      </c>
      <c r="D2316" t="inlineStr">
        <is>
          <t>VÄSTMANLANDS LÄN</t>
        </is>
      </c>
      <c r="E2316" t="inlineStr">
        <is>
          <t>SALA</t>
        </is>
      </c>
      <c r="F2316" t="inlineStr">
        <is>
          <t>Sveaskog</t>
        </is>
      </c>
      <c r="G2316" t="n">
        <v>2</v>
      </c>
      <c r="H2316" t="n">
        <v>0</v>
      </c>
      <c r="I2316" t="n">
        <v>0</v>
      </c>
      <c r="J2316" t="n">
        <v>0</v>
      </c>
      <c r="K2316" t="n">
        <v>0</v>
      </c>
      <c r="L2316" t="n">
        <v>0</v>
      </c>
      <c r="M2316" t="n">
        <v>0</v>
      </c>
      <c r="N2316" t="n">
        <v>0</v>
      </c>
      <c r="O2316" t="n">
        <v>0</v>
      </c>
      <c r="P2316" t="n">
        <v>0</v>
      </c>
      <c r="Q2316" t="n">
        <v>0</v>
      </c>
      <c r="R2316" s="2" t="inlineStr"/>
    </row>
    <row r="2317" ht="15" customHeight="1">
      <c r="A2317" t="inlineStr">
        <is>
          <t>A 27702-2022</t>
        </is>
      </c>
      <c r="B2317" s="1" t="n">
        <v>44743</v>
      </c>
      <c r="C2317" s="1" t="n">
        <v>45724</v>
      </c>
      <c r="D2317" t="inlineStr">
        <is>
          <t>VÄSTMANLANDS LÄN</t>
        </is>
      </c>
      <c r="E2317" t="inlineStr">
        <is>
          <t>VÄSTERÅS</t>
        </is>
      </c>
      <c r="G2317" t="n">
        <v>1.3</v>
      </c>
      <c r="H2317" t="n">
        <v>0</v>
      </c>
      <c r="I2317" t="n">
        <v>0</v>
      </c>
      <c r="J2317" t="n">
        <v>0</v>
      </c>
      <c r="K2317" t="n">
        <v>0</v>
      </c>
      <c r="L2317" t="n">
        <v>0</v>
      </c>
      <c r="M2317" t="n">
        <v>0</v>
      </c>
      <c r="N2317" t="n">
        <v>0</v>
      </c>
      <c r="O2317" t="n">
        <v>0</v>
      </c>
      <c r="P2317" t="n">
        <v>0</v>
      </c>
      <c r="Q2317" t="n">
        <v>0</v>
      </c>
      <c r="R2317" s="2" t="inlineStr"/>
    </row>
    <row r="2318" ht="15" customHeight="1">
      <c r="A2318" t="inlineStr">
        <is>
          <t>A 27722-2022</t>
        </is>
      </c>
      <c r="B2318" s="1" t="n">
        <v>44743</v>
      </c>
      <c r="C2318" s="1" t="n">
        <v>45724</v>
      </c>
      <c r="D2318" t="inlineStr">
        <is>
          <t>VÄSTMANLANDS LÄN</t>
        </is>
      </c>
      <c r="E2318" t="inlineStr">
        <is>
          <t>VÄSTERÅS</t>
        </is>
      </c>
      <c r="G2318" t="n">
        <v>2.7</v>
      </c>
      <c r="H2318" t="n">
        <v>0</v>
      </c>
      <c r="I2318" t="n">
        <v>0</v>
      </c>
      <c r="J2318" t="n">
        <v>0</v>
      </c>
      <c r="K2318" t="n">
        <v>0</v>
      </c>
      <c r="L2318" t="n">
        <v>0</v>
      </c>
      <c r="M2318" t="n">
        <v>0</v>
      </c>
      <c r="N2318" t="n">
        <v>0</v>
      </c>
      <c r="O2318" t="n">
        <v>0</v>
      </c>
      <c r="P2318" t="n">
        <v>0</v>
      </c>
      <c r="Q2318" t="n">
        <v>0</v>
      </c>
      <c r="R2318" s="2" t="inlineStr"/>
    </row>
    <row r="2319" ht="15" customHeight="1">
      <c r="A2319" t="inlineStr">
        <is>
          <t>A 27749-2022</t>
        </is>
      </c>
      <c r="B2319" s="1" t="n">
        <v>44743</v>
      </c>
      <c r="C2319" s="1" t="n">
        <v>45724</v>
      </c>
      <c r="D2319" t="inlineStr">
        <is>
          <t>VÄSTMANLANDS LÄN</t>
        </is>
      </c>
      <c r="E2319" t="inlineStr">
        <is>
          <t>KÖPING</t>
        </is>
      </c>
      <c r="F2319" t="inlineStr">
        <is>
          <t>Sveaskog</t>
        </is>
      </c>
      <c r="G2319" t="n">
        <v>2.2</v>
      </c>
      <c r="H2319" t="n">
        <v>0</v>
      </c>
      <c r="I2319" t="n">
        <v>0</v>
      </c>
      <c r="J2319" t="n">
        <v>0</v>
      </c>
      <c r="K2319" t="n">
        <v>0</v>
      </c>
      <c r="L2319" t="n">
        <v>0</v>
      </c>
      <c r="M2319" t="n">
        <v>0</v>
      </c>
      <c r="N2319" t="n">
        <v>0</v>
      </c>
      <c r="O2319" t="n">
        <v>0</v>
      </c>
      <c r="P2319" t="n">
        <v>0</v>
      </c>
      <c r="Q2319" t="n">
        <v>0</v>
      </c>
      <c r="R2319" s="2" t="inlineStr"/>
    </row>
    <row r="2320" ht="15" customHeight="1">
      <c r="A2320" t="inlineStr">
        <is>
          <t>A 27986-2022</t>
        </is>
      </c>
      <c r="B2320" s="1" t="n">
        <v>44745</v>
      </c>
      <c r="C2320" s="1" t="n">
        <v>45724</v>
      </c>
      <c r="D2320" t="inlineStr">
        <is>
          <t>VÄSTMANLANDS LÄN</t>
        </is>
      </c>
      <c r="E2320" t="inlineStr">
        <is>
          <t>ARBOGA</t>
        </is>
      </c>
      <c r="G2320" t="n">
        <v>1.7</v>
      </c>
      <c r="H2320" t="n">
        <v>0</v>
      </c>
      <c r="I2320" t="n">
        <v>0</v>
      </c>
      <c r="J2320" t="n">
        <v>0</v>
      </c>
      <c r="K2320" t="n">
        <v>0</v>
      </c>
      <c r="L2320" t="n">
        <v>0</v>
      </c>
      <c r="M2320" t="n">
        <v>0</v>
      </c>
      <c r="N2320" t="n">
        <v>0</v>
      </c>
      <c r="O2320" t="n">
        <v>0</v>
      </c>
      <c r="P2320" t="n">
        <v>0</v>
      </c>
      <c r="Q2320" t="n">
        <v>0</v>
      </c>
      <c r="R2320" s="2" t="inlineStr"/>
    </row>
    <row r="2321" ht="15" customHeight="1">
      <c r="A2321" t="inlineStr">
        <is>
          <t>A 28069-2022</t>
        </is>
      </c>
      <c r="B2321" s="1" t="n">
        <v>44746</v>
      </c>
      <c r="C2321" s="1" t="n">
        <v>45724</v>
      </c>
      <c r="D2321" t="inlineStr">
        <is>
          <t>VÄSTMANLANDS LÄN</t>
        </is>
      </c>
      <c r="E2321" t="inlineStr">
        <is>
          <t>SALA</t>
        </is>
      </c>
      <c r="G2321" t="n">
        <v>2.8</v>
      </c>
      <c r="H2321" t="n">
        <v>0</v>
      </c>
      <c r="I2321" t="n">
        <v>0</v>
      </c>
      <c r="J2321" t="n">
        <v>0</v>
      </c>
      <c r="K2321" t="n">
        <v>0</v>
      </c>
      <c r="L2321" t="n">
        <v>0</v>
      </c>
      <c r="M2321" t="n">
        <v>0</v>
      </c>
      <c r="N2321" t="n">
        <v>0</v>
      </c>
      <c r="O2321" t="n">
        <v>0</v>
      </c>
      <c r="P2321" t="n">
        <v>0</v>
      </c>
      <c r="Q2321" t="n">
        <v>0</v>
      </c>
      <c r="R2321" s="2" t="inlineStr"/>
    </row>
    <row r="2322" ht="15" customHeight="1">
      <c r="A2322" t="inlineStr">
        <is>
          <t>A 28215-2022</t>
        </is>
      </c>
      <c r="B2322" s="1" t="n">
        <v>44746</v>
      </c>
      <c r="C2322" s="1" t="n">
        <v>45724</v>
      </c>
      <c r="D2322" t="inlineStr">
        <is>
          <t>VÄSTMANLANDS LÄN</t>
        </is>
      </c>
      <c r="E2322" t="inlineStr">
        <is>
          <t>SALA</t>
        </is>
      </c>
      <c r="F2322" t="inlineStr">
        <is>
          <t>Kyrkan</t>
        </is>
      </c>
      <c r="G2322" t="n">
        <v>1.9</v>
      </c>
      <c r="H2322" t="n">
        <v>0</v>
      </c>
      <c r="I2322" t="n">
        <v>0</v>
      </c>
      <c r="J2322" t="n">
        <v>0</v>
      </c>
      <c r="K2322" t="n">
        <v>0</v>
      </c>
      <c r="L2322" t="n">
        <v>0</v>
      </c>
      <c r="M2322" t="n">
        <v>0</v>
      </c>
      <c r="N2322" t="n">
        <v>0</v>
      </c>
      <c r="O2322" t="n">
        <v>0</v>
      </c>
      <c r="P2322" t="n">
        <v>0</v>
      </c>
      <c r="Q2322" t="n">
        <v>0</v>
      </c>
      <c r="R2322" s="2" t="inlineStr"/>
    </row>
    <row r="2323" ht="15" customHeight="1">
      <c r="A2323" t="inlineStr">
        <is>
          <t>A 28249-2022</t>
        </is>
      </c>
      <c r="B2323" s="1" t="n">
        <v>44746</v>
      </c>
      <c r="C2323" s="1" t="n">
        <v>45724</v>
      </c>
      <c r="D2323" t="inlineStr">
        <is>
          <t>VÄSTMANLANDS LÄN</t>
        </is>
      </c>
      <c r="E2323" t="inlineStr">
        <is>
          <t>FAGERSTA</t>
        </is>
      </c>
      <c r="F2323" t="inlineStr">
        <is>
          <t>Kommuner</t>
        </is>
      </c>
      <c r="G2323" t="n">
        <v>2.9</v>
      </c>
      <c r="H2323" t="n">
        <v>0</v>
      </c>
      <c r="I2323" t="n">
        <v>0</v>
      </c>
      <c r="J2323" t="n">
        <v>0</v>
      </c>
      <c r="K2323" t="n">
        <v>0</v>
      </c>
      <c r="L2323" t="n">
        <v>0</v>
      </c>
      <c r="M2323" t="n">
        <v>0</v>
      </c>
      <c r="N2323" t="n">
        <v>0</v>
      </c>
      <c r="O2323" t="n">
        <v>0</v>
      </c>
      <c r="P2323" t="n">
        <v>0</v>
      </c>
      <c r="Q2323" t="n">
        <v>0</v>
      </c>
      <c r="R2323" s="2" t="inlineStr"/>
    </row>
    <row r="2324" ht="15" customHeight="1">
      <c r="A2324" t="inlineStr">
        <is>
          <t>A 28402-2022</t>
        </is>
      </c>
      <c r="B2324" s="1" t="n">
        <v>44747</v>
      </c>
      <c r="C2324" s="1" t="n">
        <v>45724</v>
      </c>
      <c r="D2324" t="inlineStr">
        <is>
          <t>VÄSTMANLANDS LÄN</t>
        </is>
      </c>
      <c r="E2324" t="inlineStr">
        <is>
          <t>SALA</t>
        </is>
      </c>
      <c r="G2324" t="n">
        <v>0.6</v>
      </c>
      <c r="H2324" t="n">
        <v>0</v>
      </c>
      <c r="I2324" t="n">
        <v>0</v>
      </c>
      <c r="J2324" t="n">
        <v>0</v>
      </c>
      <c r="K2324" t="n">
        <v>0</v>
      </c>
      <c r="L2324" t="n">
        <v>0</v>
      </c>
      <c r="M2324" t="n">
        <v>0</v>
      </c>
      <c r="N2324" t="n">
        <v>0</v>
      </c>
      <c r="O2324" t="n">
        <v>0</v>
      </c>
      <c r="P2324" t="n">
        <v>0</v>
      </c>
      <c r="Q2324" t="n">
        <v>0</v>
      </c>
      <c r="R2324" s="2" t="inlineStr"/>
    </row>
    <row r="2325" ht="15" customHeight="1">
      <c r="A2325" t="inlineStr">
        <is>
          <t>A 28863-2022</t>
        </is>
      </c>
      <c r="B2325" s="1" t="n">
        <v>44749</v>
      </c>
      <c r="C2325" s="1" t="n">
        <v>45724</v>
      </c>
      <c r="D2325" t="inlineStr">
        <is>
          <t>VÄSTMANLANDS LÄN</t>
        </is>
      </c>
      <c r="E2325" t="inlineStr">
        <is>
          <t>SALA</t>
        </is>
      </c>
      <c r="G2325" t="n">
        <v>1.6</v>
      </c>
      <c r="H2325" t="n">
        <v>0</v>
      </c>
      <c r="I2325" t="n">
        <v>0</v>
      </c>
      <c r="J2325" t="n">
        <v>0</v>
      </c>
      <c r="K2325" t="n">
        <v>0</v>
      </c>
      <c r="L2325" t="n">
        <v>0</v>
      </c>
      <c r="M2325" t="n">
        <v>0</v>
      </c>
      <c r="N2325" t="n">
        <v>0</v>
      </c>
      <c r="O2325" t="n">
        <v>0</v>
      </c>
      <c r="P2325" t="n">
        <v>0</v>
      </c>
      <c r="Q2325" t="n">
        <v>0</v>
      </c>
      <c r="R2325" s="2" t="inlineStr"/>
    </row>
    <row r="2326" ht="15" customHeight="1">
      <c r="A2326" t="inlineStr">
        <is>
          <t>A 28875-2022</t>
        </is>
      </c>
      <c r="B2326" s="1" t="n">
        <v>44749</v>
      </c>
      <c r="C2326" s="1" t="n">
        <v>45724</v>
      </c>
      <c r="D2326" t="inlineStr">
        <is>
          <t>VÄSTMANLANDS LÄN</t>
        </is>
      </c>
      <c r="E2326" t="inlineStr">
        <is>
          <t>SALA</t>
        </is>
      </c>
      <c r="G2326" t="n">
        <v>1.6</v>
      </c>
      <c r="H2326" t="n">
        <v>0</v>
      </c>
      <c r="I2326" t="n">
        <v>0</v>
      </c>
      <c r="J2326" t="n">
        <v>0</v>
      </c>
      <c r="K2326" t="n">
        <v>0</v>
      </c>
      <c r="L2326" t="n">
        <v>0</v>
      </c>
      <c r="M2326" t="n">
        <v>0</v>
      </c>
      <c r="N2326" t="n">
        <v>0</v>
      </c>
      <c r="O2326" t="n">
        <v>0</v>
      </c>
      <c r="P2326" t="n">
        <v>0</v>
      </c>
      <c r="Q2326" t="n">
        <v>0</v>
      </c>
      <c r="R2326" s="2" t="inlineStr"/>
    </row>
    <row r="2327" ht="15" customHeight="1">
      <c r="A2327" t="inlineStr">
        <is>
          <t>A 28999-2022</t>
        </is>
      </c>
      <c r="B2327" s="1" t="n">
        <v>44749</v>
      </c>
      <c r="C2327" s="1" t="n">
        <v>45724</v>
      </c>
      <c r="D2327" t="inlineStr">
        <is>
          <t>VÄSTMANLANDS LÄN</t>
        </is>
      </c>
      <c r="E2327" t="inlineStr">
        <is>
          <t>SALA</t>
        </is>
      </c>
      <c r="G2327" t="n">
        <v>5.7</v>
      </c>
      <c r="H2327" t="n">
        <v>0</v>
      </c>
      <c r="I2327" t="n">
        <v>0</v>
      </c>
      <c r="J2327" t="n">
        <v>0</v>
      </c>
      <c r="K2327" t="n">
        <v>0</v>
      </c>
      <c r="L2327" t="n">
        <v>0</v>
      </c>
      <c r="M2327" t="n">
        <v>0</v>
      </c>
      <c r="N2327" t="n">
        <v>0</v>
      </c>
      <c r="O2327" t="n">
        <v>0</v>
      </c>
      <c r="P2327" t="n">
        <v>0</v>
      </c>
      <c r="Q2327" t="n">
        <v>0</v>
      </c>
      <c r="R2327" s="2" t="inlineStr"/>
    </row>
    <row r="2328" ht="15" customHeight="1">
      <c r="A2328" t="inlineStr">
        <is>
          <t>A 28827-2022</t>
        </is>
      </c>
      <c r="B2328" s="1" t="n">
        <v>44749</v>
      </c>
      <c r="C2328" s="1" t="n">
        <v>45724</v>
      </c>
      <c r="D2328" t="inlineStr">
        <is>
          <t>VÄSTMANLANDS LÄN</t>
        </is>
      </c>
      <c r="E2328" t="inlineStr">
        <is>
          <t>SALA</t>
        </is>
      </c>
      <c r="F2328" t="inlineStr">
        <is>
          <t>Kommuner</t>
        </is>
      </c>
      <c r="G2328" t="n">
        <v>11.9</v>
      </c>
      <c r="H2328" t="n">
        <v>0</v>
      </c>
      <c r="I2328" t="n">
        <v>0</v>
      </c>
      <c r="J2328" t="n">
        <v>0</v>
      </c>
      <c r="K2328" t="n">
        <v>0</v>
      </c>
      <c r="L2328" t="n">
        <v>0</v>
      </c>
      <c r="M2328" t="n">
        <v>0</v>
      </c>
      <c r="N2328" t="n">
        <v>0</v>
      </c>
      <c r="O2328" t="n">
        <v>0</v>
      </c>
      <c r="P2328" t="n">
        <v>0</v>
      </c>
      <c r="Q2328" t="n">
        <v>0</v>
      </c>
      <c r="R2328" s="2" t="inlineStr"/>
    </row>
    <row r="2329" ht="15" customHeight="1">
      <c r="A2329" t="inlineStr">
        <is>
          <t>A 28873-2022</t>
        </is>
      </c>
      <c r="B2329" s="1" t="n">
        <v>44749</v>
      </c>
      <c r="C2329" s="1" t="n">
        <v>45724</v>
      </c>
      <c r="D2329" t="inlineStr">
        <is>
          <t>VÄSTMANLANDS LÄN</t>
        </is>
      </c>
      <c r="E2329" t="inlineStr">
        <is>
          <t>SALA</t>
        </is>
      </c>
      <c r="G2329" t="n">
        <v>2.7</v>
      </c>
      <c r="H2329" t="n">
        <v>0</v>
      </c>
      <c r="I2329" t="n">
        <v>0</v>
      </c>
      <c r="J2329" t="n">
        <v>0</v>
      </c>
      <c r="K2329" t="n">
        <v>0</v>
      </c>
      <c r="L2329" t="n">
        <v>0</v>
      </c>
      <c r="M2329" t="n">
        <v>0</v>
      </c>
      <c r="N2329" t="n">
        <v>0</v>
      </c>
      <c r="O2329" t="n">
        <v>0</v>
      </c>
      <c r="P2329" t="n">
        <v>0</v>
      </c>
      <c r="Q2329" t="n">
        <v>0</v>
      </c>
      <c r="R2329" s="2" t="inlineStr"/>
    </row>
    <row r="2330" ht="15" customHeight="1">
      <c r="A2330" t="inlineStr">
        <is>
          <t>A 29002-2022</t>
        </is>
      </c>
      <c r="B2330" s="1" t="n">
        <v>44749</v>
      </c>
      <c r="C2330" s="1" t="n">
        <v>45724</v>
      </c>
      <c r="D2330" t="inlineStr">
        <is>
          <t>VÄSTMANLANDS LÄN</t>
        </is>
      </c>
      <c r="E2330" t="inlineStr">
        <is>
          <t>SALA</t>
        </is>
      </c>
      <c r="G2330" t="n">
        <v>5.4</v>
      </c>
      <c r="H2330" t="n">
        <v>0</v>
      </c>
      <c r="I2330" t="n">
        <v>0</v>
      </c>
      <c r="J2330" t="n">
        <v>0</v>
      </c>
      <c r="K2330" t="n">
        <v>0</v>
      </c>
      <c r="L2330" t="n">
        <v>0</v>
      </c>
      <c r="M2330" t="n">
        <v>0</v>
      </c>
      <c r="N2330" t="n">
        <v>0</v>
      </c>
      <c r="O2330" t="n">
        <v>0</v>
      </c>
      <c r="P2330" t="n">
        <v>0</v>
      </c>
      <c r="Q2330" t="n">
        <v>0</v>
      </c>
      <c r="R2330" s="2" t="inlineStr"/>
    </row>
    <row r="2331" ht="15" customHeight="1">
      <c r="A2331" t="inlineStr">
        <is>
          <t>A 28868-2022</t>
        </is>
      </c>
      <c r="B2331" s="1" t="n">
        <v>44749</v>
      </c>
      <c r="C2331" s="1" t="n">
        <v>45724</v>
      </c>
      <c r="D2331" t="inlineStr">
        <is>
          <t>VÄSTMANLANDS LÄN</t>
        </is>
      </c>
      <c r="E2331" t="inlineStr">
        <is>
          <t>SALA</t>
        </is>
      </c>
      <c r="G2331" t="n">
        <v>1.1</v>
      </c>
      <c r="H2331" t="n">
        <v>0</v>
      </c>
      <c r="I2331" t="n">
        <v>0</v>
      </c>
      <c r="J2331" t="n">
        <v>0</v>
      </c>
      <c r="K2331" t="n">
        <v>0</v>
      </c>
      <c r="L2331" t="n">
        <v>0</v>
      </c>
      <c r="M2331" t="n">
        <v>0</v>
      </c>
      <c r="N2331" t="n">
        <v>0</v>
      </c>
      <c r="O2331" t="n">
        <v>0</v>
      </c>
      <c r="P2331" t="n">
        <v>0</v>
      </c>
      <c r="Q2331" t="n">
        <v>0</v>
      </c>
      <c r="R2331" s="2" t="inlineStr"/>
    </row>
    <row r="2332" ht="15" customHeight="1">
      <c r="A2332" t="inlineStr">
        <is>
          <t>A 28874-2022</t>
        </is>
      </c>
      <c r="B2332" s="1" t="n">
        <v>44749</v>
      </c>
      <c r="C2332" s="1" t="n">
        <v>45724</v>
      </c>
      <c r="D2332" t="inlineStr">
        <is>
          <t>VÄSTMANLANDS LÄN</t>
        </is>
      </c>
      <c r="E2332" t="inlineStr">
        <is>
          <t>SALA</t>
        </is>
      </c>
      <c r="G2332" t="n">
        <v>1.2</v>
      </c>
      <c r="H2332" t="n">
        <v>0</v>
      </c>
      <c r="I2332" t="n">
        <v>0</v>
      </c>
      <c r="J2332" t="n">
        <v>0</v>
      </c>
      <c r="K2332" t="n">
        <v>0</v>
      </c>
      <c r="L2332" t="n">
        <v>0</v>
      </c>
      <c r="M2332" t="n">
        <v>0</v>
      </c>
      <c r="N2332" t="n">
        <v>0</v>
      </c>
      <c r="O2332" t="n">
        <v>0</v>
      </c>
      <c r="P2332" t="n">
        <v>0</v>
      </c>
      <c r="Q2332" t="n">
        <v>0</v>
      </c>
      <c r="R2332" s="2" t="inlineStr"/>
    </row>
    <row r="2333" ht="15" customHeight="1">
      <c r="A2333" t="inlineStr">
        <is>
          <t>A 28879-2022</t>
        </is>
      </c>
      <c r="B2333" s="1" t="n">
        <v>44749</v>
      </c>
      <c r="C2333" s="1" t="n">
        <v>45724</v>
      </c>
      <c r="D2333" t="inlineStr">
        <is>
          <t>VÄSTMANLANDS LÄN</t>
        </is>
      </c>
      <c r="E2333" t="inlineStr">
        <is>
          <t>SALA</t>
        </is>
      </c>
      <c r="G2333" t="n">
        <v>0.7</v>
      </c>
      <c r="H2333" t="n">
        <v>0</v>
      </c>
      <c r="I2333" t="n">
        <v>0</v>
      </c>
      <c r="J2333" t="n">
        <v>0</v>
      </c>
      <c r="K2333" t="n">
        <v>0</v>
      </c>
      <c r="L2333" t="n">
        <v>0</v>
      </c>
      <c r="M2333" t="n">
        <v>0</v>
      </c>
      <c r="N2333" t="n">
        <v>0</v>
      </c>
      <c r="O2333" t="n">
        <v>0</v>
      </c>
      <c r="P2333" t="n">
        <v>0</v>
      </c>
      <c r="Q2333" t="n">
        <v>0</v>
      </c>
      <c r="R2333" s="2" t="inlineStr"/>
    </row>
    <row r="2334" ht="15" customHeight="1">
      <c r="A2334" t="inlineStr">
        <is>
          <t>A 29059-2022</t>
        </is>
      </c>
      <c r="B2334" s="1" t="n">
        <v>44750</v>
      </c>
      <c r="C2334" s="1" t="n">
        <v>45724</v>
      </c>
      <c r="D2334" t="inlineStr">
        <is>
          <t>VÄSTMANLANDS LÄN</t>
        </is>
      </c>
      <c r="E2334" t="inlineStr">
        <is>
          <t>KUNGSÖR</t>
        </is>
      </c>
      <c r="G2334" t="n">
        <v>2.3</v>
      </c>
      <c r="H2334" t="n">
        <v>0</v>
      </c>
      <c r="I2334" t="n">
        <v>0</v>
      </c>
      <c r="J2334" t="n">
        <v>0</v>
      </c>
      <c r="K2334" t="n">
        <v>0</v>
      </c>
      <c r="L2334" t="n">
        <v>0</v>
      </c>
      <c r="M2334" t="n">
        <v>0</v>
      </c>
      <c r="N2334" t="n">
        <v>0</v>
      </c>
      <c r="O2334" t="n">
        <v>0</v>
      </c>
      <c r="P2334" t="n">
        <v>0</v>
      </c>
      <c r="Q2334" t="n">
        <v>0</v>
      </c>
      <c r="R2334" s="2" t="inlineStr"/>
    </row>
    <row r="2335" ht="15" customHeight="1">
      <c r="A2335" t="inlineStr">
        <is>
          <t>A 29055-2022</t>
        </is>
      </c>
      <c r="B2335" s="1" t="n">
        <v>44750</v>
      </c>
      <c r="C2335" s="1" t="n">
        <v>45724</v>
      </c>
      <c r="D2335" t="inlineStr">
        <is>
          <t>VÄSTMANLANDS LÄN</t>
        </is>
      </c>
      <c r="E2335" t="inlineStr">
        <is>
          <t>KUNGSÖR</t>
        </is>
      </c>
      <c r="G2335" t="n">
        <v>2.6</v>
      </c>
      <c r="H2335" t="n">
        <v>0</v>
      </c>
      <c r="I2335" t="n">
        <v>0</v>
      </c>
      <c r="J2335" t="n">
        <v>0</v>
      </c>
      <c r="K2335" t="n">
        <v>0</v>
      </c>
      <c r="L2335" t="n">
        <v>0</v>
      </c>
      <c r="M2335" t="n">
        <v>0</v>
      </c>
      <c r="N2335" t="n">
        <v>0</v>
      </c>
      <c r="O2335" t="n">
        <v>0</v>
      </c>
      <c r="P2335" t="n">
        <v>0</v>
      </c>
      <c r="Q2335" t="n">
        <v>0</v>
      </c>
      <c r="R2335" s="2" t="inlineStr"/>
    </row>
    <row r="2336" ht="15" customHeight="1">
      <c r="A2336" t="inlineStr">
        <is>
          <t>A 29235-2022</t>
        </is>
      </c>
      <c r="B2336" s="1" t="n">
        <v>44750</v>
      </c>
      <c r="C2336" s="1" t="n">
        <v>45724</v>
      </c>
      <c r="D2336" t="inlineStr">
        <is>
          <t>VÄSTMANLANDS LÄN</t>
        </is>
      </c>
      <c r="E2336" t="inlineStr">
        <is>
          <t>SALA</t>
        </is>
      </c>
      <c r="G2336" t="n">
        <v>0.6</v>
      </c>
      <c r="H2336" t="n">
        <v>0</v>
      </c>
      <c r="I2336" t="n">
        <v>0</v>
      </c>
      <c r="J2336" t="n">
        <v>0</v>
      </c>
      <c r="K2336" t="n">
        <v>0</v>
      </c>
      <c r="L2336" t="n">
        <v>0</v>
      </c>
      <c r="M2336" t="n">
        <v>0</v>
      </c>
      <c r="N2336" t="n">
        <v>0</v>
      </c>
      <c r="O2336" t="n">
        <v>0</v>
      </c>
      <c r="P2336" t="n">
        <v>0</v>
      </c>
      <c r="Q2336" t="n">
        <v>0</v>
      </c>
      <c r="R2336" s="2" t="inlineStr"/>
    </row>
    <row r="2337" ht="15" customHeight="1">
      <c r="A2337" t="inlineStr">
        <is>
          <t>A 29228-2022</t>
        </is>
      </c>
      <c r="B2337" s="1" t="n">
        <v>44750</v>
      </c>
      <c r="C2337" s="1" t="n">
        <v>45724</v>
      </c>
      <c r="D2337" t="inlineStr">
        <is>
          <t>VÄSTMANLANDS LÄN</t>
        </is>
      </c>
      <c r="E2337" t="inlineStr">
        <is>
          <t>SALA</t>
        </is>
      </c>
      <c r="G2337" t="n">
        <v>0.5</v>
      </c>
      <c r="H2337" t="n">
        <v>0</v>
      </c>
      <c r="I2337" t="n">
        <v>0</v>
      </c>
      <c r="J2337" t="n">
        <v>0</v>
      </c>
      <c r="K2337" t="n">
        <v>0</v>
      </c>
      <c r="L2337" t="n">
        <v>0</v>
      </c>
      <c r="M2337" t="n">
        <v>0</v>
      </c>
      <c r="N2337" t="n">
        <v>0</v>
      </c>
      <c r="O2337" t="n">
        <v>0</v>
      </c>
      <c r="P2337" t="n">
        <v>0</v>
      </c>
      <c r="Q2337" t="n">
        <v>0</v>
      </c>
      <c r="R2337" s="2" t="inlineStr"/>
    </row>
    <row r="2338" ht="15" customHeight="1">
      <c r="A2338" t="inlineStr">
        <is>
          <t>A 29233-2022</t>
        </is>
      </c>
      <c r="B2338" s="1" t="n">
        <v>44750</v>
      </c>
      <c r="C2338" s="1" t="n">
        <v>45724</v>
      </c>
      <c r="D2338" t="inlineStr">
        <is>
          <t>VÄSTMANLANDS LÄN</t>
        </is>
      </c>
      <c r="E2338" t="inlineStr">
        <is>
          <t>SALA</t>
        </is>
      </c>
      <c r="G2338" t="n">
        <v>2.4</v>
      </c>
      <c r="H2338" t="n">
        <v>0</v>
      </c>
      <c r="I2338" t="n">
        <v>0</v>
      </c>
      <c r="J2338" t="n">
        <v>0</v>
      </c>
      <c r="K2338" t="n">
        <v>0</v>
      </c>
      <c r="L2338" t="n">
        <v>0</v>
      </c>
      <c r="M2338" t="n">
        <v>0</v>
      </c>
      <c r="N2338" t="n">
        <v>0</v>
      </c>
      <c r="O2338" t="n">
        <v>0</v>
      </c>
      <c r="P2338" t="n">
        <v>0</v>
      </c>
      <c r="Q2338" t="n">
        <v>0</v>
      </c>
      <c r="R2338" s="2" t="inlineStr"/>
    </row>
    <row r="2339" ht="15" customHeight="1">
      <c r="A2339" t="inlineStr">
        <is>
          <t>A 29248-2022</t>
        </is>
      </c>
      <c r="B2339" s="1" t="n">
        <v>44750</v>
      </c>
      <c r="C2339" s="1" t="n">
        <v>45724</v>
      </c>
      <c r="D2339" t="inlineStr">
        <is>
          <t>VÄSTMANLANDS LÄN</t>
        </is>
      </c>
      <c r="E2339" t="inlineStr">
        <is>
          <t>SALA</t>
        </is>
      </c>
      <c r="G2339" t="n">
        <v>1.6</v>
      </c>
      <c r="H2339" t="n">
        <v>0</v>
      </c>
      <c r="I2339" t="n">
        <v>0</v>
      </c>
      <c r="J2339" t="n">
        <v>0</v>
      </c>
      <c r="K2339" t="n">
        <v>0</v>
      </c>
      <c r="L2339" t="n">
        <v>0</v>
      </c>
      <c r="M2339" t="n">
        <v>0</v>
      </c>
      <c r="N2339" t="n">
        <v>0</v>
      </c>
      <c r="O2339" t="n">
        <v>0</v>
      </c>
      <c r="P2339" t="n">
        <v>0</v>
      </c>
      <c r="Q2339" t="n">
        <v>0</v>
      </c>
      <c r="R2339" s="2" t="inlineStr"/>
    </row>
    <row r="2340" ht="15" customHeight="1">
      <c r="A2340" t="inlineStr">
        <is>
          <t>A 29230-2022</t>
        </is>
      </c>
      <c r="B2340" s="1" t="n">
        <v>44750</v>
      </c>
      <c r="C2340" s="1" t="n">
        <v>45724</v>
      </c>
      <c r="D2340" t="inlineStr">
        <is>
          <t>VÄSTMANLANDS LÄN</t>
        </is>
      </c>
      <c r="E2340" t="inlineStr">
        <is>
          <t>SALA</t>
        </is>
      </c>
      <c r="G2340" t="n">
        <v>1.1</v>
      </c>
      <c r="H2340" t="n">
        <v>0</v>
      </c>
      <c r="I2340" t="n">
        <v>0</v>
      </c>
      <c r="J2340" t="n">
        <v>0</v>
      </c>
      <c r="K2340" t="n">
        <v>0</v>
      </c>
      <c r="L2340" t="n">
        <v>0</v>
      </c>
      <c r="M2340" t="n">
        <v>0</v>
      </c>
      <c r="N2340" t="n">
        <v>0</v>
      </c>
      <c r="O2340" t="n">
        <v>0</v>
      </c>
      <c r="P2340" t="n">
        <v>0</v>
      </c>
      <c r="Q2340" t="n">
        <v>0</v>
      </c>
      <c r="R2340" s="2" t="inlineStr"/>
    </row>
    <row r="2341" ht="15" customHeight="1">
      <c r="A2341" t="inlineStr">
        <is>
          <t>A 29133-2022</t>
        </is>
      </c>
      <c r="B2341" s="1" t="n">
        <v>44750</v>
      </c>
      <c r="C2341" s="1" t="n">
        <v>45724</v>
      </c>
      <c r="D2341" t="inlineStr">
        <is>
          <t>VÄSTMANLANDS LÄN</t>
        </is>
      </c>
      <c r="E2341" t="inlineStr">
        <is>
          <t>SALA</t>
        </is>
      </c>
      <c r="G2341" t="n">
        <v>1</v>
      </c>
      <c r="H2341" t="n">
        <v>0</v>
      </c>
      <c r="I2341" t="n">
        <v>0</v>
      </c>
      <c r="J2341" t="n">
        <v>0</v>
      </c>
      <c r="K2341" t="n">
        <v>0</v>
      </c>
      <c r="L2341" t="n">
        <v>0</v>
      </c>
      <c r="M2341" t="n">
        <v>0</v>
      </c>
      <c r="N2341" t="n">
        <v>0</v>
      </c>
      <c r="O2341" t="n">
        <v>0</v>
      </c>
      <c r="P2341" t="n">
        <v>0</v>
      </c>
      <c r="Q2341" t="n">
        <v>0</v>
      </c>
      <c r="R2341" s="2" t="inlineStr"/>
    </row>
    <row r="2342" ht="15" customHeight="1">
      <c r="A2342" t="inlineStr">
        <is>
          <t>A 29213-2022</t>
        </is>
      </c>
      <c r="B2342" s="1" t="n">
        <v>44750</v>
      </c>
      <c r="C2342" s="1" t="n">
        <v>45724</v>
      </c>
      <c r="D2342" t="inlineStr">
        <is>
          <t>VÄSTMANLANDS LÄN</t>
        </is>
      </c>
      <c r="E2342" t="inlineStr">
        <is>
          <t>SALA</t>
        </is>
      </c>
      <c r="G2342" t="n">
        <v>1</v>
      </c>
      <c r="H2342" t="n">
        <v>0</v>
      </c>
      <c r="I2342" t="n">
        <v>0</v>
      </c>
      <c r="J2342" t="n">
        <v>0</v>
      </c>
      <c r="K2342" t="n">
        <v>0</v>
      </c>
      <c r="L2342" t="n">
        <v>0</v>
      </c>
      <c r="M2342" t="n">
        <v>0</v>
      </c>
      <c r="N2342" t="n">
        <v>0</v>
      </c>
      <c r="O2342" t="n">
        <v>0</v>
      </c>
      <c r="P2342" t="n">
        <v>0</v>
      </c>
      <c r="Q2342" t="n">
        <v>0</v>
      </c>
      <c r="R2342" s="2" t="inlineStr"/>
    </row>
    <row r="2343" ht="15" customHeight="1">
      <c r="A2343" t="inlineStr">
        <is>
          <t>A 29317-2022</t>
        </is>
      </c>
      <c r="B2343" s="1" t="n">
        <v>44751</v>
      </c>
      <c r="C2343" s="1" t="n">
        <v>45724</v>
      </c>
      <c r="D2343" t="inlineStr">
        <is>
          <t>VÄSTMANLANDS LÄN</t>
        </is>
      </c>
      <c r="E2343" t="inlineStr">
        <is>
          <t>KÖPING</t>
        </is>
      </c>
      <c r="G2343" t="n">
        <v>2.1</v>
      </c>
      <c r="H2343" t="n">
        <v>0</v>
      </c>
      <c r="I2343" t="n">
        <v>0</v>
      </c>
      <c r="J2343" t="n">
        <v>0</v>
      </c>
      <c r="K2343" t="n">
        <v>0</v>
      </c>
      <c r="L2343" t="n">
        <v>0</v>
      </c>
      <c r="M2343" t="n">
        <v>0</v>
      </c>
      <c r="N2343" t="n">
        <v>0</v>
      </c>
      <c r="O2343" t="n">
        <v>0</v>
      </c>
      <c r="P2343" t="n">
        <v>0</v>
      </c>
      <c r="Q2343" t="n">
        <v>0</v>
      </c>
      <c r="R2343" s="2" t="inlineStr"/>
    </row>
    <row r="2344" ht="15" customHeight="1">
      <c r="A2344" t="inlineStr">
        <is>
          <t>A 29448-2022</t>
        </is>
      </c>
      <c r="B2344" s="1" t="n">
        <v>44753</v>
      </c>
      <c r="C2344" s="1" t="n">
        <v>45724</v>
      </c>
      <c r="D2344" t="inlineStr">
        <is>
          <t>VÄSTMANLANDS LÄN</t>
        </is>
      </c>
      <c r="E2344" t="inlineStr">
        <is>
          <t>KÖPING</t>
        </is>
      </c>
      <c r="G2344" t="n">
        <v>3.2</v>
      </c>
      <c r="H2344" t="n">
        <v>0</v>
      </c>
      <c r="I2344" t="n">
        <v>0</v>
      </c>
      <c r="J2344" t="n">
        <v>0</v>
      </c>
      <c r="K2344" t="n">
        <v>0</v>
      </c>
      <c r="L2344" t="n">
        <v>0</v>
      </c>
      <c r="M2344" t="n">
        <v>0</v>
      </c>
      <c r="N2344" t="n">
        <v>0</v>
      </c>
      <c r="O2344" t="n">
        <v>0</v>
      </c>
      <c r="P2344" t="n">
        <v>0</v>
      </c>
      <c r="Q2344" t="n">
        <v>0</v>
      </c>
      <c r="R2344" s="2" t="inlineStr"/>
    </row>
    <row r="2345" ht="15" customHeight="1">
      <c r="A2345" t="inlineStr">
        <is>
          <t>A 29446-2022</t>
        </is>
      </c>
      <c r="B2345" s="1" t="n">
        <v>44753</v>
      </c>
      <c r="C2345" s="1" t="n">
        <v>45724</v>
      </c>
      <c r="D2345" t="inlineStr">
        <is>
          <t>VÄSTMANLANDS LÄN</t>
        </is>
      </c>
      <c r="E2345" t="inlineStr">
        <is>
          <t>KÖPING</t>
        </is>
      </c>
      <c r="G2345" t="n">
        <v>2.8</v>
      </c>
      <c r="H2345" t="n">
        <v>0</v>
      </c>
      <c r="I2345" t="n">
        <v>0</v>
      </c>
      <c r="J2345" t="n">
        <v>0</v>
      </c>
      <c r="K2345" t="n">
        <v>0</v>
      </c>
      <c r="L2345" t="n">
        <v>0</v>
      </c>
      <c r="M2345" t="n">
        <v>0</v>
      </c>
      <c r="N2345" t="n">
        <v>0</v>
      </c>
      <c r="O2345" t="n">
        <v>0</v>
      </c>
      <c r="P2345" t="n">
        <v>0</v>
      </c>
      <c r="Q2345" t="n">
        <v>0</v>
      </c>
      <c r="R2345" s="2" t="inlineStr"/>
    </row>
    <row r="2346" ht="15" customHeight="1">
      <c r="A2346" t="inlineStr">
        <is>
          <t>A 29445-2022</t>
        </is>
      </c>
      <c r="B2346" s="1" t="n">
        <v>44753</v>
      </c>
      <c r="C2346" s="1" t="n">
        <v>45724</v>
      </c>
      <c r="D2346" t="inlineStr">
        <is>
          <t>VÄSTMANLANDS LÄN</t>
        </is>
      </c>
      <c r="E2346" t="inlineStr">
        <is>
          <t>KÖPING</t>
        </is>
      </c>
      <c r="G2346" t="n">
        <v>3.4</v>
      </c>
      <c r="H2346" t="n">
        <v>0</v>
      </c>
      <c r="I2346" t="n">
        <v>0</v>
      </c>
      <c r="J2346" t="n">
        <v>0</v>
      </c>
      <c r="K2346" t="n">
        <v>0</v>
      </c>
      <c r="L2346" t="n">
        <v>0</v>
      </c>
      <c r="M2346" t="n">
        <v>0</v>
      </c>
      <c r="N2346" t="n">
        <v>0</v>
      </c>
      <c r="O2346" t="n">
        <v>0</v>
      </c>
      <c r="P2346" t="n">
        <v>0</v>
      </c>
      <c r="Q2346" t="n">
        <v>0</v>
      </c>
      <c r="R2346" s="2" t="inlineStr"/>
    </row>
    <row r="2347" ht="15" customHeight="1">
      <c r="A2347" t="inlineStr">
        <is>
          <t>A 29513-2022</t>
        </is>
      </c>
      <c r="B2347" s="1" t="n">
        <v>44753</v>
      </c>
      <c r="C2347" s="1" t="n">
        <v>45724</v>
      </c>
      <c r="D2347" t="inlineStr">
        <is>
          <t>VÄSTMANLANDS LÄN</t>
        </is>
      </c>
      <c r="E2347" t="inlineStr">
        <is>
          <t>FAGERSTA</t>
        </is>
      </c>
      <c r="F2347" t="inlineStr">
        <is>
          <t>Sveaskog</t>
        </is>
      </c>
      <c r="G2347" t="n">
        <v>1</v>
      </c>
      <c r="H2347" t="n">
        <v>0</v>
      </c>
      <c r="I2347" t="n">
        <v>0</v>
      </c>
      <c r="J2347" t="n">
        <v>0</v>
      </c>
      <c r="K2347" t="n">
        <v>0</v>
      </c>
      <c r="L2347" t="n">
        <v>0</v>
      </c>
      <c r="M2347" t="n">
        <v>0</v>
      </c>
      <c r="N2347" t="n">
        <v>0</v>
      </c>
      <c r="O2347" t="n">
        <v>0</v>
      </c>
      <c r="P2347" t="n">
        <v>0</v>
      </c>
      <c r="Q2347" t="n">
        <v>0</v>
      </c>
      <c r="R2347" s="2" t="inlineStr"/>
    </row>
    <row r="2348" ht="15" customHeight="1">
      <c r="A2348" t="inlineStr">
        <is>
          <t>A 29510-2022</t>
        </is>
      </c>
      <c r="B2348" s="1" t="n">
        <v>44753</v>
      </c>
      <c r="C2348" s="1" t="n">
        <v>45724</v>
      </c>
      <c r="D2348" t="inlineStr">
        <is>
          <t>VÄSTMANLANDS LÄN</t>
        </is>
      </c>
      <c r="E2348" t="inlineStr">
        <is>
          <t>FAGERSTA</t>
        </is>
      </c>
      <c r="F2348" t="inlineStr">
        <is>
          <t>Sveaskog</t>
        </is>
      </c>
      <c r="G2348" t="n">
        <v>1.3</v>
      </c>
      <c r="H2348" t="n">
        <v>0</v>
      </c>
      <c r="I2348" t="n">
        <v>0</v>
      </c>
      <c r="J2348" t="n">
        <v>0</v>
      </c>
      <c r="K2348" t="n">
        <v>0</v>
      </c>
      <c r="L2348" t="n">
        <v>0</v>
      </c>
      <c r="M2348" t="n">
        <v>0</v>
      </c>
      <c r="N2348" t="n">
        <v>0</v>
      </c>
      <c r="O2348" t="n">
        <v>0</v>
      </c>
      <c r="P2348" t="n">
        <v>0</v>
      </c>
      <c r="Q2348" t="n">
        <v>0</v>
      </c>
      <c r="R2348" s="2" t="inlineStr"/>
    </row>
    <row r="2349" ht="15" customHeight="1">
      <c r="A2349" t="inlineStr">
        <is>
          <t>A 29573-2022</t>
        </is>
      </c>
      <c r="B2349" s="1" t="n">
        <v>44754</v>
      </c>
      <c r="C2349" s="1" t="n">
        <v>45724</v>
      </c>
      <c r="D2349" t="inlineStr">
        <is>
          <t>VÄSTMANLANDS LÄN</t>
        </is>
      </c>
      <c r="E2349" t="inlineStr">
        <is>
          <t>ARBOGA</t>
        </is>
      </c>
      <c r="F2349" t="inlineStr">
        <is>
          <t>Kyrkan</t>
        </is>
      </c>
      <c r="G2349" t="n">
        <v>8.800000000000001</v>
      </c>
      <c r="H2349" t="n">
        <v>0</v>
      </c>
      <c r="I2349" t="n">
        <v>0</v>
      </c>
      <c r="J2349" t="n">
        <v>0</v>
      </c>
      <c r="K2349" t="n">
        <v>0</v>
      </c>
      <c r="L2349" t="n">
        <v>0</v>
      </c>
      <c r="M2349" t="n">
        <v>0</v>
      </c>
      <c r="N2349" t="n">
        <v>0</v>
      </c>
      <c r="O2349" t="n">
        <v>0</v>
      </c>
      <c r="P2349" t="n">
        <v>0</v>
      </c>
      <c r="Q2349" t="n">
        <v>0</v>
      </c>
      <c r="R2349" s="2" t="inlineStr"/>
    </row>
    <row r="2350" ht="15" customHeight="1">
      <c r="A2350" t="inlineStr">
        <is>
          <t>A 29746-2022</t>
        </is>
      </c>
      <c r="B2350" s="1" t="n">
        <v>44755</v>
      </c>
      <c r="C2350" s="1" t="n">
        <v>45724</v>
      </c>
      <c r="D2350" t="inlineStr">
        <is>
          <t>VÄSTMANLANDS LÄN</t>
        </is>
      </c>
      <c r="E2350" t="inlineStr">
        <is>
          <t>VÄSTERÅS</t>
        </is>
      </c>
      <c r="G2350" t="n">
        <v>0.5</v>
      </c>
      <c r="H2350" t="n">
        <v>0</v>
      </c>
      <c r="I2350" t="n">
        <v>0</v>
      </c>
      <c r="J2350" t="n">
        <v>0</v>
      </c>
      <c r="K2350" t="n">
        <v>0</v>
      </c>
      <c r="L2350" t="n">
        <v>0</v>
      </c>
      <c r="M2350" t="n">
        <v>0</v>
      </c>
      <c r="N2350" t="n">
        <v>0</v>
      </c>
      <c r="O2350" t="n">
        <v>0</v>
      </c>
      <c r="P2350" t="n">
        <v>0</v>
      </c>
      <c r="Q2350" t="n">
        <v>0</v>
      </c>
      <c r="R2350" s="2" t="inlineStr"/>
    </row>
    <row r="2351" ht="15" customHeight="1">
      <c r="A2351" t="inlineStr">
        <is>
          <t>A 29749-2022</t>
        </is>
      </c>
      <c r="B2351" s="1" t="n">
        <v>44755</v>
      </c>
      <c r="C2351" s="1" t="n">
        <v>45724</v>
      </c>
      <c r="D2351" t="inlineStr">
        <is>
          <t>VÄSTMANLANDS LÄN</t>
        </is>
      </c>
      <c r="E2351" t="inlineStr">
        <is>
          <t>KÖPING</t>
        </is>
      </c>
      <c r="G2351" t="n">
        <v>1.4</v>
      </c>
      <c r="H2351" t="n">
        <v>0</v>
      </c>
      <c r="I2351" t="n">
        <v>0</v>
      </c>
      <c r="J2351" t="n">
        <v>0</v>
      </c>
      <c r="K2351" t="n">
        <v>0</v>
      </c>
      <c r="L2351" t="n">
        <v>0</v>
      </c>
      <c r="M2351" t="n">
        <v>0</v>
      </c>
      <c r="N2351" t="n">
        <v>0</v>
      </c>
      <c r="O2351" t="n">
        <v>0</v>
      </c>
      <c r="P2351" t="n">
        <v>0</v>
      </c>
      <c r="Q2351" t="n">
        <v>0</v>
      </c>
      <c r="R2351" s="2" t="inlineStr"/>
    </row>
    <row r="2352" ht="15" customHeight="1">
      <c r="A2352" t="inlineStr">
        <is>
          <t>A 29752-2022</t>
        </is>
      </c>
      <c r="B2352" s="1" t="n">
        <v>44755</v>
      </c>
      <c r="C2352" s="1" t="n">
        <v>45724</v>
      </c>
      <c r="D2352" t="inlineStr">
        <is>
          <t>VÄSTMANLANDS LÄN</t>
        </is>
      </c>
      <c r="E2352" t="inlineStr">
        <is>
          <t>KÖPING</t>
        </is>
      </c>
      <c r="G2352" t="n">
        <v>1.4</v>
      </c>
      <c r="H2352" t="n">
        <v>0</v>
      </c>
      <c r="I2352" t="n">
        <v>0</v>
      </c>
      <c r="J2352" t="n">
        <v>0</v>
      </c>
      <c r="K2352" t="n">
        <v>0</v>
      </c>
      <c r="L2352" t="n">
        <v>0</v>
      </c>
      <c r="M2352" t="n">
        <v>0</v>
      </c>
      <c r="N2352" t="n">
        <v>0</v>
      </c>
      <c r="O2352" t="n">
        <v>0</v>
      </c>
      <c r="P2352" t="n">
        <v>0</v>
      </c>
      <c r="Q2352" t="n">
        <v>0</v>
      </c>
      <c r="R2352" s="2" t="inlineStr"/>
    </row>
    <row r="2353" ht="15" customHeight="1">
      <c r="A2353" t="inlineStr">
        <is>
          <t>A 29963-2022</t>
        </is>
      </c>
      <c r="B2353" s="1" t="n">
        <v>44756</v>
      </c>
      <c r="C2353" s="1" t="n">
        <v>45724</v>
      </c>
      <c r="D2353" t="inlineStr">
        <is>
          <t>VÄSTMANLANDS LÄN</t>
        </is>
      </c>
      <c r="E2353" t="inlineStr">
        <is>
          <t>SALA</t>
        </is>
      </c>
      <c r="G2353" t="n">
        <v>2.3</v>
      </c>
      <c r="H2353" t="n">
        <v>0</v>
      </c>
      <c r="I2353" t="n">
        <v>0</v>
      </c>
      <c r="J2353" t="n">
        <v>0</v>
      </c>
      <c r="K2353" t="n">
        <v>0</v>
      </c>
      <c r="L2353" t="n">
        <v>0</v>
      </c>
      <c r="M2353" t="n">
        <v>0</v>
      </c>
      <c r="N2353" t="n">
        <v>0</v>
      </c>
      <c r="O2353" t="n">
        <v>0</v>
      </c>
      <c r="P2353" t="n">
        <v>0</v>
      </c>
      <c r="Q2353" t="n">
        <v>0</v>
      </c>
      <c r="R2353" s="2" t="inlineStr"/>
    </row>
    <row r="2354" ht="15" customHeight="1">
      <c r="A2354" t="inlineStr">
        <is>
          <t>A 29965-2022</t>
        </is>
      </c>
      <c r="B2354" s="1" t="n">
        <v>44756</v>
      </c>
      <c r="C2354" s="1" t="n">
        <v>45724</v>
      </c>
      <c r="D2354" t="inlineStr">
        <is>
          <t>VÄSTMANLANDS LÄN</t>
        </is>
      </c>
      <c r="E2354" t="inlineStr">
        <is>
          <t>SALA</t>
        </is>
      </c>
      <c r="G2354" t="n">
        <v>1.5</v>
      </c>
      <c r="H2354" t="n">
        <v>0</v>
      </c>
      <c r="I2354" t="n">
        <v>0</v>
      </c>
      <c r="J2354" t="n">
        <v>0</v>
      </c>
      <c r="K2354" t="n">
        <v>0</v>
      </c>
      <c r="L2354" t="n">
        <v>0</v>
      </c>
      <c r="M2354" t="n">
        <v>0</v>
      </c>
      <c r="N2354" t="n">
        <v>0</v>
      </c>
      <c r="O2354" t="n">
        <v>0</v>
      </c>
      <c r="P2354" t="n">
        <v>0</v>
      </c>
      <c r="Q2354" t="n">
        <v>0</v>
      </c>
      <c r="R2354" s="2" t="inlineStr"/>
    </row>
    <row r="2355" ht="15" customHeight="1">
      <c r="A2355" t="inlineStr">
        <is>
          <t>A 29982-2022</t>
        </is>
      </c>
      <c r="B2355" s="1" t="n">
        <v>44756</v>
      </c>
      <c r="C2355" s="1" t="n">
        <v>45724</v>
      </c>
      <c r="D2355" t="inlineStr">
        <is>
          <t>VÄSTMANLANDS LÄN</t>
        </is>
      </c>
      <c r="E2355" t="inlineStr">
        <is>
          <t>SALA</t>
        </is>
      </c>
      <c r="G2355" t="n">
        <v>1.4</v>
      </c>
      <c r="H2355" t="n">
        <v>0</v>
      </c>
      <c r="I2355" t="n">
        <v>0</v>
      </c>
      <c r="J2355" t="n">
        <v>0</v>
      </c>
      <c r="K2355" t="n">
        <v>0</v>
      </c>
      <c r="L2355" t="n">
        <v>0</v>
      </c>
      <c r="M2355" t="n">
        <v>0</v>
      </c>
      <c r="N2355" t="n">
        <v>0</v>
      </c>
      <c r="O2355" t="n">
        <v>0</v>
      </c>
      <c r="P2355" t="n">
        <v>0</v>
      </c>
      <c r="Q2355" t="n">
        <v>0</v>
      </c>
      <c r="R2355" s="2" t="inlineStr"/>
    </row>
    <row r="2356" ht="15" customHeight="1">
      <c r="A2356" t="inlineStr">
        <is>
          <t>A 29934-2022</t>
        </is>
      </c>
      <c r="B2356" s="1" t="n">
        <v>44757</v>
      </c>
      <c r="C2356" s="1" t="n">
        <v>45724</v>
      </c>
      <c r="D2356" t="inlineStr">
        <is>
          <t>VÄSTMANLANDS LÄN</t>
        </is>
      </c>
      <c r="E2356" t="inlineStr">
        <is>
          <t>KÖPING</t>
        </is>
      </c>
      <c r="G2356" t="n">
        <v>5.1</v>
      </c>
      <c r="H2356" t="n">
        <v>0</v>
      </c>
      <c r="I2356" t="n">
        <v>0</v>
      </c>
      <c r="J2356" t="n">
        <v>0</v>
      </c>
      <c r="K2356" t="n">
        <v>0</v>
      </c>
      <c r="L2356" t="n">
        <v>0</v>
      </c>
      <c r="M2356" t="n">
        <v>0</v>
      </c>
      <c r="N2356" t="n">
        <v>0</v>
      </c>
      <c r="O2356" t="n">
        <v>0</v>
      </c>
      <c r="P2356" t="n">
        <v>0</v>
      </c>
      <c r="Q2356" t="n">
        <v>0</v>
      </c>
      <c r="R2356" s="2" t="inlineStr"/>
    </row>
    <row r="2357" ht="15" customHeight="1">
      <c r="A2357" t="inlineStr">
        <is>
          <t>A 30079-2022</t>
        </is>
      </c>
      <c r="B2357" s="1" t="n">
        <v>44757</v>
      </c>
      <c r="C2357" s="1" t="n">
        <v>45724</v>
      </c>
      <c r="D2357" t="inlineStr">
        <is>
          <t>VÄSTMANLANDS LÄN</t>
        </is>
      </c>
      <c r="E2357" t="inlineStr">
        <is>
          <t>KÖPING</t>
        </is>
      </c>
      <c r="G2357" t="n">
        <v>2.3</v>
      </c>
      <c r="H2357" t="n">
        <v>0</v>
      </c>
      <c r="I2357" t="n">
        <v>0</v>
      </c>
      <c r="J2357" t="n">
        <v>0</v>
      </c>
      <c r="K2357" t="n">
        <v>0</v>
      </c>
      <c r="L2357" t="n">
        <v>0</v>
      </c>
      <c r="M2357" t="n">
        <v>0</v>
      </c>
      <c r="N2357" t="n">
        <v>0</v>
      </c>
      <c r="O2357" t="n">
        <v>0</v>
      </c>
      <c r="P2357" t="n">
        <v>0</v>
      </c>
      <c r="Q2357" t="n">
        <v>0</v>
      </c>
      <c r="R2357" s="2" t="inlineStr"/>
    </row>
    <row r="2358" ht="15" customHeight="1">
      <c r="A2358" t="inlineStr">
        <is>
          <t>A 30141-2022</t>
        </is>
      </c>
      <c r="B2358" s="1" t="n">
        <v>44757</v>
      </c>
      <c r="C2358" s="1" t="n">
        <v>45724</v>
      </c>
      <c r="D2358" t="inlineStr">
        <is>
          <t>VÄSTMANLANDS LÄN</t>
        </is>
      </c>
      <c r="E2358" t="inlineStr">
        <is>
          <t>KÖPING</t>
        </is>
      </c>
      <c r="G2358" t="n">
        <v>1.2</v>
      </c>
      <c r="H2358" t="n">
        <v>0</v>
      </c>
      <c r="I2358" t="n">
        <v>0</v>
      </c>
      <c r="J2358" t="n">
        <v>0</v>
      </c>
      <c r="K2358" t="n">
        <v>0</v>
      </c>
      <c r="L2358" t="n">
        <v>0</v>
      </c>
      <c r="M2358" t="n">
        <v>0</v>
      </c>
      <c r="N2358" t="n">
        <v>0</v>
      </c>
      <c r="O2358" t="n">
        <v>0</v>
      </c>
      <c r="P2358" t="n">
        <v>0</v>
      </c>
      <c r="Q2358" t="n">
        <v>0</v>
      </c>
      <c r="R2358" s="2" t="inlineStr"/>
    </row>
    <row r="2359" ht="15" customHeight="1">
      <c r="A2359" t="inlineStr">
        <is>
          <t>A 30147-2022</t>
        </is>
      </c>
      <c r="B2359" s="1" t="n">
        <v>44757</v>
      </c>
      <c r="C2359" s="1" t="n">
        <v>45724</v>
      </c>
      <c r="D2359" t="inlineStr">
        <is>
          <t>VÄSTMANLANDS LÄN</t>
        </is>
      </c>
      <c r="E2359" t="inlineStr">
        <is>
          <t>KÖPING</t>
        </is>
      </c>
      <c r="G2359" t="n">
        <v>1.3</v>
      </c>
      <c r="H2359" t="n">
        <v>0</v>
      </c>
      <c r="I2359" t="n">
        <v>0</v>
      </c>
      <c r="J2359" t="n">
        <v>0</v>
      </c>
      <c r="K2359" t="n">
        <v>0</v>
      </c>
      <c r="L2359" t="n">
        <v>0</v>
      </c>
      <c r="M2359" t="n">
        <v>0</v>
      </c>
      <c r="N2359" t="n">
        <v>0</v>
      </c>
      <c r="O2359" t="n">
        <v>0</v>
      </c>
      <c r="P2359" t="n">
        <v>0</v>
      </c>
      <c r="Q2359" t="n">
        <v>0</v>
      </c>
      <c r="R2359" s="2" t="inlineStr"/>
    </row>
    <row r="2360" ht="15" customHeight="1">
      <c r="A2360" t="inlineStr">
        <is>
          <t>A 30194-2022</t>
        </is>
      </c>
      <c r="B2360" s="1" t="n">
        <v>44757</v>
      </c>
      <c r="C2360" s="1" t="n">
        <v>45724</v>
      </c>
      <c r="D2360" t="inlineStr">
        <is>
          <t>VÄSTMANLANDS LÄN</t>
        </is>
      </c>
      <c r="E2360" t="inlineStr">
        <is>
          <t>VÄSTERÅS</t>
        </is>
      </c>
      <c r="F2360" t="inlineStr">
        <is>
          <t>Sveaskog</t>
        </is>
      </c>
      <c r="G2360" t="n">
        <v>4.4</v>
      </c>
      <c r="H2360" t="n">
        <v>0</v>
      </c>
      <c r="I2360" t="n">
        <v>0</v>
      </c>
      <c r="J2360" t="n">
        <v>0</v>
      </c>
      <c r="K2360" t="n">
        <v>0</v>
      </c>
      <c r="L2360" t="n">
        <v>0</v>
      </c>
      <c r="M2360" t="n">
        <v>0</v>
      </c>
      <c r="N2360" t="n">
        <v>0</v>
      </c>
      <c r="O2360" t="n">
        <v>0</v>
      </c>
      <c r="P2360" t="n">
        <v>0</v>
      </c>
      <c r="Q2360" t="n">
        <v>0</v>
      </c>
      <c r="R2360" s="2" t="inlineStr"/>
    </row>
    <row r="2361" ht="15" customHeight="1">
      <c r="A2361" t="inlineStr">
        <is>
          <t>A 30360-2022</t>
        </is>
      </c>
      <c r="B2361" s="1" t="n">
        <v>44760</v>
      </c>
      <c r="C2361" s="1" t="n">
        <v>45724</v>
      </c>
      <c r="D2361" t="inlineStr">
        <is>
          <t>VÄSTMANLANDS LÄN</t>
        </is>
      </c>
      <c r="E2361" t="inlineStr">
        <is>
          <t>SALA</t>
        </is>
      </c>
      <c r="F2361" t="inlineStr">
        <is>
          <t>Sveaskog</t>
        </is>
      </c>
      <c r="G2361" t="n">
        <v>1.7</v>
      </c>
      <c r="H2361" t="n">
        <v>0</v>
      </c>
      <c r="I2361" t="n">
        <v>0</v>
      </c>
      <c r="J2361" t="n">
        <v>0</v>
      </c>
      <c r="K2361" t="n">
        <v>0</v>
      </c>
      <c r="L2361" t="n">
        <v>0</v>
      </c>
      <c r="M2361" t="n">
        <v>0</v>
      </c>
      <c r="N2361" t="n">
        <v>0</v>
      </c>
      <c r="O2361" t="n">
        <v>0</v>
      </c>
      <c r="P2361" t="n">
        <v>0</v>
      </c>
      <c r="Q2361" t="n">
        <v>0</v>
      </c>
      <c r="R2361" s="2" t="inlineStr"/>
    </row>
    <row r="2362" ht="15" customHeight="1">
      <c r="A2362" t="inlineStr">
        <is>
          <t>A 30305-2022</t>
        </is>
      </c>
      <c r="B2362" s="1" t="n">
        <v>44760</v>
      </c>
      <c r="C2362" s="1" t="n">
        <v>45724</v>
      </c>
      <c r="D2362" t="inlineStr">
        <is>
          <t>VÄSTMANLANDS LÄN</t>
        </is>
      </c>
      <c r="E2362" t="inlineStr">
        <is>
          <t>ARBOGA</t>
        </is>
      </c>
      <c r="G2362" t="n">
        <v>0.3</v>
      </c>
      <c r="H2362" t="n">
        <v>0</v>
      </c>
      <c r="I2362" t="n">
        <v>0</v>
      </c>
      <c r="J2362" t="n">
        <v>0</v>
      </c>
      <c r="K2362" t="n">
        <v>0</v>
      </c>
      <c r="L2362" t="n">
        <v>0</v>
      </c>
      <c r="M2362" t="n">
        <v>0</v>
      </c>
      <c r="N2362" t="n">
        <v>0</v>
      </c>
      <c r="O2362" t="n">
        <v>0</v>
      </c>
      <c r="P2362" t="n">
        <v>0</v>
      </c>
      <c r="Q2362" t="n">
        <v>0</v>
      </c>
      <c r="R2362" s="2" t="inlineStr"/>
    </row>
    <row r="2363" ht="15" customHeight="1">
      <c r="A2363" t="inlineStr">
        <is>
          <t>A 30468-2022</t>
        </is>
      </c>
      <c r="B2363" s="1" t="n">
        <v>44761</v>
      </c>
      <c r="C2363" s="1" t="n">
        <v>45724</v>
      </c>
      <c r="D2363" t="inlineStr">
        <is>
          <t>VÄSTMANLANDS LÄN</t>
        </is>
      </c>
      <c r="E2363" t="inlineStr">
        <is>
          <t>VÄSTERÅS</t>
        </is>
      </c>
      <c r="F2363" t="inlineStr">
        <is>
          <t>Sveaskog</t>
        </is>
      </c>
      <c r="G2363" t="n">
        <v>2</v>
      </c>
      <c r="H2363" t="n">
        <v>0</v>
      </c>
      <c r="I2363" t="n">
        <v>0</v>
      </c>
      <c r="J2363" t="n">
        <v>0</v>
      </c>
      <c r="K2363" t="n">
        <v>0</v>
      </c>
      <c r="L2363" t="n">
        <v>0</v>
      </c>
      <c r="M2363" t="n">
        <v>0</v>
      </c>
      <c r="N2363" t="n">
        <v>0</v>
      </c>
      <c r="O2363" t="n">
        <v>0</v>
      </c>
      <c r="P2363" t="n">
        <v>0</v>
      </c>
      <c r="Q2363" t="n">
        <v>0</v>
      </c>
      <c r="R2363" s="2" t="inlineStr"/>
    </row>
    <row r="2364" ht="15" customHeight="1">
      <c r="A2364" t="inlineStr">
        <is>
          <t>A 30442-2022</t>
        </is>
      </c>
      <c r="B2364" s="1" t="n">
        <v>44761</v>
      </c>
      <c r="C2364" s="1" t="n">
        <v>45724</v>
      </c>
      <c r="D2364" t="inlineStr">
        <is>
          <t>VÄSTMANLANDS LÄN</t>
        </is>
      </c>
      <c r="E2364" t="inlineStr">
        <is>
          <t>SALA</t>
        </is>
      </c>
      <c r="G2364" t="n">
        <v>1.4</v>
      </c>
      <c r="H2364" t="n">
        <v>0</v>
      </c>
      <c r="I2364" t="n">
        <v>0</v>
      </c>
      <c r="J2364" t="n">
        <v>0</v>
      </c>
      <c r="K2364" t="n">
        <v>0</v>
      </c>
      <c r="L2364" t="n">
        <v>0</v>
      </c>
      <c r="M2364" t="n">
        <v>0</v>
      </c>
      <c r="N2364" t="n">
        <v>0</v>
      </c>
      <c r="O2364" t="n">
        <v>0</v>
      </c>
      <c r="P2364" t="n">
        <v>0</v>
      </c>
      <c r="Q2364" t="n">
        <v>0</v>
      </c>
      <c r="R2364" s="2" t="inlineStr"/>
    </row>
    <row r="2365" ht="15" customHeight="1">
      <c r="A2365" t="inlineStr">
        <is>
          <t>A 30433-2022</t>
        </is>
      </c>
      <c r="B2365" s="1" t="n">
        <v>44761</v>
      </c>
      <c r="C2365" s="1" t="n">
        <v>45724</v>
      </c>
      <c r="D2365" t="inlineStr">
        <is>
          <t>VÄSTMANLANDS LÄN</t>
        </is>
      </c>
      <c r="E2365" t="inlineStr">
        <is>
          <t>VÄSTERÅS</t>
        </is>
      </c>
      <c r="G2365" t="n">
        <v>1.4</v>
      </c>
      <c r="H2365" t="n">
        <v>0</v>
      </c>
      <c r="I2365" t="n">
        <v>0</v>
      </c>
      <c r="J2365" t="n">
        <v>0</v>
      </c>
      <c r="K2365" t="n">
        <v>0</v>
      </c>
      <c r="L2365" t="n">
        <v>0</v>
      </c>
      <c r="M2365" t="n">
        <v>0</v>
      </c>
      <c r="N2365" t="n">
        <v>0</v>
      </c>
      <c r="O2365" t="n">
        <v>0</v>
      </c>
      <c r="P2365" t="n">
        <v>0</v>
      </c>
      <c r="Q2365" t="n">
        <v>0</v>
      </c>
      <c r="R2365" s="2" t="inlineStr"/>
    </row>
    <row r="2366" ht="15" customHeight="1">
      <c r="A2366" t="inlineStr">
        <is>
          <t>A 30465-2022</t>
        </is>
      </c>
      <c r="B2366" s="1" t="n">
        <v>44761</v>
      </c>
      <c r="C2366" s="1" t="n">
        <v>45724</v>
      </c>
      <c r="D2366" t="inlineStr">
        <is>
          <t>VÄSTMANLANDS LÄN</t>
        </is>
      </c>
      <c r="E2366" t="inlineStr">
        <is>
          <t>VÄSTERÅS</t>
        </is>
      </c>
      <c r="F2366" t="inlineStr">
        <is>
          <t>Sveaskog</t>
        </is>
      </c>
      <c r="G2366" t="n">
        <v>1.2</v>
      </c>
      <c r="H2366" t="n">
        <v>0</v>
      </c>
      <c r="I2366" t="n">
        <v>0</v>
      </c>
      <c r="J2366" t="n">
        <v>0</v>
      </c>
      <c r="K2366" t="n">
        <v>0</v>
      </c>
      <c r="L2366" t="n">
        <v>0</v>
      </c>
      <c r="M2366" t="n">
        <v>0</v>
      </c>
      <c r="N2366" t="n">
        <v>0</v>
      </c>
      <c r="O2366" t="n">
        <v>0</v>
      </c>
      <c r="P2366" t="n">
        <v>0</v>
      </c>
      <c r="Q2366" t="n">
        <v>0</v>
      </c>
      <c r="R2366" s="2" t="inlineStr"/>
    </row>
    <row r="2367" ht="15" customHeight="1">
      <c r="A2367" t="inlineStr">
        <is>
          <t>A 30569-2022</t>
        </is>
      </c>
      <c r="B2367" s="1" t="n">
        <v>44762</v>
      </c>
      <c r="C2367" s="1" t="n">
        <v>45724</v>
      </c>
      <c r="D2367" t="inlineStr">
        <is>
          <t>VÄSTMANLANDS LÄN</t>
        </is>
      </c>
      <c r="E2367" t="inlineStr">
        <is>
          <t>VÄSTERÅS</t>
        </is>
      </c>
      <c r="G2367" t="n">
        <v>1.3</v>
      </c>
      <c r="H2367" t="n">
        <v>0</v>
      </c>
      <c r="I2367" t="n">
        <v>0</v>
      </c>
      <c r="J2367" t="n">
        <v>0</v>
      </c>
      <c r="K2367" t="n">
        <v>0</v>
      </c>
      <c r="L2367" t="n">
        <v>0</v>
      </c>
      <c r="M2367" t="n">
        <v>0</v>
      </c>
      <c r="N2367" t="n">
        <v>0</v>
      </c>
      <c r="O2367" t="n">
        <v>0</v>
      </c>
      <c r="P2367" t="n">
        <v>0</v>
      </c>
      <c r="Q2367" t="n">
        <v>0</v>
      </c>
      <c r="R2367" s="2" t="inlineStr"/>
    </row>
    <row r="2368" ht="15" customHeight="1">
      <c r="A2368" t="inlineStr">
        <is>
          <t>A 30570-2022</t>
        </is>
      </c>
      <c r="B2368" s="1" t="n">
        <v>44762</v>
      </c>
      <c r="C2368" s="1" t="n">
        <v>45724</v>
      </c>
      <c r="D2368" t="inlineStr">
        <is>
          <t>VÄSTMANLANDS LÄN</t>
        </is>
      </c>
      <c r="E2368" t="inlineStr">
        <is>
          <t>VÄSTERÅS</t>
        </is>
      </c>
      <c r="F2368" t="inlineStr">
        <is>
          <t>Sveaskog</t>
        </is>
      </c>
      <c r="G2368" t="n">
        <v>4.1</v>
      </c>
      <c r="H2368" t="n">
        <v>0</v>
      </c>
      <c r="I2368" t="n">
        <v>0</v>
      </c>
      <c r="J2368" t="n">
        <v>0</v>
      </c>
      <c r="K2368" t="n">
        <v>0</v>
      </c>
      <c r="L2368" t="n">
        <v>0</v>
      </c>
      <c r="M2368" t="n">
        <v>0</v>
      </c>
      <c r="N2368" t="n">
        <v>0</v>
      </c>
      <c r="O2368" t="n">
        <v>0</v>
      </c>
      <c r="P2368" t="n">
        <v>0</v>
      </c>
      <c r="Q2368" t="n">
        <v>0</v>
      </c>
      <c r="R2368" s="2" t="inlineStr"/>
    </row>
    <row r="2369" ht="15" customHeight="1">
      <c r="A2369" t="inlineStr">
        <is>
          <t>A 30761-2022</t>
        </is>
      </c>
      <c r="B2369" s="1" t="n">
        <v>44764</v>
      </c>
      <c r="C2369" s="1" t="n">
        <v>45724</v>
      </c>
      <c r="D2369" t="inlineStr">
        <is>
          <t>VÄSTMANLANDS LÄN</t>
        </is>
      </c>
      <c r="E2369" t="inlineStr">
        <is>
          <t>VÄSTERÅS</t>
        </is>
      </c>
      <c r="G2369" t="n">
        <v>5.2</v>
      </c>
      <c r="H2369" t="n">
        <v>0</v>
      </c>
      <c r="I2369" t="n">
        <v>0</v>
      </c>
      <c r="J2369" t="n">
        <v>0</v>
      </c>
      <c r="K2369" t="n">
        <v>0</v>
      </c>
      <c r="L2369" t="n">
        <v>0</v>
      </c>
      <c r="M2369" t="n">
        <v>0</v>
      </c>
      <c r="N2369" t="n">
        <v>0</v>
      </c>
      <c r="O2369" t="n">
        <v>0</v>
      </c>
      <c r="P2369" t="n">
        <v>0</v>
      </c>
      <c r="Q2369" t="n">
        <v>0</v>
      </c>
      <c r="R2369" s="2" t="inlineStr"/>
    </row>
    <row r="2370" ht="15" customHeight="1">
      <c r="A2370" t="inlineStr">
        <is>
          <t>A 30766-2022</t>
        </is>
      </c>
      <c r="B2370" s="1" t="n">
        <v>44764</v>
      </c>
      <c r="C2370" s="1" t="n">
        <v>45724</v>
      </c>
      <c r="D2370" t="inlineStr">
        <is>
          <t>VÄSTMANLANDS LÄN</t>
        </is>
      </c>
      <c r="E2370" t="inlineStr">
        <is>
          <t>HALLSTAHAMMAR</t>
        </is>
      </c>
      <c r="G2370" t="n">
        <v>0.6</v>
      </c>
      <c r="H2370" t="n">
        <v>0</v>
      </c>
      <c r="I2370" t="n">
        <v>0</v>
      </c>
      <c r="J2370" t="n">
        <v>0</v>
      </c>
      <c r="K2370" t="n">
        <v>0</v>
      </c>
      <c r="L2370" t="n">
        <v>0</v>
      </c>
      <c r="M2370" t="n">
        <v>0</v>
      </c>
      <c r="N2370" t="n">
        <v>0</v>
      </c>
      <c r="O2370" t="n">
        <v>0</v>
      </c>
      <c r="P2370" t="n">
        <v>0</v>
      </c>
      <c r="Q2370" t="n">
        <v>0</v>
      </c>
      <c r="R2370" s="2" t="inlineStr"/>
    </row>
    <row r="2371" ht="15" customHeight="1">
      <c r="A2371" t="inlineStr">
        <is>
          <t>A 30813-2022</t>
        </is>
      </c>
      <c r="B2371" s="1" t="n">
        <v>44765</v>
      </c>
      <c r="C2371" s="1" t="n">
        <v>45724</v>
      </c>
      <c r="D2371" t="inlineStr">
        <is>
          <t>VÄSTMANLANDS LÄN</t>
        </is>
      </c>
      <c r="E2371" t="inlineStr">
        <is>
          <t>FAGERSTA</t>
        </is>
      </c>
      <c r="G2371" t="n">
        <v>4.5</v>
      </c>
      <c r="H2371" t="n">
        <v>0</v>
      </c>
      <c r="I2371" t="n">
        <v>0</v>
      </c>
      <c r="J2371" t="n">
        <v>0</v>
      </c>
      <c r="K2371" t="n">
        <v>0</v>
      </c>
      <c r="L2371" t="n">
        <v>0</v>
      </c>
      <c r="M2371" t="n">
        <v>0</v>
      </c>
      <c r="N2371" t="n">
        <v>0</v>
      </c>
      <c r="O2371" t="n">
        <v>0</v>
      </c>
      <c r="P2371" t="n">
        <v>0</v>
      </c>
      <c r="Q2371" t="n">
        <v>0</v>
      </c>
      <c r="R2371" s="2" t="inlineStr"/>
    </row>
    <row r="2372" ht="15" customHeight="1">
      <c r="A2372" t="inlineStr">
        <is>
          <t>A 30868-2022</t>
        </is>
      </c>
      <c r="B2372" s="1" t="n">
        <v>44767</v>
      </c>
      <c r="C2372" s="1" t="n">
        <v>45724</v>
      </c>
      <c r="D2372" t="inlineStr">
        <is>
          <t>VÄSTMANLANDS LÄN</t>
        </is>
      </c>
      <c r="E2372" t="inlineStr">
        <is>
          <t>FAGERSTA</t>
        </is>
      </c>
      <c r="G2372" t="n">
        <v>0.1</v>
      </c>
      <c r="H2372" t="n">
        <v>0</v>
      </c>
      <c r="I2372" t="n">
        <v>0</v>
      </c>
      <c r="J2372" t="n">
        <v>0</v>
      </c>
      <c r="K2372" t="n">
        <v>0</v>
      </c>
      <c r="L2372" t="n">
        <v>0</v>
      </c>
      <c r="M2372" t="n">
        <v>0</v>
      </c>
      <c r="N2372" t="n">
        <v>0</v>
      </c>
      <c r="O2372" t="n">
        <v>0</v>
      </c>
      <c r="P2372" t="n">
        <v>0</v>
      </c>
      <c r="Q2372" t="n">
        <v>0</v>
      </c>
      <c r="R2372" s="2" t="inlineStr"/>
    </row>
    <row r="2373" ht="15" customHeight="1">
      <c r="A2373" t="inlineStr">
        <is>
          <t>A 30971-2022</t>
        </is>
      </c>
      <c r="B2373" s="1" t="n">
        <v>44768</v>
      </c>
      <c r="C2373" s="1" t="n">
        <v>45724</v>
      </c>
      <c r="D2373" t="inlineStr">
        <is>
          <t>VÄSTMANLANDS LÄN</t>
        </is>
      </c>
      <c r="E2373" t="inlineStr">
        <is>
          <t>SALA</t>
        </is>
      </c>
      <c r="G2373" t="n">
        <v>2.4</v>
      </c>
      <c r="H2373" t="n">
        <v>0</v>
      </c>
      <c r="I2373" t="n">
        <v>0</v>
      </c>
      <c r="J2373" t="n">
        <v>0</v>
      </c>
      <c r="K2373" t="n">
        <v>0</v>
      </c>
      <c r="L2373" t="n">
        <v>0</v>
      </c>
      <c r="M2373" t="n">
        <v>0</v>
      </c>
      <c r="N2373" t="n">
        <v>0</v>
      </c>
      <c r="O2373" t="n">
        <v>0</v>
      </c>
      <c r="P2373" t="n">
        <v>0</v>
      </c>
      <c r="Q2373" t="n">
        <v>0</v>
      </c>
      <c r="R2373" s="2" t="inlineStr"/>
    </row>
    <row r="2374" ht="15" customHeight="1">
      <c r="A2374" t="inlineStr">
        <is>
          <t>A 31000-2022</t>
        </is>
      </c>
      <c r="B2374" s="1" t="n">
        <v>44768</v>
      </c>
      <c r="C2374" s="1" t="n">
        <v>45724</v>
      </c>
      <c r="D2374" t="inlineStr">
        <is>
          <t>VÄSTMANLANDS LÄN</t>
        </is>
      </c>
      <c r="E2374" t="inlineStr">
        <is>
          <t>SALA</t>
        </is>
      </c>
      <c r="G2374" t="n">
        <v>5.7</v>
      </c>
      <c r="H2374" t="n">
        <v>0</v>
      </c>
      <c r="I2374" t="n">
        <v>0</v>
      </c>
      <c r="J2374" t="n">
        <v>0</v>
      </c>
      <c r="K2374" t="n">
        <v>0</v>
      </c>
      <c r="L2374" t="n">
        <v>0</v>
      </c>
      <c r="M2374" t="n">
        <v>0</v>
      </c>
      <c r="N2374" t="n">
        <v>0</v>
      </c>
      <c r="O2374" t="n">
        <v>0</v>
      </c>
      <c r="P2374" t="n">
        <v>0</v>
      </c>
      <c r="Q2374" t="n">
        <v>0</v>
      </c>
      <c r="R2374" s="2" t="inlineStr"/>
    </row>
    <row r="2375" ht="15" customHeight="1">
      <c r="A2375" t="inlineStr">
        <is>
          <t>A 31161-2022</t>
        </is>
      </c>
      <c r="B2375" s="1" t="n">
        <v>44770</v>
      </c>
      <c r="C2375" s="1" t="n">
        <v>45724</v>
      </c>
      <c r="D2375" t="inlineStr">
        <is>
          <t>VÄSTMANLANDS LÄN</t>
        </is>
      </c>
      <c r="E2375" t="inlineStr">
        <is>
          <t>KÖPING</t>
        </is>
      </c>
      <c r="G2375" t="n">
        <v>6.1</v>
      </c>
      <c r="H2375" t="n">
        <v>0</v>
      </c>
      <c r="I2375" t="n">
        <v>0</v>
      </c>
      <c r="J2375" t="n">
        <v>0</v>
      </c>
      <c r="K2375" t="n">
        <v>0</v>
      </c>
      <c r="L2375" t="n">
        <v>0</v>
      </c>
      <c r="M2375" t="n">
        <v>0</v>
      </c>
      <c r="N2375" t="n">
        <v>0</v>
      </c>
      <c r="O2375" t="n">
        <v>0</v>
      </c>
      <c r="P2375" t="n">
        <v>0</v>
      </c>
      <c r="Q2375" t="n">
        <v>0</v>
      </c>
      <c r="R2375" s="2" t="inlineStr"/>
    </row>
    <row r="2376" ht="15" customHeight="1">
      <c r="A2376" t="inlineStr">
        <is>
          <t>A 31128-2022</t>
        </is>
      </c>
      <c r="B2376" s="1" t="n">
        <v>44770</v>
      </c>
      <c r="C2376" s="1" t="n">
        <v>45724</v>
      </c>
      <c r="D2376" t="inlineStr">
        <is>
          <t>VÄSTMANLANDS LÄN</t>
        </is>
      </c>
      <c r="E2376" t="inlineStr">
        <is>
          <t>HALLSTAHAMMAR</t>
        </is>
      </c>
      <c r="F2376" t="inlineStr">
        <is>
          <t>Allmännings- och besparingsskogar</t>
        </is>
      </c>
      <c r="G2376" t="n">
        <v>1.6</v>
      </c>
      <c r="H2376" t="n">
        <v>0</v>
      </c>
      <c r="I2376" t="n">
        <v>0</v>
      </c>
      <c r="J2376" t="n">
        <v>0</v>
      </c>
      <c r="K2376" t="n">
        <v>0</v>
      </c>
      <c r="L2376" t="n">
        <v>0</v>
      </c>
      <c r="M2376" t="n">
        <v>0</v>
      </c>
      <c r="N2376" t="n">
        <v>0</v>
      </c>
      <c r="O2376" t="n">
        <v>0</v>
      </c>
      <c r="P2376" t="n">
        <v>0</v>
      </c>
      <c r="Q2376" t="n">
        <v>0</v>
      </c>
      <c r="R2376" s="2" t="inlineStr"/>
    </row>
    <row r="2377" ht="15" customHeight="1">
      <c r="A2377" t="inlineStr">
        <is>
          <t>A 31193-2022</t>
        </is>
      </c>
      <c r="B2377" s="1" t="n">
        <v>44770</v>
      </c>
      <c r="C2377" s="1" t="n">
        <v>45724</v>
      </c>
      <c r="D2377" t="inlineStr">
        <is>
          <t>VÄSTMANLANDS LÄN</t>
        </is>
      </c>
      <c r="E2377" t="inlineStr">
        <is>
          <t>KÖPING</t>
        </is>
      </c>
      <c r="F2377" t="inlineStr">
        <is>
          <t>Sveaskog</t>
        </is>
      </c>
      <c r="G2377" t="n">
        <v>0.5</v>
      </c>
      <c r="H2377" t="n">
        <v>0</v>
      </c>
      <c r="I2377" t="n">
        <v>0</v>
      </c>
      <c r="J2377" t="n">
        <v>0</v>
      </c>
      <c r="K2377" t="n">
        <v>0</v>
      </c>
      <c r="L2377" t="n">
        <v>0</v>
      </c>
      <c r="M2377" t="n">
        <v>0</v>
      </c>
      <c r="N2377" t="n">
        <v>0</v>
      </c>
      <c r="O2377" t="n">
        <v>0</v>
      </c>
      <c r="P2377" t="n">
        <v>0</v>
      </c>
      <c r="Q2377" t="n">
        <v>0</v>
      </c>
      <c r="R2377" s="2" t="inlineStr"/>
    </row>
    <row r="2378" ht="15" customHeight="1">
      <c r="A2378" t="inlineStr">
        <is>
          <t>A 31319-2022</t>
        </is>
      </c>
      <c r="B2378" s="1" t="n">
        <v>44774</v>
      </c>
      <c r="C2378" s="1" t="n">
        <v>45724</v>
      </c>
      <c r="D2378" t="inlineStr">
        <is>
          <t>VÄSTMANLANDS LÄN</t>
        </is>
      </c>
      <c r="E2378" t="inlineStr">
        <is>
          <t>KÖPING</t>
        </is>
      </c>
      <c r="G2378" t="n">
        <v>1</v>
      </c>
      <c r="H2378" t="n">
        <v>0</v>
      </c>
      <c r="I2378" t="n">
        <v>0</v>
      </c>
      <c r="J2378" t="n">
        <v>0</v>
      </c>
      <c r="K2378" t="n">
        <v>0</v>
      </c>
      <c r="L2378" t="n">
        <v>0</v>
      </c>
      <c r="M2378" t="n">
        <v>0</v>
      </c>
      <c r="N2378" t="n">
        <v>0</v>
      </c>
      <c r="O2378" t="n">
        <v>0</v>
      </c>
      <c r="P2378" t="n">
        <v>0</v>
      </c>
      <c r="Q2378" t="n">
        <v>0</v>
      </c>
      <c r="R2378" s="2" t="inlineStr"/>
    </row>
    <row r="2379" ht="15" customHeight="1">
      <c r="A2379" t="inlineStr">
        <is>
          <t>A 31395-2022</t>
        </is>
      </c>
      <c r="B2379" s="1" t="n">
        <v>44774</v>
      </c>
      <c r="C2379" s="1" t="n">
        <v>45724</v>
      </c>
      <c r="D2379" t="inlineStr">
        <is>
          <t>VÄSTMANLANDS LÄN</t>
        </is>
      </c>
      <c r="E2379" t="inlineStr">
        <is>
          <t>SKINNSKATTEBERG</t>
        </is>
      </c>
      <c r="F2379" t="inlineStr">
        <is>
          <t>Sveaskog</t>
        </is>
      </c>
      <c r="G2379" t="n">
        <v>2</v>
      </c>
      <c r="H2379" t="n">
        <v>0</v>
      </c>
      <c r="I2379" t="n">
        <v>0</v>
      </c>
      <c r="J2379" t="n">
        <v>0</v>
      </c>
      <c r="K2379" t="n">
        <v>0</v>
      </c>
      <c r="L2379" t="n">
        <v>0</v>
      </c>
      <c r="M2379" t="n">
        <v>0</v>
      </c>
      <c r="N2379" t="n">
        <v>0</v>
      </c>
      <c r="O2379" t="n">
        <v>0</v>
      </c>
      <c r="P2379" t="n">
        <v>0</v>
      </c>
      <c r="Q2379" t="n">
        <v>0</v>
      </c>
      <c r="R2379" s="2" t="inlineStr"/>
    </row>
    <row r="2380" ht="15" customHeight="1">
      <c r="A2380" t="inlineStr">
        <is>
          <t>A 31373-2022</t>
        </is>
      </c>
      <c r="B2380" s="1" t="n">
        <v>44774</v>
      </c>
      <c r="C2380" s="1" t="n">
        <v>45724</v>
      </c>
      <c r="D2380" t="inlineStr">
        <is>
          <t>VÄSTMANLANDS LÄN</t>
        </is>
      </c>
      <c r="E2380" t="inlineStr">
        <is>
          <t>SALA</t>
        </is>
      </c>
      <c r="G2380" t="n">
        <v>0.8</v>
      </c>
      <c r="H2380" t="n">
        <v>0</v>
      </c>
      <c r="I2380" t="n">
        <v>0</v>
      </c>
      <c r="J2380" t="n">
        <v>0</v>
      </c>
      <c r="K2380" t="n">
        <v>0</v>
      </c>
      <c r="L2380" t="n">
        <v>0</v>
      </c>
      <c r="M2380" t="n">
        <v>0</v>
      </c>
      <c r="N2380" t="n">
        <v>0</v>
      </c>
      <c r="O2380" t="n">
        <v>0</v>
      </c>
      <c r="P2380" t="n">
        <v>0</v>
      </c>
      <c r="Q2380" t="n">
        <v>0</v>
      </c>
      <c r="R2380" s="2" t="inlineStr"/>
    </row>
    <row r="2381" ht="15" customHeight="1">
      <c r="A2381" t="inlineStr">
        <is>
          <t>A 31403-2022</t>
        </is>
      </c>
      <c r="B2381" s="1" t="n">
        <v>44774</v>
      </c>
      <c r="C2381" s="1" t="n">
        <v>45724</v>
      </c>
      <c r="D2381" t="inlineStr">
        <is>
          <t>VÄSTMANLANDS LÄN</t>
        </is>
      </c>
      <c r="E2381" t="inlineStr">
        <is>
          <t>SKINNSKATTEBERG</t>
        </is>
      </c>
      <c r="F2381" t="inlineStr">
        <is>
          <t>Sveaskog</t>
        </is>
      </c>
      <c r="G2381" t="n">
        <v>2.4</v>
      </c>
      <c r="H2381" t="n">
        <v>0</v>
      </c>
      <c r="I2381" t="n">
        <v>0</v>
      </c>
      <c r="J2381" t="n">
        <v>0</v>
      </c>
      <c r="K2381" t="n">
        <v>0</v>
      </c>
      <c r="L2381" t="n">
        <v>0</v>
      </c>
      <c r="M2381" t="n">
        <v>0</v>
      </c>
      <c r="N2381" t="n">
        <v>0</v>
      </c>
      <c r="O2381" t="n">
        <v>0</v>
      </c>
      <c r="P2381" t="n">
        <v>0</v>
      </c>
      <c r="Q2381" t="n">
        <v>0</v>
      </c>
      <c r="R2381" s="2" t="inlineStr"/>
    </row>
    <row r="2382" ht="15" customHeight="1">
      <c r="A2382" t="inlineStr">
        <is>
          <t>A 31380-2022</t>
        </is>
      </c>
      <c r="B2382" s="1" t="n">
        <v>44774</v>
      </c>
      <c r="C2382" s="1" t="n">
        <v>45724</v>
      </c>
      <c r="D2382" t="inlineStr">
        <is>
          <t>VÄSTMANLANDS LÄN</t>
        </is>
      </c>
      <c r="E2382" t="inlineStr">
        <is>
          <t>SALA</t>
        </is>
      </c>
      <c r="G2382" t="n">
        <v>4.7</v>
      </c>
      <c r="H2382" t="n">
        <v>0</v>
      </c>
      <c r="I2382" t="n">
        <v>0</v>
      </c>
      <c r="J2382" t="n">
        <v>0</v>
      </c>
      <c r="K2382" t="n">
        <v>0</v>
      </c>
      <c r="L2382" t="n">
        <v>0</v>
      </c>
      <c r="M2382" t="n">
        <v>0</v>
      </c>
      <c r="N2382" t="n">
        <v>0</v>
      </c>
      <c r="O2382" t="n">
        <v>0</v>
      </c>
      <c r="P2382" t="n">
        <v>0</v>
      </c>
      <c r="Q2382" t="n">
        <v>0</v>
      </c>
      <c r="R2382" s="2" t="inlineStr"/>
    </row>
    <row r="2383" ht="15" customHeight="1">
      <c r="A2383" t="inlineStr">
        <is>
          <t>A 31387-2022</t>
        </is>
      </c>
      <c r="B2383" s="1" t="n">
        <v>44774</v>
      </c>
      <c r="C2383" s="1" t="n">
        <v>45724</v>
      </c>
      <c r="D2383" t="inlineStr">
        <is>
          <t>VÄSTMANLANDS LÄN</t>
        </is>
      </c>
      <c r="E2383" t="inlineStr">
        <is>
          <t>SALA</t>
        </is>
      </c>
      <c r="G2383" t="n">
        <v>5.8</v>
      </c>
      <c r="H2383" t="n">
        <v>0</v>
      </c>
      <c r="I2383" t="n">
        <v>0</v>
      </c>
      <c r="J2383" t="n">
        <v>0</v>
      </c>
      <c r="K2383" t="n">
        <v>0</v>
      </c>
      <c r="L2383" t="n">
        <v>0</v>
      </c>
      <c r="M2383" t="n">
        <v>0</v>
      </c>
      <c r="N2383" t="n">
        <v>0</v>
      </c>
      <c r="O2383" t="n">
        <v>0</v>
      </c>
      <c r="P2383" t="n">
        <v>0</v>
      </c>
      <c r="Q2383" t="n">
        <v>0</v>
      </c>
      <c r="R2383" s="2" t="inlineStr"/>
    </row>
    <row r="2384" ht="15" customHeight="1">
      <c r="A2384" t="inlineStr">
        <is>
          <t>A 31394-2022</t>
        </is>
      </c>
      <c r="B2384" s="1" t="n">
        <v>44774</v>
      </c>
      <c r="C2384" s="1" t="n">
        <v>45724</v>
      </c>
      <c r="D2384" t="inlineStr">
        <is>
          <t>VÄSTMANLANDS LÄN</t>
        </is>
      </c>
      <c r="E2384" t="inlineStr">
        <is>
          <t>SALA</t>
        </is>
      </c>
      <c r="G2384" t="n">
        <v>1.9</v>
      </c>
      <c r="H2384" t="n">
        <v>0</v>
      </c>
      <c r="I2384" t="n">
        <v>0</v>
      </c>
      <c r="J2384" t="n">
        <v>0</v>
      </c>
      <c r="K2384" t="n">
        <v>0</v>
      </c>
      <c r="L2384" t="n">
        <v>0</v>
      </c>
      <c r="M2384" t="n">
        <v>0</v>
      </c>
      <c r="N2384" t="n">
        <v>0</v>
      </c>
      <c r="O2384" t="n">
        <v>0</v>
      </c>
      <c r="P2384" t="n">
        <v>0</v>
      </c>
      <c r="Q2384" t="n">
        <v>0</v>
      </c>
      <c r="R2384" s="2" t="inlineStr"/>
    </row>
    <row r="2385" ht="15" customHeight="1">
      <c r="A2385" t="inlineStr">
        <is>
          <t>A 31578-2022</t>
        </is>
      </c>
      <c r="B2385" s="1" t="n">
        <v>44775</v>
      </c>
      <c r="C2385" s="1" t="n">
        <v>45724</v>
      </c>
      <c r="D2385" t="inlineStr">
        <is>
          <t>VÄSTMANLANDS LÄN</t>
        </is>
      </c>
      <c r="E2385" t="inlineStr">
        <is>
          <t>VÄSTERÅS</t>
        </is>
      </c>
      <c r="F2385" t="inlineStr">
        <is>
          <t>Kommuner</t>
        </is>
      </c>
      <c r="G2385" t="n">
        <v>2.3</v>
      </c>
      <c r="H2385" t="n">
        <v>0</v>
      </c>
      <c r="I2385" t="n">
        <v>0</v>
      </c>
      <c r="J2385" t="n">
        <v>0</v>
      </c>
      <c r="K2385" t="n">
        <v>0</v>
      </c>
      <c r="L2385" t="n">
        <v>0</v>
      </c>
      <c r="M2385" t="n">
        <v>0</v>
      </c>
      <c r="N2385" t="n">
        <v>0</v>
      </c>
      <c r="O2385" t="n">
        <v>0</v>
      </c>
      <c r="P2385" t="n">
        <v>0</v>
      </c>
      <c r="Q2385" t="n">
        <v>0</v>
      </c>
      <c r="R2385" s="2" t="inlineStr"/>
    </row>
    <row r="2386" ht="15" customHeight="1">
      <c r="A2386" t="inlineStr">
        <is>
          <t>A 31831-2022</t>
        </is>
      </c>
      <c r="B2386" s="1" t="n">
        <v>44776</v>
      </c>
      <c r="C2386" s="1" t="n">
        <v>45724</v>
      </c>
      <c r="D2386" t="inlineStr">
        <is>
          <t>VÄSTMANLANDS LÄN</t>
        </is>
      </c>
      <c r="E2386" t="inlineStr">
        <is>
          <t>FAGERSTA</t>
        </is>
      </c>
      <c r="G2386" t="n">
        <v>2.4</v>
      </c>
      <c r="H2386" t="n">
        <v>0</v>
      </c>
      <c r="I2386" t="n">
        <v>0</v>
      </c>
      <c r="J2386" t="n">
        <v>0</v>
      </c>
      <c r="K2386" t="n">
        <v>0</v>
      </c>
      <c r="L2386" t="n">
        <v>0</v>
      </c>
      <c r="M2386" t="n">
        <v>0</v>
      </c>
      <c r="N2386" t="n">
        <v>0</v>
      </c>
      <c r="O2386" t="n">
        <v>0</v>
      </c>
      <c r="P2386" t="n">
        <v>0</v>
      </c>
      <c r="Q2386" t="n">
        <v>0</v>
      </c>
      <c r="R2386" s="2" t="inlineStr"/>
    </row>
    <row r="2387" ht="15" customHeight="1">
      <c r="A2387" t="inlineStr">
        <is>
          <t>A 31883-2022</t>
        </is>
      </c>
      <c r="B2387" s="1" t="n">
        <v>44777</v>
      </c>
      <c r="C2387" s="1" t="n">
        <v>45724</v>
      </c>
      <c r="D2387" t="inlineStr">
        <is>
          <t>VÄSTMANLANDS LÄN</t>
        </is>
      </c>
      <c r="E2387" t="inlineStr">
        <is>
          <t>KUNGSÖR</t>
        </is>
      </c>
      <c r="G2387" t="n">
        <v>1.5</v>
      </c>
      <c r="H2387" t="n">
        <v>0</v>
      </c>
      <c r="I2387" t="n">
        <v>0</v>
      </c>
      <c r="J2387" t="n">
        <v>0</v>
      </c>
      <c r="K2387" t="n">
        <v>0</v>
      </c>
      <c r="L2387" t="n">
        <v>0</v>
      </c>
      <c r="M2387" t="n">
        <v>0</v>
      </c>
      <c r="N2387" t="n">
        <v>0</v>
      </c>
      <c r="O2387" t="n">
        <v>0</v>
      </c>
      <c r="P2387" t="n">
        <v>0</v>
      </c>
      <c r="Q2387" t="n">
        <v>0</v>
      </c>
      <c r="R2387" s="2" t="inlineStr"/>
    </row>
    <row r="2388" ht="15" customHeight="1">
      <c r="A2388" t="inlineStr">
        <is>
          <t>A 32249-2022</t>
        </is>
      </c>
      <c r="B2388" s="1" t="n">
        <v>44781</v>
      </c>
      <c r="C2388" s="1" t="n">
        <v>45724</v>
      </c>
      <c r="D2388" t="inlineStr">
        <is>
          <t>VÄSTMANLANDS LÄN</t>
        </is>
      </c>
      <c r="E2388" t="inlineStr">
        <is>
          <t>FAGERSTA</t>
        </is>
      </c>
      <c r="F2388" t="inlineStr">
        <is>
          <t>Kommuner</t>
        </is>
      </c>
      <c r="G2388" t="n">
        <v>22.9</v>
      </c>
      <c r="H2388" t="n">
        <v>0</v>
      </c>
      <c r="I2388" t="n">
        <v>0</v>
      </c>
      <c r="J2388" t="n">
        <v>0</v>
      </c>
      <c r="K2388" t="n">
        <v>0</v>
      </c>
      <c r="L2388" t="n">
        <v>0</v>
      </c>
      <c r="M2388" t="n">
        <v>0</v>
      </c>
      <c r="N2388" t="n">
        <v>0</v>
      </c>
      <c r="O2388" t="n">
        <v>0</v>
      </c>
      <c r="P2388" t="n">
        <v>0</v>
      </c>
      <c r="Q2388" t="n">
        <v>0</v>
      </c>
      <c r="R2388" s="2" t="inlineStr"/>
    </row>
    <row r="2389" ht="15" customHeight="1">
      <c r="A2389" t="inlineStr">
        <is>
          <t>A 32224-2022</t>
        </is>
      </c>
      <c r="B2389" s="1" t="n">
        <v>44781</v>
      </c>
      <c r="C2389" s="1" t="n">
        <v>45724</v>
      </c>
      <c r="D2389" t="inlineStr">
        <is>
          <t>VÄSTMANLANDS LÄN</t>
        </is>
      </c>
      <c r="E2389" t="inlineStr">
        <is>
          <t>ARBOGA</t>
        </is>
      </c>
      <c r="G2389" t="n">
        <v>1</v>
      </c>
      <c r="H2389" t="n">
        <v>0</v>
      </c>
      <c r="I2389" t="n">
        <v>0</v>
      </c>
      <c r="J2389" t="n">
        <v>0</v>
      </c>
      <c r="K2389" t="n">
        <v>0</v>
      </c>
      <c r="L2389" t="n">
        <v>0</v>
      </c>
      <c r="M2389" t="n">
        <v>0</v>
      </c>
      <c r="N2389" t="n">
        <v>0</v>
      </c>
      <c r="O2389" t="n">
        <v>0</v>
      </c>
      <c r="P2389" t="n">
        <v>0</v>
      </c>
      <c r="Q2389" t="n">
        <v>0</v>
      </c>
      <c r="R2389" s="2" t="inlineStr"/>
    </row>
    <row r="2390" ht="15" customHeight="1">
      <c r="A2390" t="inlineStr">
        <is>
          <t>A 32475-2022</t>
        </is>
      </c>
      <c r="B2390" s="1" t="n">
        <v>44782</v>
      </c>
      <c r="C2390" s="1" t="n">
        <v>45724</v>
      </c>
      <c r="D2390" t="inlineStr">
        <is>
          <t>VÄSTMANLANDS LÄN</t>
        </is>
      </c>
      <c r="E2390" t="inlineStr">
        <is>
          <t>SURAHAMMAR</t>
        </is>
      </c>
      <c r="F2390" t="inlineStr">
        <is>
          <t>Bergvik skog väst AB</t>
        </is>
      </c>
      <c r="G2390" t="n">
        <v>2.1</v>
      </c>
      <c r="H2390" t="n">
        <v>0</v>
      </c>
      <c r="I2390" t="n">
        <v>0</v>
      </c>
      <c r="J2390" t="n">
        <v>0</v>
      </c>
      <c r="K2390" t="n">
        <v>0</v>
      </c>
      <c r="L2390" t="n">
        <v>0</v>
      </c>
      <c r="M2390" t="n">
        <v>0</v>
      </c>
      <c r="N2390" t="n">
        <v>0</v>
      </c>
      <c r="O2390" t="n">
        <v>0</v>
      </c>
      <c r="P2390" t="n">
        <v>0</v>
      </c>
      <c r="Q2390" t="n">
        <v>0</v>
      </c>
      <c r="R2390" s="2" t="inlineStr"/>
    </row>
    <row r="2391" ht="15" customHeight="1">
      <c r="A2391" t="inlineStr">
        <is>
          <t>A 32491-2022</t>
        </is>
      </c>
      <c r="B2391" s="1" t="n">
        <v>44782</v>
      </c>
      <c r="C2391" s="1" t="n">
        <v>45724</v>
      </c>
      <c r="D2391" t="inlineStr">
        <is>
          <t>VÄSTMANLANDS LÄN</t>
        </is>
      </c>
      <c r="E2391" t="inlineStr">
        <is>
          <t>SURAHAMMAR</t>
        </is>
      </c>
      <c r="F2391" t="inlineStr">
        <is>
          <t>Bergvik skog väst AB</t>
        </is>
      </c>
      <c r="G2391" t="n">
        <v>1.5</v>
      </c>
      <c r="H2391" t="n">
        <v>0</v>
      </c>
      <c r="I2391" t="n">
        <v>0</v>
      </c>
      <c r="J2391" t="n">
        <v>0</v>
      </c>
      <c r="K2391" t="n">
        <v>0</v>
      </c>
      <c r="L2391" t="n">
        <v>0</v>
      </c>
      <c r="M2391" t="n">
        <v>0</v>
      </c>
      <c r="N2391" t="n">
        <v>0</v>
      </c>
      <c r="O2391" t="n">
        <v>0</v>
      </c>
      <c r="P2391" t="n">
        <v>0</v>
      </c>
      <c r="Q2391" t="n">
        <v>0</v>
      </c>
      <c r="R2391" s="2" t="inlineStr"/>
    </row>
    <row r="2392" ht="15" customHeight="1">
      <c r="A2392" t="inlineStr">
        <is>
          <t>A 32492-2022</t>
        </is>
      </c>
      <c r="B2392" s="1" t="n">
        <v>44782</v>
      </c>
      <c r="C2392" s="1" t="n">
        <v>45724</v>
      </c>
      <c r="D2392" t="inlineStr">
        <is>
          <t>VÄSTMANLANDS LÄN</t>
        </is>
      </c>
      <c r="E2392" t="inlineStr">
        <is>
          <t>SURAHAMMAR</t>
        </is>
      </c>
      <c r="F2392" t="inlineStr">
        <is>
          <t>Bergvik skog väst AB</t>
        </is>
      </c>
      <c r="G2392" t="n">
        <v>5.3</v>
      </c>
      <c r="H2392" t="n">
        <v>0</v>
      </c>
      <c r="I2392" t="n">
        <v>0</v>
      </c>
      <c r="J2392" t="n">
        <v>0</v>
      </c>
      <c r="K2392" t="n">
        <v>0</v>
      </c>
      <c r="L2392" t="n">
        <v>0</v>
      </c>
      <c r="M2392" t="n">
        <v>0</v>
      </c>
      <c r="N2392" t="n">
        <v>0</v>
      </c>
      <c r="O2392" t="n">
        <v>0</v>
      </c>
      <c r="P2392" t="n">
        <v>0</v>
      </c>
      <c r="Q2392" t="n">
        <v>0</v>
      </c>
      <c r="R2392" s="2" t="inlineStr"/>
    </row>
    <row r="2393" ht="15" customHeight="1">
      <c r="A2393" t="inlineStr">
        <is>
          <t>A 33156-2022</t>
        </is>
      </c>
      <c r="B2393" s="1" t="n">
        <v>44785</v>
      </c>
      <c r="C2393" s="1" t="n">
        <v>45724</v>
      </c>
      <c r="D2393" t="inlineStr">
        <is>
          <t>VÄSTMANLANDS LÄN</t>
        </is>
      </c>
      <c r="E2393" t="inlineStr">
        <is>
          <t>KÖPING</t>
        </is>
      </c>
      <c r="F2393" t="inlineStr">
        <is>
          <t>Sveaskog</t>
        </is>
      </c>
      <c r="G2393" t="n">
        <v>2.7</v>
      </c>
      <c r="H2393" t="n">
        <v>0</v>
      </c>
      <c r="I2393" t="n">
        <v>0</v>
      </c>
      <c r="J2393" t="n">
        <v>0</v>
      </c>
      <c r="K2393" t="n">
        <v>0</v>
      </c>
      <c r="L2393" t="n">
        <v>0</v>
      </c>
      <c r="M2393" t="n">
        <v>0</v>
      </c>
      <c r="N2393" t="n">
        <v>0</v>
      </c>
      <c r="O2393" t="n">
        <v>0</v>
      </c>
      <c r="P2393" t="n">
        <v>0</v>
      </c>
      <c r="Q2393" t="n">
        <v>0</v>
      </c>
      <c r="R2393" s="2" t="inlineStr"/>
    </row>
    <row r="2394" ht="15" customHeight="1">
      <c r="A2394" t="inlineStr">
        <is>
          <t>A 33176-2022</t>
        </is>
      </c>
      <c r="B2394" s="1" t="n">
        <v>44785</v>
      </c>
      <c r="C2394" s="1" t="n">
        <v>45724</v>
      </c>
      <c r="D2394" t="inlineStr">
        <is>
          <t>VÄSTMANLANDS LÄN</t>
        </is>
      </c>
      <c r="E2394" t="inlineStr">
        <is>
          <t>SKINNSKATTEBERG</t>
        </is>
      </c>
      <c r="F2394" t="inlineStr">
        <is>
          <t>Sveaskog</t>
        </is>
      </c>
      <c r="G2394" t="n">
        <v>1.9</v>
      </c>
      <c r="H2394" t="n">
        <v>0</v>
      </c>
      <c r="I2394" t="n">
        <v>0</v>
      </c>
      <c r="J2394" t="n">
        <v>0</v>
      </c>
      <c r="K2394" t="n">
        <v>0</v>
      </c>
      <c r="L2394" t="n">
        <v>0</v>
      </c>
      <c r="M2394" t="n">
        <v>0</v>
      </c>
      <c r="N2394" t="n">
        <v>0</v>
      </c>
      <c r="O2394" t="n">
        <v>0</v>
      </c>
      <c r="P2394" t="n">
        <v>0</v>
      </c>
      <c r="Q2394" t="n">
        <v>0</v>
      </c>
      <c r="R2394" s="2" t="inlineStr"/>
    </row>
    <row r="2395" ht="15" customHeight="1">
      <c r="A2395" t="inlineStr">
        <is>
          <t>A 33177-2022</t>
        </is>
      </c>
      <c r="B2395" s="1" t="n">
        <v>44785</v>
      </c>
      <c r="C2395" s="1" t="n">
        <v>45724</v>
      </c>
      <c r="D2395" t="inlineStr">
        <is>
          <t>VÄSTMANLANDS LÄN</t>
        </is>
      </c>
      <c r="E2395" t="inlineStr">
        <is>
          <t>SKINNSKATTEBERG</t>
        </is>
      </c>
      <c r="F2395" t="inlineStr">
        <is>
          <t>Sveaskog</t>
        </is>
      </c>
      <c r="G2395" t="n">
        <v>0.9</v>
      </c>
      <c r="H2395" t="n">
        <v>0</v>
      </c>
      <c r="I2395" t="n">
        <v>0</v>
      </c>
      <c r="J2395" t="n">
        <v>0</v>
      </c>
      <c r="K2395" t="n">
        <v>0</v>
      </c>
      <c r="L2395" t="n">
        <v>0</v>
      </c>
      <c r="M2395" t="n">
        <v>0</v>
      </c>
      <c r="N2395" t="n">
        <v>0</v>
      </c>
      <c r="O2395" t="n">
        <v>0</v>
      </c>
      <c r="P2395" t="n">
        <v>0</v>
      </c>
      <c r="Q2395" t="n">
        <v>0</v>
      </c>
      <c r="R2395" s="2" t="inlineStr"/>
    </row>
    <row r="2396" ht="15" customHeight="1">
      <c r="A2396" t="inlineStr">
        <is>
          <t>A 33154-2022</t>
        </is>
      </c>
      <c r="B2396" s="1" t="n">
        <v>44785</v>
      </c>
      <c r="C2396" s="1" t="n">
        <v>45724</v>
      </c>
      <c r="D2396" t="inlineStr">
        <is>
          <t>VÄSTMANLANDS LÄN</t>
        </is>
      </c>
      <c r="E2396" t="inlineStr">
        <is>
          <t>SKINNSKATTEBERG</t>
        </is>
      </c>
      <c r="F2396" t="inlineStr">
        <is>
          <t>Sveaskog</t>
        </is>
      </c>
      <c r="G2396" t="n">
        <v>7.9</v>
      </c>
      <c r="H2396" t="n">
        <v>0</v>
      </c>
      <c r="I2396" t="n">
        <v>0</v>
      </c>
      <c r="J2396" t="n">
        <v>0</v>
      </c>
      <c r="K2396" t="n">
        <v>0</v>
      </c>
      <c r="L2396" t="n">
        <v>0</v>
      </c>
      <c r="M2396" t="n">
        <v>0</v>
      </c>
      <c r="N2396" t="n">
        <v>0</v>
      </c>
      <c r="O2396" t="n">
        <v>0</v>
      </c>
      <c r="P2396" t="n">
        <v>0</v>
      </c>
      <c r="Q2396" t="n">
        <v>0</v>
      </c>
      <c r="R2396" s="2" t="inlineStr"/>
    </row>
    <row r="2397" ht="15" customHeight="1">
      <c r="A2397" t="inlineStr">
        <is>
          <t>A 33179-2022</t>
        </is>
      </c>
      <c r="B2397" s="1" t="n">
        <v>44785</v>
      </c>
      <c r="C2397" s="1" t="n">
        <v>45724</v>
      </c>
      <c r="D2397" t="inlineStr">
        <is>
          <t>VÄSTMANLANDS LÄN</t>
        </is>
      </c>
      <c r="E2397" t="inlineStr">
        <is>
          <t>SKINNSKATTEBERG</t>
        </is>
      </c>
      <c r="F2397" t="inlineStr">
        <is>
          <t>Sveaskog</t>
        </is>
      </c>
      <c r="G2397" t="n">
        <v>2.1</v>
      </c>
      <c r="H2397" t="n">
        <v>0</v>
      </c>
      <c r="I2397" t="n">
        <v>0</v>
      </c>
      <c r="J2397" t="n">
        <v>0</v>
      </c>
      <c r="K2397" t="n">
        <v>0</v>
      </c>
      <c r="L2397" t="n">
        <v>0</v>
      </c>
      <c r="M2397" t="n">
        <v>0</v>
      </c>
      <c r="N2397" t="n">
        <v>0</v>
      </c>
      <c r="O2397" t="n">
        <v>0</v>
      </c>
      <c r="P2397" t="n">
        <v>0</v>
      </c>
      <c r="Q2397" t="n">
        <v>0</v>
      </c>
      <c r="R2397" s="2" t="inlineStr"/>
    </row>
    <row r="2398" ht="15" customHeight="1">
      <c r="A2398" t="inlineStr">
        <is>
          <t>A 33309-2022</t>
        </is>
      </c>
      <c r="B2398" s="1" t="n">
        <v>44788</v>
      </c>
      <c r="C2398" s="1" t="n">
        <v>45724</v>
      </c>
      <c r="D2398" t="inlineStr">
        <is>
          <t>VÄSTMANLANDS LÄN</t>
        </is>
      </c>
      <c r="E2398" t="inlineStr">
        <is>
          <t>SALA</t>
        </is>
      </c>
      <c r="G2398" t="n">
        <v>2.6</v>
      </c>
      <c r="H2398" t="n">
        <v>0</v>
      </c>
      <c r="I2398" t="n">
        <v>0</v>
      </c>
      <c r="J2398" t="n">
        <v>0</v>
      </c>
      <c r="K2398" t="n">
        <v>0</v>
      </c>
      <c r="L2398" t="n">
        <v>0</v>
      </c>
      <c r="M2398" t="n">
        <v>0</v>
      </c>
      <c r="N2398" t="n">
        <v>0</v>
      </c>
      <c r="O2398" t="n">
        <v>0</v>
      </c>
      <c r="P2398" t="n">
        <v>0</v>
      </c>
      <c r="Q2398" t="n">
        <v>0</v>
      </c>
      <c r="R2398" s="2" t="inlineStr"/>
    </row>
    <row r="2399" ht="15" customHeight="1">
      <c r="A2399" t="inlineStr">
        <is>
          <t>A 33433-2022</t>
        </is>
      </c>
      <c r="B2399" s="1" t="n">
        <v>44788</v>
      </c>
      <c r="C2399" s="1" t="n">
        <v>45724</v>
      </c>
      <c r="D2399" t="inlineStr">
        <is>
          <t>VÄSTMANLANDS LÄN</t>
        </is>
      </c>
      <c r="E2399" t="inlineStr">
        <is>
          <t>KÖPING</t>
        </is>
      </c>
      <c r="F2399" t="inlineStr">
        <is>
          <t>Sveaskog</t>
        </is>
      </c>
      <c r="G2399" t="n">
        <v>1.2</v>
      </c>
      <c r="H2399" t="n">
        <v>0</v>
      </c>
      <c r="I2399" t="n">
        <v>0</v>
      </c>
      <c r="J2399" t="n">
        <v>0</v>
      </c>
      <c r="K2399" t="n">
        <v>0</v>
      </c>
      <c r="L2399" t="n">
        <v>0</v>
      </c>
      <c r="M2399" t="n">
        <v>0</v>
      </c>
      <c r="N2399" t="n">
        <v>0</v>
      </c>
      <c r="O2399" t="n">
        <v>0</v>
      </c>
      <c r="P2399" t="n">
        <v>0</v>
      </c>
      <c r="Q2399" t="n">
        <v>0</v>
      </c>
      <c r="R2399" s="2" t="inlineStr"/>
    </row>
    <row r="2400" ht="15" customHeight="1">
      <c r="A2400" t="inlineStr">
        <is>
          <t>A 33600-2022</t>
        </is>
      </c>
      <c r="B2400" s="1" t="n">
        <v>44789</v>
      </c>
      <c r="C2400" s="1" t="n">
        <v>45724</v>
      </c>
      <c r="D2400" t="inlineStr">
        <is>
          <t>VÄSTMANLANDS LÄN</t>
        </is>
      </c>
      <c r="E2400" t="inlineStr">
        <is>
          <t>SKINNSKATTEBERG</t>
        </is>
      </c>
      <c r="G2400" t="n">
        <v>1.5</v>
      </c>
      <c r="H2400" t="n">
        <v>0</v>
      </c>
      <c r="I2400" t="n">
        <v>0</v>
      </c>
      <c r="J2400" t="n">
        <v>0</v>
      </c>
      <c r="K2400" t="n">
        <v>0</v>
      </c>
      <c r="L2400" t="n">
        <v>0</v>
      </c>
      <c r="M2400" t="n">
        <v>0</v>
      </c>
      <c r="N2400" t="n">
        <v>0</v>
      </c>
      <c r="O2400" t="n">
        <v>0</v>
      </c>
      <c r="P2400" t="n">
        <v>0</v>
      </c>
      <c r="Q2400" t="n">
        <v>0</v>
      </c>
      <c r="R2400" s="2" t="inlineStr"/>
    </row>
    <row r="2401" ht="15" customHeight="1">
      <c r="A2401" t="inlineStr">
        <is>
          <t>A 33641-2022</t>
        </is>
      </c>
      <c r="B2401" s="1" t="n">
        <v>44789</v>
      </c>
      <c r="C2401" s="1" t="n">
        <v>45724</v>
      </c>
      <c r="D2401" t="inlineStr">
        <is>
          <t>VÄSTMANLANDS LÄN</t>
        </is>
      </c>
      <c r="E2401" t="inlineStr">
        <is>
          <t>VÄSTERÅS</t>
        </is>
      </c>
      <c r="G2401" t="n">
        <v>1</v>
      </c>
      <c r="H2401" t="n">
        <v>0</v>
      </c>
      <c r="I2401" t="n">
        <v>0</v>
      </c>
      <c r="J2401" t="n">
        <v>0</v>
      </c>
      <c r="K2401" t="n">
        <v>0</v>
      </c>
      <c r="L2401" t="n">
        <v>0</v>
      </c>
      <c r="M2401" t="n">
        <v>0</v>
      </c>
      <c r="N2401" t="n">
        <v>0</v>
      </c>
      <c r="O2401" t="n">
        <v>0</v>
      </c>
      <c r="P2401" t="n">
        <v>0</v>
      </c>
      <c r="Q2401" t="n">
        <v>0</v>
      </c>
      <c r="R2401" s="2" t="inlineStr"/>
    </row>
    <row r="2402" ht="15" customHeight="1">
      <c r="A2402" t="inlineStr">
        <is>
          <t>A 33809-2022</t>
        </is>
      </c>
      <c r="B2402" s="1" t="n">
        <v>44790</v>
      </c>
      <c r="C2402" s="1" t="n">
        <v>45724</v>
      </c>
      <c r="D2402" t="inlineStr">
        <is>
          <t>VÄSTMANLANDS LÄN</t>
        </is>
      </c>
      <c r="E2402" t="inlineStr">
        <is>
          <t>ARBOGA</t>
        </is>
      </c>
      <c r="G2402" t="n">
        <v>2.4</v>
      </c>
      <c r="H2402" t="n">
        <v>0</v>
      </c>
      <c r="I2402" t="n">
        <v>0</v>
      </c>
      <c r="J2402" t="n">
        <v>0</v>
      </c>
      <c r="K2402" t="n">
        <v>0</v>
      </c>
      <c r="L2402" t="n">
        <v>0</v>
      </c>
      <c r="M2402" t="n">
        <v>0</v>
      </c>
      <c r="N2402" t="n">
        <v>0</v>
      </c>
      <c r="O2402" t="n">
        <v>0</v>
      </c>
      <c r="P2402" t="n">
        <v>0</v>
      </c>
      <c r="Q2402" t="n">
        <v>0</v>
      </c>
      <c r="R2402" s="2" t="inlineStr"/>
    </row>
    <row r="2403" ht="15" customHeight="1">
      <c r="A2403" t="inlineStr">
        <is>
          <t>A 33931-2022</t>
        </is>
      </c>
      <c r="B2403" s="1" t="n">
        <v>44790</v>
      </c>
      <c r="C2403" s="1" t="n">
        <v>45724</v>
      </c>
      <c r="D2403" t="inlineStr">
        <is>
          <t>VÄSTMANLANDS LÄN</t>
        </is>
      </c>
      <c r="E2403" t="inlineStr">
        <is>
          <t>SURAHAMMAR</t>
        </is>
      </c>
      <c r="G2403" t="n">
        <v>2.2</v>
      </c>
      <c r="H2403" t="n">
        <v>0</v>
      </c>
      <c r="I2403" t="n">
        <v>0</v>
      </c>
      <c r="J2403" t="n">
        <v>0</v>
      </c>
      <c r="K2403" t="n">
        <v>0</v>
      </c>
      <c r="L2403" t="n">
        <v>0</v>
      </c>
      <c r="M2403" t="n">
        <v>0</v>
      </c>
      <c r="N2403" t="n">
        <v>0</v>
      </c>
      <c r="O2403" t="n">
        <v>0</v>
      </c>
      <c r="P2403" t="n">
        <v>0</v>
      </c>
      <c r="Q2403" t="n">
        <v>0</v>
      </c>
      <c r="R2403" s="2" t="inlineStr"/>
    </row>
    <row r="2404" ht="15" customHeight="1">
      <c r="A2404" t="inlineStr">
        <is>
          <t>A 33946-2022</t>
        </is>
      </c>
      <c r="B2404" s="1" t="n">
        <v>44790</v>
      </c>
      <c r="C2404" s="1" t="n">
        <v>45724</v>
      </c>
      <c r="D2404" t="inlineStr">
        <is>
          <t>VÄSTMANLANDS LÄN</t>
        </is>
      </c>
      <c r="E2404" t="inlineStr">
        <is>
          <t>SURAHAMMAR</t>
        </is>
      </c>
      <c r="G2404" t="n">
        <v>2.3</v>
      </c>
      <c r="H2404" t="n">
        <v>0</v>
      </c>
      <c r="I2404" t="n">
        <v>0</v>
      </c>
      <c r="J2404" t="n">
        <v>0</v>
      </c>
      <c r="K2404" t="n">
        <v>0</v>
      </c>
      <c r="L2404" t="n">
        <v>0</v>
      </c>
      <c r="M2404" t="n">
        <v>0</v>
      </c>
      <c r="N2404" t="n">
        <v>0</v>
      </c>
      <c r="O2404" t="n">
        <v>0</v>
      </c>
      <c r="P2404" t="n">
        <v>0</v>
      </c>
      <c r="Q2404" t="n">
        <v>0</v>
      </c>
      <c r="R2404" s="2" t="inlineStr"/>
    </row>
    <row r="2405" ht="15" customHeight="1">
      <c r="A2405" t="inlineStr">
        <is>
          <t>A 33953-2022</t>
        </is>
      </c>
      <c r="B2405" s="1" t="n">
        <v>44790</v>
      </c>
      <c r="C2405" s="1" t="n">
        <v>45724</v>
      </c>
      <c r="D2405" t="inlineStr">
        <is>
          <t>VÄSTMANLANDS LÄN</t>
        </is>
      </c>
      <c r="E2405" t="inlineStr">
        <is>
          <t>SURAHAMMAR</t>
        </is>
      </c>
      <c r="G2405" t="n">
        <v>3</v>
      </c>
      <c r="H2405" t="n">
        <v>0</v>
      </c>
      <c r="I2405" t="n">
        <v>0</v>
      </c>
      <c r="J2405" t="n">
        <v>0</v>
      </c>
      <c r="K2405" t="n">
        <v>0</v>
      </c>
      <c r="L2405" t="n">
        <v>0</v>
      </c>
      <c r="M2405" t="n">
        <v>0</v>
      </c>
      <c r="N2405" t="n">
        <v>0</v>
      </c>
      <c r="O2405" t="n">
        <v>0</v>
      </c>
      <c r="P2405" t="n">
        <v>0</v>
      </c>
      <c r="Q2405" t="n">
        <v>0</v>
      </c>
      <c r="R2405" s="2" t="inlineStr"/>
    </row>
    <row r="2406" ht="15" customHeight="1">
      <c r="A2406" t="inlineStr">
        <is>
          <t>A 34073-2022</t>
        </is>
      </c>
      <c r="B2406" s="1" t="n">
        <v>44791</v>
      </c>
      <c r="C2406" s="1" t="n">
        <v>45724</v>
      </c>
      <c r="D2406" t="inlineStr">
        <is>
          <t>VÄSTMANLANDS LÄN</t>
        </is>
      </c>
      <c r="E2406" t="inlineStr">
        <is>
          <t>VÄSTERÅS</t>
        </is>
      </c>
      <c r="G2406" t="n">
        <v>2.2</v>
      </c>
      <c r="H2406" t="n">
        <v>0</v>
      </c>
      <c r="I2406" t="n">
        <v>0</v>
      </c>
      <c r="J2406" t="n">
        <v>0</v>
      </c>
      <c r="K2406" t="n">
        <v>0</v>
      </c>
      <c r="L2406" t="n">
        <v>0</v>
      </c>
      <c r="M2406" t="n">
        <v>0</v>
      </c>
      <c r="N2406" t="n">
        <v>0</v>
      </c>
      <c r="O2406" t="n">
        <v>0</v>
      </c>
      <c r="P2406" t="n">
        <v>0</v>
      </c>
      <c r="Q2406" t="n">
        <v>0</v>
      </c>
      <c r="R2406" s="2" t="inlineStr"/>
    </row>
    <row r="2407" ht="15" customHeight="1">
      <c r="A2407" t="inlineStr">
        <is>
          <t>A 34110-2022</t>
        </is>
      </c>
      <c r="B2407" s="1" t="n">
        <v>44791</v>
      </c>
      <c r="C2407" s="1" t="n">
        <v>45724</v>
      </c>
      <c r="D2407" t="inlineStr">
        <is>
          <t>VÄSTMANLANDS LÄN</t>
        </is>
      </c>
      <c r="E2407" t="inlineStr">
        <is>
          <t>SALA</t>
        </is>
      </c>
      <c r="G2407" t="n">
        <v>0.2</v>
      </c>
      <c r="H2407" t="n">
        <v>0</v>
      </c>
      <c r="I2407" t="n">
        <v>0</v>
      </c>
      <c r="J2407" t="n">
        <v>0</v>
      </c>
      <c r="K2407" t="n">
        <v>0</v>
      </c>
      <c r="L2407" t="n">
        <v>0</v>
      </c>
      <c r="M2407" t="n">
        <v>0</v>
      </c>
      <c r="N2407" t="n">
        <v>0</v>
      </c>
      <c r="O2407" t="n">
        <v>0</v>
      </c>
      <c r="P2407" t="n">
        <v>0</v>
      </c>
      <c r="Q2407" t="n">
        <v>0</v>
      </c>
      <c r="R2407" s="2" t="inlineStr"/>
    </row>
    <row r="2408" ht="15" customHeight="1">
      <c r="A2408" t="inlineStr">
        <is>
          <t>A 34461-2022</t>
        </is>
      </c>
      <c r="B2408" s="1" t="n">
        <v>44792</v>
      </c>
      <c r="C2408" s="1" t="n">
        <v>45724</v>
      </c>
      <c r="D2408" t="inlineStr">
        <is>
          <t>VÄSTMANLANDS LÄN</t>
        </is>
      </c>
      <c r="E2408" t="inlineStr">
        <is>
          <t>VÄSTERÅS</t>
        </is>
      </c>
      <c r="G2408" t="n">
        <v>9.6</v>
      </c>
      <c r="H2408" t="n">
        <v>0</v>
      </c>
      <c r="I2408" t="n">
        <v>0</v>
      </c>
      <c r="J2408" t="n">
        <v>0</v>
      </c>
      <c r="K2408" t="n">
        <v>0</v>
      </c>
      <c r="L2408" t="n">
        <v>0</v>
      </c>
      <c r="M2408" t="n">
        <v>0</v>
      </c>
      <c r="N2408" t="n">
        <v>0</v>
      </c>
      <c r="O2408" t="n">
        <v>0</v>
      </c>
      <c r="P2408" t="n">
        <v>0</v>
      </c>
      <c r="Q2408" t="n">
        <v>0</v>
      </c>
      <c r="R2408" s="2" t="inlineStr"/>
    </row>
    <row r="2409" ht="15" customHeight="1">
      <c r="A2409" t="inlineStr">
        <is>
          <t>A 34468-2022</t>
        </is>
      </c>
      <c r="B2409" s="1" t="n">
        <v>44792</v>
      </c>
      <c r="C2409" s="1" t="n">
        <v>45724</v>
      </c>
      <c r="D2409" t="inlineStr">
        <is>
          <t>VÄSTMANLANDS LÄN</t>
        </is>
      </c>
      <c r="E2409" t="inlineStr">
        <is>
          <t>SALA</t>
        </is>
      </c>
      <c r="F2409" t="inlineStr">
        <is>
          <t>Kommuner</t>
        </is>
      </c>
      <c r="G2409" t="n">
        <v>1</v>
      </c>
      <c r="H2409" t="n">
        <v>0</v>
      </c>
      <c r="I2409" t="n">
        <v>0</v>
      </c>
      <c r="J2409" t="n">
        <v>0</v>
      </c>
      <c r="K2409" t="n">
        <v>0</v>
      </c>
      <c r="L2409" t="n">
        <v>0</v>
      </c>
      <c r="M2409" t="n">
        <v>0</v>
      </c>
      <c r="N2409" t="n">
        <v>0</v>
      </c>
      <c r="O2409" t="n">
        <v>0</v>
      </c>
      <c r="P2409" t="n">
        <v>0</v>
      </c>
      <c r="Q2409" t="n">
        <v>0</v>
      </c>
      <c r="R2409" s="2" t="inlineStr"/>
    </row>
    <row r="2410" ht="15" customHeight="1">
      <c r="A2410" t="inlineStr">
        <is>
          <t>A 34733-2022</t>
        </is>
      </c>
      <c r="B2410" s="1" t="n">
        <v>44795</v>
      </c>
      <c r="C2410" s="1" t="n">
        <v>45724</v>
      </c>
      <c r="D2410" t="inlineStr">
        <is>
          <t>VÄSTMANLANDS LÄN</t>
        </is>
      </c>
      <c r="E2410" t="inlineStr">
        <is>
          <t>FAGERSTA</t>
        </is>
      </c>
      <c r="G2410" t="n">
        <v>1.3</v>
      </c>
      <c r="H2410" t="n">
        <v>0</v>
      </c>
      <c r="I2410" t="n">
        <v>0</v>
      </c>
      <c r="J2410" t="n">
        <v>0</v>
      </c>
      <c r="K2410" t="n">
        <v>0</v>
      </c>
      <c r="L2410" t="n">
        <v>0</v>
      </c>
      <c r="M2410" t="n">
        <v>0</v>
      </c>
      <c r="N2410" t="n">
        <v>0</v>
      </c>
      <c r="O2410" t="n">
        <v>0</v>
      </c>
      <c r="P2410" t="n">
        <v>0</v>
      </c>
      <c r="Q2410" t="n">
        <v>0</v>
      </c>
      <c r="R2410" s="2" t="inlineStr"/>
    </row>
    <row r="2411" ht="15" customHeight="1">
      <c r="A2411" t="inlineStr">
        <is>
          <t>A 34737-2022</t>
        </is>
      </c>
      <c r="B2411" s="1" t="n">
        <v>44795</v>
      </c>
      <c r="C2411" s="1" t="n">
        <v>45724</v>
      </c>
      <c r="D2411" t="inlineStr">
        <is>
          <t>VÄSTMANLANDS LÄN</t>
        </is>
      </c>
      <c r="E2411" t="inlineStr">
        <is>
          <t>SALA</t>
        </is>
      </c>
      <c r="G2411" t="n">
        <v>1.3</v>
      </c>
      <c r="H2411" t="n">
        <v>0</v>
      </c>
      <c r="I2411" t="n">
        <v>0</v>
      </c>
      <c r="J2411" t="n">
        <v>0</v>
      </c>
      <c r="K2411" t="n">
        <v>0</v>
      </c>
      <c r="L2411" t="n">
        <v>0</v>
      </c>
      <c r="M2411" t="n">
        <v>0</v>
      </c>
      <c r="N2411" t="n">
        <v>0</v>
      </c>
      <c r="O2411" t="n">
        <v>0</v>
      </c>
      <c r="P2411" t="n">
        <v>0</v>
      </c>
      <c r="Q2411" t="n">
        <v>0</v>
      </c>
      <c r="R2411" s="2" t="inlineStr"/>
    </row>
    <row r="2412" ht="15" customHeight="1">
      <c r="A2412" t="inlineStr">
        <is>
          <t>A 34957-2022</t>
        </is>
      </c>
      <c r="B2412" s="1" t="n">
        <v>44796</v>
      </c>
      <c r="C2412" s="1" t="n">
        <v>45724</v>
      </c>
      <c r="D2412" t="inlineStr">
        <is>
          <t>VÄSTMANLANDS LÄN</t>
        </is>
      </c>
      <c r="E2412" t="inlineStr">
        <is>
          <t>SURAHAMMAR</t>
        </is>
      </c>
      <c r="F2412" t="inlineStr">
        <is>
          <t>Sveaskog</t>
        </is>
      </c>
      <c r="G2412" t="n">
        <v>0.8</v>
      </c>
      <c r="H2412" t="n">
        <v>0</v>
      </c>
      <c r="I2412" t="n">
        <v>0</v>
      </c>
      <c r="J2412" t="n">
        <v>0</v>
      </c>
      <c r="K2412" t="n">
        <v>0</v>
      </c>
      <c r="L2412" t="n">
        <v>0</v>
      </c>
      <c r="M2412" t="n">
        <v>0</v>
      </c>
      <c r="N2412" t="n">
        <v>0</v>
      </c>
      <c r="O2412" t="n">
        <v>0</v>
      </c>
      <c r="P2412" t="n">
        <v>0</v>
      </c>
      <c r="Q2412" t="n">
        <v>0</v>
      </c>
      <c r="R2412" s="2" t="inlineStr"/>
    </row>
    <row r="2413" ht="15" customHeight="1">
      <c r="A2413" t="inlineStr">
        <is>
          <t>A 34955-2022</t>
        </is>
      </c>
      <c r="B2413" s="1" t="n">
        <v>44796</v>
      </c>
      <c r="C2413" s="1" t="n">
        <v>45724</v>
      </c>
      <c r="D2413" t="inlineStr">
        <is>
          <t>VÄSTMANLANDS LÄN</t>
        </is>
      </c>
      <c r="E2413" t="inlineStr">
        <is>
          <t>SURAHAMMAR</t>
        </is>
      </c>
      <c r="F2413" t="inlineStr">
        <is>
          <t>Sveaskog</t>
        </is>
      </c>
      <c r="G2413" t="n">
        <v>4.6</v>
      </c>
      <c r="H2413" t="n">
        <v>0</v>
      </c>
      <c r="I2413" t="n">
        <v>0</v>
      </c>
      <c r="J2413" t="n">
        <v>0</v>
      </c>
      <c r="K2413" t="n">
        <v>0</v>
      </c>
      <c r="L2413" t="n">
        <v>0</v>
      </c>
      <c r="M2413" t="n">
        <v>0</v>
      </c>
      <c r="N2413" t="n">
        <v>0</v>
      </c>
      <c r="O2413" t="n">
        <v>0</v>
      </c>
      <c r="P2413" t="n">
        <v>0</v>
      </c>
      <c r="Q2413" t="n">
        <v>0</v>
      </c>
      <c r="R2413" s="2" t="inlineStr"/>
    </row>
    <row r="2414" ht="15" customHeight="1">
      <c r="A2414" t="inlineStr">
        <is>
          <t>A 34956-2022</t>
        </is>
      </c>
      <c r="B2414" s="1" t="n">
        <v>44796</v>
      </c>
      <c r="C2414" s="1" t="n">
        <v>45724</v>
      </c>
      <c r="D2414" t="inlineStr">
        <is>
          <t>VÄSTMANLANDS LÄN</t>
        </is>
      </c>
      <c r="E2414" t="inlineStr">
        <is>
          <t>SURAHAMMAR</t>
        </is>
      </c>
      <c r="F2414" t="inlineStr">
        <is>
          <t>Sveaskog</t>
        </is>
      </c>
      <c r="G2414" t="n">
        <v>1.7</v>
      </c>
      <c r="H2414" t="n">
        <v>0</v>
      </c>
      <c r="I2414" t="n">
        <v>0</v>
      </c>
      <c r="J2414" t="n">
        <v>0</v>
      </c>
      <c r="K2414" t="n">
        <v>0</v>
      </c>
      <c r="L2414" t="n">
        <v>0</v>
      </c>
      <c r="M2414" t="n">
        <v>0</v>
      </c>
      <c r="N2414" t="n">
        <v>0</v>
      </c>
      <c r="O2414" t="n">
        <v>0</v>
      </c>
      <c r="P2414" t="n">
        <v>0</v>
      </c>
      <c r="Q2414" t="n">
        <v>0</v>
      </c>
      <c r="R2414" s="2" t="inlineStr"/>
    </row>
    <row r="2415" ht="15" customHeight="1">
      <c r="A2415" t="inlineStr">
        <is>
          <t>A 35108-2022</t>
        </is>
      </c>
      <c r="B2415" s="1" t="n">
        <v>44797</v>
      </c>
      <c r="C2415" s="1" t="n">
        <v>45724</v>
      </c>
      <c r="D2415" t="inlineStr">
        <is>
          <t>VÄSTMANLANDS LÄN</t>
        </is>
      </c>
      <c r="E2415" t="inlineStr">
        <is>
          <t>KÖPING</t>
        </is>
      </c>
      <c r="F2415" t="inlineStr">
        <is>
          <t>Sveaskog</t>
        </is>
      </c>
      <c r="G2415" t="n">
        <v>0.6</v>
      </c>
      <c r="H2415" t="n">
        <v>0</v>
      </c>
      <c r="I2415" t="n">
        <v>0</v>
      </c>
      <c r="J2415" t="n">
        <v>0</v>
      </c>
      <c r="K2415" t="n">
        <v>0</v>
      </c>
      <c r="L2415" t="n">
        <v>0</v>
      </c>
      <c r="M2415" t="n">
        <v>0</v>
      </c>
      <c r="N2415" t="n">
        <v>0</v>
      </c>
      <c r="O2415" t="n">
        <v>0</v>
      </c>
      <c r="P2415" t="n">
        <v>0</v>
      </c>
      <c r="Q2415" t="n">
        <v>0</v>
      </c>
      <c r="R2415" s="2" t="inlineStr"/>
    </row>
    <row r="2416" ht="15" customHeight="1">
      <c r="A2416" t="inlineStr">
        <is>
          <t>A 35144-2022</t>
        </is>
      </c>
      <c r="B2416" s="1" t="n">
        <v>44797</v>
      </c>
      <c r="C2416" s="1" t="n">
        <v>45724</v>
      </c>
      <c r="D2416" t="inlineStr">
        <is>
          <t>VÄSTMANLANDS LÄN</t>
        </is>
      </c>
      <c r="E2416" t="inlineStr">
        <is>
          <t>KÖPING</t>
        </is>
      </c>
      <c r="G2416" t="n">
        <v>1.2</v>
      </c>
      <c r="H2416" t="n">
        <v>0</v>
      </c>
      <c r="I2416" t="n">
        <v>0</v>
      </c>
      <c r="J2416" t="n">
        <v>0</v>
      </c>
      <c r="K2416" t="n">
        <v>0</v>
      </c>
      <c r="L2416" t="n">
        <v>0</v>
      </c>
      <c r="M2416" t="n">
        <v>0</v>
      </c>
      <c r="N2416" t="n">
        <v>0</v>
      </c>
      <c r="O2416" t="n">
        <v>0</v>
      </c>
      <c r="P2416" t="n">
        <v>0</v>
      </c>
      <c r="Q2416" t="n">
        <v>0</v>
      </c>
      <c r="R2416" s="2" t="inlineStr"/>
    </row>
    <row r="2417" ht="15" customHeight="1">
      <c r="A2417" t="inlineStr">
        <is>
          <t>A 35410-2022</t>
        </is>
      </c>
      <c r="B2417" s="1" t="n">
        <v>44798</v>
      </c>
      <c r="C2417" s="1" t="n">
        <v>45724</v>
      </c>
      <c r="D2417" t="inlineStr">
        <is>
          <t>VÄSTMANLANDS LÄN</t>
        </is>
      </c>
      <c r="E2417" t="inlineStr">
        <is>
          <t>SALA</t>
        </is>
      </c>
      <c r="G2417" t="n">
        <v>1.6</v>
      </c>
      <c r="H2417" t="n">
        <v>0</v>
      </c>
      <c r="I2417" t="n">
        <v>0</v>
      </c>
      <c r="J2417" t="n">
        <v>0</v>
      </c>
      <c r="K2417" t="n">
        <v>0</v>
      </c>
      <c r="L2417" t="n">
        <v>0</v>
      </c>
      <c r="M2417" t="n">
        <v>0</v>
      </c>
      <c r="N2417" t="n">
        <v>0</v>
      </c>
      <c r="O2417" t="n">
        <v>0</v>
      </c>
      <c r="P2417" t="n">
        <v>0</v>
      </c>
      <c r="Q2417" t="n">
        <v>0</v>
      </c>
      <c r="R2417" s="2" t="inlineStr"/>
    </row>
    <row r="2418" ht="15" customHeight="1">
      <c r="A2418" t="inlineStr">
        <is>
          <t>A 35637-2022</t>
        </is>
      </c>
      <c r="B2418" s="1" t="n">
        <v>44799</v>
      </c>
      <c r="C2418" s="1" t="n">
        <v>45724</v>
      </c>
      <c r="D2418" t="inlineStr">
        <is>
          <t>VÄSTMANLANDS LÄN</t>
        </is>
      </c>
      <c r="E2418" t="inlineStr">
        <is>
          <t>SALA</t>
        </is>
      </c>
      <c r="G2418" t="n">
        <v>1</v>
      </c>
      <c r="H2418" t="n">
        <v>0</v>
      </c>
      <c r="I2418" t="n">
        <v>0</v>
      </c>
      <c r="J2418" t="n">
        <v>0</v>
      </c>
      <c r="K2418" t="n">
        <v>0</v>
      </c>
      <c r="L2418" t="n">
        <v>0</v>
      </c>
      <c r="M2418" t="n">
        <v>0</v>
      </c>
      <c r="N2418" t="n">
        <v>0</v>
      </c>
      <c r="O2418" t="n">
        <v>0</v>
      </c>
      <c r="P2418" t="n">
        <v>0</v>
      </c>
      <c r="Q2418" t="n">
        <v>0</v>
      </c>
      <c r="R2418" s="2" t="inlineStr"/>
    </row>
    <row r="2419" ht="15" customHeight="1">
      <c r="A2419" t="inlineStr">
        <is>
          <t>A 35677-2022</t>
        </is>
      </c>
      <c r="B2419" s="1" t="n">
        <v>44799</v>
      </c>
      <c r="C2419" s="1" t="n">
        <v>45724</v>
      </c>
      <c r="D2419" t="inlineStr">
        <is>
          <t>VÄSTMANLANDS LÄN</t>
        </is>
      </c>
      <c r="E2419" t="inlineStr">
        <is>
          <t>SURAHAMMAR</t>
        </is>
      </c>
      <c r="F2419" t="inlineStr">
        <is>
          <t>Sveaskog</t>
        </is>
      </c>
      <c r="G2419" t="n">
        <v>4.5</v>
      </c>
      <c r="H2419" t="n">
        <v>0</v>
      </c>
      <c r="I2419" t="n">
        <v>0</v>
      </c>
      <c r="J2419" t="n">
        <v>0</v>
      </c>
      <c r="K2419" t="n">
        <v>0</v>
      </c>
      <c r="L2419" t="n">
        <v>0</v>
      </c>
      <c r="M2419" t="n">
        <v>0</v>
      </c>
      <c r="N2419" t="n">
        <v>0</v>
      </c>
      <c r="O2419" t="n">
        <v>0</v>
      </c>
      <c r="P2419" t="n">
        <v>0</v>
      </c>
      <c r="Q2419" t="n">
        <v>0</v>
      </c>
      <c r="R2419" s="2" t="inlineStr"/>
    </row>
    <row r="2420" ht="15" customHeight="1">
      <c r="A2420" t="inlineStr">
        <is>
          <t>A 35682-2022</t>
        </is>
      </c>
      <c r="B2420" s="1" t="n">
        <v>44799</v>
      </c>
      <c r="C2420" s="1" t="n">
        <v>45724</v>
      </c>
      <c r="D2420" t="inlineStr">
        <is>
          <t>VÄSTMANLANDS LÄN</t>
        </is>
      </c>
      <c r="E2420" t="inlineStr">
        <is>
          <t>SURAHAMMAR</t>
        </is>
      </c>
      <c r="F2420" t="inlineStr">
        <is>
          <t>Sveaskog</t>
        </is>
      </c>
      <c r="G2420" t="n">
        <v>1.5</v>
      </c>
      <c r="H2420" t="n">
        <v>0</v>
      </c>
      <c r="I2420" t="n">
        <v>0</v>
      </c>
      <c r="J2420" t="n">
        <v>0</v>
      </c>
      <c r="K2420" t="n">
        <v>0</v>
      </c>
      <c r="L2420" t="n">
        <v>0</v>
      </c>
      <c r="M2420" t="n">
        <v>0</v>
      </c>
      <c r="N2420" t="n">
        <v>0</v>
      </c>
      <c r="O2420" t="n">
        <v>0</v>
      </c>
      <c r="P2420" t="n">
        <v>0</v>
      </c>
      <c r="Q2420" t="n">
        <v>0</v>
      </c>
      <c r="R2420" s="2" t="inlineStr"/>
    </row>
    <row r="2421" ht="15" customHeight="1">
      <c r="A2421" t="inlineStr">
        <is>
          <t>A 35679-2022</t>
        </is>
      </c>
      <c r="B2421" s="1" t="n">
        <v>44799</v>
      </c>
      <c r="C2421" s="1" t="n">
        <v>45724</v>
      </c>
      <c r="D2421" t="inlineStr">
        <is>
          <t>VÄSTMANLANDS LÄN</t>
        </is>
      </c>
      <c r="E2421" t="inlineStr">
        <is>
          <t>SURAHAMMAR</t>
        </is>
      </c>
      <c r="F2421" t="inlineStr">
        <is>
          <t>Sveaskog</t>
        </is>
      </c>
      <c r="G2421" t="n">
        <v>2.2</v>
      </c>
      <c r="H2421" t="n">
        <v>0</v>
      </c>
      <c r="I2421" t="n">
        <v>0</v>
      </c>
      <c r="J2421" t="n">
        <v>0</v>
      </c>
      <c r="K2421" t="n">
        <v>0</v>
      </c>
      <c r="L2421" t="n">
        <v>0</v>
      </c>
      <c r="M2421" t="n">
        <v>0</v>
      </c>
      <c r="N2421" t="n">
        <v>0</v>
      </c>
      <c r="O2421" t="n">
        <v>0</v>
      </c>
      <c r="P2421" t="n">
        <v>0</v>
      </c>
      <c r="Q2421" t="n">
        <v>0</v>
      </c>
      <c r="R2421" s="2" t="inlineStr"/>
    </row>
    <row r="2422" ht="15" customHeight="1">
      <c r="A2422" t="inlineStr">
        <is>
          <t>A 35684-2022</t>
        </is>
      </c>
      <c r="B2422" s="1" t="n">
        <v>44799</v>
      </c>
      <c r="C2422" s="1" t="n">
        <v>45724</v>
      </c>
      <c r="D2422" t="inlineStr">
        <is>
          <t>VÄSTMANLANDS LÄN</t>
        </is>
      </c>
      <c r="E2422" t="inlineStr">
        <is>
          <t>NORBERG</t>
        </is>
      </c>
      <c r="F2422" t="inlineStr">
        <is>
          <t>Sveaskog</t>
        </is>
      </c>
      <c r="G2422" t="n">
        <v>6.8</v>
      </c>
      <c r="H2422" t="n">
        <v>0</v>
      </c>
      <c r="I2422" t="n">
        <v>0</v>
      </c>
      <c r="J2422" t="n">
        <v>0</v>
      </c>
      <c r="K2422" t="n">
        <v>0</v>
      </c>
      <c r="L2422" t="n">
        <v>0</v>
      </c>
      <c r="M2422" t="n">
        <v>0</v>
      </c>
      <c r="N2422" t="n">
        <v>0</v>
      </c>
      <c r="O2422" t="n">
        <v>0</v>
      </c>
      <c r="P2422" t="n">
        <v>0</v>
      </c>
      <c r="Q2422" t="n">
        <v>0</v>
      </c>
      <c r="R2422" s="2" t="inlineStr"/>
    </row>
    <row r="2423" ht="15" customHeight="1">
      <c r="A2423" t="inlineStr">
        <is>
          <t>A 35983-2022</t>
        </is>
      </c>
      <c r="B2423" s="1" t="n">
        <v>44802</v>
      </c>
      <c r="C2423" s="1" t="n">
        <v>45724</v>
      </c>
      <c r="D2423" t="inlineStr">
        <is>
          <t>VÄSTMANLANDS LÄN</t>
        </is>
      </c>
      <c r="E2423" t="inlineStr">
        <is>
          <t>VÄSTERÅS</t>
        </is>
      </c>
      <c r="G2423" t="n">
        <v>5.6</v>
      </c>
      <c r="H2423" t="n">
        <v>0</v>
      </c>
      <c r="I2423" t="n">
        <v>0</v>
      </c>
      <c r="J2423" t="n">
        <v>0</v>
      </c>
      <c r="K2423" t="n">
        <v>0</v>
      </c>
      <c r="L2423" t="n">
        <v>0</v>
      </c>
      <c r="M2423" t="n">
        <v>0</v>
      </c>
      <c r="N2423" t="n">
        <v>0</v>
      </c>
      <c r="O2423" t="n">
        <v>0</v>
      </c>
      <c r="P2423" t="n">
        <v>0</v>
      </c>
      <c r="Q2423" t="n">
        <v>0</v>
      </c>
      <c r="R2423" s="2" t="inlineStr"/>
    </row>
    <row r="2424" ht="15" customHeight="1">
      <c r="A2424" t="inlineStr">
        <is>
          <t>A 36270-2022</t>
        </is>
      </c>
      <c r="B2424" s="1" t="n">
        <v>44803</v>
      </c>
      <c r="C2424" s="1" t="n">
        <v>45724</v>
      </c>
      <c r="D2424" t="inlineStr">
        <is>
          <t>VÄSTMANLANDS LÄN</t>
        </is>
      </c>
      <c r="E2424" t="inlineStr">
        <is>
          <t>SKINNSKATTEBERG</t>
        </is>
      </c>
      <c r="G2424" t="n">
        <v>1.6</v>
      </c>
      <c r="H2424" t="n">
        <v>0</v>
      </c>
      <c r="I2424" t="n">
        <v>0</v>
      </c>
      <c r="J2424" t="n">
        <v>0</v>
      </c>
      <c r="K2424" t="n">
        <v>0</v>
      </c>
      <c r="L2424" t="n">
        <v>0</v>
      </c>
      <c r="M2424" t="n">
        <v>0</v>
      </c>
      <c r="N2424" t="n">
        <v>0</v>
      </c>
      <c r="O2424" t="n">
        <v>0</v>
      </c>
      <c r="P2424" t="n">
        <v>0</v>
      </c>
      <c r="Q2424" t="n">
        <v>0</v>
      </c>
      <c r="R2424" s="2" t="inlineStr"/>
    </row>
    <row r="2425" ht="15" customHeight="1">
      <c r="A2425" t="inlineStr">
        <is>
          <t>A 36288-2022</t>
        </is>
      </c>
      <c r="B2425" s="1" t="n">
        <v>44803</v>
      </c>
      <c r="C2425" s="1" t="n">
        <v>45724</v>
      </c>
      <c r="D2425" t="inlineStr">
        <is>
          <t>VÄSTMANLANDS LÄN</t>
        </is>
      </c>
      <c r="E2425" t="inlineStr">
        <is>
          <t>SKINNSKATTEBERG</t>
        </is>
      </c>
      <c r="G2425" t="n">
        <v>1.5</v>
      </c>
      <c r="H2425" t="n">
        <v>0</v>
      </c>
      <c r="I2425" t="n">
        <v>0</v>
      </c>
      <c r="J2425" t="n">
        <v>0</v>
      </c>
      <c r="K2425" t="n">
        <v>0</v>
      </c>
      <c r="L2425" t="n">
        <v>0</v>
      </c>
      <c r="M2425" t="n">
        <v>0</v>
      </c>
      <c r="N2425" t="n">
        <v>0</v>
      </c>
      <c r="O2425" t="n">
        <v>0</v>
      </c>
      <c r="P2425" t="n">
        <v>0</v>
      </c>
      <c r="Q2425" t="n">
        <v>0</v>
      </c>
      <c r="R2425" s="2" t="inlineStr"/>
    </row>
    <row r="2426" ht="15" customHeight="1">
      <c r="A2426" t="inlineStr">
        <is>
          <t>A 36419-2022</t>
        </is>
      </c>
      <c r="B2426" s="1" t="n">
        <v>44803</v>
      </c>
      <c r="C2426" s="1" t="n">
        <v>45724</v>
      </c>
      <c r="D2426" t="inlineStr">
        <is>
          <t>VÄSTMANLANDS LÄN</t>
        </is>
      </c>
      <c r="E2426" t="inlineStr">
        <is>
          <t>KUNGSÖR</t>
        </is>
      </c>
      <c r="G2426" t="n">
        <v>16.2</v>
      </c>
      <c r="H2426" t="n">
        <v>0</v>
      </c>
      <c r="I2426" t="n">
        <v>0</v>
      </c>
      <c r="J2426" t="n">
        <v>0</v>
      </c>
      <c r="K2426" t="n">
        <v>0</v>
      </c>
      <c r="L2426" t="n">
        <v>0</v>
      </c>
      <c r="M2426" t="n">
        <v>0</v>
      </c>
      <c r="N2426" t="n">
        <v>0</v>
      </c>
      <c r="O2426" t="n">
        <v>0</v>
      </c>
      <c r="P2426" t="n">
        <v>0</v>
      </c>
      <c r="Q2426" t="n">
        <v>0</v>
      </c>
      <c r="R2426" s="2" t="inlineStr"/>
    </row>
    <row r="2427" ht="15" customHeight="1">
      <c r="A2427" t="inlineStr">
        <is>
          <t>A 36504-2022</t>
        </is>
      </c>
      <c r="B2427" s="1" t="n">
        <v>44804</v>
      </c>
      <c r="C2427" s="1" t="n">
        <v>45724</v>
      </c>
      <c r="D2427" t="inlineStr">
        <is>
          <t>VÄSTMANLANDS LÄN</t>
        </is>
      </c>
      <c r="E2427" t="inlineStr">
        <is>
          <t>KÖPING</t>
        </is>
      </c>
      <c r="F2427" t="inlineStr">
        <is>
          <t>Sveaskog</t>
        </is>
      </c>
      <c r="G2427" t="n">
        <v>0.9</v>
      </c>
      <c r="H2427" t="n">
        <v>0</v>
      </c>
      <c r="I2427" t="n">
        <v>0</v>
      </c>
      <c r="J2427" t="n">
        <v>0</v>
      </c>
      <c r="K2427" t="n">
        <v>0</v>
      </c>
      <c r="L2427" t="n">
        <v>0</v>
      </c>
      <c r="M2427" t="n">
        <v>0</v>
      </c>
      <c r="N2427" t="n">
        <v>0</v>
      </c>
      <c r="O2427" t="n">
        <v>0</v>
      </c>
      <c r="P2427" t="n">
        <v>0</v>
      </c>
      <c r="Q2427" t="n">
        <v>0</v>
      </c>
      <c r="R2427" s="2" t="inlineStr"/>
    </row>
    <row r="2428" ht="15" customHeight="1">
      <c r="A2428" t="inlineStr">
        <is>
          <t>A 36838-2022</t>
        </is>
      </c>
      <c r="B2428" s="1" t="n">
        <v>44805</v>
      </c>
      <c r="C2428" s="1" t="n">
        <v>45724</v>
      </c>
      <c r="D2428" t="inlineStr">
        <is>
          <t>VÄSTMANLANDS LÄN</t>
        </is>
      </c>
      <c r="E2428" t="inlineStr">
        <is>
          <t>NORBERG</t>
        </is>
      </c>
      <c r="F2428" t="inlineStr">
        <is>
          <t>Sveaskog</t>
        </is>
      </c>
      <c r="G2428" t="n">
        <v>16.1</v>
      </c>
      <c r="H2428" t="n">
        <v>0</v>
      </c>
      <c r="I2428" t="n">
        <v>0</v>
      </c>
      <c r="J2428" t="n">
        <v>0</v>
      </c>
      <c r="K2428" t="n">
        <v>0</v>
      </c>
      <c r="L2428" t="n">
        <v>0</v>
      </c>
      <c r="M2428" t="n">
        <v>0</v>
      </c>
      <c r="N2428" t="n">
        <v>0</v>
      </c>
      <c r="O2428" t="n">
        <v>0</v>
      </c>
      <c r="P2428" t="n">
        <v>0</v>
      </c>
      <c r="Q2428" t="n">
        <v>0</v>
      </c>
      <c r="R2428" s="2" t="inlineStr"/>
    </row>
    <row r="2429" ht="15" customHeight="1">
      <c r="A2429" t="inlineStr">
        <is>
          <t>A 36836-2022</t>
        </is>
      </c>
      <c r="B2429" s="1" t="n">
        <v>44805</v>
      </c>
      <c r="C2429" s="1" t="n">
        <v>45724</v>
      </c>
      <c r="D2429" t="inlineStr">
        <is>
          <t>VÄSTMANLANDS LÄN</t>
        </is>
      </c>
      <c r="E2429" t="inlineStr">
        <is>
          <t>NORBERG</t>
        </is>
      </c>
      <c r="G2429" t="n">
        <v>5.9</v>
      </c>
      <c r="H2429" t="n">
        <v>0</v>
      </c>
      <c r="I2429" t="n">
        <v>0</v>
      </c>
      <c r="J2429" t="n">
        <v>0</v>
      </c>
      <c r="K2429" t="n">
        <v>0</v>
      </c>
      <c r="L2429" t="n">
        <v>0</v>
      </c>
      <c r="M2429" t="n">
        <v>0</v>
      </c>
      <c r="N2429" t="n">
        <v>0</v>
      </c>
      <c r="O2429" t="n">
        <v>0</v>
      </c>
      <c r="P2429" t="n">
        <v>0</v>
      </c>
      <c r="Q2429" t="n">
        <v>0</v>
      </c>
      <c r="R2429" s="2" t="inlineStr"/>
    </row>
    <row r="2430" ht="15" customHeight="1">
      <c r="A2430" t="inlineStr">
        <is>
          <t>A 36839-2022</t>
        </is>
      </c>
      <c r="B2430" s="1" t="n">
        <v>44805</v>
      </c>
      <c r="C2430" s="1" t="n">
        <v>45724</v>
      </c>
      <c r="D2430" t="inlineStr">
        <is>
          <t>VÄSTMANLANDS LÄN</t>
        </is>
      </c>
      <c r="E2430" t="inlineStr">
        <is>
          <t>NORBERG</t>
        </is>
      </c>
      <c r="F2430" t="inlineStr">
        <is>
          <t>Sveaskog</t>
        </is>
      </c>
      <c r="G2430" t="n">
        <v>2.8</v>
      </c>
      <c r="H2430" t="n">
        <v>0</v>
      </c>
      <c r="I2430" t="n">
        <v>0</v>
      </c>
      <c r="J2430" t="n">
        <v>0</v>
      </c>
      <c r="K2430" t="n">
        <v>0</v>
      </c>
      <c r="L2430" t="n">
        <v>0</v>
      </c>
      <c r="M2430" t="n">
        <v>0</v>
      </c>
      <c r="N2430" t="n">
        <v>0</v>
      </c>
      <c r="O2430" t="n">
        <v>0</v>
      </c>
      <c r="P2430" t="n">
        <v>0</v>
      </c>
      <c r="Q2430" t="n">
        <v>0</v>
      </c>
      <c r="R2430" s="2" t="inlineStr"/>
    </row>
    <row r="2431" ht="15" customHeight="1">
      <c r="A2431" t="inlineStr">
        <is>
          <t>A 37210-2022</t>
        </is>
      </c>
      <c r="B2431" s="1" t="n">
        <v>44806</v>
      </c>
      <c r="C2431" s="1" t="n">
        <v>45724</v>
      </c>
      <c r="D2431" t="inlineStr">
        <is>
          <t>VÄSTMANLANDS LÄN</t>
        </is>
      </c>
      <c r="E2431" t="inlineStr">
        <is>
          <t>SKINNSKATTEBERG</t>
        </is>
      </c>
      <c r="G2431" t="n">
        <v>1.5</v>
      </c>
      <c r="H2431" t="n">
        <v>0</v>
      </c>
      <c r="I2431" t="n">
        <v>0</v>
      </c>
      <c r="J2431" t="n">
        <v>0</v>
      </c>
      <c r="K2431" t="n">
        <v>0</v>
      </c>
      <c r="L2431" t="n">
        <v>0</v>
      </c>
      <c r="M2431" t="n">
        <v>0</v>
      </c>
      <c r="N2431" t="n">
        <v>0</v>
      </c>
      <c r="O2431" t="n">
        <v>0</v>
      </c>
      <c r="P2431" t="n">
        <v>0</v>
      </c>
      <c r="Q2431" t="n">
        <v>0</v>
      </c>
      <c r="R2431" s="2" t="inlineStr"/>
    </row>
    <row r="2432" ht="15" customHeight="1">
      <c r="A2432" t="inlineStr">
        <is>
          <t>A 37447-2022</t>
        </is>
      </c>
      <c r="B2432" s="1" t="n">
        <v>44809</v>
      </c>
      <c r="C2432" s="1" t="n">
        <v>45724</v>
      </c>
      <c r="D2432" t="inlineStr">
        <is>
          <t>VÄSTMANLANDS LÄN</t>
        </is>
      </c>
      <c r="E2432" t="inlineStr">
        <is>
          <t>KÖPING</t>
        </is>
      </c>
      <c r="G2432" t="n">
        <v>7.2</v>
      </c>
      <c r="H2432" t="n">
        <v>0</v>
      </c>
      <c r="I2432" t="n">
        <v>0</v>
      </c>
      <c r="J2432" t="n">
        <v>0</v>
      </c>
      <c r="K2432" t="n">
        <v>0</v>
      </c>
      <c r="L2432" t="n">
        <v>0</v>
      </c>
      <c r="M2432" t="n">
        <v>0</v>
      </c>
      <c r="N2432" t="n">
        <v>0</v>
      </c>
      <c r="O2432" t="n">
        <v>0</v>
      </c>
      <c r="P2432" t="n">
        <v>0</v>
      </c>
      <c r="Q2432" t="n">
        <v>0</v>
      </c>
      <c r="R2432" s="2" t="inlineStr"/>
    </row>
    <row r="2433" ht="15" customHeight="1">
      <c r="A2433" t="inlineStr">
        <is>
          <t>A 37686-2022</t>
        </is>
      </c>
      <c r="B2433" s="1" t="n">
        <v>44810</v>
      </c>
      <c r="C2433" s="1" t="n">
        <v>45724</v>
      </c>
      <c r="D2433" t="inlineStr">
        <is>
          <t>VÄSTMANLANDS LÄN</t>
        </is>
      </c>
      <c r="E2433" t="inlineStr">
        <is>
          <t>HALLSTAHAMMAR</t>
        </is>
      </c>
      <c r="G2433" t="n">
        <v>4.2</v>
      </c>
      <c r="H2433" t="n">
        <v>0</v>
      </c>
      <c r="I2433" t="n">
        <v>0</v>
      </c>
      <c r="J2433" t="n">
        <v>0</v>
      </c>
      <c r="K2433" t="n">
        <v>0</v>
      </c>
      <c r="L2433" t="n">
        <v>0</v>
      </c>
      <c r="M2433" t="n">
        <v>0</v>
      </c>
      <c r="N2433" t="n">
        <v>0</v>
      </c>
      <c r="O2433" t="n">
        <v>0</v>
      </c>
      <c r="P2433" t="n">
        <v>0</v>
      </c>
      <c r="Q2433" t="n">
        <v>0</v>
      </c>
      <c r="R2433" s="2" t="inlineStr"/>
    </row>
    <row r="2434" ht="15" customHeight="1">
      <c r="A2434" t="inlineStr">
        <is>
          <t>A 37660-2022</t>
        </is>
      </c>
      <c r="B2434" s="1" t="n">
        <v>44810</v>
      </c>
      <c r="C2434" s="1" t="n">
        <v>45724</v>
      </c>
      <c r="D2434" t="inlineStr">
        <is>
          <t>VÄSTMANLANDS LÄN</t>
        </is>
      </c>
      <c r="E2434" t="inlineStr">
        <is>
          <t>KÖPING</t>
        </is>
      </c>
      <c r="G2434" t="n">
        <v>1.2</v>
      </c>
      <c r="H2434" t="n">
        <v>0</v>
      </c>
      <c r="I2434" t="n">
        <v>0</v>
      </c>
      <c r="J2434" t="n">
        <v>0</v>
      </c>
      <c r="K2434" t="n">
        <v>0</v>
      </c>
      <c r="L2434" t="n">
        <v>0</v>
      </c>
      <c r="M2434" t="n">
        <v>0</v>
      </c>
      <c r="N2434" t="n">
        <v>0</v>
      </c>
      <c r="O2434" t="n">
        <v>0</v>
      </c>
      <c r="P2434" t="n">
        <v>0</v>
      </c>
      <c r="Q2434" t="n">
        <v>0</v>
      </c>
      <c r="R2434" s="2" t="inlineStr"/>
    </row>
    <row r="2435" ht="15" customHeight="1">
      <c r="A2435" t="inlineStr">
        <is>
          <t>A 37730-2022</t>
        </is>
      </c>
      <c r="B2435" s="1" t="n">
        <v>44810</v>
      </c>
      <c r="C2435" s="1" t="n">
        <v>45724</v>
      </c>
      <c r="D2435" t="inlineStr">
        <is>
          <t>VÄSTMANLANDS LÄN</t>
        </is>
      </c>
      <c r="E2435" t="inlineStr">
        <is>
          <t>KÖPING</t>
        </is>
      </c>
      <c r="G2435" t="n">
        <v>2</v>
      </c>
      <c r="H2435" t="n">
        <v>0</v>
      </c>
      <c r="I2435" t="n">
        <v>0</v>
      </c>
      <c r="J2435" t="n">
        <v>0</v>
      </c>
      <c r="K2435" t="n">
        <v>0</v>
      </c>
      <c r="L2435" t="n">
        <v>0</v>
      </c>
      <c r="M2435" t="n">
        <v>0</v>
      </c>
      <c r="N2435" t="n">
        <v>0</v>
      </c>
      <c r="O2435" t="n">
        <v>0</v>
      </c>
      <c r="P2435" t="n">
        <v>0</v>
      </c>
      <c r="Q2435" t="n">
        <v>0</v>
      </c>
      <c r="R2435" s="2" t="inlineStr"/>
    </row>
    <row r="2436" ht="15" customHeight="1">
      <c r="A2436" t="inlineStr">
        <is>
          <t>A 37751-2022</t>
        </is>
      </c>
      <c r="B2436" s="1" t="n">
        <v>44810</v>
      </c>
      <c r="C2436" s="1" t="n">
        <v>45724</v>
      </c>
      <c r="D2436" t="inlineStr">
        <is>
          <t>VÄSTMANLANDS LÄN</t>
        </is>
      </c>
      <c r="E2436" t="inlineStr">
        <is>
          <t>KÖPING</t>
        </is>
      </c>
      <c r="G2436" t="n">
        <v>2.2</v>
      </c>
      <c r="H2436" t="n">
        <v>0</v>
      </c>
      <c r="I2436" t="n">
        <v>0</v>
      </c>
      <c r="J2436" t="n">
        <v>0</v>
      </c>
      <c r="K2436" t="n">
        <v>0</v>
      </c>
      <c r="L2436" t="n">
        <v>0</v>
      </c>
      <c r="M2436" t="n">
        <v>0</v>
      </c>
      <c r="N2436" t="n">
        <v>0</v>
      </c>
      <c r="O2436" t="n">
        <v>0</v>
      </c>
      <c r="P2436" t="n">
        <v>0</v>
      </c>
      <c r="Q2436" t="n">
        <v>0</v>
      </c>
      <c r="R2436" s="2" t="inlineStr"/>
    </row>
    <row r="2437" ht="15" customHeight="1">
      <c r="A2437" t="inlineStr">
        <is>
          <t>A 37776-2022</t>
        </is>
      </c>
      <c r="B2437" s="1" t="n">
        <v>44810</v>
      </c>
      <c r="C2437" s="1" t="n">
        <v>45724</v>
      </c>
      <c r="D2437" t="inlineStr">
        <is>
          <t>VÄSTMANLANDS LÄN</t>
        </is>
      </c>
      <c r="E2437" t="inlineStr">
        <is>
          <t>KÖPING</t>
        </is>
      </c>
      <c r="F2437" t="inlineStr">
        <is>
          <t>Sveaskog</t>
        </is>
      </c>
      <c r="G2437" t="n">
        <v>2.3</v>
      </c>
      <c r="H2437" t="n">
        <v>0</v>
      </c>
      <c r="I2437" t="n">
        <v>0</v>
      </c>
      <c r="J2437" t="n">
        <v>0</v>
      </c>
      <c r="K2437" t="n">
        <v>0</v>
      </c>
      <c r="L2437" t="n">
        <v>0</v>
      </c>
      <c r="M2437" t="n">
        <v>0</v>
      </c>
      <c r="N2437" t="n">
        <v>0</v>
      </c>
      <c r="O2437" t="n">
        <v>0</v>
      </c>
      <c r="P2437" t="n">
        <v>0</v>
      </c>
      <c r="Q2437" t="n">
        <v>0</v>
      </c>
      <c r="R2437" s="2" t="inlineStr"/>
    </row>
    <row r="2438" ht="15" customHeight="1">
      <c r="A2438" t="inlineStr">
        <is>
          <t>A 38081-2022</t>
        </is>
      </c>
      <c r="B2438" s="1" t="n">
        <v>44811</v>
      </c>
      <c r="C2438" s="1" t="n">
        <v>45724</v>
      </c>
      <c r="D2438" t="inlineStr">
        <is>
          <t>VÄSTMANLANDS LÄN</t>
        </is>
      </c>
      <c r="E2438" t="inlineStr">
        <is>
          <t>SALA</t>
        </is>
      </c>
      <c r="G2438" t="n">
        <v>3.4</v>
      </c>
      <c r="H2438" t="n">
        <v>0</v>
      </c>
      <c r="I2438" t="n">
        <v>0</v>
      </c>
      <c r="J2438" t="n">
        <v>0</v>
      </c>
      <c r="K2438" t="n">
        <v>0</v>
      </c>
      <c r="L2438" t="n">
        <v>0</v>
      </c>
      <c r="M2438" t="n">
        <v>0</v>
      </c>
      <c r="N2438" t="n">
        <v>0</v>
      </c>
      <c r="O2438" t="n">
        <v>0</v>
      </c>
      <c r="P2438" t="n">
        <v>0</v>
      </c>
      <c r="Q2438" t="n">
        <v>0</v>
      </c>
      <c r="R2438" s="2" t="inlineStr"/>
    </row>
    <row r="2439" ht="15" customHeight="1">
      <c r="A2439" t="inlineStr">
        <is>
          <t>A 38161-2022</t>
        </is>
      </c>
      <c r="B2439" s="1" t="n">
        <v>44812</v>
      </c>
      <c r="C2439" s="1" t="n">
        <v>45724</v>
      </c>
      <c r="D2439" t="inlineStr">
        <is>
          <t>VÄSTMANLANDS LÄN</t>
        </is>
      </c>
      <c r="E2439" t="inlineStr">
        <is>
          <t>SALA</t>
        </is>
      </c>
      <c r="G2439" t="n">
        <v>3.6</v>
      </c>
      <c r="H2439" t="n">
        <v>0</v>
      </c>
      <c r="I2439" t="n">
        <v>0</v>
      </c>
      <c r="J2439" t="n">
        <v>0</v>
      </c>
      <c r="K2439" t="n">
        <v>0</v>
      </c>
      <c r="L2439" t="n">
        <v>0</v>
      </c>
      <c r="M2439" t="n">
        <v>0</v>
      </c>
      <c r="N2439" t="n">
        <v>0</v>
      </c>
      <c r="O2439" t="n">
        <v>0</v>
      </c>
      <c r="P2439" t="n">
        <v>0</v>
      </c>
      <c r="Q2439" t="n">
        <v>0</v>
      </c>
      <c r="R2439" s="2" t="inlineStr"/>
    </row>
    <row r="2440" ht="15" customHeight="1">
      <c r="A2440" t="inlineStr">
        <is>
          <t>A 38381-2022</t>
        </is>
      </c>
      <c r="B2440" s="1" t="n">
        <v>44812</v>
      </c>
      <c r="C2440" s="1" t="n">
        <v>45724</v>
      </c>
      <c r="D2440" t="inlineStr">
        <is>
          <t>VÄSTMANLANDS LÄN</t>
        </is>
      </c>
      <c r="E2440" t="inlineStr">
        <is>
          <t>VÄSTERÅS</t>
        </is>
      </c>
      <c r="G2440" t="n">
        <v>1.4</v>
      </c>
      <c r="H2440" t="n">
        <v>0</v>
      </c>
      <c r="I2440" t="n">
        <v>0</v>
      </c>
      <c r="J2440" t="n">
        <v>0</v>
      </c>
      <c r="K2440" t="n">
        <v>0</v>
      </c>
      <c r="L2440" t="n">
        <v>0</v>
      </c>
      <c r="M2440" t="n">
        <v>0</v>
      </c>
      <c r="N2440" t="n">
        <v>0</v>
      </c>
      <c r="O2440" t="n">
        <v>0</v>
      </c>
      <c r="P2440" t="n">
        <v>0</v>
      </c>
      <c r="Q2440" t="n">
        <v>0</v>
      </c>
      <c r="R2440" s="2" t="inlineStr"/>
    </row>
    <row r="2441" ht="15" customHeight="1">
      <c r="A2441" t="inlineStr">
        <is>
          <t>A 38555-2022</t>
        </is>
      </c>
      <c r="B2441" s="1" t="n">
        <v>44813</v>
      </c>
      <c r="C2441" s="1" t="n">
        <v>45724</v>
      </c>
      <c r="D2441" t="inlineStr">
        <is>
          <t>VÄSTMANLANDS LÄN</t>
        </is>
      </c>
      <c r="E2441" t="inlineStr">
        <is>
          <t>HALLSTAHAMMAR</t>
        </is>
      </c>
      <c r="G2441" t="n">
        <v>0.8</v>
      </c>
      <c r="H2441" t="n">
        <v>0</v>
      </c>
      <c r="I2441" t="n">
        <v>0</v>
      </c>
      <c r="J2441" t="n">
        <v>0</v>
      </c>
      <c r="K2441" t="n">
        <v>0</v>
      </c>
      <c r="L2441" t="n">
        <v>0</v>
      </c>
      <c r="M2441" t="n">
        <v>0</v>
      </c>
      <c r="N2441" t="n">
        <v>0</v>
      </c>
      <c r="O2441" t="n">
        <v>0</v>
      </c>
      <c r="P2441" t="n">
        <v>0</v>
      </c>
      <c r="Q2441" t="n">
        <v>0</v>
      </c>
      <c r="R2441" s="2" t="inlineStr"/>
    </row>
    <row r="2442" ht="15" customHeight="1">
      <c r="A2442" t="inlineStr">
        <is>
          <t>A 38725-2022</t>
        </is>
      </c>
      <c r="B2442" s="1" t="n">
        <v>44815</v>
      </c>
      <c r="C2442" s="1" t="n">
        <v>45724</v>
      </c>
      <c r="D2442" t="inlineStr">
        <is>
          <t>VÄSTMANLANDS LÄN</t>
        </is>
      </c>
      <c r="E2442" t="inlineStr">
        <is>
          <t>NORBERG</t>
        </is>
      </c>
      <c r="F2442" t="inlineStr">
        <is>
          <t>Sveaskog</t>
        </is>
      </c>
      <c r="G2442" t="n">
        <v>2.3</v>
      </c>
      <c r="H2442" t="n">
        <v>0</v>
      </c>
      <c r="I2442" t="n">
        <v>0</v>
      </c>
      <c r="J2442" t="n">
        <v>0</v>
      </c>
      <c r="K2442" t="n">
        <v>0</v>
      </c>
      <c r="L2442" t="n">
        <v>0</v>
      </c>
      <c r="M2442" t="n">
        <v>0</v>
      </c>
      <c r="N2442" t="n">
        <v>0</v>
      </c>
      <c r="O2442" t="n">
        <v>0</v>
      </c>
      <c r="P2442" t="n">
        <v>0</v>
      </c>
      <c r="Q2442" t="n">
        <v>0</v>
      </c>
      <c r="R2442" s="2" t="inlineStr"/>
    </row>
    <row r="2443" ht="15" customHeight="1">
      <c r="A2443" t="inlineStr">
        <is>
          <t>A 38905-2022</t>
        </is>
      </c>
      <c r="B2443" s="1" t="n">
        <v>44816</v>
      </c>
      <c r="C2443" s="1" t="n">
        <v>45724</v>
      </c>
      <c r="D2443" t="inlineStr">
        <is>
          <t>VÄSTMANLANDS LÄN</t>
        </is>
      </c>
      <c r="E2443" t="inlineStr">
        <is>
          <t>NORBERG</t>
        </is>
      </c>
      <c r="F2443" t="inlineStr">
        <is>
          <t>Sveaskog</t>
        </is>
      </c>
      <c r="G2443" t="n">
        <v>20.5</v>
      </c>
      <c r="H2443" t="n">
        <v>0</v>
      </c>
      <c r="I2443" t="n">
        <v>0</v>
      </c>
      <c r="J2443" t="n">
        <v>0</v>
      </c>
      <c r="K2443" t="n">
        <v>0</v>
      </c>
      <c r="L2443" t="n">
        <v>0</v>
      </c>
      <c r="M2443" t="n">
        <v>0</v>
      </c>
      <c r="N2443" t="n">
        <v>0</v>
      </c>
      <c r="O2443" t="n">
        <v>0</v>
      </c>
      <c r="P2443" t="n">
        <v>0</v>
      </c>
      <c r="Q2443" t="n">
        <v>0</v>
      </c>
      <c r="R2443" s="2" t="inlineStr"/>
    </row>
    <row r="2444" ht="15" customHeight="1">
      <c r="A2444" t="inlineStr">
        <is>
          <t>A 38906-2022</t>
        </is>
      </c>
      <c r="B2444" s="1" t="n">
        <v>44816</v>
      </c>
      <c r="C2444" s="1" t="n">
        <v>45724</v>
      </c>
      <c r="D2444" t="inlineStr">
        <is>
          <t>VÄSTMANLANDS LÄN</t>
        </is>
      </c>
      <c r="E2444" t="inlineStr">
        <is>
          <t>NORBERG</t>
        </is>
      </c>
      <c r="F2444" t="inlineStr">
        <is>
          <t>Sveaskog</t>
        </is>
      </c>
      <c r="G2444" t="n">
        <v>2</v>
      </c>
      <c r="H2444" t="n">
        <v>0</v>
      </c>
      <c r="I2444" t="n">
        <v>0</v>
      </c>
      <c r="J2444" t="n">
        <v>0</v>
      </c>
      <c r="K2444" t="n">
        <v>0</v>
      </c>
      <c r="L2444" t="n">
        <v>0</v>
      </c>
      <c r="M2444" t="n">
        <v>0</v>
      </c>
      <c r="N2444" t="n">
        <v>0</v>
      </c>
      <c r="O2444" t="n">
        <v>0</v>
      </c>
      <c r="P2444" t="n">
        <v>0</v>
      </c>
      <c r="Q2444" t="n">
        <v>0</v>
      </c>
      <c r="R2444" s="2" t="inlineStr"/>
    </row>
    <row r="2445" ht="15" customHeight="1">
      <c r="A2445" t="inlineStr">
        <is>
          <t>A 38903-2022</t>
        </is>
      </c>
      <c r="B2445" s="1" t="n">
        <v>44816</v>
      </c>
      <c r="C2445" s="1" t="n">
        <v>45724</v>
      </c>
      <c r="D2445" t="inlineStr">
        <is>
          <t>VÄSTMANLANDS LÄN</t>
        </is>
      </c>
      <c r="E2445" t="inlineStr">
        <is>
          <t>NORBERG</t>
        </is>
      </c>
      <c r="F2445" t="inlineStr">
        <is>
          <t>Sveaskog</t>
        </is>
      </c>
      <c r="G2445" t="n">
        <v>1.6</v>
      </c>
      <c r="H2445" t="n">
        <v>0</v>
      </c>
      <c r="I2445" t="n">
        <v>0</v>
      </c>
      <c r="J2445" t="n">
        <v>0</v>
      </c>
      <c r="K2445" t="n">
        <v>0</v>
      </c>
      <c r="L2445" t="n">
        <v>0</v>
      </c>
      <c r="M2445" t="n">
        <v>0</v>
      </c>
      <c r="N2445" t="n">
        <v>0</v>
      </c>
      <c r="O2445" t="n">
        <v>0</v>
      </c>
      <c r="P2445" t="n">
        <v>0</v>
      </c>
      <c r="Q2445" t="n">
        <v>0</v>
      </c>
      <c r="R2445" s="2" t="inlineStr"/>
    </row>
    <row r="2446" ht="15" customHeight="1">
      <c r="A2446" t="inlineStr">
        <is>
          <t>A 39127-2022</t>
        </is>
      </c>
      <c r="B2446" s="1" t="n">
        <v>44816</v>
      </c>
      <c r="C2446" s="1" t="n">
        <v>45724</v>
      </c>
      <c r="D2446" t="inlineStr">
        <is>
          <t>VÄSTMANLANDS LÄN</t>
        </is>
      </c>
      <c r="E2446" t="inlineStr">
        <is>
          <t>VÄSTERÅS</t>
        </is>
      </c>
      <c r="G2446" t="n">
        <v>4.5</v>
      </c>
      <c r="H2446" t="n">
        <v>0</v>
      </c>
      <c r="I2446" t="n">
        <v>0</v>
      </c>
      <c r="J2446" t="n">
        <v>0</v>
      </c>
      <c r="K2446" t="n">
        <v>0</v>
      </c>
      <c r="L2446" t="n">
        <v>0</v>
      </c>
      <c r="M2446" t="n">
        <v>0</v>
      </c>
      <c r="N2446" t="n">
        <v>0</v>
      </c>
      <c r="O2446" t="n">
        <v>0</v>
      </c>
      <c r="P2446" t="n">
        <v>0</v>
      </c>
      <c r="Q2446" t="n">
        <v>0</v>
      </c>
      <c r="R2446" s="2" t="inlineStr"/>
    </row>
    <row r="2447" ht="15" customHeight="1">
      <c r="A2447" t="inlineStr">
        <is>
          <t>A 39214-2022</t>
        </is>
      </c>
      <c r="B2447" s="1" t="n">
        <v>44817</v>
      </c>
      <c r="C2447" s="1" t="n">
        <v>45724</v>
      </c>
      <c r="D2447" t="inlineStr">
        <is>
          <t>VÄSTMANLANDS LÄN</t>
        </is>
      </c>
      <c r="E2447" t="inlineStr">
        <is>
          <t>FAGERSTA</t>
        </is>
      </c>
      <c r="G2447" t="n">
        <v>5.5</v>
      </c>
      <c r="H2447" t="n">
        <v>0</v>
      </c>
      <c r="I2447" t="n">
        <v>0</v>
      </c>
      <c r="J2447" t="n">
        <v>0</v>
      </c>
      <c r="K2447" t="n">
        <v>0</v>
      </c>
      <c r="L2447" t="n">
        <v>0</v>
      </c>
      <c r="M2447" t="n">
        <v>0</v>
      </c>
      <c r="N2447" t="n">
        <v>0</v>
      </c>
      <c r="O2447" t="n">
        <v>0</v>
      </c>
      <c r="P2447" t="n">
        <v>0</v>
      </c>
      <c r="Q2447" t="n">
        <v>0</v>
      </c>
      <c r="R2447" s="2" t="inlineStr"/>
    </row>
    <row r="2448" ht="15" customHeight="1">
      <c r="A2448" t="inlineStr">
        <is>
          <t>A 39432-2022</t>
        </is>
      </c>
      <c r="B2448" s="1" t="n">
        <v>44818</v>
      </c>
      <c r="C2448" s="1" t="n">
        <v>45724</v>
      </c>
      <c r="D2448" t="inlineStr">
        <is>
          <t>VÄSTMANLANDS LÄN</t>
        </is>
      </c>
      <c r="E2448" t="inlineStr">
        <is>
          <t>SKINNSKATTEBERG</t>
        </is>
      </c>
      <c r="F2448" t="inlineStr">
        <is>
          <t>Sveaskog</t>
        </is>
      </c>
      <c r="G2448" t="n">
        <v>1.1</v>
      </c>
      <c r="H2448" t="n">
        <v>0</v>
      </c>
      <c r="I2448" t="n">
        <v>0</v>
      </c>
      <c r="J2448" t="n">
        <v>0</v>
      </c>
      <c r="K2448" t="n">
        <v>0</v>
      </c>
      <c r="L2448" t="n">
        <v>0</v>
      </c>
      <c r="M2448" t="n">
        <v>0</v>
      </c>
      <c r="N2448" t="n">
        <v>0</v>
      </c>
      <c r="O2448" t="n">
        <v>0</v>
      </c>
      <c r="P2448" t="n">
        <v>0</v>
      </c>
      <c r="Q2448" t="n">
        <v>0</v>
      </c>
      <c r="R2448" s="2" t="inlineStr"/>
    </row>
    <row r="2449" ht="15" customHeight="1">
      <c r="A2449" t="inlineStr">
        <is>
          <t>A 39451-2022</t>
        </is>
      </c>
      <c r="B2449" s="1" t="n">
        <v>44818</v>
      </c>
      <c r="C2449" s="1" t="n">
        <v>45724</v>
      </c>
      <c r="D2449" t="inlineStr">
        <is>
          <t>VÄSTMANLANDS LÄN</t>
        </is>
      </c>
      <c r="E2449" t="inlineStr">
        <is>
          <t>SALA</t>
        </is>
      </c>
      <c r="G2449" t="n">
        <v>9.4</v>
      </c>
      <c r="H2449" t="n">
        <v>0</v>
      </c>
      <c r="I2449" t="n">
        <v>0</v>
      </c>
      <c r="J2449" t="n">
        <v>0</v>
      </c>
      <c r="K2449" t="n">
        <v>0</v>
      </c>
      <c r="L2449" t="n">
        <v>0</v>
      </c>
      <c r="M2449" t="n">
        <v>0</v>
      </c>
      <c r="N2449" t="n">
        <v>0</v>
      </c>
      <c r="O2449" t="n">
        <v>0</v>
      </c>
      <c r="P2449" t="n">
        <v>0</v>
      </c>
      <c r="Q2449" t="n">
        <v>0</v>
      </c>
      <c r="R2449" s="2" t="inlineStr"/>
    </row>
    <row r="2450" ht="15" customHeight="1">
      <c r="A2450" t="inlineStr">
        <is>
          <t>A 39600-2022</t>
        </is>
      </c>
      <c r="B2450" s="1" t="n">
        <v>44818</v>
      </c>
      <c r="C2450" s="1" t="n">
        <v>45724</v>
      </c>
      <c r="D2450" t="inlineStr">
        <is>
          <t>VÄSTMANLANDS LÄN</t>
        </is>
      </c>
      <c r="E2450" t="inlineStr">
        <is>
          <t>SALA</t>
        </is>
      </c>
      <c r="G2450" t="n">
        <v>0.9</v>
      </c>
      <c r="H2450" t="n">
        <v>0</v>
      </c>
      <c r="I2450" t="n">
        <v>0</v>
      </c>
      <c r="J2450" t="n">
        <v>0</v>
      </c>
      <c r="K2450" t="n">
        <v>0</v>
      </c>
      <c r="L2450" t="n">
        <v>0</v>
      </c>
      <c r="M2450" t="n">
        <v>0</v>
      </c>
      <c r="N2450" t="n">
        <v>0</v>
      </c>
      <c r="O2450" t="n">
        <v>0</v>
      </c>
      <c r="P2450" t="n">
        <v>0</v>
      </c>
      <c r="Q2450" t="n">
        <v>0</v>
      </c>
      <c r="R2450" s="2" t="inlineStr"/>
    </row>
    <row r="2451" ht="15" customHeight="1">
      <c r="A2451" t="inlineStr">
        <is>
          <t>A 39597-2022</t>
        </is>
      </c>
      <c r="B2451" s="1" t="n">
        <v>44818</v>
      </c>
      <c r="C2451" s="1" t="n">
        <v>45724</v>
      </c>
      <c r="D2451" t="inlineStr">
        <is>
          <t>VÄSTMANLANDS LÄN</t>
        </is>
      </c>
      <c r="E2451" t="inlineStr">
        <is>
          <t>SALA</t>
        </is>
      </c>
      <c r="G2451" t="n">
        <v>2.3</v>
      </c>
      <c r="H2451" t="n">
        <v>0</v>
      </c>
      <c r="I2451" t="n">
        <v>0</v>
      </c>
      <c r="J2451" t="n">
        <v>0</v>
      </c>
      <c r="K2451" t="n">
        <v>0</v>
      </c>
      <c r="L2451" t="n">
        <v>0</v>
      </c>
      <c r="M2451" t="n">
        <v>0</v>
      </c>
      <c r="N2451" t="n">
        <v>0</v>
      </c>
      <c r="O2451" t="n">
        <v>0</v>
      </c>
      <c r="P2451" t="n">
        <v>0</v>
      </c>
      <c r="Q2451" t="n">
        <v>0</v>
      </c>
      <c r="R2451" s="2" t="inlineStr"/>
    </row>
    <row r="2452" ht="15" customHeight="1">
      <c r="A2452" t="inlineStr">
        <is>
          <t>A 40094-2022</t>
        </is>
      </c>
      <c r="B2452" s="1" t="n">
        <v>44819</v>
      </c>
      <c r="C2452" s="1" t="n">
        <v>45724</v>
      </c>
      <c r="D2452" t="inlineStr">
        <is>
          <t>VÄSTMANLANDS LÄN</t>
        </is>
      </c>
      <c r="E2452" t="inlineStr">
        <is>
          <t>SALA</t>
        </is>
      </c>
      <c r="G2452" t="n">
        <v>1.7</v>
      </c>
      <c r="H2452" t="n">
        <v>0</v>
      </c>
      <c r="I2452" t="n">
        <v>0</v>
      </c>
      <c r="J2452" t="n">
        <v>0</v>
      </c>
      <c r="K2452" t="n">
        <v>0</v>
      </c>
      <c r="L2452" t="n">
        <v>0</v>
      </c>
      <c r="M2452" t="n">
        <v>0</v>
      </c>
      <c r="N2452" t="n">
        <v>0</v>
      </c>
      <c r="O2452" t="n">
        <v>0</v>
      </c>
      <c r="P2452" t="n">
        <v>0</v>
      </c>
      <c r="Q2452" t="n">
        <v>0</v>
      </c>
      <c r="R2452" s="2" t="inlineStr"/>
    </row>
    <row r="2453" ht="15" customHeight="1">
      <c r="A2453" t="inlineStr">
        <is>
          <t>A 40113-2022</t>
        </is>
      </c>
      <c r="B2453" s="1" t="n">
        <v>44819</v>
      </c>
      <c r="C2453" s="1" t="n">
        <v>45724</v>
      </c>
      <c r="D2453" t="inlineStr">
        <is>
          <t>VÄSTMANLANDS LÄN</t>
        </is>
      </c>
      <c r="E2453" t="inlineStr">
        <is>
          <t>SALA</t>
        </is>
      </c>
      <c r="G2453" t="n">
        <v>0.9</v>
      </c>
      <c r="H2453" t="n">
        <v>0</v>
      </c>
      <c r="I2453" t="n">
        <v>0</v>
      </c>
      <c r="J2453" t="n">
        <v>0</v>
      </c>
      <c r="K2453" t="n">
        <v>0</v>
      </c>
      <c r="L2453" t="n">
        <v>0</v>
      </c>
      <c r="M2453" t="n">
        <v>0</v>
      </c>
      <c r="N2453" t="n">
        <v>0</v>
      </c>
      <c r="O2453" t="n">
        <v>0</v>
      </c>
      <c r="P2453" t="n">
        <v>0</v>
      </c>
      <c r="Q2453" t="n">
        <v>0</v>
      </c>
      <c r="R2453" s="2" t="inlineStr"/>
    </row>
    <row r="2454" ht="15" customHeight="1">
      <c r="A2454" t="inlineStr">
        <is>
          <t>A 40405-2022</t>
        </is>
      </c>
      <c r="B2454" s="1" t="n">
        <v>44823</v>
      </c>
      <c r="C2454" s="1" t="n">
        <v>45724</v>
      </c>
      <c r="D2454" t="inlineStr">
        <is>
          <t>VÄSTMANLANDS LÄN</t>
        </is>
      </c>
      <c r="E2454" t="inlineStr">
        <is>
          <t>SALA</t>
        </is>
      </c>
      <c r="G2454" t="n">
        <v>2.6</v>
      </c>
      <c r="H2454" t="n">
        <v>0</v>
      </c>
      <c r="I2454" t="n">
        <v>0</v>
      </c>
      <c r="J2454" t="n">
        <v>0</v>
      </c>
      <c r="K2454" t="n">
        <v>0</v>
      </c>
      <c r="L2454" t="n">
        <v>0</v>
      </c>
      <c r="M2454" t="n">
        <v>0</v>
      </c>
      <c r="N2454" t="n">
        <v>0</v>
      </c>
      <c r="O2454" t="n">
        <v>0</v>
      </c>
      <c r="P2454" t="n">
        <v>0</v>
      </c>
      <c r="Q2454" t="n">
        <v>0</v>
      </c>
      <c r="R2454" s="2" t="inlineStr"/>
    </row>
    <row r="2455" ht="15" customHeight="1">
      <c r="A2455" t="inlineStr">
        <is>
          <t>A 40499-2022</t>
        </is>
      </c>
      <c r="B2455" s="1" t="n">
        <v>44823</v>
      </c>
      <c r="C2455" s="1" t="n">
        <v>45724</v>
      </c>
      <c r="D2455" t="inlineStr">
        <is>
          <t>VÄSTMANLANDS LÄN</t>
        </is>
      </c>
      <c r="E2455" t="inlineStr">
        <is>
          <t>SKINNSKATTEBERG</t>
        </is>
      </c>
      <c r="G2455" t="n">
        <v>2.5</v>
      </c>
      <c r="H2455" t="n">
        <v>0</v>
      </c>
      <c r="I2455" t="n">
        <v>0</v>
      </c>
      <c r="J2455" t="n">
        <v>0</v>
      </c>
      <c r="K2455" t="n">
        <v>0</v>
      </c>
      <c r="L2455" t="n">
        <v>0</v>
      </c>
      <c r="M2455" t="n">
        <v>0</v>
      </c>
      <c r="N2455" t="n">
        <v>0</v>
      </c>
      <c r="O2455" t="n">
        <v>0</v>
      </c>
      <c r="P2455" t="n">
        <v>0</v>
      </c>
      <c r="Q2455" t="n">
        <v>0</v>
      </c>
      <c r="R2455" s="2" t="inlineStr"/>
    </row>
    <row r="2456" ht="15" customHeight="1">
      <c r="A2456" t="inlineStr">
        <is>
          <t>A 40597-2022</t>
        </is>
      </c>
      <c r="B2456" s="1" t="n">
        <v>44823</v>
      </c>
      <c r="C2456" s="1" t="n">
        <v>45724</v>
      </c>
      <c r="D2456" t="inlineStr">
        <is>
          <t>VÄSTMANLANDS LÄN</t>
        </is>
      </c>
      <c r="E2456" t="inlineStr">
        <is>
          <t>SALA</t>
        </is>
      </c>
      <c r="G2456" t="n">
        <v>3.5</v>
      </c>
      <c r="H2456" t="n">
        <v>0</v>
      </c>
      <c r="I2456" t="n">
        <v>0</v>
      </c>
      <c r="J2456" t="n">
        <v>0</v>
      </c>
      <c r="K2456" t="n">
        <v>0</v>
      </c>
      <c r="L2456" t="n">
        <v>0</v>
      </c>
      <c r="M2456" t="n">
        <v>0</v>
      </c>
      <c r="N2456" t="n">
        <v>0</v>
      </c>
      <c r="O2456" t="n">
        <v>0</v>
      </c>
      <c r="P2456" t="n">
        <v>0</v>
      </c>
      <c r="Q2456" t="n">
        <v>0</v>
      </c>
      <c r="R2456" s="2" t="inlineStr"/>
    </row>
    <row r="2457" ht="15" customHeight="1">
      <c r="A2457" t="inlineStr">
        <is>
          <t>A 40782-2022</t>
        </is>
      </c>
      <c r="B2457" s="1" t="n">
        <v>44824</v>
      </c>
      <c r="C2457" s="1" t="n">
        <v>45724</v>
      </c>
      <c r="D2457" t="inlineStr">
        <is>
          <t>VÄSTMANLANDS LÄN</t>
        </is>
      </c>
      <c r="E2457" t="inlineStr">
        <is>
          <t>VÄSTERÅS</t>
        </is>
      </c>
      <c r="F2457" t="inlineStr">
        <is>
          <t>Sveaskog</t>
        </is>
      </c>
      <c r="G2457" t="n">
        <v>3.6</v>
      </c>
      <c r="H2457" t="n">
        <v>0</v>
      </c>
      <c r="I2457" t="n">
        <v>0</v>
      </c>
      <c r="J2457" t="n">
        <v>0</v>
      </c>
      <c r="K2457" t="n">
        <v>0</v>
      </c>
      <c r="L2457" t="n">
        <v>0</v>
      </c>
      <c r="M2457" t="n">
        <v>0</v>
      </c>
      <c r="N2457" t="n">
        <v>0</v>
      </c>
      <c r="O2457" t="n">
        <v>0</v>
      </c>
      <c r="P2457" t="n">
        <v>0</v>
      </c>
      <c r="Q2457" t="n">
        <v>0</v>
      </c>
      <c r="R2457" s="2" t="inlineStr"/>
    </row>
    <row r="2458" ht="15" customHeight="1">
      <c r="A2458" t="inlineStr">
        <is>
          <t>A 40815-2022</t>
        </is>
      </c>
      <c r="B2458" s="1" t="n">
        <v>44824</v>
      </c>
      <c r="C2458" s="1" t="n">
        <v>45724</v>
      </c>
      <c r="D2458" t="inlineStr">
        <is>
          <t>VÄSTMANLANDS LÄN</t>
        </is>
      </c>
      <c r="E2458" t="inlineStr">
        <is>
          <t>KUNGSÖR</t>
        </is>
      </c>
      <c r="G2458" t="n">
        <v>15.9</v>
      </c>
      <c r="H2458" t="n">
        <v>0</v>
      </c>
      <c r="I2458" t="n">
        <v>0</v>
      </c>
      <c r="J2458" t="n">
        <v>0</v>
      </c>
      <c r="K2458" t="n">
        <v>0</v>
      </c>
      <c r="L2458" t="n">
        <v>0</v>
      </c>
      <c r="M2458" t="n">
        <v>0</v>
      </c>
      <c r="N2458" t="n">
        <v>0</v>
      </c>
      <c r="O2458" t="n">
        <v>0</v>
      </c>
      <c r="P2458" t="n">
        <v>0</v>
      </c>
      <c r="Q2458" t="n">
        <v>0</v>
      </c>
      <c r="R2458" s="2" t="inlineStr"/>
    </row>
    <row r="2459" ht="15" customHeight="1">
      <c r="A2459" t="inlineStr">
        <is>
          <t>A 40864-2022</t>
        </is>
      </c>
      <c r="B2459" s="1" t="n">
        <v>44825</v>
      </c>
      <c r="C2459" s="1" t="n">
        <v>45724</v>
      </c>
      <c r="D2459" t="inlineStr">
        <is>
          <t>VÄSTMANLANDS LÄN</t>
        </is>
      </c>
      <c r="E2459" t="inlineStr">
        <is>
          <t>FAGERSTA</t>
        </is>
      </c>
      <c r="G2459" t="n">
        <v>11.3</v>
      </c>
      <c r="H2459" t="n">
        <v>0</v>
      </c>
      <c r="I2459" t="n">
        <v>0</v>
      </c>
      <c r="J2459" t="n">
        <v>0</v>
      </c>
      <c r="K2459" t="n">
        <v>0</v>
      </c>
      <c r="L2459" t="n">
        <v>0</v>
      </c>
      <c r="M2459" t="n">
        <v>0</v>
      </c>
      <c r="N2459" t="n">
        <v>0</v>
      </c>
      <c r="O2459" t="n">
        <v>0</v>
      </c>
      <c r="P2459" t="n">
        <v>0</v>
      </c>
      <c r="Q2459" t="n">
        <v>0</v>
      </c>
      <c r="R2459" s="2" t="inlineStr"/>
    </row>
    <row r="2460" ht="15" customHeight="1">
      <c r="A2460" t="inlineStr">
        <is>
          <t>A 41059-2022</t>
        </is>
      </c>
      <c r="B2460" s="1" t="n">
        <v>44825</v>
      </c>
      <c r="C2460" s="1" t="n">
        <v>45724</v>
      </c>
      <c r="D2460" t="inlineStr">
        <is>
          <t>VÄSTMANLANDS LÄN</t>
        </is>
      </c>
      <c r="E2460" t="inlineStr">
        <is>
          <t>KÖPING</t>
        </is>
      </c>
      <c r="G2460" t="n">
        <v>1.4</v>
      </c>
      <c r="H2460" t="n">
        <v>0</v>
      </c>
      <c r="I2460" t="n">
        <v>0</v>
      </c>
      <c r="J2460" t="n">
        <v>0</v>
      </c>
      <c r="K2460" t="n">
        <v>0</v>
      </c>
      <c r="L2460" t="n">
        <v>0</v>
      </c>
      <c r="M2460" t="n">
        <v>0</v>
      </c>
      <c r="N2460" t="n">
        <v>0</v>
      </c>
      <c r="O2460" t="n">
        <v>0</v>
      </c>
      <c r="P2460" t="n">
        <v>0</v>
      </c>
      <c r="Q2460" t="n">
        <v>0</v>
      </c>
      <c r="R2460" s="2" t="inlineStr"/>
    </row>
    <row r="2461" ht="15" customHeight="1">
      <c r="A2461" t="inlineStr">
        <is>
          <t>A 41032-2022</t>
        </is>
      </c>
      <c r="B2461" s="1" t="n">
        <v>44825</v>
      </c>
      <c r="C2461" s="1" t="n">
        <v>45724</v>
      </c>
      <c r="D2461" t="inlineStr">
        <is>
          <t>VÄSTMANLANDS LÄN</t>
        </is>
      </c>
      <c r="E2461" t="inlineStr">
        <is>
          <t>KÖPING</t>
        </is>
      </c>
      <c r="G2461" t="n">
        <v>3.2</v>
      </c>
      <c r="H2461" t="n">
        <v>0</v>
      </c>
      <c r="I2461" t="n">
        <v>0</v>
      </c>
      <c r="J2461" t="n">
        <v>0</v>
      </c>
      <c r="K2461" t="n">
        <v>0</v>
      </c>
      <c r="L2461" t="n">
        <v>0</v>
      </c>
      <c r="M2461" t="n">
        <v>0</v>
      </c>
      <c r="N2461" t="n">
        <v>0</v>
      </c>
      <c r="O2461" t="n">
        <v>0</v>
      </c>
      <c r="P2461" t="n">
        <v>0</v>
      </c>
      <c r="Q2461" t="n">
        <v>0</v>
      </c>
      <c r="R2461" s="2" t="inlineStr"/>
    </row>
    <row r="2462" ht="15" customHeight="1">
      <c r="A2462" t="inlineStr">
        <is>
          <t>A 41052-2022</t>
        </is>
      </c>
      <c r="B2462" s="1" t="n">
        <v>44825</v>
      </c>
      <c r="C2462" s="1" t="n">
        <v>45724</v>
      </c>
      <c r="D2462" t="inlineStr">
        <is>
          <t>VÄSTMANLANDS LÄN</t>
        </is>
      </c>
      <c r="E2462" t="inlineStr">
        <is>
          <t>KÖPING</t>
        </is>
      </c>
      <c r="G2462" t="n">
        <v>0.5</v>
      </c>
      <c r="H2462" t="n">
        <v>0</v>
      </c>
      <c r="I2462" t="n">
        <v>0</v>
      </c>
      <c r="J2462" t="n">
        <v>0</v>
      </c>
      <c r="K2462" t="n">
        <v>0</v>
      </c>
      <c r="L2462" t="n">
        <v>0</v>
      </c>
      <c r="M2462" t="n">
        <v>0</v>
      </c>
      <c r="N2462" t="n">
        <v>0</v>
      </c>
      <c r="O2462" t="n">
        <v>0</v>
      </c>
      <c r="P2462" t="n">
        <v>0</v>
      </c>
      <c r="Q2462" t="n">
        <v>0</v>
      </c>
      <c r="R2462" s="2" t="inlineStr"/>
    </row>
    <row r="2463" ht="15" customHeight="1">
      <c r="A2463" t="inlineStr">
        <is>
          <t>A 41064-2022</t>
        </is>
      </c>
      <c r="B2463" s="1" t="n">
        <v>44825</v>
      </c>
      <c r="C2463" s="1" t="n">
        <v>45724</v>
      </c>
      <c r="D2463" t="inlineStr">
        <is>
          <t>VÄSTMANLANDS LÄN</t>
        </is>
      </c>
      <c r="E2463" t="inlineStr">
        <is>
          <t>KÖPING</t>
        </is>
      </c>
      <c r="G2463" t="n">
        <v>5.6</v>
      </c>
      <c r="H2463" t="n">
        <v>0</v>
      </c>
      <c r="I2463" t="n">
        <v>0</v>
      </c>
      <c r="J2463" t="n">
        <v>0</v>
      </c>
      <c r="K2463" t="n">
        <v>0</v>
      </c>
      <c r="L2463" t="n">
        <v>0</v>
      </c>
      <c r="M2463" t="n">
        <v>0</v>
      </c>
      <c r="N2463" t="n">
        <v>0</v>
      </c>
      <c r="O2463" t="n">
        <v>0</v>
      </c>
      <c r="P2463" t="n">
        <v>0</v>
      </c>
      <c r="Q2463" t="n">
        <v>0</v>
      </c>
      <c r="R2463" s="2" t="inlineStr"/>
    </row>
    <row r="2464" ht="15" customHeight="1">
      <c r="A2464" t="inlineStr">
        <is>
          <t>A 41114-2022</t>
        </is>
      </c>
      <c r="B2464" s="1" t="n">
        <v>44825</v>
      </c>
      <c r="C2464" s="1" t="n">
        <v>45724</v>
      </c>
      <c r="D2464" t="inlineStr">
        <is>
          <t>VÄSTMANLANDS LÄN</t>
        </is>
      </c>
      <c r="E2464" t="inlineStr">
        <is>
          <t>VÄSTERÅS</t>
        </is>
      </c>
      <c r="G2464" t="n">
        <v>4.1</v>
      </c>
      <c r="H2464" t="n">
        <v>0</v>
      </c>
      <c r="I2464" t="n">
        <v>0</v>
      </c>
      <c r="J2464" t="n">
        <v>0</v>
      </c>
      <c r="K2464" t="n">
        <v>0</v>
      </c>
      <c r="L2464" t="n">
        <v>0</v>
      </c>
      <c r="M2464" t="n">
        <v>0</v>
      </c>
      <c r="N2464" t="n">
        <v>0</v>
      </c>
      <c r="O2464" t="n">
        <v>0</v>
      </c>
      <c r="P2464" t="n">
        <v>0</v>
      </c>
      <c r="Q2464" t="n">
        <v>0</v>
      </c>
      <c r="R2464" s="2" t="inlineStr"/>
    </row>
    <row r="2465" ht="15" customHeight="1">
      <c r="A2465" t="inlineStr">
        <is>
          <t>A 41160-2022</t>
        </is>
      </c>
      <c r="B2465" s="1" t="n">
        <v>44825</v>
      </c>
      <c r="C2465" s="1" t="n">
        <v>45724</v>
      </c>
      <c r="D2465" t="inlineStr">
        <is>
          <t>VÄSTMANLANDS LÄN</t>
        </is>
      </c>
      <c r="E2465" t="inlineStr">
        <is>
          <t>KÖPING</t>
        </is>
      </c>
      <c r="G2465" t="n">
        <v>1.7</v>
      </c>
      <c r="H2465" t="n">
        <v>0</v>
      </c>
      <c r="I2465" t="n">
        <v>0</v>
      </c>
      <c r="J2465" t="n">
        <v>0</v>
      </c>
      <c r="K2465" t="n">
        <v>0</v>
      </c>
      <c r="L2465" t="n">
        <v>0</v>
      </c>
      <c r="M2465" t="n">
        <v>0</v>
      </c>
      <c r="N2465" t="n">
        <v>0</v>
      </c>
      <c r="O2465" t="n">
        <v>0</v>
      </c>
      <c r="P2465" t="n">
        <v>0</v>
      </c>
      <c r="Q2465" t="n">
        <v>0</v>
      </c>
      <c r="R2465" s="2" t="inlineStr"/>
    </row>
    <row r="2466" ht="15" customHeight="1">
      <c r="A2466" t="inlineStr">
        <is>
          <t>A 41219-2022</t>
        </is>
      </c>
      <c r="B2466" s="1" t="n">
        <v>44826</v>
      </c>
      <c r="C2466" s="1" t="n">
        <v>45724</v>
      </c>
      <c r="D2466" t="inlineStr">
        <is>
          <t>VÄSTMANLANDS LÄN</t>
        </is>
      </c>
      <c r="E2466" t="inlineStr">
        <is>
          <t>VÄSTERÅS</t>
        </is>
      </c>
      <c r="G2466" t="n">
        <v>6.6</v>
      </c>
      <c r="H2466" t="n">
        <v>0</v>
      </c>
      <c r="I2466" t="n">
        <v>0</v>
      </c>
      <c r="J2466" t="n">
        <v>0</v>
      </c>
      <c r="K2466" t="n">
        <v>0</v>
      </c>
      <c r="L2466" t="n">
        <v>0</v>
      </c>
      <c r="M2466" t="n">
        <v>0</v>
      </c>
      <c r="N2466" t="n">
        <v>0</v>
      </c>
      <c r="O2466" t="n">
        <v>0</v>
      </c>
      <c r="P2466" t="n">
        <v>0</v>
      </c>
      <c r="Q2466" t="n">
        <v>0</v>
      </c>
      <c r="R2466" s="2" t="inlineStr"/>
    </row>
    <row r="2467" ht="15" customHeight="1">
      <c r="A2467" t="inlineStr">
        <is>
          <t>A 41220-2022</t>
        </is>
      </c>
      <c r="B2467" s="1" t="n">
        <v>44826</v>
      </c>
      <c r="C2467" s="1" t="n">
        <v>45724</v>
      </c>
      <c r="D2467" t="inlineStr">
        <is>
          <t>VÄSTMANLANDS LÄN</t>
        </is>
      </c>
      <c r="E2467" t="inlineStr">
        <is>
          <t>VÄSTERÅS</t>
        </is>
      </c>
      <c r="G2467" t="n">
        <v>5.2</v>
      </c>
      <c r="H2467" t="n">
        <v>0</v>
      </c>
      <c r="I2467" t="n">
        <v>0</v>
      </c>
      <c r="J2467" t="n">
        <v>0</v>
      </c>
      <c r="K2467" t="n">
        <v>0</v>
      </c>
      <c r="L2467" t="n">
        <v>0</v>
      </c>
      <c r="M2467" t="n">
        <v>0</v>
      </c>
      <c r="N2467" t="n">
        <v>0</v>
      </c>
      <c r="O2467" t="n">
        <v>0</v>
      </c>
      <c r="P2467" t="n">
        <v>0</v>
      </c>
      <c r="Q2467" t="n">
        <v>0</v>
      </c>
      <c r="R2467" s="2" t="inlineStr"/>
    </row>
    <row r="2468" ht="15" customHeight="1">
      <c r="A2468" t="inlineStr">
        <is>
          <t>A 41576-2022</t>
        </is>
      </c>
      <c r="B2468" s="1" t="n">
        <v>44826</v>
      </c>
      <c r="C2468" s="1" t="n">
        <v>45724</v>
      </c>
      <c r="D2468" t="inlineStr">
        <is>
          <t>VÄSTMANLANDS LÄN</t>
        </is>
      </c>
      <c r="E2468" t="inlineStr">
        <is>
          <t>SURAHAMMAR</t>
        </is>
      </c>
      <c r="F2468" t="inlineStr">
        <is>
          <t>Bergvik skog väst AB</t>
        </is>
      </c>
      <c r="G2468" t="n">
        <v>6.4</v>
      </c>
      <c r="H2468" t="n">
        <v>0</v>
      </c>
      <c r="I2468" t="n">
        <v>0</v>
      </c>
      <c r="J2468" t="n">
        <v>0</v>
      </c>
      <c r="K2468" t="n">
        <v>0</v>
      </c>
      <c r="L2468" t="n">
        <v>0</v>
      </c>
      <c r="M2468" t="n">
        <v>0</v>
      </c>
      <c r="N2468" t="n">
        <v>0</v>
      </c>
      <c r="O2468" t="n">
        <v>0</v>
      </c>
      <c r="P2468" t="n">
        <v>0</v>
      </c>
      <c r="Q2468" t="n">
        <v>0</v>
      </c>
      <c r="R2468" s="2" t="inlineStr"/>
    </row>
    <row r="2469" ht="15" customHeight="1">
      <c r="A2469" t="inlineStr">
        <is>
          <t>A 41555-2022</t>
        </is>
      </c>
      <c r="B2469" s="1" t="n">
        <v>44826</v>
      </c>
      <c r="C2469" s="1" t="n">
        <v>45724</v>
      </c>
      <c r="D2469" t="inlineStr">
        <is>
          <t>VÄSTMANLANDS LÄN</t>
        </is>
      </c>
      <c r="E2469" t="inlineStr">
        <is>
          <t>SURAHAMMAR</t>
        </is>
      </c>
      <c r="F2469" t="inlineStr">
        <is>
          <t>Bergvik skog väst AB</t>
        </is>
      </c>
      <c r="G2469" t="n">
        <v>1.7</v>
      </c>
      <c r="H2469" t="n">
        <v>0</v>
      </c>
      <c r="I2469" t="n">
        <v>0</v>
      </c>
      <c r="J2469" t="n">
        <v>0</v>
      </c>
      <c r="K2469" t="n">
        <v>0</v>
      </c>
      <c r="L2469" t="n">
        <v>0</v>
      </c>
      <c r="M2469" t="n">
        <v>0</v>
      </c>
      <c r="N2469" t="n">
        <v>0</v>
      </c>
      <c r="O2469" t="n">
        <v>0</v>
      </c>
      <c r="P2469" t="n">
        <v>0</v>
      </c>
      <c r="Q2469" t="n">
        <v>0</v>
      </c>
      <c r="R2469" s="2" t="inlineStr"/>
    </row>
    <row r="2470" ht="15" customHeight="1">
      <c r="A2470" t="inlineStr">
        <is>
          <t>A 41567-2022</t>
        </is>
      </c>
      <c r="B2470" s="1" t="n">
        <v>44827</v>
      </c>
      <c r="C2470" s="1" t="n">
        <v>45724</v>
      </c>
      <c r="D2470" t="inlineStr">
        <is>
          <t>VÄSTMANLANDS LÄN</t>
        </is>
      </c>
      <c r="E2470" t="inlineStr">
        <is>
          <t>SALA</t>
        </is>
      </c>
      <c r="F2470" t="inlineStr">
        <is>
          <t>Bergvik skog öst AB</t>
        </is>
      </c>
      <c r="G2470" t="n">
        <v>3.9</v>
      </c>
      <c r="H2470" t="n">
        <v>0</v>
      </c>
      <c r="I2470" t="n">
        <v>0</v>
      </c>
      <c r="J2470" t="n">
        <v>0</v>
      </c>
      <c r="K2470" t="n">
        <v>0</v>
      </c>
      <c r="L2470" t="n">
        <v>0</v>
      </c>
      <c r="M2470" t="n">
        <v>0</v>
      </c>
      <c r="N2470" t="n">
        <v>0</v>
      </c>
      <c r="O2470" t="n">
        <v>0</v>
      </c>
      <c r="P2470" t="n">
        <v>0</v>
      </c>
      <c r="Q2470" t="n">
        <v>0</v>
      </c>
      <c r="R2470" s="2" t="inlineStr"/>
    </row>
    <row r="2471" ht="15" customHeight="1">
      <c r="A2471" t="inlineStr">
        <is>
          <t>A 41587-2022</t>
        </is>
      </c>
      <c r="B2471" s="1" t="n">
        <v>44827</v>
      </c>
      <c r="C2471" s="1" t="n">
        <v>45724</v>
      </c>
      <c r="D2471" t="inlineStr">
        <is>
          <t>VÄSTMANLANDS LÄN</t>
        </is>
      </c>
      <c r="E2471" t="inlineStr">
        <is>
          <t>ARBOGA</t>
        </is>
      </c>
      <c r="G2471" t="n">
        <v>3.8</v>
      </c>
      <c r="H2471" t="n">
        <v>0</v>
      </c>
      <c r="I2471" t="n">
        <v>0</v>
      </c>
      <c r="J2471" t="n">
        <v>0</v>
      </c>
      <c r="K2471" t="n">
        <v>0</v>
      </c>
      <c r="L2471" t="n">
        <v>0</v>
      </c>
      <c r="M2471" t="n">
        <v>0</v>
      </c>
      <c r="N2471" t="n">
        <v>0</v>
      </c>
      <c r="O2471" t="n">
        <v>0</v>
      </c>
      <c r="P2471" t="n">
        <v>0</v>
      </c>
      <c r="Q2471" t="n">
        <v>0</v>
      </c>
      <c r="R2471" s="2" t="inlineStr"/>
    </row>
    <row r="2472" ht="15" customHeight="1">
      <c r="A2472" t="inlineStr">
        <is>
          <t>A 41583-2022</t>
        </is>
      </c>
      <c r="B2472" s="1" t="n">
        <v>44827</v>
      </c>
      <c r="C2472" s="1" t="n">
        <v>45724</v>
      </c>
      <c r="D2472" t="inlineStr">
        <is>
          <t>VÄSTMANLANDS LÄN</t>
        </is>
      </c>
      <c r="E2472" t="inlineStr">
        <is>
          <t>KÖPING</t>
        </is>
      </c>
      <c r="F2472" t="inlineStr">
        <is>
          <t>Sveaskog</t>
        </is>
      </c>
      <c r="G2472" t="n">
        <v>2</v>
      </c>
      <c r="H2472" t="n">
        <v>0</v>
      </c>
      <c r="I2472" t="n">
        <v>0</v>
      </c>
      <c r="J2472" t="n">
        <v>0</v>
      </c>
      <c r="K2472" t="n">
        <v>0</v>
      </c>
      <c r="L2472" t="n">
        <v>0</v>
      </c>
      <c r="M2472" t="n">
        <v>0</v>
      </c>
      <c r="N2472" t="n">
        <v>0</v>
      </c>
      <c r="O2472" t="n">
        <v>0</v>
      </c>
      <c r="P2472" t="n">
        <v>0</v>
      </c>
      <c r="Q2472" t="n">
        <v>0</v>
      </c>
      <c r="R2472" s="2" t="inlineStr"/>
    </row>
    <row r="2473" ht="15" customHeight="1">
      <c r="A2473" t="inlineStr">
        <is>
          <t>A 41720-2022</t>
        </is>
      </c>
      <c r="B2473" s="1" t="n">
        <v>44827</v>
      </c>
      <c r="C2473" s="1" t="n">
        <v>45724</v>
      </c>
      <c r="D2473" t="inlineStr">
        <is>
          <t>VÄSTMANLANDS LÄN</t>
        </is>
      </c>
      <c r="E2473" t="inlineStr">
        <is>
          <t>SKINNSKATTEBERG</t>
        </is>
      </c>
      <c r="F2473" t="inlineStr">
        <is>
          <t>Sveaskog</t>
        </is>
      </c>
      <c r="G2473" t="n">
        <v>1.2</v>
      </c>
      <c r="H2473" t="n">
        <v>0</v>
      </c>
      <c r="I2473" t="n">
        <v>0</v>
      </c>
      <c r="J2473" t="n">
        <v>0</v>
      </c>
      <c r="K2473" t="n">
        <v>0</v>
      </c>
      <c r="L2473" t="n">
        <v>0</v>
      </c>
      <c r="M2473" t="n">
        <v>0</v>
      </c>
      <c r="N2473" t="n">
        <v>0</v>
      </c>
      <c r="O2473" t="n">
        <v>0</v>
      </c>
      <c r="P2473" t="n">
        <v>0</v>
      </c>
      <c r="Q2473" t="n">
        <v>0</v>
      </c>
      <c r="R2473" s="2" t="inlineStr"/>
    </row>
    <row r="2474" ht="15" customHeight="1">
      <c r="A2474" t="inlineStr">
        <is>
          <t>A 41739-2022</t>
        </is>
      </c>
      <c r="B2474" s="1" t="n">
        <v>44827</v>
      </c>
      <c r="C2474" s="1" t="n">
        <v>45724</v>
      </c>
      <c r="D2474" t="inlineStr">
        <is>
          <t>VÄSTMANLANDS LÄN</t>
        </is>
      </c>
      <c r="E2474" t="inlineStr">
        <is>
          <t>NORBERG</t>
        </is>
      </c>
      <c r="G2474" t="n">
        <v>4.9</v>
      </c>
      <c r="H2474" t="n">
        <v>0</v>
      </c>
      <c r="I2474" t="n">
        <v>0</v>
      </c>
      <c r="J2474" t="n">
        <v>0</v>
      </c>
      <c r="K2474" t="n">
        <v>0</v>
      </c>
      <c r="L2474" t="n">
        <v>0</v>
      </c>
      <c r="M2474" t="n">
        <v>0</v>
      </c>
      <c r="N2474" t="n">
        <v>0</v>
      </c>
      <c r="O2474" t="n">
        <v>0</v>
      </c>
      <c r="P2474" t="n">
        <v>0</v>
      </c>
      <c r="Q2474" t="n">
        <v>0</v>
      </c>
      <c r="R2474" s="2" t="inlineStr"/>
    </row>
    <row r="2475" ht="15" customHeight="1">
      <c r="A2475" t="inlineStr">
        <is>
          <t>A 41717-2022</t>
        </is>
      </c>
      <c r="B2475" s="1" t="n">
        <v>44827</v>
      </c>
      <c r="C2475" s="1" t="n">
        <v>45724</v>
      </c>
      <c r="D2475" t="inlineStr">
        <is>
          <t>VÄSTMANLANDS LÄN</t>
        </is>
      </c>
      <c r="E2475" t="inlineStr">
        <is>
          <t>SKINNSKATTEBERG</t>
        </is>
      </c>
      <c r="F2475" t="inlineStr">
        <is>
          <t>Sveaskog</t>
        </is>
      </c>
      <c r="G2475" t="n">
        <v>1</v>
      </c>
      <c r="H2475" t="n">
        <v>0</v>
      </c>
      <c r="I2475" t="n">
        <v>0</v>
      </c>
      <c r="J2475" t="n">
        <v>0</v>
      </c>
      <c r="K2475" t="n">
        <v>0</v>
      </c>
      <c r="L2475" t="n">
        <v>0</v>
      </c>
      <c r="M2475" t="n">
        <v>0</v>
      </c>
      <c r="N2475" t="n">
        <v>0</v>
      </c>
      <c r="O2475" t="n">
        <v>0</v>
      </c>
      <c r="P2475" t="n">
        <v>0</v>
      </c>
      <c r="Q2475" t="n">
        <v>0</v>
      </c>
      <c r="R2475" s="2" t="inlineStr"/>
    </row>
    <row r="2476" ht="15" customHeight="1">
      <c r="A2476" t="inlineStr">
        <is>
          <t>A 41744-2022</t>
        </is>
      </c>
      <c r="B2476" s="1" t="n">
        <v>44827</v>
      </c>
      <c r="C2476" s="1" t="n">
        <v>45724</v>
      </c>
      <c r="D2476" t="inlineStr">
        <is>
          <t>VÄSTMANLANDS LÄN</t>
        </is>
      </c>
      <c r="E2476" t="inlineStr">
        <is>
          <t>NORBERG</t>
        </is>
      </c>
      <c r="G2476" t="n">
        <v>4.6</v>
      </c>
      <c r="H2476" t="n">
        <v>0</v>
      </c>
      <c r="I2476" t="n">
        <v>0</v>
      </c>
      <c r="J2476" t="n">
        <v>0</v>
      </c>
      <c r="K2476" t="n">
        <v>0</v>
      </c>
      <c r="L2476" t="n">
        <v>0</v>
      </c>
      <c r="M2476" t="n">
        <v>0</v>
      </c>
      <c r="N2476" t="n">
        <v>0</v>
      </c>
      <c r="O2476" t="n">
        <v>0</v>
      </c>
      <c r="P2476" t="n">
        <v>0</v>
      </c>
      <c r="Q2476" t="n">
        <v>0</v>
      </c>
      <c r="R2476" s="2" t="inlineStr"/>
    </row>
    <row r="2477" ht="15" customHeight="1">
      <c r="A2477" t="inlineStr">
        <is>
          <t>A 41750-2022</t>
        </is>
      </c>
      <c r="B2477" s="1" t="n">
        <v>44827</v>
      </c>
      <c r="C2477" s="1" t="n">
        <v>45724</v>
      </c>
      <c r="D2477" t="inlineStr">
        <is>
          <t>VÄSTMANLANDS LÄN</t>
        </is>
      </c>
      <c r="E2477" t="inlineStr">
        <is>
          <t>NORBERG</t>
        </is>
      </c>
      <c r="G2477" t="n">
        <v>1.6</v>
      </c>
      <c r="H2477" t="n">
        <v>0</v>
      </c>
      <c r="I2477" t="n">
        <v>0</v>
      </c>
      <c r="J2477" t="n">
        <v>0</v>
      </c>
      <c r="K2477" t="n">
        <v>0</v>
      </c>
      <c r="L2477" t="n">
        <v>0</v>
      </c>
      <c r="M2477" t="n">
        <v>0</v>
      </c>
      <c r="N2477" t="n">
        <v>0</v>
      </c>
      <c r="O2477" t="n">
        <v>0</v>
      </c>
      <c r="P2477" t="n">
        <v>0</v>
      </c>
      <c r="Q2477" t="n">
        <v>0</v>
      </c>
      <c r="R2477" s="2" t="inlineStr"/>
    </row>
    <row r="2478" ht="15" customHeight="1">
      <c r="A2478" t="inlineStr">
        <is>
          <t>A 41716-2022</t>
        </is>
      </c>
      <c r="B2478" s="1" t="n">
        <v>44827</v>
      </c>
      <c r="C2478" s="1" t="n">
        <v>45724</v>
      </c>
      <c r="D2478" t="inlineStr">
        <is>
          <t>VÄSTMANLANDS LÄN</t>
        </is>
      </c>
      <c r="E2478" t="inlineStr">
        <is>
          <t>SKINNSKATTEBERG</t>
        </is>
      </c>
      <c r="F2478" t="inlineStr">
        <is>
          <t>Sveaskog</t>
        </is>
      </c>
      <c r="G2478" t="n">
        <v>2.1</v>
      </c>
      <c r="H2478" t="n">
        <v>0</v>
      </c>
      <c r="I2478" t="n">
        <v>0</v>
      </c>
      <c r="J2478" t="n">
        <v>0</v>
      </c>
      <c r="K2478" t="n">
        <v>0</v>
      </c>
      <c r="L2478" t="n">
        <v>0</v>
      </c>
      <c r="M2478" t="n">
        <v>0</v>
      </c>
      <c r="N2478" t="n">
        <v>0</v>
      </c>
      <c r="O2478" t="n">
        <v>0</v>
      </c>
      <c r="P2478" t="n">
        <v>0</v>
      </c>
      <c r="Q2478" t="n">
        <v>0</v>
      </c>
      <c r="R2478" s="2" t="inlineStr"/>
    </row>
    <row r="2479" ht="15" customHeight="1">
      <c r="A2479" t="inlineStr">
        <is>
          <t>A 41732-2022</t>
        </is>
      </c>
      <c r="B2479" s="1" t="n">
        <v>44827</v>
      </c>
      <c r="C2479" s="1" t="n">
        <v>45724</v>
      </c>
      <c r="D2479" t="inlineStr">
        <is>
          <t>VÄSTMANLANDS LÄN</t>
        </is>
      </c>
      <c r="E2479" t="inlineStr">
        <is>
          <t>SKINNSKATTEBERG</t>
        </is>
      </c>
      <c r="F2479" t="inlineStr">
        <is>
          <t>Sveaskog</t>
        </is>
      </c>
      <c r="G2479" t="n">
        <v>1</v>
      </c>
      <c r="H2479" t="n">
        <v>0</v>
      </c>
      <c r="I2479" t="n">
        <v>0</v>
      </c>
      <c r="J2479" t="n">
        <v>0</v>
      </c>
      <c r="K2479" t="n">
        <v>0</v>
      </c>
      <c r="L2479" t="n">
        <v>0</v>
      </c>
      <c r="M2479" t="n">
        <v>0</v>
      </c>
      <c r="N2479" t="n">
        <v>0</v>
      </c>
      <c r="O2479" t="n">
        <v>0</v>
      </c>
      <c r="P2479" t="n">
        <v>0</v>
      </c>
      <c r="Q2479" t="n">
        <v>0</v>
      </c>
      <c r="R2479" s="2" t="inlineStr"/>
    </row>
    <row r="2480" ht="15" customHeight="1">
      <c r="A2480" t="inlineStr">
        <is>
          <t>A 41742-2022</t>
        </is>
      </c>
      <c r="B2480" s="1" t="n">
        <v>44827</v>
      </c>
      <c r="C2480" s="1" t="n">
        <v>45724</v>
      </c>
      <c r="D2480" t="inlineStr">
        <is>
          <t>VÄSTMANLANDS LÄN</t>
        </is>
      </c>
      <c r="E2480" t="inlineStr">
        <is>
          <t>NORBERG</t>
        </is>
      </c>
      <c r="G2480" t="n">
        <v>0.8</v>
      </c>
      <c r="H2480" t="n">
        <v>0</v>
      </c>
      <c r="I2480" t="n">
        <v>0</v>
      </c>
      <c r="J2480" t="n">
        <v>0</v>
      </c>
      <c r="K2480" t="n">
        <v>0</v>
      </c>
      <c r="L2480" t="n">
        <v>0</v>
      </c>
      <c r="M2480" t="n">
        <v>0</v>
      </c>
      <c r="N2480" t="n">
        <v>0</v>
      </c>
      <c r="O2480" t="n">
        <v>0</v>
      </c>
      <c r="P2480" t="n">
        <v>0</v>
      </c>
      <c r="Q2480" t="n">
        <v>0</v>
      </c>
      <c r="R2480" s="2" t="inlineStr"/>
    </row>
    <row r="2481" ht="15" customHeight="1">
      <c r="A2481" t="inlineStr">
        <is>
          <t>A 41748-2022</t>
        </is>
      </c>
      <c r="B2481" s="1" t="n">
        <v>44827</v>
      </c>
      <c r="C2481" s="1" t="n">
        <v>45724</v>
      </c>
      <c r="D2481" t="inlineStr">
        <is>
          <t>VÄSTMANLANDS LÄN</t>
        </is>
      </c>
      <c r="E2481" t="inlineStr">
        <is>
          <t>NORBERG</t>
        </is>
      </c>
      <c r="G2481" t="n">
        <v>6.8</v>
      </c>
      <c r="H2481" t="n">
        <v>0</v>
      </c>
      <c r="I2481" t="n">
        <v>0</v>
      </c>
      <c r="J2481" t="n">
        <v>0</v>
      </c>
      <c r="K2481" t="n">
        <v>0</v>
      </c>
      <c r="L2481" t="n">
        <v>0</v>
      </c>
      <c r="M2481" t="n">
        <v>0</v>
      </c>
      <c r="N2481" t="n">
        <v>0</v>
      </c>
      <c r="O2481" t="n">
        <v>0</v>
      </c>
      <c r="P2481" t="n">
        <v>0</v>
      </c>
      <c r="Q2481" t="n">
        <v>0</v>
      </c>
      <c r="R2481" s="2" t="inlineStr"/>
    </row>
    <row r="2482" ht="15" customHeight="1">
      <c r="A2482" t="inlineStr">
        <is>
          <t>A 41866-2022</t>
        </is>
      </c>
      <c r="B2482" s="1" t="n">
        <v>44829</v>
      </c>
      <c r="C2482" s="1" t="n">
        <v>45724</v>
      </c>
      <c r="D2482" t="inlineStr">
        <is>
          <t>VÄSTMANLANDS LÄN</t>
        </is>
      </c>
      <c r="E2482" t="inlineStr">
        <is>
          <t>SKINNSKATTEBERG</t>
        </is>
      </c>
      <c r="G2482" t="n">
        <v>3.7</v>
      </c>
      <c r="H2482" t="n">
        <v>0</v>
      </c>
      <c r="I2482" t="n">
        <v>0</v>
      </c>
      <c r="J2482" t="n">
        <v>0</v>
      </c>
      <c r="K2482" t="n">
        <v>0</v>
      </c>
      <c r="L2482" t="n">
        <v>0</v>
      </c>
      <c r="M2482" t="n">
        <v>0</v>
      </c>
      <c r="N2482" t="n">
        <v>0</v>
      </c>
      <c r="O2482" t="n">
        <v>0</v>
      </c>
      <c r="P2482" t="n">
        <v>0</v>
      </c>
      <c r="Q2482" t="n">
        <v>0</v>
      </c>
      <c r="R2482" s="2" t="inlineStr"/>
    </row>
    <row r="2483" ht="15" customHeight="1">
      <c r="A2483" t="inlineStr">
        <is>
          <t>A 41868-2022</t>
        </is>
      </c>
      <c r="B2483" s="1" t="n">
        <v>44829</v>
      </c>
      <c r="C2483" s="1" t="n">
        <v>45724</v>
      </c>
      <c r="D2483" t="inlineStr">
        <is>
          <t>VÄSTMANLANDS LÄN</t>
        </is>
      </c>
      <c r="E2483" t="inlineStr">
        <is>
          <t>SKINNSKATTEBERG</t>
        </is>
      </c>
      <c r="G2483" t="n">
        <v>0.9</v>
      </c>
      <c r="H2483" t="n">
        <v>0</v>
      </c>
      <c r="I2483" t="n">
        <v>0</v>
      </c>
      <c r="J2483" t="n">
        <v>0</v>
      </c>
      <c r="K2483" t="n">
        <v>0</v>
      </c>
      <c r="L2483" t="n">
        <v>0</v>
      </c>
      <c r="M2483" t="n">
        <v>0</v>
      </c>
      <c r="N2483" t="n">
        <v>0</v>
      </c>
      <c r="O2483" t="n">
        <v>0</v>
      </c>
      <c r="P2483" t="n">
        <v>0</v>
      </c>
      <c r="Q2483" t="n">
        <v>0</v>
      </c>
      <c r="R2483" s="2" t="inlineStr"/>
    </row>
    <row r="2484" ht="15" customHeight="1">
      <c r="A2484" t="inlineStr">
        <is>
          <t>A 41876-2022</t>
        </is>
      </c>
      <c r="B2484" s="1" t="n">
        <v>44830</v>
      </c>
      <c r="C2484" s="1" t="n">
        <v>45724</v>
      </c>
      <c r="D2484" t="inlineStr">
        <is>
          <t>VÄSTMANLANDS LÄN</t>
        </is>
      </c>
      <c r="E2484" t="inlineStr">
        <is>
          <t>SALA</t>
        </is>
      </c>
      <c r="G2484" t="n">
        <v>3.6</v>
      </c>
      <c r="H2484" t="n">
        <v>0</v>
      </c>
      <c r="I2484" t="n">
        <v>0</v>
      </c>
      <c r="J2484" t="n">
        <v>0</v>
      </c>
      <c r="K2484" t="n">
        <v>0</v>
      </c>
      <c r="L2484" t="n">
        <v>0</v>
      </c>
      <c r="M2484" t="n">
        <v>0</v>
      </c>
      <c r="N2484" t="n">
        <v>0</v>
      </c>
      <c r="O2484" t="n">
        <v>0</v>
      </c>
      <c r="P2484" t="n">
        <v>0</v>
      </c>
      <c r="Q2484" t="n">
        <v>0</v>
      </c>
      <c r="R2484" s="2" t="inlineStr"/>
    </row>
    <row r="2485" ht="15" customHeight="1">
      <c r="A2485" t="inlineStr">
        <is>
          <t>A 42036-2022</t>
        </is>
      </c>
      <c r="B2485" s="1" t="n">
        <v>44830</v>
      </c>
      <c r="C2485" s="1" t="n">
        <v>45724</v>
      </c>
      <c r="D2485" t="inlineStr">
        <is>
          <t>VÄSTMANLANDS LÄN</t>
        </is>
      </c>
      <c r="E2485" t="inlineStr">
        <is>
          <t>ARBOGA</t>
        </is>
      </c>
      <c r="G2485" t="n">
        <v>1.3</v>
      </c>
      <c r="H2485" t="n">
        <v>0</v>
      </c>
      <c r="I2485" t="n">
        <v>0</v>
      </c>
      <c r="J2485" t="n">
        <v>0</v>
      </c>
      <c r="K2485" t="n">
        <v>0</v>
      </c>
      <c r="L2485" t="n">
        <v>0</v>
      </c>
      <c r="M2485" t="n">
        <v>0</v>
      </c>
      <c r="N2485" t="n">
        <v>0</v>
      </c>
      <c r="O2485" t="n">
        <v>0</v>
      </c>
      <c r="P2485" t="n">
        <v>0</v>
      </c>
      <c r="Q2485" t="n">
        <v>0</v>
      </c>
      <c r="R2485" s="2" t="inlineStr"/>
    </row>
    <row r="2486" ht="15" customHeight="1">
      <c r="A2486" t="inlineStr">
        <is>
          <t>A 42045-2022</t>
        </is>
      </c>
      <c r="B2486" s="1" t="n">
        <v>44830</v>
      </c>
      <c r="C2486" s="1" t="n">
        <v>45724</v>
      </c>
      <c r="D2486" t="inlineStr">
        <is>
          <t>VÄSTMANLANDS LÄN</t>
        </is>
      </c>
      <c r="E2486" t="inlineStr">
        <is>
          <t>ARBOGA</t>
        </is>
      </c>
      <c r="G2486" t="n">
        <v>2.4</v>
      </c>
      <c r="H2486" t="n">
        <v>0</v>
      </c>
      <c r="I2486" t="n">
        <v>0</v>
      </c>
      <c r="J2486" t="n">
        <v>0</v>
      </c>
      <c r="K2486" t="n">
        <v>0</v>
      </c>
      <c r="L2486" t="n">
        <v>0</v>
      </c>
      <c r="M2486" t="n">
        <v>0</v>
      </c>
      <c r="N2486" t="n">
        <v>0</v>
      </c>
      <c r="O2486" t="n">
        <v>0</v>
      </c>
      <c r="P2486" t="n">
        <v>0</v>
      </c>
      <c r="Q2486" t="n">
        <v>0</v>
      </c>
      <c r="R2486" s="2" t="inlineStr"/>
    </row>
    <row r="2487" ht="15" customHeight="1">
      <c r="A2487" t="inlineStr">
        <is>
          <t>A 42416-2022</t>
        </is>
      </c>
      <c r="B2487" s="1" t="n">
        <v>44831</v>
      </c>
      <c r="C2487" s="1" t="n">
        <v>45724</v>
      </c>
      <c r="D2487" t="inlineStr">
        <is>
          <t>VÄSTMANLANDS LÄN</t>
        </is>
      </c>
      <c r="E2487" t="inlineStr">
        <is>
          <t>SALA</t>
        </is>
      </c>
      <c r="G2487" t="n">
        <v>2.2</v>
      </c>
      <c r="H2487" t="n">
        <v>0</v>
      </c>
      <c r="I2487" t="n">
        <v>0</v>
      </c>
      <c r="J2487" t="n">
        <v>0</v>
      </c>
      <c r="K2487" t="n">
        <v>0</v>
      </c>
      <c r="L2487" t="n">
        <v>0</v>
      </c>
      <c r="M2487" t="n">
        <v>0</v>
      </c>
      <c r="N2487" t="n">
        <v>0</v>
      </c>
      <c r="O2487" t="n">
        <v>0</v>
      </c>
      <c r="P2487" t="n">
        <v>0</v>
      </c>
      <c r="Q2487" t="n">
        <v>0</v>
      </c>
      <c r="R2487" s="2" t="inlineStr"/>
    </row>
    <row r="2488" ht="15" customHeight="1">
      <c r="A2488" t="inlineStr">
        <is>
          <t>A 42447-2022</t>
        </is>
      </c>
      <c r="B2488" s="1" t="n">
        <v>44831</v>
      </c>
      <c r="C2488" s="1" t="n">
        <v>45724</v>
      </c>
      <c r="D2488" t="inlineStr">
        <is>
          <t>VÄSTMANLANDS LÄN</t>
        </is>
      </c>
      <c r="E2488" t="inlineStr">
        <is>
          <t>SALA</t>
        </is>
      </c>
      <c r="G2488" t="n">
        <v>1.1</v>
      </c>
      <c r="H2488" t="n">
        <v>0</v>
      </c>
      <c r="I2488" t="n">
        <v>0</v>
      </c>
      <c r="J2488" t="n">
        <v>0</v>
      </c>
      <c r="K2488" t="n">
        <v>0</v>
      </c>
      <c r="L2488" t="n">
        <v>0</v>
      </c>
      <c r="M2488" t="n">
        <v>0</v>
      </c>
      <c r="N2488" t="n">
        <v>0</v>
      </c>
      <c r="O2488" t="n">
        <v>0</v>
      </c>
      <c r="P2488" t="n">
        <v>0</v>
      </c>
      <c r="Q2488" t="n">
        <v>0</v>
      </c>
      <c r="R2488" s="2" t="inlineStr"/>
    </row>
    <row r="2489" ht="15" customHeight="1">
      <c r="A2489" t="inlineStr">
        <is>
          <t>A 42414-2022</t>
        </is>
      </c>
      <c r="B2489" s="1" t="n">
        <v>44831</v>
      </c>
      <c r="C2489" s="1" t="n">
        <v>45724</v>
      </c>
      <c r="D2489" t="inlineStr">
        <is>
          <t>VÄSTMANLANDS LÄN</t>
        </is>
      </c>
      <c r="E2489" t="inlineStr">
        <is>
          <t>SALA</t>
        </is>
      </c>
      <c r="G2489" t="n">
        <v>3.4</v>
      </c>
      <c r="H2489" t="n">
        <v>0</v>
      </c>
      <c r="I2489" t="n">
        <v>0</v>
      </c>
      <c r="J2489" t="n">
        <v>0</v>
      </c>
      <c r="K2489" t="n">
        <v>0</v>
      </c>
      <c r="L2489" t="n">
        <v>0</v>
      </c>
      <c r="M2489" t="n">
        <v>0</v>
      </c>
      <c r="N2489" t="n">
        <v>0</v>
      </c>
      <c r="O2489" t="n">
        <v>0</v>
      </c>
      <c r="P2489" t="n">
        <v>0</v>
      </c>
      <c r="Q2489" t="n">
        <v>0</v>
      </c>
      <c r="R2489" s="2" t="inlineStr"/>
    </row>
    <row r="2490" ht="15" customHeight="1">
      <c r="A2490" t="inlineStr">
        <is>
          <t>A 42491-2022</t>
        </is>
      </c>
      <c r="B2490" s="1" t="n">
        <v>44831</v>
      </c>
      <c r="C2490" s="1" t="n">
        <v>45724</v>
      </c>
      <c r="D2490" t="inlineStr">
        <is>
          <t>VÄSTMANLANDS LÄN</t>
        </is>
      </c>
      <c r="E2490" t="inlineStr">
        <is>
          <t>KÖPING</t>
        </is>
      </c>
      <c r="G2490" t="n">
        <v>1.7</v>
      </c>
      <c r="H2490" t="n">
        <v>0</v>
      </c>
      <c r="I2490" t="n">
        <v>0</v>
      </c>
      <c r="J2490" t="n">
        <v>0</v>
      </c>
      <c r="K2490" t="n">
        <v>0</v>
      </c>
      <c r="L2490" t="n">
        <v>0</v>
      </c>
      <c r="M2490" t="n">
        <v>0</v>
      </c>
      <c r="N2490" t="n">
        <v>0</v>
      </c>
      <c r="O2490" t="n">
        <v>0</v>
      </c>
      <c r="P2490" t="n">
        <v>0</v>
      </c>
      <c r="Q2490" t="n">
        <v>0</v>
      </c>
      <c r="R2490" s="2" t="inlineStr"/>
    </row>
    <row r="2491" ht="15" customHeight="1">
      <c r="A2491" t="inlineStr">
        <is>
          <t>A 42505-2022</t>
        </is>
      </c>
      <c r="B2491" s="1" t="n">
        <v>44831</v>
      </c>
      <c r="C2491" s="1" t="n">
        <v>45724</v>
      </c>
      <c r="D2491" t="inlineStr">
        <is>
          <t>VÄSTMANLANDS LÄN</t>
        </is>
      </c>
      <c r="E2491" t="inlineStr">
        <is>
          <t>NORBERG</t>
        </is>
      </c>
      <c r="F2491" t="inlineStr">
        <is>
          <t>Sveaskog</t>
        </is>
      </c>
      <c r="G2491" t="n">
        <v>2.5</v>
      </c>
      <c r="H2491" t="n">
        <v>0</v>
      </c>
      <c r="I2491" t="n">
        <v>0</v>
      </c>
      <c r="J2491" t="n">
        <v>0</v>
      </c>
      <c r="K2491" t="n">
        <v>0</v>
      </c>
      <c r="L2491" t="n">
        <v>0</v>
      </c>
      <c r="M2491" t="n">
        <v>0</v>
      </c>
      <c r="N2491" t="n">
        <v>0</v>
      </c>
      <c r="O2491" t="n">
        <v>0</v>
      </c>
      <c r="P2491" t="n">
        <v>0</v>
      </c>
      <c r="Q2491" t="n">
        <v>0</v>
      </c>
      <c r="R2491" s="2" t="inlineStr"/>
    </row>
    <row r="2492" ht="15" customHeight="1">
      <c r="A2492" t="inlineStr">
        <is>
          <t>A 42504-2022</t>
        </is>
      </c>
      <c r="B2492" s="1" t="n">
        <v>44831</v>
      </c>
      <c r="C2492" s="1" t="n">
        <v>45724</v>
      </c>
      <c r="D2492" t="inlineStr">
        <is>
          <t>VÄSTMANLANDS LÄN</t>
        </is>
      </c>
      <c r="E2492" t="inlineStr">
        <is>
          <t>NORBERG</t>
        </is>
      </c>
      <c r="F2492" t="inlineStr">
        <is>
          <t>Sveaskog</t>
        </is>
      </c>
      <c r="G2492" t="n">
        <v>0.8</v>
      </c>
      <c r="H2492" t="n">
        <v>0</v>
      </c>
      <c r="I2492" t="n">
        <v>0</v>
      </c>
      <c r="J2492" t="n">
        <v>0</v>
      </c>
      <c r="K2492" t="n">
        <v>0</v>
      </c>
      <c r="L2492" t="n">
        <v>0</v>
      </c>
      <c r="M2492" t="n">
        <v>0</v>
      </c>
      <c r="N2492" t="n">
        <v>0</v>
      </c>
      <c r="O2492" t="n">
        <v>0</v>
      </c>
      <c r="P2492" t="n">
        <v>0</v>
      </c>
      <c r="Q2492" t="n">
        <v>0</v>
      </c>
      <c r="R2492" s="2" t="inlineStr"/>
    </row>
    <row r="2493" ht="15" customHeight="1">
      <c r="A2493" t="inlineStr">
        <is>
          <t>A 42714-2022</t>
        </is>
      </c>
      <c r="B2493" s="1" t="n">
        <v>44832</v>
      </c>
      <c r="C2493" s="1" t="n">
        <v>45724</v>
      </c>
      <c r="D2493" t="inlineStr">
        <is>
          <t>VÄSTMANLANDS LÄN</t>
        </is>
      </c>
      <c r="E2493" t="inlineStr">
        <is>
          <t>SURAHAMMAR</t>
        </is>
      </c>
      <c r="G2493" t="n">
        <v>1.1</v>
      </c>
      <c r="H2493" t="n">
        <v>0</v>
      </c>
      <c r="I2493" t="n">
        <v>0</v>
      </c>
      <c r="J2493" t="n">
        <v>0</v>
      </c>
      <c r="K2493" t="n">
        <v>0</v>
      </c>
      <c r="L2493" t="n">
        <v>0</v>
      </c>
      <c r="M2493" t="n">
        <v>0</v>
      </c>
      <c r="N2493" t="n">
        <v>0</v>
      </c>
      <c r="O2493" t="n">
        <v>0</v>
      </c>
      <c r="P2493" t="n">
        <v>0</v>
      </c>
      <c r="Q2493" t="n">
        <v>0</v>
      </c>
      <c r="R2493" s="2" t="inlineStr"/>
    </row>
    <row r="2494" ht="15" customHeight="1">
      <c r="A2494" t="inlineStr">
        <is>
          <t>A 42832-2022</t>
        </is>
      </c>
      <c r="B2494" s="1" t="n">
        <v>44832</v>
      </c>
      <c r="C2494" s="1" t="n">
        <v>45724</v>
      </c>
      <c r="D2494" t="inlineStr">
        <is>
          <t>VÄSTMANLANDS LÄN</t>
        </is>
      </c>
      <c r="E2494" t="inlineStr">
        <is>
          <t>SURAHAMMAR</t>
        </is>
      </c>
      <c r="G2494" t="n">
        <v>1.1</v>
      </c>
      <c r="H2494" t="n">
        <v>0</v>
      </c>
      <c r="I2494" t="n">
        <v>0</v>
      </c>
      <c r="J2494" t="n">
        <v>0</v>
      </c>
      <c r="K2494" t="n">
        <v>0</v>
      </c>
      <c r="L2494" t="n">
        <v>0</v>
      </c>
      <c r="M2494" t="n">
        <v>0</v>
      </c>
      <c r="N2494" t="n">
        <v>0</v>
      </c>
      <c r="O2494" t="n">
        <v>0</v>
      </c>
      <c r="P2494" t="n">
        <v>0</v>
      </c>
      <c r="Q2494" t="n">
        <v>0</v>
      </c>
      <c r="R2494" s="2" t="inlineStr"/>
    </row>
    <row r="2495" ht="15" customHeight="1">
      <c r="A2495" t="inlineStr">
        <is>
          <t>A 42841-2022</t>
        </is>
      </c>
      <c r="B2495" s="1" t="n">
        <v>44832</v>
      </c>
      <c r="C2495" s="1" t="n">
        <v>45724</v>
      </c>
      <c r="D2495" t="inlineStr">
        <is>
          <t>VÄSTMANLANDS LÄN</t>
        </is>
      </c>
      <c r="E2495" t="inlineStr">
        <is>
          <t>SURAHAMMAR</t>
        </is>
      </c>
      <c r="G2495" t="n">
        <v>1.8</v>
      </c>
      <c r="H2495" t="n">
        <v>0</v>
      </c>
      <c r="I2495" t="n">
        <v>0</v>
      </c>
      <c r="J2495" t="n">
        <v>0</v>
      </c>
      <c r="K2495" t="n">
        <v>0</v>
      </c>
      <c r="L2495" t="n">
        <v>0</v>
      </c>
      <c r="M2495" t="n">
        <v>0</v>
      </c>
      <c r="N2495" t="n">
        <v>0</v>
      </c>
      <c r="O2495" t="n">
        <v>0</v>
      </c>
      <c r="P2495" t="n">
        <v>0</v>
      </c>
      <c r="Q2495" t="n">
        <v>0</v>
      </c>
      <c r="R2495" s="2" t="inlineStr"/>
    </row>
    <row r="2496" ht="15" customHeight="1">
      <c r="A2496" t="inlineStr">
        <is>
          <t>A 42829-2022</t>
        </is>
      </c>
      <c r="B2496" s="1" t="n">
        <v>44832</v>
      </c>
      <c r="C2496" s="1" t="n">
        <v>45724</v>
      </c>
      <c r="D2496" t="inlineStr">
        <is>
          <t>VÄSTMANLANDS LÄN</t>
        </is>
      </c>
      <c r="E2496" t="inlineStr">
        <is>
          <t>SURAHAMMAR</t>
        </is>
      </c>
      <c r="G2496" t="n">
        <v>1.6</v>
      </c>
      <c r="H2496" t="n">
        <v>0</v>
      </c>
      <c r="I2496" t="n">
        <v>0</v>
      </c>
      <c r="J2496" t="n">
        <v>0</v>
      </c>
      <c r="K2496" t="n">
        <v>0</v>
      </c>
      <c r="L2496" t="n">
        <v>0</v>
      </c>
      <c r="M2496" t="n">
        <v>0</v>
      </c>
      <c r="N2496" t="n">
        <v>0</v>
      </c>
      <c r="O2496" t="n">
        <v>0</v>
      </c>
      <c r="P2496" t="n">
        <v>0</v>
      </c>
      <c r="Q2496" t="n">
        <v>0</v>
      </c>
      <c r="R2496" s="2" t="inlineStr"/>
    </row>
    <row r="2497" ht="15" customHeight="1">
      <c r="A2497" t="inlineStr">
        <is>
          <t>A 42910-2022</t>
        </is>
      </c>
      <c r="B2497" s="1" t="n">
        <v>44833</v>
      </c>
      <c r="C2497" s="1" t="n">
        <v>45724</v>
      </c>
      <c r="D2497" t="inlineStr">
        <is>
          <t>VÄSTMANLANDS LÄN</t>
        </is>
      </c>
      <c r="E2497" t="inlineStr">
        <is>
          <t>VÄSTERÅS</t>
        </is>
      </c>
      <c r="F2497" t="inlineStr">
        <is>
          <t>Övriga Aktiebolag</t>
        </is>
      </c>
      <c r="G2497" t="n">
        <v>1.9</v>
      </c>
      <c r="H2497" t="n">
        <v>0</v>
      </c>
      <c r="I2497" t="n">
        <v>0</v>
      </c>
      <c r="J2497" t="n">
        <v>0</v>
      </c>
      <c r="K2497" t="n">
        <v>0</v>
      </c>
      <c r="L2497" t="n">
        <v>0</v>
      </c>
      <c r="M2497" t="n">
        <v>0</v>
      </c>
      <c r="N2497" t="n">
        <v>0</v>
      </c>
      <c r="O2497" t="n">
        <v>0</v>
      </c>
      <c r="P2497" t="n">
        <v>0</v>
      </c>
      <c r="Q2497" t="n">
        <v>0</v>
      </c>
      <c r="R2497" s="2" t="inlineStr"/>
    </row>
    <row r="2498" ht="15" customHeight="1">
      <c r="A2498" t="inlineStr">
        <is>
          <t>A 43073-2022</t>
        </is>
      </c>
      <c r="B2498" s="1" t="n">
        <v>44833</v>
      </c>
      <c r="C2498" s="1" t="n">
        <v>45724</v>
      </c>
      <c r="D2498" t="inlineStr">
        <is>
          <t>VÄSTMANLANDS LÄN</t>
        </is>
      </c>
      <c r="E2498" t="inlineStr">
        <is>
          <t>NORBERG</t>
        </is>
      </c>
      <c r="G2498" t="n">
        <v>2.9</v>
      </c>
      <c r="H2498" t="n">
        <v>0</v>
      </c>
      <c r="I2498" t="n">
        <v>0</v>
      </c>
      <c r="J2498" t="n">
        <v>0</v>
      </c>
      <c r="K2498" t="n">
        <v>0</v>
      </c>
      <c r="L2498" t="n">
        <v>0</v>
      </c>
      <c r="M2498" t="n">
        <v>0</v>
      </c>
      <c r="N2498" t="n">
        <v>0</v>
      </c>
      <c r="O2498" t="n">
        <v>0</v>
      </c>
      <c r="P2498" t="n">
        <v>0</v>
      </c>
      <c r="Q2498" t="n">
        <v>0</v>
      </c>
      <c r="R2498" s="2" t="inlineStr"/>
    </row>
    <row r="2499" ht="15" customHeight="1">
      <c r="A2499" t="inlineStr">
        <is>
          <t>A 43103-2022</t>
        </is>
      </c>
      <c r="B2499" s="1" t="n">
        <v>44833</v>
      </c>
      <c r="C2499" s="1" t="n">
        <v>45724</v>
      </c>
      <c r="D2499" t="inlineStr">
        <is>
          <t>VÄSTMANLANDS LÄN</t>
        </is>
      </c>
      <c r="E2499" t="inlineStr">
        <is>
          <t>SALA</t>
        </is>
      </c>
      <c r="G2499" t="n">
        <v>0.6</v>
      </c>
      <c r="H2499" t="n">
        <v>0</v>
      </c>
      <c r="I2499" t="n">
        <v>0</v>
      </c>
      <c r="J2499" t="n">
        <v>0</v>
      </c>
      <c r="K2499" t="n">
        <v>0</v>
      </c>
      <c r="L2499" t="n">
        <v>0</v>
      </c>
      <c r="M2499" t="n">
        <v>0</v>
      </c>
      <c r="N2499" t="n">
        <v>0</v>
      </c>
      <c r="O2499" t="n">
        <v>0</v>
      </c>
      <c r="P2499" t="n">
        <v>0</v>
      </c>
      <c r="Q2499" t="n">
        <v>0</v>
      </c>
      <c r="R2499" s="2" t="inlineStr"/>
    </row>
    <row r="2500" ht="15" customHeight="1">
      <c r="A2500" t="inlineStr">
        <is>
          <t>A 43075-2022</t>
        </is>
      </c>
      <c r="B2500" s="1" t="n">
        <v>44833</v>
      </c>
      <c r="C2500" s="1" t="n">
        <v>45724</v>
      </c>
      <c r="D2500" t="inlineStr">
        <is>
          <t>VÄSTMANLANDS LÄN</t>
        </is>
      </c>
      <c r="E2500" t="inlineStr">
        <is>
          <t>NORBERG</t>
        </is>
      </c>
      <c r="G2500" t="n">
        <v>3.7</v>
      </c>
      <c r="H2500" t="n">
        <v>0</v>
      </c>
      <c r="I2500" t="n">
        <v>0</v>
      </c>
      <c r="J2500" t="n">
        <v>0</v>
      </c>
      <c r="K2500" t="n">
        <v>0</v>
      </c>
      <c r="L2500" t="n">
        <v>0</v>
      </c>
      <c r="M2500" t="n">
        <v>0</v>
      </c>
      <c r="N2500" t="n">
        <v>0</v>
      </c>
      <c r="O2500" t="n">
        <v>0</v>
      </c>
      <c r="P2500" t="n">
        <v>0</v>
      </c>
      <c r="Q2500" t="n">
        <v>0</v>
      </c>
      <c r="R2500" s="2" t="inlineStr"/>
    </row>
    <row r="2501" ht="15" customHeight="1">
      <c r="A2501" t="inlineStr">
        <is>
          <t>A 43072-2022</t>
        </is>
      </c>
      <c r="B2501" s="1" t="n">
        <v>44833</v>
      </c>
      <c r="C2501" s="1" t="n">
        <v>45724</v>
      </c>
      <c r="D2501" t="inlineStr">
        <is>
          <t>VÄSTMANLANDS LÄN</t>
        </is>
      </c>
      <c r="E2501" t="inlineStr">
        <is>
          <t>NORBERG</t>
        </is>
      </c>
      <c r="G2501" t="n">
        <v>4.7</v>
      </c>
      <c r="H2501" t="n">
        <v>0</v>
      </c>
      <c r="I2501" t="n">
        <v>0</v>
      </c>
      <c r="J2501" t="n">
        <v>0</v>
      </c>
      <c r="K2501" t="n">
        <v>0</v>
      </c>
      <c r="L2501" t="n">
        <v>0</v>
      </c>
      <c r="M2501" t="n">
        <v>0</v>
      </c>
      <c r="N2501" t="n">
        <v>0</v>
      </c>
      <c r="O2501" t="n">
        <v>0</v>
      </c>
      <c r="P2501" t="n">
        <v>0</v>
      </c>
      <c r="Q2501" t="n">
        <v>0</v>
      </c>
      <c r="R2501" s="2" t="inlineStr"/>
    </row>
    <row r="2502" ht="15" customHeight="1">
      <c r="A2502" t="inlineStr">
        <is>
          <t>A 43076-2022</t>
        </is>
      </c>
      <c r="B2502" s="1" t="n">
        <v>44833</v>
      </c>
      <c r="C2502" s="1" t="n">
        <v>45724</v>
      </c>
      <c r="D2502" t="inlineStr">
        <is>
          <t>VÄSTMANLANDS LÄN</t>
        </is>
      </c>
      <c r="E2502" t="inlineStr">
        <is>
          <t>NORBERG</t>
        </is>
      </c>
      <c r="G2502" t="n">
        <v>1.9</v>
      </c>
      <c r="H2502" t="n">
        <v>0</v>
      </c>
      <c r="I2502" t="n">
        <v>0</v>
      </c>
      <c r="J2502" t="n">
        <v>0</v>
      </c>
      <c r="K2502" t="n">
        <v>0</v>
      </c>
      <c r="L2502" t="n">
        <v>0</v>
      </c>
      <c r="M2502" t="n">
        <v>0</v>
      </c>
      <c r="N2502" t="n">
        <v>0</v>
      </c>
      <c r="O2502" t="n">
        <v>0</v>
      </c>
      <c r="P2502" t="n">
        <v>0</v>
      </c>
      <c r="Q2502" t="n">
        <v>0</v>
      </c>
      <c r="R2502" s="2" t="inlineStr"/>
    </row>
    <row r="2503" ht="15" customHeight="1">
      <c r="A2503" t="inlineStr">
        <is>
          <t>A 43101-2022</t>
        </is>
      </c>
      <c r="B2503" s="1" t="n">
        <v>44833</v>
      </c>
      <c r="C2503" s="1" t="n">
        <v>45724</v>
      </c>
      <c r="D2503" t="inlineStr">
        <is>
          <t>VÄSTMANLANDS LÄN</t>
        </is>
      </c>
      <c r="E2503" t="inlineStr">
        <is>
          <t>SALA</t>
        </is>
      </c>
      <c r="G2503" t="n">
        <v>0.7</v>
      </c>
      <c r="H2503" t="n">
        <v>0</v>
      </c>
      <c r="I2503" t="n">
        <v>0</v>
      </c>
      <c r="J2503" t="n">
        <v>0</v>
      </c>
      <c r="K2503" t="n">
        <v>0</v>
      </c>
      <c r="L2503" t="n">
        <v>0</v>
      </c>
      <c r="M2503" t="n">
        <v>0</v>
      </c>
      <c r="N2503" t="n">
        <v>0</v>
      </c>
      <c r="O2503" t="n">
        <v>0</v>
      </c>
      <c r="P2503" t="n">
        <v>0</v>
      </c>
      <c r="Q2503" t="n">
        <v>0</v>
      </c>
      <c r="R2503" s="2" t="inlineStr"/>
    </row>
    <row r="2504" ht="15" customHeight="1">
      <c r="A2504" t="inlineStr">
        <is>
          <t>A 43303-2022</t>
        </is>
      </c>
      <c r="B2504" s="1" t="n">
        <v>44834</v>
      </c>
      <c r="C2504" s="1" t="n">
        <v>45724</v>
      </c>
      <c r="D2504" t="inlineStr">
        <is>
          <t>VÄSTMANLANDS LÄN</t>
        </is>
      </c>
      <c r="E2504" t="inlineStr">
        <is>
          <t>KÖPING</t>
        </is>
      </c>
      <c r="G2504" t="n">
        <v>2.6</v>
      </c>
      <c r="H2504" t="n">
        <v>0</v>
      </c>
      <c r="I2504" t="n">
        <v>0</v>
      </c>
      <c r="J2504" t="n">
        <v>0</v>
      </c>
      <c r="K2504" t="n">
        <v>0</v>
      </c>
      <c r="L2504" t="n">
        <v>0</v>
      </c>
      <c r="M2504" t="n">
        <v>0</v>
      </c>
      <c r="N2504" t="n">
        <v>0</v>
      </c>
      <c r="O2504" t="n">
        <v>0</v>
      </c>
      <c r="P2504" t="n">
        <v>0</v>
      </c>
      <c r="Q2504" t="n">
        <v>0</v>
      </c>
      <c r="R2504" s="2" t="inlineStr"/>
    </row>
    <row r="2505" ht="15" customHeight="1">
      <c r="A2505" t="inlineStr">
        <is>
          <t>A 43384-2022</t>
        </is>
      </c>
      <c r="B2505" s="1" t="n">
        <v>44834</v>
      </c>
      <c r="C2505" s="1" t="n">
        <v>45724</v>
      </c>
      <c r="D2505" t="inlineStr">
        <is>
          <t>VÄSTMANLANDS LÄN</t>
        </is>
      </c>
      <c r="E2505" t="inlineStr">
        <is>
          <t>SKINNSKATTEBERG</t>
        </is>
      </c>
      <c r="F2505" t="inlineStr">
        <is>
          <t>Sveaskog</t>
        </is>
      </c>
      <c r="G2505" t="n">
        <v>3.8</v>
      </c>
      <c r="H2505" t="n">
        <v>0</v>
      </c>
      <c r="I2505" t="n">
        <v>0</v>
      </c>
      <c r="J2505" t="n">
        <v>0</v>
      </c>
      <c r="K2505" t="n">
        <v>0</v>
      </c>
      <c r="L2505" t="n">
        <v>0</v>
      </c>
      <c r="M2505" t="n">
        <v>0</v>
      </c>
      <c r="N2505" t="n">
        <v>0</v>
      </c>
      <c r="O2505" t="n">
        <v>0</v>
      </c>
      <c r="P2505" t="n">
        <v>0</v>
      </c>
      <c r="Q2505" t="n">
        <v>0</v>
      </c>
      <c r="R2505" s="2" t="inlineStr"/>
    </row>
    <row r="2506" ht="15" customHeight="1">
      <c r="A2506" t="inlineStr">
        <is>
          <t>A 43349-2022</t>
        </is>
      </c>
      <c r="B2506" s="1" t="n">
        <v>44834</v>
      </c>
      <c r="C2506" s="1" t="n">
        <v>45724</v>
      </c>
      <c r="D2506" t="inlineStr">
        <is>
          <t>VÄSTMANLANDS LÄN</t>
        </is>
      </c>
      <c r="E2506" t="inlineStr">
        <is>
          <t>SKINNSKATTEBERG</t>
        </is>
      </c>
      <c r="F2506" t="inlineStr">
        <is>
          <t>Sveaskog</t>
        </is>
      </c>
      <c r="G2506" t="n">
        <v>1.2</v>
      </c>
      <c r="H2506" t="n">
        <v>0</v>
      </c>
      <c r="I2506" t="n">
        <v>0</v>
      </c>
      <c r="J2506" t="n">
        <v>0</v>
      </c>
      <c r="K2506" t="n">
        <v>0</v>
      </c>
      <c r="L2506" t="n">
        <v>0</v>
      </c>
      <c r="M2506" t="n">
        <v>0</v>
      </c>
      <c r="N2506" t="n">
        <v>0</v>
      </c>
      <c r="O2506" t="n">
        <v>0</v>
      </c>
      <c r="P2506" t="n">
        <v>0</v>
      </c>
      <c r="Q2506" t="n">
        <v>0</v>
      </c>
      <c r="R2506" s="2" t="inlineStr"/>
    </row>
    <row r="2507" ht="15" customHeight="1">
      <c r="A2507" t="inlineStr">
        <is>
          <t>A 43347-2022</t>
        </is>
      </c>
      <c r="B2507" s="1" t="n">
        <v>44834</v>
      </c>
      <c r="C2507" s="1" t="n">
        <v>45724</v>
      </c>
      <c r="D2507" t="inlineStr">
        <is>
          <t>VÄSTMANLANDS LÄN</t>
        </is>
      </c>
      <c r="E2507" t="inlineStr">
        <is>
          <t>SKINNSKATTEBERG</t>
        </is>
      </c>
      <c r="F2507" t="inlineStr">
        <is>
          <t>Sveaskog</t>
        </is>
      </c>
      <c r="G2507" t="n">
        <v>4.5</v>
      </c>
      <c r="H2507" t="n">
        <v>0</v>
      </c>
      <c r="I2507" t="n">
        <v>0</v>
      </c>
      <c r="J2507" t="n">
        <v>0</v>
      </c>
      <c r="K2507" t="n">
        <v>0</v>
      </c>
      <c r="L2507" t="n">
        <v>0</v>
      </c>
      <c r="M2507" t="n">
        <v>0</v>
      </c>
      <c r="N2507" t="n">
        <v>0</v>
      </c>
      <c r="O2507" t="n">
        <v>0</v>
      </c>
      <c r="P2507" t="n">
        <v>0</v>
      </c>
      <c r="Q2507" t="n">
        <v>0</v>
      </c>
      <c r="R2507" s="2" t="inlineStr"/>
    </row>
    <row r="2508" ht="15" customHeight="1">
      <c r="A2508" t="inlineStr">
        <is>
          <t>A 43567-2022</t>
        </is>
      </c>
      <c r="B2508" s="1" t="n">
        <v>44837</v>
      </c>
      <c r="C2508" s="1" t="n">
        <v>45724</v>
      </c>
      <c r="D2508" t="inlineStr">
        <is>
          <t>VÄSTMANLANDS LÄN</t>
        </is>
      </c>
      <c r="E2508" t="inlineStr">
        <is>
          <t>KÖPING</t>
        </is>
      </c>
      <c r="G2508" t="n">
        <v>4.5</v>
      </c>
      <c r="H2508" t="n">
        <v>0</v>
      </c>
      <c r="I2508" t="n">
        <v>0</v>
      </c>
      <c r="J2508" t="n">
        <v>0</v>
      </c>
      <c r="K2508" t="n">
        <v>0</v>
      </c>
      <c r="L2508" t="n">
        <v>0</v>
      </c>
      <c r="M2508" t="n">
        <v>0</v>
      </c>
      <c r="N2508" t="n">
        <v>0</v>
      </c>
      <c r="O2508" t="n">
        <v>0</v>
      </c>
      <c r="P2508" t="n">
        <v>0</v>
      </c>
      <c r="Q2508" t="n">
        <v>0</v>
      </c>
      <c r="R2508" s="2" t="inlineStr"/>
    </row>
    <row r="2509" ht="15" customHeight="1">
      <c r="A2509" t="inlineStr">
        <is>
          <t>A 43587-2022</t>
        </is>
      </c>
      <c r="B2509" s="1" t="n">
        <v>44837</v>
      </c>
      <c r="C2509" s="1" t="n">
        <v>45724</v>
      </c>
      <c r="D2509" t="inlineStr">
        <is>
          <t>VÄSTMANLANDS LÄN</t>
        </is>
      </c>
      <c r="E2509" t="inlineStr">
        <is>
          <t>ARBOGA</t>
        </is>
      </c>
      <c r="F2509" t="inlineStr">
        <is>
          <t>Sveaskog</t>
        </is>
      </c>
      <c r="G2509" t="n">
        <v>4.3</v>
      </c>
      <c r="H2509" t="n">
        <v>0</v>
      </c>
      <c r="I2509" t="n">
        <v>0</v>
      </c>
      <c r="J2509" t="n">
        <v>0</v>
      </c>
      <c r="K2509" t="n">
        <v>0</v>
      </c>
      <c r="L2509" t="n">
        <v>0</v>
      </c>
      <c r="M2509" t="n">
        <v>0</v>
      </c>
      <c r="N2509" t="n">
        <v>0</v>
      </c>
      <c r="O2509" t="n">
        <v>0</v>
      </c>
      <c r="P2509" t="n">
        <v>0</v>
      </c>
      <c r="Q2509" t="n">
        <v>0</v>
      </c>
      <c r="R2509" s="2" t="inlineStr"/>
    </row>
    <row r="2510" ht="15" customHeight="1">
      <c r="A2510" t="inlineStr">
        <is>
          <t>A 44016-2022</t>
        </is>
      </c>
      <c r="B2510" s="1" t="n">
        <v>44838</v>
      </c>
      <c r="C2510" s="1" t="n">
        <v>45724</v>
      </c>
      <c r="D2510" t="inlineStr">
        <is>
          <t>VÄSTMANLANDS LÄN</t>
        </is>
      </c>
      <c r="E2510" t="inlineStr">
        <is>
          <t>NORBERG</t>
        </is>
      </c>
      <c r="F2510" t="inlineStr">
        <is>
          <t>Sveaskog</t>
        </is>
      </c>
      <c r="G2510" t="n">
        <v>7.2</v>
      </c>
      <c r="H2510" t="n">
        <v>0</v>
      </c>
      <c r="I2510" t="n">
        <v>0</v>
      </c>
      <c r="J2510" t="n">
        <v>0</v>
      </c>
      <c r="K2510" t="n">
        <v>0</v>
      </c>
      <c r="L2510" t="n">
        <v>0</v>
      </c>
      <c r="M2510" t="n">
        <v>0</v>
      </c>
      <c r="N2510" t="n">
        <v>0</v>
      </c>
      <c r="O2510" t="n">
        <v>0</v>
      </c>
      <c r="P2510" t="n">
        <v>0</v>
      </c>
      <c r="Q2510" t="n">
        <v>0</v>
      </c>
      <c r="R2510" s="2" t="inlineStr"/>
    </row>
    <row r="2511" ht="15" customHeight="1">
      <c r="A2511" t="inlineStr">
        <is>
          <t>A 44015-2022</t>
        </is>
      </c>
      <c r="B2511" s="1" t="n">
        <v>44838</v>
      </c>
      <c r="C2511" s="1" t="n">
        <v>45724</v>
      </c>
      <c r="D2511" t="inlineStr">
        <is>
          <t>VÄSTMANLANDS LÄN</t>
        </is>
      </c>
      <c r="E2511" t="inlineStr">
        <is>
          <t>NORBERG</t>
        </is>
      </c>
      <c r="F2511" t="inlineStr">
        <is>
          <t>Sveaskog</t>
        </is>
      </c>
      <c r="G2511" t="n">
        <v>2</v>
      </c>
      <c r="H2511" t="n">
        <v>0</v>
      </c>
      <c r="I2511" t="n">
        <v>0</v>
      </c>
      <c r="J2511" t="n">
        <v>0</v>
      </c>
      <c r="K2511" t="n">
        <v>0</v>
      </c>
      <c r="L2511" t="n">
        <v>0</v>
      </c>
      <c r="M2511" t="n">
        <v>0</v>
      </c>
      <c r="N2511" t="n">
        <v>0</v>
      </c>
      <c r="O2511" t="n">
        <v>0</v>
      </c>
      <c r="P2511" t="n">
        <v>0</v>
      </c>
      <c r="Q2511" t="n">
        <v>0</v>
      </c>
      <c r="R2511" s="2" t="inlineStr"/>
    </row>
    <row r="2512" ht="15" customHeight="1">
      <c r="A2512" t="inlineStr">
        <is>
          <t>A 44217-2022</t>
        </is>
      </c>
      <c r="B2512" s="1" t="n">
        <v>44839</v>
      </c>
      <c r="C2512" s="1" t="n">
        <v>45724</v>
      </c>
      <c r="D2512" t="inlineStr">
        <is>
          <t>VÄSTMANLANDS LÄN</t>
        </is>
      </c>
      <c r="E2512" t="inlineStr">
        <is>
          <t>SALA</t>
        </is>
      </c>
      <c r="G2512" t="n">
        <v>0.4</v>
      </c>
      <c r="H2512" t="n">
        <v>0</v>
      </c>
      <c r="I2512" t="n">
        <v>0</v>
      </c>
      <c r="J2512" t="n">
        <v>0</v>
      </c>
      <c r="K2512" t="n">
        <v>0</v>
      </c>
      <c r="L2512" t="n">
        <v>0</v>
      </c>
      <c r="M2512" t="n">
        <v>0</v>
      </c>
      <c r="N2512" t="n">
        <v>0</v>
      </c>
      <c r="O2512" t="n">
        <v>0</v>
      </c>
      <c r="P2512" t="n">
        <v>0</v>
      </c>
      <c r="Q2512" t="n">
        <v>0</v>
      </c>
      <c r="R2512" s="2" t="inlineStr"/>
    </row>
    <row r="2513" ht="15" customHeight="1">
      <c r="A2513" t="inlineStr">
        <is>
          <t>A 44318-2022</t>
        </is>
      </c>
      <c r="B2513" s="1" t="n">
        <v>44839</v>
      </c>
      <c r="C2513" s="1" t="n">
        <v>45724</v>
      </c>
      <c r="D2513" t="inlineStr">
        <is>
          <t>VÄSTMANLANDS LÄN</t>
        </is>
      </c>
      <c r="E2513" t="inlineStr">
        <is>
          <t>SALA</t>
        </is>
      </c>
      <c r="G2513" t="n">
        <v>0.6</v>
      </c>
      <c r="H2513" t="n">
        <v>0</v>
      </c>
      <c r="I2513" t="n">
        <v>0</v>
      </c>
      <c r="J2513" t="n">
        <v>0</v>
      </c>
      <c r="K2513" t="n">
        <v>0</v>
      </c>
      <c r="L2513" t="n">
        <v>0</v>
      </c>
      <c r="M2513" t="n">
        <v>0</v>
      </c>
      <c r="N2513" t="n">
        <v>0</v>
      </c>
      <c r="O2513" t="n">
        <v>0</v>
      </c>
      <c r="P2513" t="n">
        <v>0</v>
      </c>
      <c r="Q2513" t="n">
        <v>0</v>
      </c>
      <c r="R2513" s="2" t="inlineStr"/>
    </row>
    <row r="2514" ht="15" customHeight="1">
      <c r="A2514" t="inlineStr">
        <is>
          <t>A 44224-2022</t>
        </is>
      </c>
      <c r="B2514" s="1" t="n">
        <v>44839</v>
      </c>
      <c r="C2514" s="1" t="n">
        <v>45724</v>
      </c>
      <c r="D2514" t="inlineStr">
        <is>
          <t>VÄSTMANLANDS LÄN</t>
        </is>
      </c>
      <c r="E2514" t="inlineStr">
        <is>
          <t>SALA</t>
        </is>
      </c>
      <c r="G2514" t="n">
        <v>2.1</v>
      </c>
      <c r="H2514" t="n">
        <v>0</v>
      </c>
      <c r="I2514" t="n">
        <v>0</v>
      </c>
      <c r="J2514" t="n">
        <v>0</v>
      </c>
      <c r="K2514" t="n">
        <v>0</v>
      </c>
      <c r="L2514" t="n">
        <v>0</v>
      </c>
      <c r="M2514" t="n">
        <v>0</v>
      </c>
      <c r="N2514" t="n">
        <v>0</v>
      </c>
      <c r="O2514" t="n">
        <v>0</v>
      </c>
      <c r="P2514" t="n">
        <v>0</v>
      </c>
      <c r="Q2514" t="n">
        <v>0</v>
      </c>
      <c r="R2514" s="2" t="inlineStr"/>
    </row>
    <row r="2515" ht="15" customHeight="1">
      <c r="A2515" t="inlineStr">
        <is>
          <t>A 44408-2022</t>
        </is>
      </c>
      <c r="B2515" s="1" t="n">
        <v>44839</v>
      </c>
      <c r="C2515" s="1" t="n">
        <v>45724</v>
      </c>
      <c r="D2515" t="inlineStr">
        <is>
          <t>VÄSTMANLANDS LÄN</t>
        </is>
      </c>
      <c r="E2515" t="inlineStr">
        <is>
          <t>KÖPING</t>
        </is>
      </c>
      <c r="G2515" t="n">
        <v>2.7</v>
      </c>
      <c r="H2515" t="n">
        <v>0</v>
      </c>
      <c r="I2515" t="n">
        <v>0</v>
      </c>
      <c r="J2515" t="n">
        <v>0</v>
      </c>
      <c r="K2515" t="n">
        <v>0</v>
      </c>
      <c r="L2515" t="n">
        <v>0</v>
      </c>
      <c r="M2515" t="n">
        <v>0</v>
      </c>
      <c r="N2515" t="n">
        <v>0</v>
      </c>
      <c r="O2515" t="n">
        <v>0</v>
      </c>
      <c r="P2515" t="n">
        <v>0</v>
      </c>
      <c r="Q2515" t="n">
        <v>0</v>
      </c>
      <c r="R2515" s="2" t="inlineStr"/>
    </row>
    <row r="2516" ht="15" customHeight="1">
      <c r="A2516" t="inlineStr">
        <is>
          <t>A 44370-2022</t>
        </is>
      </c>
      <c r="B2516" s="1" t="n">
        <v>44839</v>
      </c>
      <c r="C2516" s="1" t="n">
        <v>45724</v>
      </c>
      <c r="D2516" t="inlineStr">
        <is>
          <t>VÄSTMANLANDS LÄN</t>
        </is>
      </c>
      <c r="E2516" t="inlineStr">
        <is>
          <t>KÖPING</t>
        </is>
      </c>
      <c r="G2516" t="n">
        <v>9.199999999999999</v>
      </c>
      <c r="H2516" t="n">
        <v>0</v>
      </c>
      <c r="I2516" t="n">
        <v>0</v>
      </c>
      <c r="J2516" t="n">
        <v>0</v>
      </c>
      <c r="K2516" t="n">
        <v>0</v>
      </c>
      <c r="L2516" t="n">
        <v>0</v>
      </c>
      <c r="M2516" t="n">
        <v>0</v>
      </c>
      <c r="N2516" t="n">
        <v>0</v>
      </c>
      <c r="O2516" t="n">
        <v>0</v>
      </c>
      <c r="P2516" t="n">
        <v>0</v>
      </c>
      <c r="Q2516" t="n">
        <v>0</v>
      </c>
      <c r="R2516" s="2" t="inlineStr"/>
    </row>
    <row r="2517" ht="15" customHeight="1">
      <c r="A2517" t="inlineStr">
        <is>
          <t>A 44711-2022</t>
        </is>
      </c>
      <c r="B2517" s="1" t="n">
        <v>44840</v>
      </c>
      <c r="C2517" s="1" t="n">
        <v>45724</v>
      </c>
      <c r="D2517" t="inlineStr">
        <is>
          <t>VÄSTMANLANDS LÄN</t>
        </is>
      </c>
      <c r="E2517" t="inlineStr">
        <is>
          <t>FAGERSTA</t>
        </is>
      </c>
      <c r="G2517" t="n">
        <v>3.3</v>
      </c>
      <c r="H2517" t="n">
        <v>0</v>
      </c>
      <c r="I2517" t="n">
        <v>0</v>
      </c>
      <c r="J2517" t="n">
        <v>0</v>
      </c>
      <c r="K2517" t="n">
        <v>0</v>
      </c>
      <c r="L2517" t="n">
        <v>0</v>
      </c>
      <c r="M2517" t="n">
        <v>0</v>
      </c>
      <c r="N2517" t="n">
        <v>0</v>
      </c>
      <c r="O2517" t="n">
        <v>0</v>
      </c>
      <c r="P2517" t="n">
        <v>0</v>
      </c>
      <c r="Q2517" t="n">
        <v>0</v>
      </c>
      <c r="R2517" s="2" t="inlineStr"/>
    </row>
    <row r="2518" ht="15" customHeight="1">
      <c r="A2518" t="inlineStr">
        <is>
          <t>A 44906-2022</t>
        </is>
      </c>
      <c r="B2518" s="1" t="n">
        <v>44840</v>
      </c>
      <c r="C2518" s="1" t="n">
        <v>45724</v>
      </c>
      <c r="D2518" t="inlineStr">
        <is>
          <t>VÄSTMANLANDS LÄN</t>
        </is>
      </c>
      <c r="E2518" t="inlineStr">
        <is>
          <t>KÖPING</t>
        </is>
      </c>
      <c r="G2518" t="n">
        <v>3.6</v>
      </c>
      <c r="H2518" t="n">
        <v>0</v>
      </c>
      <c r="I2518" t="n">
        <v>0</v>
      </c>
      <c r="J2518" t="n">
        <v>0</v>
      </c>
      <c r="K2518" t="n">
        <v>0</v>
      </c>
      <c r="L2518" t="n">
        <v>0</v>
      </c>
      <c r="M2518" t="n">
        <v>0</v>
      </c>
      <c r="N2518" t="n">
        <v>0</v>
      </c>
      <c r="O2518" t="n">
        <v>0</v>
      </c>
      <c r="P2518" t="n">
        <v>0</v>
      </c>
      <c r="Q2518" t="n">
        <v>0</v>
      </c>
      <c r="R2518" s="2" t="inlineStr"/>
    </row>
    <row r="2519" ht="15" customHeight="1">
      <c r="A2519" t="inlineStr">
        <is>
          <t>A 44695-2022</t>
        </is>
      </c>
      <c r="B2519" s="1" t="n">
        <v>44840</v>
      </c>
      <c r="C2519" s="1" t="n">
        <v>45724</v>
      </c>
      <c r="D2519" t="inlineStr">
        <is>
          <t>VÄSTMANLANDS LÄN</t>
        </is>
      </c>
      <c r="E2519" t="inlineStr">
        <is>
          <t>VÄSTERÅS</t>
        </is>
      </c>
      <c r="G2519" t="n">
        <v>1.1</v>
      </c>
      <c r="H2519" t="n">
        <v>0</v>
      </c>
      <c r="I2519" t="n">
        <v>0</v>
      </c>
      <c r="J2519" t="n">
        <v>0</v>
      </c>
      <c r="K2519" t="n">
        <v>0</v>
      </c>
      <c r="L2519" t="n">
        <v>0</v>
      </c>
      <c r="M2519" t="n">
        <v>0</v>
      </c>
      <c r="N2519" t="n">
        <v>0</v>
      </c>
      <c r="O2519" t="n">
        <v>0</v>
      </c>
      <c r="P2519" t="n">
        <v>0</v>
      </c>
      <c r="Q2519" t="n">
        <v>0</v>
      </c>
      <c r="R2519" s="2" t="inlineStr"/>
    </row>
    <row r="2520" ht="15" customHeight="1">
      <c r="A2520" t="inlineStr">
        <is>
          <t>A 44710-2022</t>
        </is>
      </c>
      <c r="B2520" s="1" t="n">
        <v>44840</v>
      </c>
      <c r="C2520" s="1" t="n">
        <v>45724</v>
      </c>
      <c r="D2520" t="inlineStr">
        <is>
          <t>VÄSTMANLANDS LÄN</t>
        </is>
      </c>
      <c r="E2520" t="inlineStr">
        <is>
          <t>FAGERSTA</t>
        </is>
      </c>
      <c r="G2520" t="n">
        <v>3.8</v>
      </c>
      <c r="H2520" t="n">
        <v>0</v>
      </c>
      <c r="I2520" t="n">
        <v>0</v>
      </c>
      <c r="J2520" t="n">
        <v>0</v>
      </c>
      <c r="K2520" t="n">
        <v>0</v>
      </c>
      <c r="L2520" t="n">
        <v>0</v>
      </c>
      <c r="M2520" t="n">
        <v>0</v>
      </c>
      <c r="N2520" t="n">
        <v>0</v>
      </c>
      <c r="O2520" t="n">
        <v>0</v>
      </c>
      <c r="P2520" t="n">
        <v>0</v>
      </c>
      <c r="Q2520" t="n">
        <v>0</v>
      </c>
      <c r="R2520" s="2" t="inlineStr"/>
    </row>
    <row r="2521" ht="15" customHeight="1">
      <c r="A2521" t="inlineStr">
        <is>
          <t>A 44892-2022</t>
        </is>
      </c>
      <c r="B2521" s="1" t="n">
        <v>44841</v>
      </c>
      <c r="C2521" s="1" t="n">
        <v>45724</v>
      </c>
      <c r="D2521" t="inlineStr">
        <is>
          <t>VÄSTMANLANDS LÄN</t>
        </is>
      </c>
      <c r="E2521" t="inlineStr">
        <is>
          <t>SALA</t>
        </is>
      </c>
      <c r="G2521" t="n">
        <v>1.7</v>
      </c>
      <c r="H2521" t="n">
        <v>0</v>
      </c>
      <c r="I2521" t="n">
        <v>0</v>
      </c>
      <c r="J2521" t="n">
        <v>0</v>
      </c>
      <c r="K2521" t="n">
        <v>0</v>
      </c>
      <c r="L2521" t="n">
        <v>0</v>
      </c>
      <c r="M2521" t="n">
        <v>0</v>
      </c>
      <c r="N2521" t="n">
        <v>0</v>
      </c>
      <c r="O2521" t="n">
        <v>0</v>
      </c>
      <c r="P2521" t="n">
        <v>0</v>
      </c>
      <c r="Q2521" t="n">
        <v>0</v>
      </c>
      <c r="R2521" s="2" t="inlineStr"/>
    </row>
    <row r="2522" ht="15" customHeight="1">
      <c r="A2522" t="inlineStr">
        <is>
          <t>A 45015-2022</t>
        </is>
      </c>
      <c r="B2522" s="1" t="n">
        <v>44841</v>
      </c>
      <c r="C2522" s="1" t="n">
        <v>45724</v>
      </c>
      <c r="D2522" t="inlineStr">
        <is>
          <t>VÄSTMANLANDS LÄN</t>
        </is>
      </c>
      <c r="E2522" t="inlineStr">
        <is>
          <t>SALA</t>
        </is>
      </c>
      <c r="G2522" t="n">
        <v>0.7</v>
      </c>
      <c r="H2522" t="n">
        <v>0</v>
      </c>
      <c r="I2522" t="n">
        <v>0</v>
      </c>
      <c r="J2522" t="n">
        <v>0</v>
      </c>
      <c r="K2522" t="n">
        <v>0</v>
      </c>
      <c r="L2522" t="n">
        <v>0</v>
      </c>
      <c r="M2522" t="n">
        <v>0</v>
      </c>
      <c r="N2522" t="n">
        <v>0</v>
      </c>
      <c r="O2522" t="n">
        <v>0</v>
      </c>
      <c r="P2522" t="n">
        <v>0</v>
      </c>
      <c r="Q2522" t="n">
        <v>0</v>
      </c>
      <c r="R2522" s="2" t="inlineStr"/>
    </row>
    <row r="2523" ht="15" customHeight="1">
      <c r="A2523" t="inlineStr">
        <is>
          <t>A 45008-2022</t>
        </is>
      </c>
      <c r="B2523" s="1" t="n">
        <v>44841</v>
      </c>
      <c r="C2523" s="1" t="n">
        <v>45724</v>
      </c>
      <c r="D2523" t="inlineStr">
        <is>
          <t>VÄSTMANLANDS LÄN</t>
        </is>
      </c>
      <c r="E2523" t="inlineStr">
        <is>
          <t>SKINNSKATTEBERG</t>
        </is>
      </c>
      <c r="F2523" t="inlineStr">
        <is>
          <t>Sveaskog</t>
        </is>
      </c>
      <c r="G2523" t="n">
        <v>2.3</v>
      </c>
      <c r="H2523" t="n">
        <v>0</v>
      </c>
      <c r="I2523" t="n">
        <v>0</v>
      </c>
      <c r="J2523" t="n">
        <v>0</v>
      </c>
      <c r="K2523" t="n">
        <v>0</v>
      </c>
      <c r="L2523" t="n">
        <v>0</v>
      </c>
      <c r="M2523" t="n">
        <v>0</v>
      </c>
      <c r="N2523" t="n">
        <v>0</v>
      </c>
      <c r="O2523" t="n">
        <v>0</v>
      </c>
      <c r="P2523" t="n">
        <v>0</v>
      </c>
      <c r="Q2523" t="n">
        <v>0</v>
      </c>
      <c r="R2523" s="2" t="inlineStr"/>
    </row>
    <row r="2524" ht="15" customHeight="1">
      <c r="A2524" t="inlineStr">
        <is>
          <t>A 45010-2022</t>
        </is>
      </c>
      <c r="B2524" s="1" t="n">
        <v>44841</v>
      </c>
      <c r="C2524" s="1" t="n">
        <v>45724</v>
      </c>
      <c r="D2524" t="inlineStr">
        <is>
          <t>VÄSTMANLANDS LÄN</t>
        </is>
      </c>
      <c r="E2524" t="inlineStr">
        <is>
          <t>SKINNSKATTEBERG</t>
        </is>
      </c>
      <c r="F2524" t="inlineStr">
        <is>
          <t>Sveaskog</t>
        </is>
      </c>
      <c r="G2524" t="n">
        <v>3.6</v>
      </c>
      <c r="H2524" t="n">
        <v>0</v>
      </c>
      <c r="I2524" t="n">
        <v>0</v>
      </c>
      <c r="J2524" t="n">
        <v>0</v>
      </c>
      <c r="K2524" t="n">
        <v>0</v>
      </c>
      <c r="L2524" t="n">
        <v>0</v>
      </c>
      <c r="M2524" t="n">
        <v>0</v>
      </c>
      <c r="N2524" t="n">
        <v>0</v>
      </c>
      <c r="O2524" t="n">
        <v>0</v>
      </c>
      <c r="P2524" t="n">
        <v>0</v>
      </c>
      <c r="Q2524" t="n">
        <v>0</v>
      </c>
      <c r="R2524" s="2" t="inlineStr"/>
    </row>
    <row r="2525" ht="15" customHeight="1">
      <c r="A2525" t="inlineStr">
        <is>
          <t>A 44935-2022</t>
        </is>
      </c>
      <c r="B2525" s="1" t="n">
        <v>44841</v>
      </c>
      <c r="C2525" s="1" t="n">
        <v>45724</v>
      </c>
      <c r="D2525" t="inlineStr">
        <is>
          <t>VÄSTMANLANDS LÄN</t>
        </is>
      </c>
      <c r="E2525" t="inlineStr">
        <is>
          <t>SALA</t>
        </is>
      </c>
      <c r="G2525" t="n">
        <v>1.5</v>
      </c>
      <c r="H2525" t="n">
        <v>0</v>
      </c>
      <c r="I2525" t="n">
        <v>0</v>
      </c>
      <c r="J2525" t="n">
        <v>0</v>
      </c>
      <c r="K2525" t="n">
        <v>0</v>
      </c>
      <c r="L2525" t="n">
        <v>0</v>
      </c>
      <c r="M2525" t="n">
        <v>0</v>
      </c>
      <c r="N2525" t="n">
        <v>0</v>
      </c>
      <c r="O2525" t="n">
        <v>0</v>
      </c>
      <c r="P2525" t="n">
        <v>0</v>
      </c>
      <c r="Q2525" t="n">
        <v>0</v>
      </c>
      <c r="R2525" s="2" t="inlineStr"/>
    </row>
    <row r="2526" ht="15" customHeight="1">
      <c r="A2526" t="inlineStr">
        <is>
          <t>A 45213-2022</t>
        </is>
      </c>
      <c r="B2526" s="1" t="n">
        <v>44844</v>
      </c>
      <c r="C2526" s="1" t="n">
        <v>45724</v>
      </c>
      <c r="D2526" t="inlineStr">
        <is>
          <t>VÄSTMANLANDS LÄN</t>
        </is>
      </c>
      <c r="E2526" t="inlineStr">
        <is>
          <t>NORBERG</t>
        </is>
      </c>
      <c r="G2526" t="n">
        <v>2.5</v>
      </c>
      <c r="H2526" t="n">
        <v>0</v>
      </c>
      <c r="I2526" t="n">
        <v>0</v>
      </c>
      <c r="J2526" t="n">
        <v>0</v>
      </c>
      <c r="K2526" t="n">
        <v>0</v>
      </c>
      <c r="L2526" t="n">
        <v>0</v>
      </c>
      <c r="M2526" t="n">
        <v>0</v>
      </c>
      <c r="N2526" t="n">
        <v>0</v>
      </c>
      <c r="O2526" t="n">
        <v>0</v>
      </c>
      <c r="P2526" t="n">
        <v>0</v>
      </c>
      <c r="Q2526" t="n">
        <v>0</v>
      </c>
      <c r="R2526" s="2" t="inlineStr"/>
    </row>
    <row r="2527" ht="15" customHeight="1">
      <c r="A2527" t="inlineStr">
        <is>
          <t>A 45309-2022</t>
        </is>
      </c>
      <c r="B2527" s="1" t="n">
        <v>44844</v>
      </c>
      <c r="C2527" s="1" t="n">
        <v>45724</v>
      </c>
      <c r="D2527" t="inlineStr">
        <is>
          <t>VÄSTMANLANDS LÄN</t>
        </is>
      </c>
      <c r="E2527" t="inlineStr">
        <is>
          <t>SALA</t>
        </is>
      </c>
      <c r="G2527" t="n">
        <v>10.9</v>
      </c>
      <c r="H2527" t="n">
        <v>0</v>
      </c>
      <c r="I2527" t="n">
        <v>0</v>
      </c>
      <c r="J2527" t="n">
        <v>0</v>
      </c>
      <c r="K2527" t="n">
        <v>0</v>
      </c>
      <c r="L2527" t="n">
        <v>0</v>
      </c>
      <c r="M2527" t="n">
        <v>0</v>
      </c>
      <c r="N2527" t="n">
        <v>0</v>
      </c>
      <c r="O2527" t="n">
        <v>0</v>
      </c>
      <c r="P2527" t="n">
        <v>0</v>
      </c>
      <c r="Q2527" t="n">
        <v>0</v>
      </c>
      <c r="R2527" s="2" t="inlineStr"/>
    </row>
    <row r="2528" ht="15" customHeight="1">
      <c r="A2528" t="inlineStr">
        <is>
          <t>A 45338-2022</t>
        </is>
      </c>
      <c r="B2528" s="1" t="n">
        <v>44844</v>
      </c>
      <c r="C2528" s="1" t="n">
        <v>45724</v>
      </c>
      <c r="D2528" t="inlineStr">
        <is>
          <t>VÄSTMANLANDS LÄN</t>
        </is>
      </c>
      <c r="E2528" t="inlineStr">
        <is>
          <t>ARBOGA</t>
        </is>
      </c>
      <c r="G2528" t="n">
        <v>0.6</v>
      </c>
      <c r="H2528" t="n">
        <v>0</v>
      </c>
      <c r="I2528" t="n">
        <v>0</v>
      </c>
      <c r="J2528" t="n">
        <v>0</v>
      </c>
      <c r="K2528" t="n">
        <v>0</v>
      </c>
      <c r="L2528" t="n">
        <v>0</v>
      </c>
      <c r="M2528" t="n">
        <v>0</v>
      </c>
      <c r="N2528" t="n">
        <v>0</v>
      </c>
      <c r="O2528" t="n">
        <v>0</v>
      </c>
      <c r="P2528" t="n">
        <v>0</v>
      </c>
      <c r="Q2528" t="n">
        <v>0</v>
      </c>
      <c r="R2528" s="2" t="inlineStr"/>
    </row>
    <row r="2529" ht="15" customHeight="1">
      <c r="A2529" t="inlineStr">
        <is>
          <t>A 45517-2022</t>
        </is>
      </c>
      <c r="B2529" s="1" t="n">
        <v>44845</v>
      </c>
      <c r="C2529" s="1" t="n">
        <v>45724</v>
      </c>
      <c r="D2529" t="inlineStr">
        <is>
          <t>VÄSTMANLANDS LÄN</t>
        </is>
      </c>
      <c r="E2529" t="inlineStr">
        <is>
          <t>SALA</t>
        </is>
      </c>
      <c r="G2529" t="n">
        <v>2.2</v>
      </c>
      <c r="H2529" t="n">
        <v>0</v>
      </c>
      <c r="I2529" t="n">
        <v>0</v>
      </c>
      <c r="J2529" t="n">
        <v>0</v>
      </c>
      <c r="K2529" t="n">
        <v>0</v>
      </c>
      <c r="L2529" t="n">
        <v>0</v>
      </c>
      <c r="M2529" t="n">
        <v>0</v>
      </c>
      <c r="N2529" t="n">
        <v>0</v>
      </c>
      <c r="O2529" t="n">
        <v>0</v>
      </c>
      <c r="P2529" t="n">
        <v>0</v>
      </c>
      <c r="Q2529" t="n">
        <v>0</v>
      </c>
      <c r="R2529" s="2" t="inlineStr"/>
    </row>
    <row r="2530" ht="15" customHeight="1">
      <c r="A2530" t="inlineStr">
        <is>
          <t>A 45615-2022</t>
        </is>
      </c>
      <c r="B2530" s="1" t="n">
        <v>44845</v>
      </c>
      <c r="C2530" s="1" t="n">
        <v>45724</v>
      </c>
      <c r="D2530" t="inlineStr">
        <is>
          <t>VÄSTMANLANDS LÄN</t>
        </is>
      </c>
      <c r="E2530" t="inlineStr">
        <is>
          <t>SALA</t>
        </is>
      </c>
      <c r="F2530" t="inlineStr">
        <is>
          <t>Bergvik skog öst AB</t>
        </is>
      </c>
      <c r="G2530" t="n">
        <v>10</v>
      </c>
      <c r="H2530" t="n">
        <v>0</v>
      </c>
      <c r="I2530" t="n">
        <v>0</v>
      </c>
      <c r="J2530" t="n">
        <v>0</v>
      </c>
      <c r="K2530" t="n">
        <v>0</v>
      </c>
      <c r="L2530" t="n">
        <v>0</v>
      </c>
      <c r="M2530" t="n">
        <v>0</v>
      </c>
      <c r="N2530" t="n">
        <v>0</v>
      </c>
      <c r="O2530" t="n">
        <v>0</v>
      </c>
      <c r="P2530" t="n">
        <v>0</v>
      </c>
      <c r="Q2530" t="n">
        <v>0</v>
      </c>
      <c r="R2530" s="2" t="inlineStr"/>
    </row>
    <row r="2531" ht="15" customHeight="1">
      <c r="A2531" t="inlineStr">
        <is>
          <t>A 45738-2022</t>
        </is>
      </c>
      <c r="B2531" s="1" t="n">
        <v>44846</v>
      </c>
      <c r="C2531" s="1" t="n">
        <v>45724</v>
      </c>
      <c r="D2531" t="inlineStr">
        <is>
          <t>VÄSTMANLANDS LÄN</t>
        </is>
      </c>
      <c r="E2531" t="inlineStr">
        <is>
          <t>NORBERG</t>
        </is>
      </c>
      <c r="F2531" t="inlineStr">
        <is>
          <t>Sveaskog</t>
        </is>
      </c>
      <c r="G2531" t="n">
        <v>1.4</v>
      </c>
      <c r="H2531" t="n">
        <v>0</v>
      </c>
      <c r="I2531" t="n">
        <v>0</v>
      </c>
      <c r="J2531" t="n">
        <v>0</v>
      </c>
      <c r="K2531" t="n">
        <v>0</v>
      </c>
      <c r="L2531" t="n">
        <v>0</v>
      </c>
      <c r="M2531" t="n">
        <v>0</v>
      </c>
      <c r="N2531" t="n">
        <v>0</v>
      </c>
      <c r="O2531" t="n">
        <v>0</v>
      </c>
      <c r="P2531" t="n">
        <v>0</v>
      </c>
      <c r="Q2531" t="n">
        <v>0</v>
      </c>
      <c r="R2531" s="2" t="inlineStr"/>
    </row>
    <row r="2532" ht="15" customHeight="1">
      <c r="A2532" t="inlineStr">
        <is>
          <t>A 45740-2022</t>
        </is>
      </c>
      <c r="B2532" s="1" t="n">
        <v>44846</v>
      </c>
      <c r="C2532" s="1" t="n">
        <v>45724</v>
      </c>
      <c r="D2532" t="inlineStr">
        <is>
          <t>VÄSTMANLANDS LÄN</t>
        </is>
      </c>
      <c r="E2532" t="inlineStr">
        <is>
          <t>NORBERG</t>
        </is>
      </c>
      <c r="F2532" t="inlineStr">
        <is>
          <t>Sveaskog</t>
        </is>
      </c>
      <c r="G2532" t="n">
        <v>2.4</v>
      </c>
      <c r="H2532" t="n">
        <v>0</v>
      </c>
      <c r="I2532" t="n">
        <v>0</v>
      </c>
      <c r="J2532" t="n">
        <v>0</v>
      </c>
      <c r="K2532" t="n">
        <v>0</v>
      </c>
      <c r="L2532" t="n">
        <v>0</v>
      </c>
      <c r="M2532" t="n">
        <v>0</v>
      </c>
      <c r="N2532" t="n">
        <v>0</v>
      </c>
      <c r="O2532" t="n">
        <v>0</v>
      </c>
      <c r="P2532" t="n">
        <v>0</v>
      </c>
      <c r="Q2532" t="n">
        <v>0</v>
      </c>
      <c r="R2532" s="2" t="inlineStr"/>
    </row>
    <row r="2533" ht="15" customHeight="1">
      <c r="A2533" t="inlineStr">
        <is>
          <t>A 45737-2022</t>
        </is>
      </c>
      <c r="B2533" s="1" t="n">
        <v>44846</v>
      </c>
      <c r="C2533" s="1" t="n">
        <v>45724</v>
      </c>
      <c r="D2533" t="inlineStr">
        <is>
          <t>VÄSTMANLANDS LÄN</t>
        </is>
      </c>
      <c r="E2533" t="inlineStr">
        <is>
          <t>NORBERG</t>
        </is>
      </c>
      <c r="F2533" t="inlineStr">
        <is>
          <t>Sveaskog</t>
        </is>
      </c>
      <c r="G2533" t="n">
        <v>2.9</v>
      </c>
      <c r="H2533" t="n">
        <v>0</v>
      </c>
      <c r="I2533" t="n">
        <v>0</v>
      </c>
      <c r="J2533" t="n">
        <v>0</v>
      </c>
      <c r="K2533" t="n">
        <v>0</v>
      </c>
      <c r="L2533" t="n">
        <v>0</v>
      </c>
      <c r="M2533" t="n">
        <v>0</v>
      </c>
      <c r="N2533" t="n">
        <v>0</v>
      </c>
      <c r="O2533" t="n">
        <v>0</v>
      </c>
      <c r="P2533" t="n">
        <v>0</v>
      </c>
      <c r="Q2533" t="n">
        <v>0</v>
      </c>
      <c r="R2533" s="2" t="inlineStr"/>
    </row>
    <row r="2534" ht="15" customHeight="1">
      <c r="A2534" t="inlineStr">
        <is>
          <t>A 46123-2022</t>
        </is>
      </c>
      <c r="B2534" s="1" t="n">
        <v>44847</v>
      </c>
      <c r="C2534" s="1" t="n">
        <v>45724</v>
      </c>
      <c r="D2534" t="inlineStr">
        <is>
          <t>VÄSTMANLANDS LÄN</t>
        </is>
      </c>
      <c r="E2534" t="inlineStr">
        <is>
          <t>KÖPING</t>
        </is>
      </c>
      <c r="G2534" t="n">
        <v>4.2</v>
      </c>
      <c r="H2534" t="n">
        <v>0</v>
      </c>
      <c r="I2534" t="n">
        <v>0</v>
      </c>
      <c r="J2534" t="n">
        <v>0</v>
      </c>
      <c r="K2534" t="n">
        <v>0</v>
      </c>
      <c r="L2534" t="n">
        <v>0</v>
      </c>
      <c r="M2534" t="n">
        <v>0</v>
      </c>
      <c r="N2534" t="n">
        <v>0</v>
      </c>
      <c r="O2534" t="n">
        <v>0</v>
      </c>
      <c r="P2534" t="n">
        <v>0</v>
      </c>
      <c r="Q2534" t="n">
        <v>0</v>
      </c>
      <c r="R2534" s="2" t="inlineStr"/>
    </row>
    <row r="2535" ht="15" customHeight="1">
      <c r="A2535" t="inlineStr">
        <is>
          <t>A 46192-2022</t>
        </is>
      </c>
      <c r="B2535" s="1" t="n">
        <v>44847</v>
      </c>
      <c r="C2535" s="1" t="n">
        <v>45724</v>
      </c>
      <c r="D2535" t="inlineStr">
        <is>
          <t>VÄSTMANLANDS LÄN</t>
        </is>
      </c>
      <c r="E2535" t="inlineStr">
        <is>
          <t>ARBOGA</t>
        </is>
      </c>
      <c r="G2535" t="n">
        <v>5.5</v>
      </c>
      <c r="H2535" t="n">
        <v>0</v>
      </c>
      <c r="I2535" t="n">
        <v>0</v>
      </c>
      <c r="J2535" t="n">
        <v>0</v>
      </c>
      <c r="K2535" t="n">
        <v>0</v>
      </c>
      <c r="L2535" t="n">
        <v>0</v>
      </c>
      <c r="M2535" t="n">
        <v>0</v>
      </c>
      <c r="N2535" t="n">
        <v>0</v>
      </c>
      <c r="O2535" t="n">
        <v>0</v>
      </c>
      <c r="P2535" t="n">
        <v>0</v>
      </c>
      <c r="Q2535" t="n">
        <v>0</v>
      </c>
      <c r="R2535" s="2" t="inlineStr"/>
    </row>
    <row r="2536" ht="15" customHeight="1">
      <c r="A2536" t="inlineStr">
        <is>
          <t>A 46114-2022</t>
        </is>
      </c>
      <c r="B2536" s="1" t="n">
        <v>44847</v>
      </c>
      <c r="C2536" s="1" t="n">
        <v>45724</v>
      </c>
      <c r="D2536" t="inlineStr">
        <is>
          <t>VÄSTMANLANDS LÄN</t>
        </is>
      </c>
      <c r="E2536" t="inlineStr">
        <is>
          <t>KÖPING</t>
        </is>
      </c>
      <c r="G2536" t="n">
        <v>1.1</v>
      </c>
      <c r="H2536" t="n">
        <v>0</v>
      </c>
      <c r="I2536" t="n">
        <v>0</v>
      </c>
      <c r="J2536" t="n">
        <v>0</v>
      </c>
      <c r="K2536" t="n">
        <v>0</v>
      </c>
      <c r="L2536" t="n">
        <v>0</v>
      </c>
      <c r="M2536" t="n">
        <v>0</v>
      </c>
      <c r="N2536" t="n">
        <v>0</v>
      </c>
      <c r="O2536" t="n">
        <v>0</v>
      </c>
      <c r="P2536" t="n">
        <v>0</v>
      </c>
      <c r="Q2536" t="n">
        <v>0</v>
      </c>
      <c r="R2536" s="2" t="inlineStr"/>
    </row>
    <row r="2537" ht="15" customHeight="1">
      <c r="A2537" t="inlineStr">
        <is>
          <t>A 46116-2022</t>
        </is>
      </c>
      <c r="B2537" s="1" t="n">
        <v>44847</v>
      </c>
      <c r="C2537" s="1" t="n">
        <v>45724</v>
      </c>
      <c r="D2537" t="inlineStr">
        <is>
          <t>VÄSTMANLANDS LÄN</t>
        </is>
      </c>
      <c r="E2537" t="inlineStr">
        <is>
          <t>VÄSTERÅS</t>
        </is>
      </c>
      <c r="G2537" t="n">
        <v>1.4</v>
      </c>
      <c r="H2537" t="n">
        <v>0</v>
      </c>
      <c r="I2537" t="n">
        <v>0</v>
      </c>
      <c r="J2537" t="n">
        <v>0</v>
      </c>
      <c r="K2537" t="n">
        <v>0</v>
      </c>
      <c r="L2537" t="n">
        <v>0</v>
      </c>
      <c r="M2537" t="n">
        <v>0</v>
      </c>
      <c r="N2537" t="n">
        <v>0</v>
      </c>
      <c r="O2537" t="n">
        <v>0</v>
      </c>
      <c r="P2537" t="n">
        <v>0</v>
      </c>
      <c r="Q2537" t="n">
        <v>0</v>
      </c>
      <c r="R2537" s="2" t="inlineStr"/>
    </row>
    <row r="2538" ht="15" customHeight="1">
      <c r="A2538" t="inlineStr">
        <is>
          <t>A 46156-2022</t>
        </is>
      </c>
      <c r="B2538" s="1" t="n">
        <v>44847</v>
      </c>
      <c r="C2538" s="1" t="n">
        <v>45724</v>
      </c>
      <c r="D2538" t="inlineStr">
        <is>
          <t>VÄSTMANLANDS LÄN</t>
        </is>
      </c>
      <c r="E2538" t="inlineStr">
        <is>
          <t>VÄSTERÅS</t>
        </is>
      </c>
      <c r="G2538" t="n">
        <v>3.2</v>
      </c>
      <c r="H2538" t="n">
        <v>0</v>
      </c>
      <c r="I2538" t="n">
        <v>0</v>
      </c>
      <c r="J2538" t="n">
        <v>0</v>
      </c>
      <c r="K2538" t="n">
        <v>0</v>
      </c>
      <c r="L2538" t="n">
        <v>0</v>
      </c>
      <c r="M2538" t="n">
        <v>0</v>
      </c>
      <c r="N2538" t="n">
        <v>0</v>
      </c>
      <c r="O2538" t="n">
        <v>0</v>
      </c>
      <c r="P2538" t="n">
        <v>0</v>
      </c>
      <c r="Q2538" t="n">
        <v>0</v>
      </c>
      <c r="R2538" s="2" t="inlineStr"/>
    </row>
    <row r="2539" ht="15" customHeight="1">
      <c r="A2539" t="inlineStr">
        <is>
          <t>A 46124-2022</t>
        </is>
      </c>
      <c r="B2539" s="1" t="n">
        <v>44847</v>
      </c>
      <c r="C2539" s="1" t="n">
        <v>45724</v>
      </c>
      <c r="D2539" t="inlineStr">
        <is>
          <t>VÄSTMANLANDS LÄN</t>
        </is>
      </c>
      <c r="E2539" t="inlineStr">
        <is>
          <t>KÖPING</t>
        </is>
      </c>
      <c r="G2539" t="n">
        <v>8</v>
      </c>
      <c r="H2539" t="n">
        <v>0</v>
      </c>
      <c r="I2539" t="n">
        <v>0</v>
      </c>
      <c r="J2539" t="n">
        <v>0</v>
      </c>
      <c r="K2539" t="n">
        <v>0</v>
      </c>
      <c r="L2539" t="n">
        <v>0</v>
      </c>
      <c r="M2539" t="n">
        <v>0</v>
      </c>
      <c r="N2539" t="n">
        <v>0</v>
      </c>
      <c r="O2539" t="n">
        <v>0</v>
      </c>
      <c r="P2539" t="n">
        <v>0</v>
      </c>
      <c r="Q2539" t="n">
        <v>0</v>
      </c>
      <c r="R2539" s="2" t="inlineStr"/>
    </row>
    <row r="2540" ht="15" customHeight="1">
      <c r="A2540" t="inlineStr">
        <is>
          <t>A 46264-2022</t>
        </is>
      </c>
      <c r="B2540" s="1" t="n">
        <v>44847</v>
      </c>
      <c r="C2540" s="1" t="n">
        <v>45724</v>
      </c>
      <c r="D2540" t="inlineStr">
        <is>
          <t>VÄSTMANLANDS LÄN</t>
        </is>
      </c>
      <c r="E2540" t="inlineStr">
        <is>
          <t>SALA</t>
        </is>
      </c>
      <c r="G2540" t="n">
        <v>1.1</v>
      </c>
      <c r="H2540" t="n">
        <v>0</v>
      </c>
      <c r="I2540" t="n">
        <v>0</v>
      </c>
      <c r="J2540" t="n">
        <v>0</v>
      </c>
      <c r="K2540" t="n">
        <v>0</v>
      </c>
      <c r="L2540" t="n">
        <v>0</v>
      </c>
      <c r="M2540" t="n">
        <v>0</v>
      </c>
      <c r="N2540" t="n">
        <v>0</v>
      </c>
      <c r="O2540" t="n">
        <v>0</v>
      </c>
      <c r="P2540" t="n">
        <v>0</v>
      </c>
      <c r="Q2540" t="n">
        <v>0</v>
      </c>
      <c r="R2540" s="2" t="inlineStr"/>
    </row>
    <row r="2541" ht="15" customHeight="1">
      <c r="A2541" t="inlineStr">
        <is>
          <t>A 46126-2022</t>
        </is>
      </c>
      <c r="B2541" s="1" t="n">
        <v>44847</v>
      </c>
      <c r="C2541" s="1" t="n">
        <v>45724</v>
      </c>
      <c r="D2541" t="inlineStr">
        <is>
          <t>VÄSTMANLANDS LÄN</t>
        </is>
      </c>
      <c r="E2541" t="inlineStr">
        <is>
          <t>KÖPING</t>
        </is>
      </c>
      <c r="G2541" t="n">
        <v>17.5</v>
      </c>
      <c r="H2541" t="n">
        <v>0</v>
      </c>
      <c r="I2541" t="n">
        <v>0</v>
      </c>
      <c r="J2541" t="n">
        <v>0</v>
      </c>
      <c r="K2541" t="n">
        <v>0</v>
      </c>
      <c r="L2541" t="n">
        <v>0</v>
      </c>
      <c r="M2541" t="n">
        <v>0</v>
      </c>
      <c r="N2541" t="n">
        <v>0</v>
      </c>
      <c r="O2541" t="n">
        <v>0</v>
      </c>
      <c r="P2541" t="n">
        <v>0</v>
      </c>
      <c r="Q2541" t="n">
        <v>0</v>
      </c>
      <c r="R2541" s="2" t="inlineStr"/>
    </row>
    <row r="2542" ht="15" customHeight="1">
      <c r="A2542" t="inlineStr">
        <is>
          <t>A 46369-2022</t>
        </is>
      </c>
      <c r="B2542" s="1" t="n">
        <v>44848</v>
      </c>
      <c r="C2542" s="1" t="n">
        <v>45724</v>
      </c>
      <c r="D2542" t="inlineStr">
        <is>
          <t>VÄSTMANLANDS LÄN</t>
        </is>
      </c>
      <c r="E2542" t="inlineStr">
        <is>
          <t>NORBERG</t>
        </is>
      </c>
      <c r="G2542" t="n">
        <v>1.6</v>
      </c>
      <c r="H2542" t="n">
        <v>0</v>
      </c>
      <c r="I2542" t="n">
        <v>0</v>
      </c>
      <c r="J2542" t="n">
        <v>0</v>
      </c>
      <c r="K2542" t="n">
        <v>0</v>
      </c>
      <c r="L2542" t="n">
        <v>0</v>
      </c>
      <c r="M2542" t="n">
        <v>0</v>
      </c>
      <c r="N2542" t="n">
        <v>0</v>
      </c>
      <c r="O2542" t="n">
        <v>0</v>
      </c>
      <c r="P2542" t="n">
        <v>0</v>
      </c>
      <c r="Q2542" t="n">
        <v>0</v>
      </c>
      <c r="R2542" s="2" t="inlineStr"/>
    </row>
    <row r="2543" ht="15" customHeight="1">
      <c r="A2543" t="inlineStr">
        <is>
          <t>A 46460-2022</t>
        </is>
      </c>
      <c r="B2543" s="1" t="n">
        <v>44848</v>
      </c>
      <c r="C2543" s="1" t="n">
        <v>45724</v>
      </c>
      <c r="D2543" t="inlineStr">
        <is>
          <t>VÄSTMANLANDS LÄN</t>
        </is>
      </c>
      <c r="E2543" t="inlineStr">
        <is>
          <t>SALA</t>
        </is>
      </c>
      <c r="G2543" t="n">
        <v>1.3</v>
      </c>
      <c r="H2543" t="n">
        <v>0</v>
      </c>
      <c r="I2543" t="n">
        <v>0</v>
      </c>
      <c r="J2543" t="n">
        <v>0</v>
      </c>
      <c r="K2543" t="n">
        <v>0</v>
      </c>
      <c r="L2543" t="n">
        <v>0</v>
      </c>
      <c r="M2543" t="n">
        <v>0</v>
      </c>
      <c r="N2543" t="n">
        <v>0</v>
      </c>
      <c r="O2543" t="n">
        <v>0</v>
      </c>
      <c r="P2543" t="n">
        <v>0</v>
      </c>
      <c r="Q2543" t="n">
        <v>0</v>
      </c>
      <c r="R2543" s="2" t="inlineStr"/>
    </row>
    <row r="2544" ht="15" customHeight="1">
      <c r="A2544" t="inlineStr">
        <is>
          <t>A 46641-2022</t>
        </is>
      </c>
      <c r="B2544" s="1" t="n">
        <v>44849</v>
      </c>
      <c r="C2544" s="1" t="n">
        <v>45724</v>
      </c>
      <c r="D2544" t="inlineStr">
        <is>
          <t>VÄSTMANLANDS LÄN</t>
        </is>
      </c>
      <c r="E2544" t="inlineStr">
        <is>
          <t>NORBERG</t>
        </is>
      </c>
      <c r="F2544" t="inlineStr">
        <is>
          <t>Sveaskog</t>
        </is>
      </c>
      <c r="G2544" t="n">
        <v>4.6</v>
      </c>
      <c r="H2544" t="n">
        <v>0</v>
      </c>
      <c r="I2544" t="n">
        <v>0</v>
      </c>
      <c r="J2544" t="n">
        <v>0</v>
      </c>
      <c r="K2544" t="n">
        <v>0</v>
      </c>
      <c r="L2544" t="n">
        <v>0</v>
      </c>
      <c r="M2544" t="n">
        <v>0</v>
      </c>
      <c r="N2544" t="n">
        <v>0</v>
      </c>
      <c r="O2544" t="n">
        <v>0</v>
      </c>
      <c r="P2544" t="n">
        <v>0</v>
      </c>
      <c r="Q2544" t="n">
        <v>0</v>
      </c>
      <c r="R2544" s="2" t="inlineStr"/>
    </row>
    <row r="2545" ht="15" customHeight="1">
      <c r="A2545" t="inlineStr">
        <is>
          <t>A 46909-2022</t>
        </is>
      </c>
      <c r="B2545" s="1" t="n">
        <v>44851</v>
      </c>
      <c r="C2545" s="1" t="n">
        <v>45724</v>
      </c>
      <c r="D2545" t="inlineStr">
        <is>
          <t>VÄSTMANLANDS LÄN</t>
        </is>
      </c>
      <c r="E2545" t="inlineStr">
        <is>
          <t>SKINNSKATTEBERG</t>
        </is>
      </c>
      <c r="G2545" t="n">
        <v>4.1</v>
      </c>
      <c r="H2545" t="n">
        <v>0</v>
      </c>
      <c r="I2545" t="n">
        <v>0</v>
      </c>
      <c r="J2545" t="n">
        <v>0</v>
      </c>
      <c r="K2545" t="n">
        <v>0</v>
      </c>
      <c r="L2545" t="n">
        <v>0</v>
      </c>
      <c r="M2545" t="n">
        <v>0</v>
      </c>
      <c r="N2545" t="n">
        <v>0</v>
      </c>
      <c r="O2545" t="n">
        <v>0</v>
      </c>
      <c r="P2545" t="n">
        <v>0</v>
      </c>
      <c r="Q2545" t="n">
        <v>0</v>
      </c>
      <c r="R2545" s="2" t="inlineStr"/>
    </row>
    <row r="2546" ht="15" customHeight="1">
      <c r="A2546" t="inlineStr">
        <is>
          <t>A 47607-2022</t>
        </is>
      </c>
      <c r="B2546" s="1" t="n">
        <v>44852</v>
      </c>
      <c r="C2546" s="1" t="n">
        <v>45724</v>
      </c>
      <c r="D2546" t="inlineStr">
        <is>
          <t>VÄSTMANLANDS LÄN</t>
        </is>
      </c>
      <c r="E2546" t="inlineStr">
        <is>
          <t>NORBERG</t>
        </is>
      </c>
      <c r="G2546" t="n">
        <v>0.9</v>
      </c>
      <c r="H2546" t="n">
        <v>0</v>
      </c>
      <c r="I2546" t="n">
        <v>0</v>
      </c>
      <c r="J2546" t="n">
        <v>0</v>
      </c>
      <c r="K2546" t="n">
        <v>0</v>
      </c>
      <c r="L2546" t="n">
        <v>0</v>
      </c>
      <c r="M2546" t="n">
        <v>0</v>
      </c>
      <c r="N2546" t="n">
        <v>0</v>
      </c>
      <c r="O2546" t="n">
        <v>0</v>
      </c>
      <c r="P2546" t="n">
        <v>0</v>
      </c>
      <c r="Q2546" t="n">
        <v>0</v>
      </c>
      <c r="R2546" s="2" t="inlineStr"/>
    </row>
    <row r="2547" ht="15" customHeight="1">
      <c r="A2547" t="inlineStr">
        <is>
          <t>A 47610-2022</t>
        </is>
      </c>
      <c r="B2547" s="1" t="n">
        <v>44852</v>
      </c>
      <c r="C2547" s="1" t="n">
        <v>45724</v>
      </c>
      <c r="D2547" t="inlineStr">
        <is>
          <t>VÄSTMANLANDS LÄN</t>
        </is>
      </c>
      <c r="E2547" t="inlineStr">
        <is>
          <t>NORBERG</t>
        </is>
      </c>
      <c r="G2547" t="n">
        <v>1.1</v>
      </c>
      <c r="H2547" t="n">
        <v>0</v>
      </c>
      <c r="I2547" t="n">
        <v>0</v>
      </c>
      <c r="J2547" t="n">
        <v>0</v>
      </c>
      <c r="K2547" t="n">
        <v>0</v>
      </c>
      <c r="L2547" t="n">
        <v>0</v>
      </c>
      <c r="M2547" t="n">
        <v>0</v>
      </c>
      <c r="N2547" t="n">
        <v>0</v>
      </c>
      <c r="O2547" t="n">
        <v>0</v>
      </c>
      <c r="P2547" t="n">
        <v>0</v>
      </c>
      <c r="Q2547" t="n">
        <v>0</v>
      </c>
      <c r="R2547" s="2" t="inlineStr"/>
    </row>
    <row r="2548" ht="15" customHeight="1">
      <c r="A2548" t="inlineStr">
        <is>
          <t>A 47658-2022</t>
        </is>
      </c>
      <c r="B2548" s="1" t="n">
        <v>44852</v>
      </c>
      <c r="C2548" s="1" t="n">
        <v>45724</v>
      </c>
      <c r="D2548" t="inlineStr">
        <is>
          <t>VÄSTMANLANDS LÄN</t>
        </is>
      </c>
      <c r="E2548" t="inlineStr">
        <is>
          <t>SKINNSKATTEBERG</t>
        </is>
      </c>
      <c r="G2548" t="n">
        <v>2.3</v>
      </c>
      <c r="H2548" t="n">
        <v>0</v>
      </c>
      <c r="I2548" t="n">
        <v>0</v>
      </c>
      <c r="J2548" t="n">
        <v>0</v>
      </c>
      <c r="K2548" t="n">
        <v>0</v>
      </c>
      <c r="L2548" t="n">
        <v>0</v>
      </c>
      <c r="M2548" t="n">
        <v>0</v>
      </c>
      <c r="N2548" t="n">
        <v>0</v>
      </c>
      <c r="O2548" t="n">
        <v>0</v>
      </c>
      <c r="P2548" t="n">
        <v>0</v>
      </c>
      <c r="Q2548" t="n">
        <v>0</v>
      </c>
      <c r="R2548" s="2" t="inlineStr"/>
    </row>
    <row r="2549" ht="15" customHeight="1">
      <c r="A2549" t="inlineStr">
        <is>
          <t>A 47599-2022</t>
        </is>
      </c>
      <c r="B2549" s="1" t="n">
        <v>44852</v>
      </c>
      <c r="C2549" s="1" t="n">
        <v>45724</v>
      </c>
      <c r="D2549" t="inlineStr">
        <is>
          <t>VÄSTMANLANDS LÄN</t>
        </is>
      </c>
      <c r="E2549" t="inlineStr">
        <is>
          <t>NORBERG</t>
        </is>
      </c>
      <c r="G2549" t="n">
        <v>2.5</v>
      </c>
      <c r="H2549" t="n">
        <v>0</v>
      </c>
      <c r="I2549" t="n">
        <v>0</v>
      </c>
      <c r="J2549" t="n">
        <v>0</v>
      </c>
      <c r="K2549" t="n">
        <v>0</v>
      </c>
      <c r="L2549" t="n">
        <v>0</v>
      </c>
      <c r="M2549" t="n">
        <v>0</v>
      </c>
      <c r="N2549" t="n">
        <v>0</v>
      </c>
      <c r="O2549" t="n">
        <v>0</v>
      </c>
      <c r="P2549" t="n">
        <v>0</v>
      </c>
      <c r="Q2549" t="n">
        <v>0</v>
      </c>
      <c r="R2549" s="2" t="inlineStr"/>
    </row>
    <row r="2550" ht="15" customHeight="1">
      <c r="A2550" t="inlineStr">
        <is>
          <t>A 47653-2022</t>
        </is>
      </c>
      <c r="B2550" s="1" t="n">
        <v>44852</v>
      </c>
      <c r="C2550" s="1" t="n">
        <v>45724</v>
      </c>
      <c r="D2550" t="inlineStr">
        <is>
          <t>VÄSTMANLANDS LÄN</t>
        </is>
      </c>
      <c r="E2550" t="inlineStr">
        <is>
          <t>SKINNSKATTEBERG</t>
        </is>
      </c>
      <c r="G2550" t="n">
        <v>1</v>
      </c>
      <c r="H2550" t="n">
        <v>0</v>
      </c>
      <c r="I2550" t="n">
        <v>0</v>
      </c>
      <c r="J2550" t="n">
        <v>0</v>
      </c>
      <c r="K2550" t="n">
        <v>0</v>
      </c>
      <c r="L2550" t="n">
        <v>0</v>
      </c>
      <c r="M2550" t="n">
        <v>0</v>
      </c>
      <c r="N2550" t="n">
        <v>0</v>
      </c>
      <c r="O2550" t="n">
        <v>0</v>
      </c>
      <c r="P2550" t="n">
        <v>0</v>
      </c>
      <c r="Q2550" t="n">
        <v>0</v>
      </c>
      <c r="R2550" s="2" t="inlineStr"/>
    </row>
    <row r="2551" ht="15" customHeight="1">
      <c r="A2551" t="inlineStr">
        <is>
          <t>A 47086-2022</t>
        </is>
      </c>
      <c r="B2551" s="1" t="n">
        <v>44852</v>
      </c>
      <c r="C2551" s="1" t="n">
        <v>45724</v>
      </c>
      <c r="D2551" t="inlineStr">
        <is>
          <t>VÄSTMANLANDS LÄN</t>
        </is>
      </c>
      <c r="E2551" t="inlineStr">
        <is>
          <t>SALA</t>
        </is>
      </c>
      <c r="G2551" t="n">
        <v>12.5</v>
      </c>
      <c r="H2551" t="n">
        <v>0</v>
      </c>
      <c r="I2551" t="n">
        <v>0</v>
      </c>
      <c r="J2551" t="n">
        <v>0</v>
      </c>
      <c r="K2551" t="n">
        <v>0</v>
      </c>
      <c r="L2551" t="n">
        <v>0</v>
      </c>
      <c r="M2551" t="n">
        <v>0</v>
      </c>
      <c r="N2551" t="n">
        <v>0</v>
      </c>
      <c r="O2551" t="n">
        <v>0</v>
      </c>
      <c r="P2551" t="n">
        <v>0</v>
      </c>
      <c r="Q2551" t="n">
        <v>0</v>
      </c>
      <c r="R2551" s="2" t="inlineStr"/>
    </row>
    <row r="2552" ht="15" customHeight="1">
      <c r="A2552" t="inlineStr">
        <is>
          <t>A 47713-2022</t>
        </is>
      </c>
      <c r="B2552" s="1" t="n">
        <v>44854</v>
      </c>
      <c r="C2552" s="1" t="n">
        <v>45724</v>
      </c>
      <c r="D2552" t="inlineStr">
        <is>
          <t>VÄSTMANLANDS LÄN</t>
        </is>
      </c>
      <c r="E2552" t="inlineStr">
        <is>
          <t>SALA</t>
        </is>
      </c>
      <c r="G2552" t="n">
        <v>3.4</v>
      </c>
      <c r="H2552" t="n">
        <v>0</v>
      </c>
      <c r="I2552" t="n">
        <v>0</v>
      </c>
      <c r="J2552" t="n">
        <v>0</v>
      </c>
      <c r="K2552" t="n">
        <v>0</v>
      </c>
      <c r="L2552" t="n">
        <v>0</v>
      </c>
      <c r="M2552" t="n">
        <v>0</v>
      </c>
      <c r="N2552" t="n">
        <v>0</v>
      </c>
      <c r="O2552" t="n">
        <v>0</v>
      </c>
      <c r="P2552" t="n">
        <v>0</v>
      </c>
      <c r="Q2552" t="n">
        <v>0</v>
      </c>
      <c r="R2552" s="2" t="inlineStr"/>
    </row>
    <row r="2553" ht="15" customHeight="1">
      <c r="A2553" t="inlineStr">
        <is>
          <t>A 47715-2022</t>
        </is>
      </c>
      <c r="B2553" s="1" t="n">
        <v>44854</v>
      </c>
      <c r="C2553" s="1" t="n">
        <v>45724</v>
      </c>
      <c r="D2553" t="inlineStr">
        <is>
          <t>VÄSTMANLANDS LÄN</t>
        </is>
      </c>
      <c r="E2553" t="inlineStr">
        <is>
          <t>SALA</t>
        </is>
      </c>
      <c r="G2553" t="n">
        <v>2</v>
      </c>
      <c r="H2553" t="n">
        <v>0</v>
      </c>
      <c r="I2553" t="n">
        <v>0</v>
      </c>
      <c r="J2553" t="n">
        <v>0</v>
      </c>
      <c r="K2553" t="n">
        <v>0</v>
      </c>
      <c r="L2553" t="n">
        <v>0</v>
      </c>
      <c r="M2553" t="n">
        <v>0</v>
      </c>
      <c r="N2553" t="n">
        <v>0</v>
      </c>
      <c r="O2553" t="n">
        <v>0</v>
      </c>
      <c r="P2553" t="n">
        <v>0</v>
      </c>
      <c r="Q2553" t="n">
        <v>0</v>
      </c>
      <c r="R2553" s="2" t="inlineStr"/>
    </row>
    <row r="2554" ht="15" customHeight="1">
      <c r="A2554" t="inlineStr">
        <is>
          <t>A 47923-2022</t>
        </is>
      </c>
      <c r="B2554" s="1" t="n">
        <v>44855</v>
      </c>
      <c r="C2554" s="1" t="n">
        <v>45724</v>
      </c>
      <c r="D2554" t="inlineStr">
        <is>
          <t>VÄSTMANLANDS LÄN</t>
        </is>
      </c>
      <c r="E2554" t="inlineStr">
        <is>
          <t>KÖPING</t>
        </is>
      </c>
      <c r="G2554" t="n">
        <v>4.8</v>
      </c>
      <c r="H2554" t="n">
        <v>0</v>
      </c>
      <c r="I2554" t="n">
        <v>0</v>
      </c>
      <c r="J2554" t="n">
        <v>0</v>
      </c>
      <c r="K2554" t="n">
        <v>0</v>
      </c>
      <c r="L2554" t="n">
        <v>0</v>
      </c>
      <c r="M2554" t="n">
        <v>0</v>
      </c>
      <c r="N2554" t="n">
        <v>0</v>
      </c>
      <c r="O2554" t="n">
        <v>0</v>
      </c>
      <c r="P2554" t="n">
        <v>0</v>
      </c>
      <c r="Q2554" t="n">
        <v>0</v>
      </c>
      <c r="R2554" s="2" t="inlineStr"/>
    </row>
    <row r="2555" ht="15" customHeight="1">
      <c r="A2555" t="inlineStr">
        <is>
          <t>A 47909-2022</t>
        </is>
      </c>
      <c r="B2555" s="1" t="n">
        <v>44855</v>
      </c>
      <c r="C2555" s="1" t="n">
        <v>45724</v>
      </c>
      <c r="D2555" t="inlineStr">
        <is>
          <t>VÄSTMANLANDS LÄN</t>
        </is>
      </c>
      <c r="E2555" t="inlineStr">
        <is>
          <t>SALA</t>
        </is>
      </c>
      <c r="F2555" t="inlineStr">
        <is>
          <t>Bergvik skog öst AB</t>
        </is>
      </c>
      <c r="G2555" t="n">
        <v>2</v>
      </c>
      <c r="H2555" t="n">
        <v>0</v>
      </c>
      <c r="I2555" t="n">
        <v>0</v>
      </c>
      <c r="J2555" t="n">
        <v>0</v>
      </c>
      <c r="K2555" t="n">
        <v>0</v>
      </c>
      <c r="L2555" t="n">
        <v>0</v>
      </c>
      <c r="M2555" t="n">
        <v>0</v>
      </c>
      <c r="N2555" t="n">
        <v>0</v>
      </c>
      <c r="O2555" t="n">
        <v>0</v>
      </c>
      <c r="P2555" t="n">
        <v>0</v>
      </c>
      <c r="Q2555" t="n">
        <v>0</v>
      </c>
      <c r="R2555" s="2" t="inlineStr"/>
    </row>
    <row r="2556" ht="15" customHeight="1">
      <c r="A2556" t="inlineStr">
        <is>
          <t>A 48235-2022</t>
        </is>
      </c>
      <c r="B2556" s="1" t="n">
        <v>44858</v>
      </c>
      <c r="C2556" s="1" t="n">
        <v>45724</v>
      </c>
      <c r="D2556" t="inlineStr">
        <is>
          <t>VÄSTMANLANDS LÄN</t>
        </is>
      </c>
      <c r="E2556" t="inlineStr">
        <is>
          <t>ARBOGA</t>
        </is>
      </c>
      <c r="F2556" t="inlineStr">
        <is>
          <t>Sveaskog</t>
        </is>
      </c>
      <c r="G2556" t="n">
        <v>1.4</v>
      </c>
      <c r="H2556" t="n">
        <v>0</v>
      </c>
      <c r="I2556" t="n">
        <v>0</v>
      </c>
      <c r="J2556" t="n">
        <v>0</v>
      </c>
      <c r="K2556" t="n">
        <v>0</v>
      </c>
      <c r="L2556" t="n">
        <v>0</v>
      </c>
      <c r="M2556" t="n">
        <v>0</v>
      </c>
      <c r="N2556" t="n">
        <v>0</v>
      </c>
      <c r="O2556" t="n">
        <v>0</v>
      </c>
      <c r="P2556" t="n">
        <v>0</v>
      </c>
      <c r="Q2556" t="n">
        <v>0</v>
      </c>
      <c r="R2556" s="2" t="inlineStr"/>
    </row>
    <row r="2557" ht="15" customHeight="1">
      <c r="A2557" t="inlineStr">
        <is>
          <t>A 48272-2022</t>
        </is>
      </c>
      <c r="B2557" s="1" t="n">
        <v>44858</v>
      </c>
      <c r="C2557" s="1" t="n">
        <v>45724</v>
      </c>
      <c r="D2557" t="inlineStr">
        <is>
          <t>VÄSTMANLANDS LÄN</t>
        </is>
      </c>
      <c r="E2557" t="inlineStr">
        <is>
          <t>ARBOGA</t>
        </is>
      </c>
      <c r="G2557" t="n">
        <v>3.5</v>
      </c>
      <c r="H2557" t="n">
        <v>0</v>
      </c>
      <c r="I2557" t="n">
        <v>0</v>
      </c>
      <c r="J2557" t="n">
        <v>0</v>
      </c>
      <c r="K2557" t="n">
        <v>0</v>
      </c>
      <c r="L2557" t="n">
        <v>0</v>
      </c>
      <c r="M2557" t="n">
        <v>0</v>
      </c>
      <c r="N2557" t="n">
        <v>0</v>
      </c>
      <c r="O2557" t="n">
        <v>0</v>
      </c>
      <c r="P2557" t="n">
        <v>0</v>
      </c>
      <c r="Q2557" t="n">
        <v>0</v>
      </c>
      <c r="R2557" s="2" t="inlineStr"/>
    </row>
    <row r="2558" ht="15" customHeight="1">
      <c r="A2558" t="inlineStr">
        <is>
          <t>A 48219-2022</t>
        </is>
      </c>
      <c r="B2558" s="1" t="n">
        <v>44858</v>
      </c>
      <c r="C2558" s="1" t="n">
        <v>45724</v>
      </c>
      <c r="D2558" t="inlineStr">
        <is>
          <t>VÄSTMANLANDS LÄN</t>
        </is>
      </c>
      <c r="E2558" t="inlineStr">
        <is>
          <t>SALA</t>
        </is>
      </c>
      <c r="G2558" t="n">
        <v>3.6</v>
      </c>
      <c r="H2558" t="n">
        <v>0</v>
      </c>
      <c r="I2558" t="n">
        <v>0</v>
      </c>
      <c r="J2558" t="n">
        <v>0</v>
      </c>
      <c r="K2558" t="n">
        <v>0</v>
      </c>
      <c r="L2558" t="n">
        <v>0</v>
      </c>
      <c r="M2558" t="n">
        <v>0</v>
      </c>
      <c r="N2558" t="n">
        <v>0</v>
      </c>
      <c r="O2558" t="n">
        <v>0</v>
      </c>
      <c r="P2558" t="n">
        <v>0</v>
      </c>
      <c r="Q2558" t="n">
        <v>0</v>
      </c>
      <c r="R2558" s="2" t="inlineStr"/>
    </row>
    <row r="2559" ht="15" customHeight="1">
      <c r="A2559" t="inlineStr">
        <is>
          <t>A 48261-2022</t>
        </is>
      </c>
      <c r="B2559" s="1" t="n">
        <v>44858</v>
      </c>
      <c r="C2559" s="1" t="n">
        <v>45724</v>
      </c>
      <c r="D2559" t="inlineStr">
        <is>
          <t>VÄSTMANLANDS LÄN</t>
        </is>
      </c>
      <c r="E2559" t="inlineStr">
        <is>
          <t>FAGERSTA</t>
        </is>
      </c>
      <c r="G2559" t="n">
        <v>1.7</v>
      </c>
      <c r="H2559" t="n">
        <v>0</v>
      </c>
      <c r="I2559" t="n">
        <v>0</v>
      </c>
      <c r="J2559" t="n">
        <v>0</v>
      </c>
      <c r="K2559" t="n">
        <v>0</v>
      </c>
      <c r="L2559" t="n">
        <v>0</v>
      </c>
      <c r="M2559" t="n">
        <v>0</v>
      </c>
      <c r="N2559" t="n">
        <v>0</v>
      </c>
      <c r="O2559" t="n">
        <v>0</v>
      </c>
      <c r="P2559" t="n">
        <v>0</v>
      </c>
      <c r="Q2559" t="n">
        <v>0</v>
      </c>
      <c r="R2559" s="2" t="inlineStr"/>
    </row>
    <row r="2560" ht="15" customHeight="1">
      <c r="A2560" t="inlineStr">
        <is>
          <t>A 48825-2022</t>
        </is>
      </c>
      <c r="B2560" s="1" t="n">
        <v>44859</v>
      </c>
      <c r="C2560" s="1" t="n">
        <v>45724</v>
      </c>
      <c r="D2560" t="inlineStr">
        <is>
          <t>VÄSTMANLANDS LÄN</t>
        </is>
      </c>
      <c r="E2560" t="inlineStr">
        <is>
          <t>SKINNSKATTEBERG</t>
        </is>
      </c>
      <c r="G2560" t="n">
        <v>1.1</v>
      </c>
      <c r="H2560" t="n">
        <v>0</v>
      </c>
      <c r="I2560" t="n">
        <v>0</v>
      </c>
      <c r="J2560" t="n">
        <v>0</v>
      </c>
      <c r="K2560" t="n">
        <v>0</v>
      </c>
      <c r="L2560" t="n">
        <v>0</v>
      </c>
      <c r="M2560" t="n">
        <v>0</v>
      </c>
      <c r="N2560" t="n">
        <v>0</v>
      </c>
      <c r="O2560" t="n">
        <v>0</v>
      </c>
      <c r="P2560" t="n">
        <v>0</v>
      </c>
      <c r="Q2560" t="n">
        <v>0</v>
      </c>
      <c r="R2560" s="2" t="inlineStr"/>
    </row>
    <row r="2561" ht="15" customHeight="1">
      <c r="A2561" t="inlineStr">
        <is>
          <t>A 48581-2022</t>
        </is>
      </c>
      <c r="B2561" s="1" t="n">
        <v>44859</v>
      </c>
      <c r="C2561" s="1" t="n">
        <v>45724</v>
      </c>
      <c r="D2561" t="inlineStr">
        <is>
          <t>VÄSTMANLANDS LÄN</t>
        </is>
      </c>
      <c r="E2561" t="inlineStr">
        <is>
          <t>SURAHAMMAR</t>
        </is>
      </c>
      <c r="F2561" t="inlineStr">
        <is>
          <t>Bergvik skog väst AB</t>
        </is>
      </c>
      <c r="G2561" t="n">
        <v>2.3</v>
      </c>
      <c r="H2561" t="n">
        <v>0</v>
      </c>
      <c r="I2561" t="n">
        <v>0</v>
      </c>
      <c r="J2561" t="n">
        <v>0</v>
      </c>
      <c r="K2561" t="n">
        <v>0</v>
      </c>
      <c r="L2561" t="n">
        <v>0</v>
      </c>
      <c r="M2561" t="n">
        <v>0</v>
      </c>
      <c r="N2561" t="n">
        <v>0</v>
      </c>
      <c r="O2561" t="n">
        <v>0</v>
      </c>
      <c r="P2561" t="n">
        <v>0</v>
      </c>
      <c r="Q2561" t="n">
        <v>0</v>
      </c>
      <c r="R2561" s="2" t="inlineStr"/>
    </row>
    <row r="2562" ht="15" customHeight="1">
      <c r="A2562" t="inlineStr">
        <is>
          <t>A 48754-2022</t>
        </is>
      </c>
      <c r="B2562" s="1" t="n">
        <v>44859</v>
      </c>
      <c r="C2562" s="1" t="n">
        <v>45724</v>
      </c>
      <c r="D2562" t="inlineStr">
        <is>
          <t>VÄSTMANLANDS LÄN</t>
        </is>
      </c>
      <c r="E2562" t="inlineStr">
        <is>
          <t>NORBERG</t>
        </is>
      </c>
      <c r="G2562" t="n">
        <v>3.1</v>
      </c>
      <c r="H2562" t="n">
        <v>0</v>
      </c>
      <c r="I2562" t="n">
        <v>0</v>
      </c>
      <c r="J2562" t="n">
        <v>0</v>
      </c>
      <c r="K2562" t="n">
        <v>0</v>
      </c>
      <c r="L2562" t="n">
        <v>0</v>
      </c>
      <c r="M2562" t="n">
        <v>0</v>
      </c>
      <c r="N2562" t="n">
        <v>0</v>
      </c>
      <c r="O2562" t="n">
        <v>0</v>
      </c>
      <c r="P2562" t="n">
        <v>0</v>
      </c>
      <c r="Q2562" t="n">
        <v>0</v>
      </c>
      <c r="R2562" s="2" t="inlineStr"/>
    </row>
    <row r="2563" ht="15" customHeight="1">
      <c r="A2563" t="inlineStr">
        <is>
          <t>A 48828-2022</t>
        </is>
      </c>
      <c r="B2563" s="1" t="n">
        <v>44859</v>
      </c>
      <c r="C2563" s="1" t="n">
        <v>45724</v>
      </c>
      <c r="D2563" t="inlineStr">
        <is>
          <t>VÄSTMANLANDS LÄN</t>
        </is>
      </c>
      <c r="E2563" t="inlineStr">
        <is>
          <t>SKINNSKATTEBERG</t>
        </is>
      </c>
      <c r="G2563" t="n">
        <v>0.6</v>
      </c>
      <c r="H2563" t="n">
        <v>0</v>
      </c>
      <c r="I2563" t="n">
        <v>0</v>
      </c>
      <c r="J2563" t="n">
        <v>0</v>
      </c>
      <c r="K2563" t="n">
        <v>0</v>
      </c>
      <c r="L2563" t="n">
        <v>0</v>
      </c>
      <c r="M2563" t="n">
        <v>0</v>
      </c>
      <c r="N2563" t="n">
        <v>0</v>
      </c>
      <c r="O2563" t="n">
        <v>0</v>
      </c>
      <c r="P2563" t="n">
        <v>0</v>
      </c>
      <c r="Q2563" t="n">
        <v>0</v>
      </c>
      <c r="R2563" s="2" t="inlineStr"/>
    </row>
    <row r="2564" ht="15" customHeight="1">
      <c r="A2564" t="inlineStr">
        <is>
          <t>A 48859-2022</t>
        </is>
      </c>
      <c r="B2564" s="1" t="n">
        <v>44859</v>
      </c>
      <c r="C2564" s="1" t="n">
        <v>45724</v>
      </c>
      <c r="D2564" t="inlineStr">
        <is>
          <t>VÄSTMANLANDS LÄN</t>
        </is>
      </c>
      <c r="E2564" t="inlineStr">
        <is>
          <t>NORBERG</t>
        </is>
      </c>
      <c r="G2564" t="n">
        <v>4.2</v>
      </c>
      <c r="H2564" t="n">
        <v>0</v>
      </c>
      <c r="I2564" t="n">
        <v>0</v>
      </c>
      <c r="J2564" t="n">
        <v>0</v>
      </c>
      <c r="K2564" t="n">
        <v>0</v>
      </c>
      <c r="L2564" t="n">
        <v>0</v>
      </c>
      <c r="M2564" t="n">
        <v>0</v>
      </c>
      <c r="N2564" t="n">
        <v>0</v>
      </c>
      <c r="O2564" t="n">
        <v>0</v>
      </c>
      <c r="P2564" t="n">
        <v>0</v>
      </c>
      <c r="Q2564" t="n">
        <v>0</v>
      </c>
      <c r="R2564" s="2" t="inlineStr"/>
    </row>
    <row r="2565" ht="15" customHeight="1">
      <c r="A2565" t="inlineStr">
        <is>
          <t>A 49086-2022</t>
        </is>
      </c>
      <c r="B2565" s="1" t="n">
        <v>44860</v>
      </c>
      <c r="C2565" s="1" t="n">
        <v>45724</v>
      </c>
      <c r="D2565" t="inlineStr">
        <is>
          <t>VÄSTMANLANDS LÄN</t>
        </is>
      </c>
      <c r="E2565" t="inlineStr">
        <is>
          <t>SALA</t>
        </is>
      </c>
      <c r="G2565" t="n">
        <v>0.9</v>
      </c>
      <c r="H2565" t="n">
        <v>0</v>
      </c>
      <c r="I2565" t="n">
        <v>0</v>
      </c>
      <c r="J2565" t="n">
        <v>0</v>
      </c>
      <c r="K2565" t="n">
        <v>0</v>
      </c>
      <c r="L2565" t="n">
        <v>0</v>
      </c>
      <c r="M2565" t="n">
        <v>0</v>
      </c>
      <c r="N2565" t="n">
        <v>0</v>
      </c>
      <c r="O2565" t="n">
        <v>0</v>
      </c>
      <c r="P2565" t="n">
        <v>0</v>
      </c>
      <c r="Q2565" t="n">
        <v>0</v>
      </c>
      <c r="R2565" s="2" t="inlineStr"/>
    </row>
    <row r="2566" ht="15" customHeight="1">
      <c r="A2566" t="inlineStr">
        <is>
          <t>A 49143-2022</t>
        </is>
      </c>
      <c r="B2566" s="1" t="n">
        <v>44860</v>
      </c>
      <c r="C2566" s="1" t="n">
        <v>45724</v>
      </c>
      <c r="D2566" t="inlineStr">
        <is>
          <t>VÄSTMANLANDS LÄN</t>
        </is>
      </c>
      <c r="E2566" t="inlineStr">
        <is>
          <t>NORBERG</t>
        </is>
      </c>
      <c r="F2566" t="inlineStr">
        <is>
          <t>Sveaskog</t>
        </is>
      </c>
      <c r="G2566" t="n">
        <v>3.1</v>
      </c>
      <c r="H2566" t="n">
        <v>0</v>
      </c>
      <c r="I2566" t="n">
        <v>0</v>
      </c>
      <c r="J2566" t="n">
        <v>0</v>
      </c>
      <c r="K2566" t="n">
        <v>0</v>
      </c>
      <c r="L2566" t="n">
        <v>0</v>
      </c>
      <c r="M2566" t="n">
        <v>0</v>
      </c>
      <c r="N2566" t="n">
        <v>0</v>
      </c>
      <c r="O2566" t="n">
        <v>0</v>
      </c>
      <c r="P2566" t="n">
        <v>0</v>
      </c>
      <c r="Q2566" t="n">
        <v>0</v>
      </c>
      <c r="R2566" s="2" t="inlineStr"/>
    </row>
    <row r="2567" ht="15" customHeight="1">
      <c r="A2567" t="inlineStr">
        <is>
          <t>A 50124-2022</t>
        </is>
      </c>
      <c r="B2567" s="1" t="n">
        <v>44860</v>
      </c>
      <c r="C2567" s="1" t="n">
        <v>45724</v>
      </c>
      <c r="D2567" t="inlineStr">
        <is>
          <t>VÄSTMANLANDS LÄN</t>
        </is>
      </c>
      <c r="E2567" t="inlineStr">
        <is>
          <t>NORBERG</t>
        </is>
      </c>
      <c r="G2567" t="n">
        <v>6.8</v>
      </c>
      <c r="H2567" t="n">
        <v>0</v>
      </c>
      <c r="I2567" t="n">
        <v>0</v>
      </c>
      <c r="J2567" t="n">
        <v>0</v>
      </c>
      <c r="K2567" t="n">
        <v>0</v>
      </c>
      <c r="L2567" t="n">
        <v>0</v>
      </c>
      <c r="M2567" t="n">
        <v>0</v>
      </c>
      <c r="N2567" t="n">
        <v>0</v>
      </c>
      <c r="O2567" t="n">
        <v>0</v>
      </c>
      <c r="P2567" t="n">
        <v>0</v>
      </c>
      <c r="Q2567" t="n">
        <v>0</v>
      </c>
      <c r="R2567" s="2" t="inlineStr"/>
    </row>
    <row r="2568" ht="15" customHeight="1">
      <c r="A2568" t="inlineStr">
        <is>
          <t>A 49163-2022</t>
        </is>
      </c>
      <c r="B2568" s="1" t="n">
        <v>44860</v>
      </c>
      <c r="C2568" s="1" t="n">
        <v>45724</v>
      </c>
      <c r="D2568" t="inlineStr">
        <is>
          <t>VÄSTMANLANDS LÄN</t>
        </is>
      </c>
      <c r="E2568" t="inlineStr">
        <is>
          <t>NORBERG</t>
        </is>
      </c>
      <c r="F2568" t="inlineStr">
        <is>
          <t>Sveaskog</t>
        </is>
      </c>
      <c r="G2568" t="n">
        <v>5</v>
      </c>
      <c r="H2568" t="n">
        <v>0</v>
      </c>
      <c r="I2568" t="n">
        <v>0</v>
      </c>
      <c r="J2568" t="n">
        <v>0</v>
      </c>
      <c r="K2568" t="n">
        <v>0</v>
      </c>
      <c r="L2568" t="n">
        <v>0</v>
      </c>
      <c r="M2568" t="n">
        <v>0</v>
      </c>
      <c r="N2568" t="n">
        <v>0</v>
      </c>
      <c r="O2568" t="n">
        <v>0</v>
      </c>
      <c r="P2568" t="n">
        <v>0</v>
      </c>
      <c r="Q2568" t="n">
        <v>0</v>
      </c>
      <c r="R2568" s="2" t="inlineStr"/>
    </row>
    <row r="2569" ht="15" customHeight="1">
      <c r="A2569" t="inlineStr">
        <is>
          <t>A 49311-2022</t>
        </is>
      </c>
      <c r="B2569" s="1" t="n">
        <v>44861</v>
      </c>
      <c r="C2569" s="1" t="n">
        <v>45724</v>
      </c>
      <c r="D2569" t="inlineStr">
        <is>
          <t>VÄSTMANLANDS LÄN</t>
        </is>
      </c>
      <c r="E2569" t="inlineStr">
        <is>
          <t>FAGERSTA</t>
        </is>
      </c>
      <c r="G2569" t="n">
        <v>3.1</v>
      </c>
      <c r="H2569" t="n">
        <v>0</v>
      </c>
      <c r="I2569" t="n">
        <v>0</v>
      </c>
      <c r="J2569" t="n">
        <v>0</v>
      </c>
      <c r="K2569" t="n">
        <v>0</v>
      </c>
      <c r="L2569" t="n">
        <v>0</v>
      </c>
      <c r="M2569" t="n">
        <v>0</v>
      </c>
      <c r="N2569" t="n">
        <v>0</v>
      </c>
      <c r="O2569" t="n">
        <v>0</v>
      </c>
      <c r="P2569" t="n">
        <v>0</v>
      </c>
      <c r="Q2569" t="n">
        <v>0</v>
      </c>
      <c r="R2569" s="2" t="inlineStr"/>
    </row>
    <row r="2570" ht="15" customHeight="1">
      <c r="A2570" t="inlineStr">
        <is>
          <t>A 49254-2022</t>
        </is>
      </c>
      <c r="B2570" s="1" t="n">
        <v>44861</v>
      </c>
      <c r="C2570" s="1" t="n">
        <v>45724</v>
      </c>
      <c r="D2570" t="inlineStr">
        <is>
          <t>VÄSTMANLANDS LÄN</t>
        </is>
      </c>
      <c r="E2570" t="inlineStr">
        <is>
          <t>SALA</t>
        </is>
      </c>
      <c r="G2570" t="n">
        <v>0.5</v>
      </c>
      <c r="H2570" t="n">
        <v>0</v>
      </c>
      <c r="I2570" t="n">
        <v>0</v>
      </c>
      <c r="J2570" t="n">
        <v>0</v>
      </c>
      <c r="K2570" t="n">
        <v>0</v>
      </c>
      <c r="L2570" t="n">
        <v>0</v>
      </c>
      <c r="M2570" t="n">
        <v>0</v>
      </c>
      <c r="N2570" t="n">
        <v>0</v>
      </c>
      <c r="O2570" t="n">
        <v>0</v>
      </c>
      <c r="P2570" t="n">
        <v>0</v>
      </c>
      <c r="Q2570" t="n">
        <v>0</v>
      </c>
      <c r="R2570" s="2" t="inlineStr"/>
    </row>
    <row r="2571" ht="15" customHeight="1">
      <c r="A2571" t="inlineStr">
        <is>
          <t>A 50461-2022</t>
        </is>
      </c>
      <c r="B2571" s="1" t="n">
        <v>44861</v>
      </c>
      <c r="C2571" s="1" t="n">
        <v>45724</v>
      </c>
      <c r="D2571" t="inlineStr">
        <is>
          <t>VÄSTMANLANDS LÄN</t>
        </is>
      </c>
      <c r="E2571" t="inlineStr">
        <is>
          <t>SALA</t>
        </is>
      </c>
      <c r="G2571" t="n">
        <v>2.2</v>
      </c>
      <c r="H2571" t="n">
        <v>0</v>
      </c>
      <c r="I2571" t="n">
        <v>0</v>
      </c>
      <c r="J2571" t="n">
        <v>0</v>
      </c>
      <c r="K2571" t="n">
        <v>0</v>
      </c>
      <c r="L2571" t="n">
        <v>0</v>
      </c>
      <c r="M2571" t="n">
        <v>0</v>
      </c>
      <c r="N2571" t="n">
        <v>0</v>
      </c>
      <c r="O2571" t="n">
        <v>0</v>
      </c>
      <c r="P2571" t="n">
        <v>0</v>
      </c>
      <c r="Q2571" t="n">
        <v>0</v>
      </c>
      <c r="R2571" s="2" t="inlineStr"/>
    </row>
    <row r="2572" ht="15" customHeight="1">
      <c r="A2572" t="inlineStr">
        <is>
          <t>A 50479-2022</t>
        </is>
      </c>
      <c r="B2572" s="1" t="n">
        <v>44861</v>
      </c>
      <c r="C2572" s="1" t="n">
        <v>45724</v>
      </c>
      <c r="D2572" t="inlineStr">
        <is>
          <t>VÄSTMANLANDS LÄN</t>
        </is>
      </c>
      <c r="E2572" t="inlineStr">
        <is>
          <t>SALA</t>
        </is>
      </c>
      <c r="G2572" t="n">
        <v>0.9</v>
      </c>
      <c r="H2572" t="n">
        <v>0</v>
      </c>
      <c r="I2572" t="n">
        <v>0</v>
      </c>
      <c r="J2572" t="n">
        <v>0</v>
      </c>
      <c r="K2572" t="n">
        <v>0</v>
      </c>
      <c r="L2572" t="n">
        <v>0</v>
      </c>
      <c r="M2572" t="n">
        <v>0</v>
      </c>
      <c r="N2572" t="n">
        <v>0</v>
      </c>
      <c r="O2572" t="n">
        <v>0</v>
      </c>
      <c r="P2572" t="n">
        <v>0</v>
      </c>
      <c r="Q2572" t="n">
        <v>0</v>
      </c>
      <c r="R2572" s="2" t="inlineStr"/>
    </row>
    <row r="2573" ht="15" customHeight="1">
      <c r="A2573" t="inlineStr">
        <is>
          <t>A 49686-2022</t>
        </is>
      </c>
      <c r="B2573" s="1" t="n">
        <v>44862</v>
      </c>
      <c r="C2573" s="1" t="n">
        <v>45724</v>
      </c>
      <c r="D2573" t="inlineStr">
        <is>
          <t>VÄSTMANLANDS LÄN</t>
        </is>
      </c>
      <c r="E2573" t="inlineStr">
        <is>
          <t>SURAHAMMAR</t>
        </is>
      </c>
      <c r="F2573" t="inlineStr">
        <is>
          <t>Sveaskog</t>
        </is>
      </c>
      <c r="G2573" t="n">
        <v>1.5</v>
      </c>
      <c r="H2573" t="n">
        <v>0</v>
      </c>
      <c r="I2573" t="n">
        <v>0</v>
      </c>
      <c r="J2573" t="n">
        <v>0</v>
      </c>
      <c r="K2573" t="n">
        <v>0</v>
      </c>
      <c r="L2573" t="n">
        <v>0</v>
      </c>
      <c r="M2573" t="n">
        <v>0</v>
      </c>
      <c r="N2573" t="n">
        <v>0</v>
      </c>
      <c r="O2573" t="n">
        <v>0</v>
      </c>
      <c r="P2573" t="n">
        <v>0</v>
      </c>
      <c r="Q2573" t="n">
        <v>0</v>
      </c>
      <c r="R2573" s="2" t="inlineStr"/>
    </row>
    <row r="2574" ht="15" customHeight="1">
      <c r="A2574" t="inlineStr">
        <is>
          <t>A 49687-2022</t>
        </is>
      </c>
      <c r="B2574" s="1" t="n">
        <v>44862</v>
      </c>
      <c r="C2574" s="1" t="n">
        <v>45724</v>
      </c>
      <c r="D2574" t="inlineStr">
        <is>
          <t>VÄSTMANLANDS LÄN</t>
        </is>
      </c>
      <c r="E2574" t="inlineStr">
        <is>
          <t>SKINNSKATTEBERG</t>
        </is>
      </c>
      <c r="F2574" t="inlineStr">
        <is>
          <t>Sveaskog</t>
        </is>
      </c>
      <c r="G2574" t="n">
        <v>2.1</v>
      </c>
      <c r="H2574" t="n">
        <v>0</v>
      </c>
      <c r="I2574" t="n">
        <v>0</v>
      </c>
      <c r="J2574" t="n">
        <v>0</v>
      </c>
      <c r="K2574" t="n">
        <v>0</v>
      </c>
      <c r="L2574" t="n">
        <v>0</v>
      </c>
      <c r="M2574" t="n">
        <v>0</v>
      </c>
      <c r="N2574" t="n">
        <v>0</v>
      </c>
      <c r="O2574" t="n">
        <v>0</v>
      </c>
      <c r="P2574" t="n">
        <v>0</v>
      </c>
      <c r="Q2574" t="n">
        <v>0</v>
      </c>
      <c r="R2574" s="2" t="inlineStr"/>
    </row>
    <row r="2575" ht="15" customHeight="1">
      <c r="A2575" t="inlineStr">
        <is>
          <t>A 50180-2022</t>
        </is>
      </c>
      <c r="B2575" s="1" t="n">
        <v>44865</v>
      </c>
      <c r="C2575" s="1" t="n">
        <v>45724</v>
      </c>
      <c r="D2575" t="inlineStr">
        <is>
          <t>VÄSTMANLANDS LÄN</t>
        </is>
      </c>
      <c r="E2575" t="inlineStr">
        <is>
          <t>VÄSTERÅS</t>
        </is>
      </c>
      <c r="G2575" t="n">
        <v>1.4</v>
      </c>
      <c r="H2575" t="n">
        <v>0</v>
      </c>
      <c r="I2575" t="n">
        <v>0</v>
      </c>
      <c r="J2575" t="n">
        <v>0</v>
      </c>
      <c r="K2575" t="n">
        <v>0</v>
      </c>
      <c r="L2575" t="n">
        <v>0</v>
      </c>
      <c r="M2575" t="n">
        <v>0</v>
      </c>
      <c r="N2575" t="n">
        <v>0</v>
      </c>
      <c r="O2575" t="n">
        <v>0</v>
      </c>
      <c r="P2575" t="n">
        <v>0</v>
      </c>
      <c r="Q2575" t="n">
        <v>0</v>
      </c>
      <c r="R2575" s="2" t="inlineStr"/>
    </row>
    <row r="2576" ht="15" customHeight="1">
      <c r="A2576" t="inlineStr">
        <is>
          <t>A 50193-2022</t>
        </is>
      </c>
      <c r="B2576" s="1" t="n">
        <v>44865</v>
      </c>
      <c r="C2576" s="1" t="n">
        <v>45724</v>
      </c>
      <c r="D2576" t="inlineStr">
        <is>
          <t>VÄSTMANLANDS LÄN</t>
        </is>
      </c>
      <c r="E2576" t="inlineStr">
        <is>
          <t>VÄSTERÅS</t>
        </is>
      </c>
      <c r="G2576" t="n">
        <v>2</v>
      </c>
      <c r="H2576" t="n">
        <v>0</v>
      </c>
      <c r="I2576" t="n">
        <v>0</v>
      </c>
      <c r="J2576" t="n">
        <v>0</v>
      </c>
      <c r="K2576" t="n">
        <v>0</v>
      </c>
      <c r="L2576" t="n">
        <v>0</v>
      </c>
      <c r="M2576" t="n">
        <v>0</v>
      </c>
      <c r="N2576" t="n">
        <v>0</v>
      </c>
      <c r="O2576" t="n">
        <v>0</v>
      </c>
      <c r="P2576" t="n">
        <v>0</v>
      </c>
      <c r="Q2576" t="n">
        <v>0</v>
      </c>
      <c r="R2576" s="2" t="inlineStr"/>
    </row>
    <row r="2577" ht="15" customHeight="1">
      <c r="A2577" t="inlineStr">
        <is>
          <t>A 50399-2022</t>
        </is>
      </c>
      <c r="B2577" s="1" t="n">
        <v>44866</v>
      </c>
      <c r="C2577" s="1" t="n">
        <v>45724</v>
      </c>
      <c r="D2577" t="inlineStr">
        <is>
          <t>VÄSTMANLANDS LÄN</t>
        </is>
      </c>
      <c r="E2577" t="inlineStr">
        <is>
          <t>KUNGSÖR</t>
        </is>
      </c>
      <c r="G2577" t="n">
        <v>6.2</v>
      </c>
      <c r="H2577" t="n">
        <v>0</v>
      </c>
      <c r="I2577" t="n">
        <v>0</v>
      </c>
      <c r="J2577" t="n">
        <v>0</v>
      </c>
      <c r="K2577" t="n">
        <v>0</v>
      </c>
      <c r="L2577" t="n">
        <v>0</v>
      </c>
      <c r="M2577" t="n">
        <v>0</v>
      </c>
      <c r="N2577" t="n">
        <v>0</v>
      </c>
      <c r="O2577" t="n">
        <v>0</v>
      </c>
      <c r="P2577" t="n">
        <v>0</v>
      </c>
      <c r="Q2577" t="n">
        <v>0</v>
      </c>
      <c r="R2577" s="2" t="inlineStr"/>
    </row>
    <row r="2578" ht="15" customHeight="1">
      <c r="A2578" t="inlineStr">
        <is>
          <t>A 50394-2022</t>
        </is>
      </c>
      <c r="B2578" s="1" t="n">
        <v>44866</v>
      </c>
      <c r="C2578" s="1" t="n">
        <v>45724</v>
      </c>
      <c r="D2578" t="inlineStr">
        <is>
          <t>VÄSTMANLANDS LÄN</t>
        </is>
      </c>
      <c r="E2578" t="inlineStr">
        <is>
          <t>KUNGSÖR</t>
        </is>
      </c>
      <c r="G2578" t="n">
        <v>1.5</v>
      </c>
      <c r="H2578" t="n">
        <v>0</v>
      </c>
      <c r="I2578" t="n">
        <v>0</v>
      </c>
      <c r="J2578" t="n">
        <v>0</v>
      </c>
      <c r="K2578" t="n">
        <v>0</v>
      </c>
      <c r="L2578" t="n">
        <v>0</v>
      </c>
      <c r="M2578" t="n">
        <v>0</v>
      </c>
      <c r="N2578" t="n">
        <v>0</v>
      </c>
      <c r="O2578" t="n">
        <v>0</v>
      </c>
      <c r="P2578" t="n">
        <v>0</v>
      </c>
      <c r="Q2578" t="n">
        <v>0</v>
      </c>
      <c r="R2578" s="2" t="inlineStr"/>
    </row>
    <row r="2579" ht="15" customHeight="1">
      <c r="A2579" t="inlineStr">
        <is>
          <t>A 51279-2022</t>
        </is>
      </c>
      <c r="B2579" s="1" t="n">
        <v>44866</v>
      </c>
      <c r="C2579" s="1" t="n">
        <v>45724</v>
      </c>
      <c r="D2579" t="inlineStr">
        <is>
          <t>VÄSTMANLANDS LÄN</t>
        </is>
      </c>
      <c r="E2579" t="inlineStr">
        <is>
          <t>SALA</t>
        </is>
      </c>
      <c r="G2579" t="n">
        <v>3.9</v>
      </c>
      <c r="H2579" t="n">
        <v>0</v>
      </c>
      <c r="I2579" t="n">
        <v>0</v>
      </c>
      <c r="J2579" t="n">
        <v>0</v>
      </c>
      <c r="K2579" t="n">
        <v>0</v>
      </c>
      <c r="L2579" t="n">
        <v>0</v>
      </c>
      <c r="M2579" t="n">
        <v>0</v>
      </c>
      <c r="N2579" t="n">
        <v>0</v>
      </c>
      <c r="O2579" t="n">
        <v>0</v>
      </c>
      <c r="P2579" t="n">
        <v>0</v>
      </c>
      <c r="Q2579" t="n">
        <v>0</v>
      </c>
      <c r="R2579" s="2" t="inlineStr"/>
    </row>
    <row r="2580" ht="15" customHeight="1">
      <c r="A2580" t="inlineStr">
        <is>
          <t>A 51377-2022</t>
        </is>
      </c>
      <c r="B2580" s="1" t="n">
        <v>44866</v>
      </c>
      <c r="C2580" s="1" t="n">
        <v>45724</v>
      </c>
      <c r="D2580" t="inlineStr">
        <is>
          <t>VÄSTMANLANDS LÄN</t>
        </is>
      </c>
      <c r="E2580" t="inlineStr">
        <is>
          <t>SALA</t>
        </is>
      </c>
      <c r="G2580" t="n">
        <v>6.3</v>
      </c>
      <c r="H2580" t="n">
        <v>0</v>
      </c>
      <c r="I2580" t="n">
        <v>0</v>
      </c>
      <c r="J2580" t="n">
        <v>0</v>
      </c>
      <c r="K2580" t="n">
        <v>0</v>
      </c>
      <c r="L2580" t="n">
        <v>0</v>
      </c>
      <c r="M2580" t="n">
        <v>0</v>
      </c>
      <c r="N2580" t="n">
        <v>0</v>
      </c>
      <c r="O2580" t="n">
        <v>0</v>
      </c>
      <c r="P2580" t="n">
        <v>0</v>
      </c>
      <c r="Q2580" t="n">
        <v>0</v>
      </c>
      <c r="R2580" s="2" t="inlineStr"/>
    </row>
    <row r="2581" ht="15" customHeight="1">
      <c r="A2581" t="inlineStr">
        <is>
          <t>A 51339-2022</t>
        </is>
      </c>
      <c r="B2581" s="1" t="n">
        <v>44866</v>
      </c>
      <c r="C2581" s="1" t="n">
        <v>45724</v>
      </c>
      <c r="D2581" t="inlineStr">
        <is>
          <t>VÄSTMANLANDS LÄN</t>
        </is>
      </c>
      <c r="E2581" t="inlineStr">
        <is>
          <t>KÖPING</t>
        </is>
      </c>
      <c r="G2581" t="n">
        <v>3.7</v>
      </c>
      <c r="H2581" t="n">
        <v>0</v>
      </c>
      <c r="I2581" t="n">
        <v>0</v>
      </c>
      <c r="J2581" t="n">
        <v>0</v>
      </c>
      <c r="K2581" t="n">
        <v>0</v>
      </c>
      <c r="L2581" t="n">
        <v>0</v>
      </c>
      <c r="M2581" t="n">
        <v>0</v>
      </c>
      <c r="N2581" t="n">
        <v>0</v>
      </c>
      <c r="O2581" t="n">
        <v>0</v>
      </c>
      <c r="P2581" t="n">
        <v>0</v>
      </c>
      <c r="Q2581" t="n">
        <v>0</v>
      </c>
      <c r="R2581" s="2" t="inlineStr"/>
    </row>
    <row r="2582" ht="15" customHeight="1">
      <c r="A2582" t="inlineStr">
        <is>
          <t>A 51273-2022</t>
        </is>
      </c>
      <c r="B2582" s="1" t="n">
        <v>44866</v>
      </c>
      <c r="C2582" s="1" t="n">
        <v>45724</v>
      </c>
      <c r="D2582" t="inlineStr">
        <is>
          <t>VÄSTMANLANDS LÄN</t>
        </is>
      </c>
      <c r="E2582" t="inlineStr">
        <is>
          <t>VÄSTERÅS</t>
        </is>
      </c>
      <c r="G2582" t="n">
        <v>6.9</v>
      </c>
      <c r="H2582" t="n">
        <v>0</v>
      </c>
      <c r="I2582" t="n">
        <v>0</v>
      </c>
      <c r="J2582" t="n">
        <v>0</v>
      </c>
      <c r="K2582" t="n">
        <v>0</v>
      </c>
      <c r="L2582" t="n">
        <v>0</v>
      </c>
      <c r="M2582" t="n">
        <v>0</v>
      </c>
      <c r="N2582" t="n">
        <v>0</v>
      </c>
      <c r="O2582" t="n">
        <v>0</v>
      </c>
      <c r="P2582" t="n">
        <v>0</v>
      </c>
      <c r="Q2582" t="n">
        <v>0</v>
      </c>
      <c r="R2582" s="2" t="inlineStr"/>
    </row>
    <row r="2583" ht="15" customHeight="1">
      <c r="A2583" t="inlineStr">
        <is>
          <t>A 50974-2022</t>
        </is>
      </c>
      <c r="B2583" s="1" t="n">
        <v>44867</v>
      </c>
      <c r="C2583" s="1" t="n">
        <v>45724</v>
      </c>
      <c r="D2583" t="inlineStr">
        <is>
          <t>VÄSTMANLANDS LÄN</t>
        </is>
      </c>
      <c r="E2583" t="inlineStr">
        <is>
          <t>SKINNSKATTEBERG</t>
        </is>
      </c>
      <c r="G2583" t="n">
        <v>4.9</v>
      </c>
      <c r="H2583" t="n">
        <v>0</v>
      </c>
      <c r="I2583" t="n">
        <v>0</v>
      </c>
      <c r="J2583" t="n">
        <v>0</v>
      </c>
      <c r="K2583" t="n">
        <v>0</v>
      </c>
      <c r="L2583" t="n">
        <v>0</v>
      </c>
      <c r="M2583" t="n">
        <v>0</v>
      </c>
      <c r="N2583" t="n">
        <v>0</v>
      </c>
      <c r="O2583" t="n">
        <v>0</v>
      </c>
      <c r="P2583" t="n">
        <v>0</v>
      </c>
      <c r="Q2583" t="n">
        <v>0</v>
      </c>
      <c r="R2583" s="2" t="inlineStr"/>
    </row>
    <row r="2584" ht="15" customHeight="1">
      <c r="A2584" t="inlineStr">
        <is>
          <t>A 50980-2022</t>
        </is>
      </c>
      <c r="B2584" s="1" t="n">
        <v>44867</v>
      </c>
      <c r="C2584" s="1" t="n">
        <v>45724</v>
      </c>
      <c r="D2584" t="inlineStr">
        <is>
          <t>VÄSTMANLANDS LÄN</t>
        </is>
      </c>
      <c r="E2584" t="inlineStr">
        <is>
          <t>SKINNSKATTEBERG</t>
        </is>
      </c>
      <c r="G2584" t="n">
        <v>1.1</v>
      </c>
      <c r="H2584" t="n">
        <v>0</v>
      </c>
      <c r="I2584" t="n">
        <v>0</v>
      </c>
      <c r="J2584" t="n">
        <v>0</v>
      </c>
      <c r="K2584" t="n">
        <v>0</v>
      </c>
      <c r="L2584" t="n">
        <v>0</v>
      </c>
      <c r="M2584" t="n">
        <v>0</v>
      </c>
      <c r="N2584" t="n">
        <v>0</v>
      </c>
      <c r="O2584" t="n">
        <v>0</v>
      </c>
      <c r="P2584" t="n">
        <v>0</v>
      </c>
      <c r="Q2584" t="n">
        <v>0</v>
      </c>
      <c r="R2584" s="2" t="inlineStr"/>
    </row>
    <row r="2585" ht="15" customHeight="1">
      <c r="A2585" t="inlineStr">
        <is>
          <t>A 50795-2022</t>
        </is>
      </c>
      <c r="B2585" s="1" t="n">
        <v>44867</v>
      </c>
      <c r="C2585" s="1" t="n">
        <v>45724</v>
      </c>
      <c r="D2585" t="inlineStr">
        <is>
          <t>VÄSTMANLANDS LÄN</t>
        </is>
      </c>
      <c r="E2585" t="inlineStr">
        <is>
          <t>SALA</t>
        </is>
      </c>
      <c r="G2585" t="n">
        <v>2.6</v>
      </c>
      <c r="H2585" t="n">
        <v>0</v>
      </c>
      <c r="I2585" t="n">
        <v>0</v>
      </c>
      <c r="J2585" t="n">
        <v>0</v>
      </c>
      <c r="K2585" t="n">
        <v>0</v>
      </c>
      <c r="L2585" t="n">
        <v>0</v>
      </c>
      <c r="M2585" t="n">
        <v>0</v>
      </c>
      <c r="N2585" t="n">
        <v>0</v>
      </c>
      <c r="O2585" t="n">
        <v>0</v>
      </c>
      <c r="P2585" t="n">
        <v>0</v>
      </c>
      <c r="Q2585" t="n">
        <v>0</v>
      </c>
      <c r="R2585" s="2" t="inlineStr"/>
    </row>
    <row r="2586" ht="15" customHeight="1">
      <c r="A2586" t="inlineStr">
        <is>
          <t>A 51203-2022</t>
        </is>
      </c>
      <c r="B2586" s="1" t="n">
        <v>44868</v>
      </c>
      <c r="C2586" s="1" t="n">
        <v>45724</v>
      </c>
      <c r="D2586" t="inlineStr">
        <is>
          <t>VÄSTMANLANDS LÄN</t>
        </is>
      </c>
      <c r="E2586" t="inlineStr">
        <is>
          <t>KÖPING</t>
        </is>
      </c>
      <c r="G2586" t="n">
        <v>0.9</v>
      </c>
      <c r="H2586" t="n">
        <v>0</v>
      </c>
      <c r="I2586" t="n">
        <v>0</v>
      </c>
      <c r="J2586" t="n">
        <v>0</v>
      </c>
      <c r="K2586" t="n">
        <v>0</v>
      </c>
      <c r="L2586" t="n">
        <v>0</v>
      </c>
      <c r="M2586" t="n">
        <v>0</v>
      </c>
      <c r="N2586" t="n">
        <v>0</v>
      </c>
      <c r="O2586" t="n">
        <v>0</v>
      </c>
      <c r="P2586" t="n">
        <v>0</v>
      </c>
      <c r="Q2586" t="n">
        <v>0</v>
      </c>
      <c r="R2586" s="2" t="inlineStr"/>
    </row>
    <row r="2587" ht="15" customHeight="1">
      <c r="A2587" t="inlineStr">
        <is>
          <t>A 51415-2022</t>
        </is>
      </c>
      <c r="B2587" s="1" t="n">
        <v>44869</v>
      </c>
      <c r="C2587" s="1" t="n">
        <v>45724</v>
      </c>
      <c r="D2587" t="inlineStr">
        <is>
          <t>VÄSTMANLANDS LÄN</t>
        </is>
      </c>
      <c r="E2587" t="inlineStr">
        <is>
          <t>NORBERG</t>
        </is>
      </c>
      <c r="F2587" t="inlineStr">
        <is>
          <t>Övriga Aktiebolag</t>
        </is>
      </c>
      <c r="G2587" t="n">
        <v>8.300000000000001</v>
      </c>
      <c r="H2587" t="n">
        <v>0</v>
      </c>
      <c r="I2587" t="n">
        <v>0</v>
      </c>
      <c r="J2587" t="n">
        <v>0</v>
      </c>
      <c r="K2587" t="n">
        <v>0</v>
      </c>
      <c r="L2587" t="n">
        <v>0</v>
      </c>
      <c r="M2587" t="n">
        <v>0</v>
      </c>
      <c r="N2587" t="n">
        <v>0</v>
      </c>
      <c r="O2587" t="n">
        <v>0</v>
      </c>
      <c r="P2587" t="n">
        <v>0</v>
      </c>
      <c r="Q2587" t="n">
        <v>0</v>
      </c>
      <c r="R2587" s="2" t="inlineStr"/>
    </row>
    <row r="2588" ht="15" customHeight="1">
      <c r="A2588" t="inlineStr">
        <is>
          <t>A 51600-2022</t>
        </is>
      </c>
      <c r="B2588" s="1" t="n">
        <v>44871</v>
      </c>
      <c r="C2588" s="1" t="n">
        <v>45724</v>
      </c>
      <c r="D2588" t="inlineStr">
        <is>
          <t>VÄSTMANLANDS LÄN</t>
        </is>
      </c>
      <c r="E2588" t="inlineStr">
        <is>
          <t>SALA</t>
        </is>
      </c>
      <c r="F2588" t="inlineStr">
        <is>
          <t>Bergvik skog öst AB</t>
        </is>
      </c>
      <c r="G2588" t="n">
        <v>2.7</v>
      </c>
      <c r="H2588" t="n">
        <v>0</v>
      </c>
      <c r="I2588" t="n">
        <v>0</v>
      </c>
      <c r="J2588" t="n">
        <v>0</v>
      </c>
      <c r="K2588" t="n">
        <v>0</v>
      </c>
      <c r="L2588" t="n">
        <v>0</v>
      </c>
      <c r="M2588" t="n">
        <v>0</v>
      </c>
      <c r="N2588" t="n">
        <v>0</v>
      </c>
      <c r="O2588" t="n">
        <v>0</v>
      </c>
      <c r="P2588" t="n">
        <v>0</v>
      </c>
      <c r="Q2588" t="n">
        <v>0</v>
      </c>
      <c r="R2588" s="2" t="inlineStr"/>
    </row>
    <row r="2589" ht="15" customHeight="1">
      <c r="A2589" t="inlineStr">
        <is>
          <t>A 51596-2022</t>
        </is>
      </c>
      <c r="B2589" s="1" t="n">
        <v>44871</v>
      </c>
      <c r="C2589" s="1" t="n">
        <v>45724</v>
      </c>
      <c r="D2589" t="inlineStr">
        <is>
          <t>VÄSTMANLANDS LÄN</t>
        </is>
      </c>
      <c r="E2589" t="inlineStr">
        <is>
          <t>SALA</t>
        </is>
      </c>
      <c r="F2589" t="inlineStr">
        <is>
          <t>Bergvik skog öst AB</t>
        </is>
      </c>
      <c r="G2589" t="n">
        <v>1.2</v>
      </c>
      <c r="H2589" t="n">
        <v>0</v>
      </c>
      <c r="I2589" t="n">
        <v>0</v>
      </c>
      <c r="J2589" t="n">
        <v>0</v>
      </c>
      <c r="K2589" t="n">
        <v>0</v>
      </c>
      <c r="L2589" t="n">
        <v>0</v>
      </c>
      <c r="M2589" t="n">
        <v>0</v>
      </c>
      <c r="N2589" t="n">
        <v>0</v>
      </c>
      <c r="O2589" t="n">
        <v>0</v>
      </c>
      <c r="P2589" t="n">
        <v>0</v>
      </c>
      <c r="Q2589" t="n">
        <v>0</v>
      </c>
      <c r="R2589" s="2" t="inlineStr"/>
    </row>
    <row r="2590" ht="15" customHeight="1">
      <c r="A2590" t="inlineStr">
        <is>
          <t>A 51662-2022</t>
        </is>
      </c>
      <c r="B2590" s="1" t="n">
        <v>44872</v>
      </c>
      <c r="C2590" s="1" t="n">
        <v>45724</v>
      </c>
      <c r="D2590" t="inlineStr">
        <is>
          <t>VÄSTMANLANDS LÄN</t>
        </is>
      </c>
      <c r="E2590" t="inlineStr">
        <is>
          <t>SKINNSKATTEBERG</t>
        </is>
      </c>
      <c r="F2590" t="inlineStr">
        <is>
          <t>Sveaskog</t>
        </is>
      </c>
      <c r="G2590" t="n">
        <v>2.4</v>
      </c>
      <c r="H2590" t="n">
        <v>0</v>
      </c>
      <c r="I2590" t="n">
        <v>0</v>
      </c>
      <c r="J2590" t="n">
        <v>0</v>
      </c>
      <c r="K2590" t="n">
        <v>0</v>
      </c>
      <c r="L2590" t="n">
        <v>0</v>
      </c>
      <c r="M2590" t="n">
        <v>0</v>
      </c>
      <c r="N2590" t="n">
        <v>0</v>
      </c>
      <c r="O2590" t="n">
        <v>0</v>
      </c>
      <c r="P2590" t="n">
        <v>0</v>
      </c>
      <c r="Q2590" t="n">
        <v>0</v>
      </c>
      <c r="R2590" s="2" t="inlineStr"/>
    </row>
    <row r="2591" ht="15" customHeight="1">
      <c r="A2591" t="inlineStr">
        <is>
          <t>A 51936-2022</t>
        </is>
      </c>
      <c r="B2591" s="1" t="n">
        <v>44872</v>
      </c>
      <c r="C2591" s="1" t="n">
        <v>45724</v>
      </c>
      <c r="D2591" t="inlineStr">
        <is>
          <t>VÄSTMANLANDS LÄN</t>
        </is>
      </c>
      <c r="E2591" t="inlineStr">
        <is>
          <t>FAGERSTA</t>
        </is>
      </c>
      <c r="G2591" t="n">
        <v>0.8</v>
      </c>
      <c r="H2591" t="n">
        <v>0</v>
      </c>
      <c r="I2591" t="n">
        <v>0</v>
      </c>
      <c r="J2591" t="n">
        <v>0</v>
      </c>
      <c r="K2591" t="n">
        <v>0</v>
      </c>
      <c r="L2591" t="n">
        <v>0</v>
      </c>
      <c r="M2591" t="n">
        <v>0</v>
      </c>
      <c r="N2591" t="n">
        <v>0</v>
      </c>
      <c r="O2591" t="n">
        <v>0</v>
      </c>
      <c r="P2591" t="n">
        <v>0</v>
      </c>
      <c r="Q2591" t="n">
        <v>0</v>
      </c>
      <c r="R2591" s="2" t="inlineStr"/>
    </row>
    <row r="2592" ht="15" customHeight="1">
      <c r="A2592" t="inlineStr">
        <is>
          <t>A 52063-2022</t>
        </is>
      </c>
      <c r="B2592" s="1" t="n">
        <v>44873</v>
      </c>
      <c r="C2592" s="1" t="n">
        <v>45724</v>
      </c>
      <c r="D2592" t="inlineStr">
        <is>
          <t>VÄSTMANLANDS LÄN</t>
        </is>
      </c>
      <c r="E2592" t="inlineStr">
        <is>
          <t>NORBERG</t>
        </is>
      </c>
      <c r="G2592" t="n">
        <v>0.8</v>
      </c>
      <c r="H2592" t="n">
        <v>0</v>
      </c>
      <c r="I2592" t="n">
        <v>0</v>
      </c>
      <c r="J2592" t="n">
        <v>0</v>
      </c>
      <c r="K2592" t="n">
        <v>0</v>
      </c>
      <c r="L2592" t="n">
        <v>0</v>
      </c>
      <c r="M2592" t="n">
        <v>0</v>
      </c>
      <c r="N2592" t="n">
        <v>0</v>
      </c>
      <c r="O2592" t="n">
        <v>0</v>
      </c>
      <c r="P2592" t="n">
        <v>0</v>
      </c>
      <c r="Q2592" t="n">
        <v>0</v>
      </c>
      <c r="R2592" s="2" t="inlineStr"/>
    </row>
    <row r="2593" ht="15" customHeight="1">
      <c r="A2593" t="inlineStr">
        <is>
          <t>A 52068-2022</t>
        </is>
      </c>
      <c r="B2593" s="1" t="n">
        <v>44873</v>
      </c>
      <c r="C2593" s="1" t="n">
        <v>45724</v>
      </c>
      <c r="D2593" t="inlineStr">
        <is>
          <t>VÄSTMANLANDS LÄN</t>
        </is>
      </c>
      <c r="E2593" t="inlineStr">
        <is>
          <t>NORBERG</t>
        </is>
      </c>
      <c r="G2593" t="n">
        <v>0.9</v>
      </c>
      <c r="H2593" t="n">
        <v>0</v>
      </c>
      <c r="I2593" t="n">
        <v>0</v>
      </c>
      <c r="J2593" t="n">
        <v>0</v>
      </c>
      <c r="K2593" t="n">
        <v>0</v>
      </c>
      <c r="L2593" t="n">
        <v>0</v>
      </c>
      <c r="M2593" t="n">
        <v>0</v>
      </c>
      <c r="N2593" t="n">
        <v>0</v>
      </c>
      <c r="O2593" t="n">
        <v>0</v>
      </c>
      <c r="P2593" t="n">
        <v>0</v>
      </c>
      <c r="Q2593" t="n">
        <v>0</v>
      </c>
      <c r="R2593" s="2" t="inlineStr"/>
    </row>
    <row r="2594" ht="15" customHeight="1">
      <c r="A2594" t="inlineStr">
        <is>
          <t>A 52076-2022</t>
        </is>
      </c>
      <c r="B2594" s="1" t="n">
        <v>44873</v>
      </c>
      <c r="C2594" s="1" t="n">
        <v>45724</v>
      </c>
      <c r="D2594" t="inlineStr">
        <is>
          <t>VÄSTMANLANDS LÄN</t>
        </is>
      </c>
      <c r="E2594" t="inlineStr">
        <is>
          <t>NORBERG</t>
        </is>
      </c>
      <c r="G2594" t="n">
        <v>2.3</v>
      </c>
      <c r="H2594" t="n">
        <v>0</v>
      </c>
      <c r="I2594" t="n">
        <v>0</v>
      </c>
      <c r="J2594" t="n">
        <v>0</v>
      </c>
      <c r="K2594" t="n">
        <v>0</v>
      </c>
      <c r="L2594" t="n">
        <v>0</v>
      </c>
      <c r="M2594" t="n">
        <v>0</v>
      </c>
      <c r="N2594" t="n">
        <v>0</v>
      </c>
      <c r="O2594" t="n">
        <v>0</v>
      </c>
      <c r="P2594" t="n">
        <v>0</v>
      </c>
      <c r="Q2594" t="n">
        <v>0</v>
      </c>
      <c r="R2594" s="2" t="inlineStr"/>
    </row>
    <row r="2595" ht="15" customHeight="1">
      <c r="A2595" t="inlineStr">
        <is>
          <t>A 52199-2022</t>
        </is>
      </c>
      <c r="B2595" s="1" t="n">
        <v>44873</v>
      </c>
      <c r="C2595" s="1" t="n">
        <v>45724</v>
      </c>
      <c r="D2595" t="inlineStr">
        <is>
          <t>VÄSTMANLANDS LÄN</t>
        </is>
      </c>
      <c r="E2595" t="inlineStr">
        <is>
          <t>VÄSTERÅS</t>
        </is>
      </c>
      <c r="G2595" t="n">
        <v>0.5</v>
      </c>
      <c r="H2595" t="n">
        <v>0</v>
      </c>
      <c r="I2595" t="n">
        <v>0</v>
      </c>
      <c r="J2595" t="n">
        <v>0</v>
      </c>
      <c r="K2595" t="n">
        <v>0</v>
      </c>
      <c r="L2595" t="n">
        <v>0</v>
      </c>
      <c r="M2595" t="n">
        <v>0</v>
      </c>
      <c r="N2595" t="n">
        <v>0</v>
      </c>
      <c r="O2595" t="n">
        <v>0</v>
      </c>
      <c r="P2595" t="n">
        <v>0</v>
      </c>
      <c r="Q2595" t="n">
        <v>0</v>
      </c>
      <c r="R2595" s="2" t="inlineStr"/>
    </row>
    <row r="2596" ht="15" customHeight="1">
      <c r="A2596" t="inlineStr">
        <is>
          <t>A 52504-2022</t>
        </is>
      </c>
      <c r="B2596" s="1" t="n">
        <v>44874</v>
      </c>
      <c r="C2596" s="1" t="n">
        <v>45724</v>
      </c>
      <c r="D2596" t="inlineStr">
        <is>
          <t>VÄSTMANLANDS LÄN</t>
        </is>
      </c>
      <c r="E2596" t="inlineStr">
        <is>
          <t>SALA</t>
        </is>
      </c>
      <c r="G2596" t="n">
        <v>0.9</v>
      </c>
      <c r="H2596" t="n">
        <v>0</v>
      </c>
      <c r="I2596" t="n">
        <v>0</v>
      </c>
      <c r="J2596" t="n">
        <v>0</v>
      </c>
      <c r="K2596" t="n">
        <v>0</v>
      </c>
      <c r="L2596" t="n">
        <v>0</v>
      </c>
      <c r="M2596" t="n">
        <v>0</v>
      </c>
      <c r="N2596" t="n">
        <v>0</v>
      </c>
      <c r="O2596" t="n">
        <v>0</v>
      </c>
      <c r="P2596" t="n">
        <v>0</v>
      </c>
      <c r="Q2596" t="n">
        <v>0</v>
      </c>
      <c r="R2596" s="2" t="inlineStr"/>
    </row>
    <row r="2597" ht="15" customHeight="1">
      <c r="A2597" t="inlineStr">
        <is>
          <t>A 52498-2022</t>
        </is>
      </c>
      <c r="B2597" s="1" t="n">
        <v>44874</v>
      </c>
      <c r="C2597" s="1" t="n">
        <v>45724</v>
      </c>
      <c r="D2597" t="inlineStr">
        <is>
          <t>VÄSTMANLANDS LÄN</t>
        </is>
      </c>
      <c r="E2597" t="inlineStr">
        <is>
          <t>SALA</t>
        </is>
      </c>
      <c r="G2597" t="n">
        <v>2.1</v>
      </c>
      <c r="H2597" t="n">
        <v>0</v>
      </c>
      <c r="I2597" t="n">
        <v>0</v>
      </c>
      <c r="J2597" t="n">
        <v>0</v>
      </c>
      <c r="K2597" t="n">
        <v>0</v>
      </c>
      <c r="L2597" t="n">
        <v>0</v>
      </c>
      <c r="M2597" t="n">
        <v>0</v>
      </c>
      <c r="N2597" t="n">
        <v>0</v>
      </c>
      <c r="O2597" t="n">
        <v>0</v>
      </c>
      <c r="P2597" t="n">
        <v>0</v>
      </c>
      <c r="Q2597" t="n">
        <v>0</v>
      </c>
      <c r="R2597" s="2" t="inlineStr"/>
    </row>
    <row r="2598" ht="15" customHeight="1">
      <c r="A2598" t="inlineStr">
        <is>
          <t>A 52396-2022</t>
        </is>
      </c>
      <c r="B2598" s="1" t="n">
        <v>44874</v>
      </c>
      <c r="C2598" s="1" t="n">
        <v>45724</v>
      </c>
      <c r="D2598" t="inlineStr">
        <is>
          <t>VÄSTMANLANDS LÄN</t>
        </is>
      </c>
      <c r="E2598" t="inlineStr">
        <is>
          <t>VÄSTERÅS</t>
        </is>
      </c>
      <c r="G2598" t="n">
        <v>0.5</v>
      </c>
      <c r="H2598" t="n">
        <v>0</v>
      </c>
      <c r="I2598" t="n">
        <v>0</v>
      </c>
      <c r="J2598" t="n">
        <v>0</v>
      </c>
      <c r="K2598" t="n">
        <v>0</v>
      </c>
      <c r="L2598" t="n">
        <v>0</v>
      </c>
      <c r="M2598" t="n">
        <v>0</v>
      </c>
      <c r="N2598" t="n">
        <v>0</v>
      </c>
      <c r="O2598" t="n">
        <v>0</v>
      </c>
      <c r="P2598" t="n">
        <v>0</v>
      </c>
      <c r="Q2598" t="n">
        <v>0</v>
      </c>
      <c r="R2598" s="2" t="inlineStr"/>
    </row>
    <row r="2599" ht="15" customHeight="1">
      <c r="A2599" t="inlineStr">
        <is>
          <t>A 52569-2022</t>
        </is>
      </c>
      <c r="B2599" s="1" t="n">
        <v>44874</v>
      </c>
      <c r="C2599" s="1" t="n">
        <v>45724</v>
      </c>
      <c r="D2599" t="inlineStr">
        <is>
          <t>VÄSTMANLANDS LÄN</t>
        </is>
      </c>
      <c r="E2599" t="inlineStr">
        <is>
          <t>VÄSTERÅS</t>
        </is>
      </c>
      <c r="G2599" t="n">
        <v>0.6</v>
      </c>
      <c r="H2599" t="n">
        <v>0</v>
      </c>
      <c r="I2599" t="n">
        <v>0</v>
      </c>
      <c r="J2599" t="n">
        <v>0</v>
      </c>
      <c r="K2599" t="n">
        <v>0</v>
      </c>
      <c r="L2599" t="n">
        <v>0</v>
      </c>
      <c r="M2599" t="n">
        <v>0</v>
      </c>
      <c r="N2599" t="n">
        <v>0</v>
      </c>
      <c r="O2599" t="n">
        <v>0</v>
      </c>
      <c r="P2599" t="n">
        <v>0</v>
      </c>
      <c r="Q2599" t="n">
        <v>0</v>
      </c>
      <c r="R2599" s="2" t="inlineStr"/>
    </row>
    <row r="2600" ht="15" customHeight="1">
      <c r="A2600" t="inlineStr">
        <is>
          <t>A 52630-2022</t>
        </is>
      </c>
      <c r="B2600" s="1" t="n">
        <v>44874</v>
      </c>
      <c r="C2600" s="1" t="n">
        <v>45724</v>
      </c>
      <c r="D2600" t="inlineStr">
        <is>
          <t>VÄSTMANLANDS LÄN</t>
        </is>
      </c>
      <c r="E2600" t="inlineStr">
        <is>
          <t>SALA</t>
        </is>
      </c>
      <c r="F2600" t="inlineStr">
        <is>
          <t>Sveaskog</t>
        </is>
      </c>
      <c r="G2600" t="n">
        <v>1.8</v>
      </c>
      <c r="H2600" t="n">
        <v>0</v>
      </c>
      <c r="I2600" t="n">
        <v>0</v>
      </c>
      <c r="J2600" t="n">
        <v>0</v>
      </c>
      <c r="K2600" t="n">
        <v>0</v>
      </c>
      <c r="L2600" t="n">
        <v>0</v>
      </c>
      <c r="M2600" t="n">
        <v>0</v>
      </c>
      <c r="N2600" t="n">
        <v>0</v>
      </c>
      <c r="O2600" t="n">
        <v>0</v>
      </c>
      <c r="P2600" t="n">
        <v>0</v>
      </c>
      <c r="Q2600" t="n">
        <v>0</v>
      </c>
      <c r="R2600" s="2" t="inlineStr"/>
    </row>
    <row r="2601" ht="15" customHeight="1">
      <c r="A2601" t="inlineStr">
        <is>
          <t>A 52809-2022</t>
        </is>
      </c>
      <c r="B2601" s="1" t="n">
        <v>44875</v>
      </c>
      <c r="C2601" s="1" t="n">
        <v>45724</v>
      </c>
      <c r="D2601" t="inlineStr">
        <is>
          <t>VÄSTMANLANDS LÄN</t>
        </is>
      </c>
      <c r="E2601" t="inlineStr">
        <is>
          <t>KUNGSÖR</t>
        </is>
      </c>
      <c r="F2601" t="inlineStr">
        <is>
          <t>Allmännings- och besparingsskogar</t>
        </is>
      </c>
      <c r="G2601" t="n">
        <v>2.5</v>
      </c>
      <c r="H2601" t="n">
        <v>0</v>
      </c>
      <c r="I2601" t="n">
        <v>0</v>
      </c>
      <c r="J2601" t="n">
        <v>0</v>
      </c>
      <c r="K2601" t="n">
        <v>0</v>
      </c>
      <c r="L2601" t="n">
        <v>0</v>
      </c>
      <c r="M2601" t="n">
        <v>0</v>
      </c>
      <c r="N2601" t="n">
        <v>0</v>
      </c>
      <c r="O2601" t="n">
        <v>0</v>
      </c>
      <c r="P2601" t="n">
        <v>0</v>
      </c>
      <c r="Q2601" t="n">
        <v>0</v>
      </c>
      <c r="R2601" s="2" t="inlineStr"/>
    </row>
    <row r="2602" ht="15" customHeight="1">
      <c r="A2602" t="inlineStr">
        <is>
          <t>A 52764-2022</t>
        </is>
      </c>
      <c r="B2602" s="1" t="n">
        <v>44875</v>
      </c>
      <c r="C2602" s="1" t="n">
        <v>45724</v>
      </c>
      <c r="D2602" t="inlineStr">
        <is>
          <t>VÄSTMANLANDS LÄN</t>
        </is>
      </c>
      <c r="E2602" t="inlineStr">
        <is>
          <t>VÄSTERÅS</t>
        </is>
      </c>
      <c r="G2602" t="n">
        <v>4.2</v>
      </c>
      <c r="H2602" t="n">
        <v>0</v>
      </c>
      <c r="I2602" t="n">
        <v>0</v>
      </c>
      <c r="J2602" t="n">
        <v>0</v>
      </c>
      <c r="K2602" t="n">
        <v>0</v>
      </c>
      <c r="L2602" t="n">
        <v>0</v>
      </c>
      <c r="M2602" t="n">
        <v>0</v>
      </c>
      <c r="N2602" t="n">
        <v>0</v>
      </c>
      <c r="O2602" t="n">
        <v>0</v>
      </c>
      <c r="P2602" t="n">
        <v>0</v>
      </c>
      <c r="Q2602" t="n">
        <v>0</v>
      </c>
      <c r="R2602" s="2" t="inlineStr"/>
    </row>
    <row r="2603" ht="15" customHeight="1">
      <c r="A2603" t="inlineStr">
        <is>
          <t>A 52802-2022</t>
        </is>
      </c>
      <c r="B2603" s="1" t="n">
        <v>44875</v>
      </c>
      <c r="C2603" s="1" t="n">
        <v>45724</v>
      </c>
      <c r="D2603" t="inlineStr">
        <is>
          <t>VÄSTMANLANDS LÄN</t>
        </is>
      </c>
      <c r="E2603" t="inlineStr">
        <is>
          <t>KUNGSÖR</t>
        </is>
      </c>
      <c r="F2603" t="inlineStr">
        <is>
          <t>Allmännings- och besparingsskogar</t>
        </is>
      </c>
      <c r="G2603" t="n">
        <v>5.8</v>
      </c>
      <c r="H2603" t="n">
        <v>0</v>
      </c>
      <c r="I2603" t="n">
        <v>0</v>
      </c>
      <c r="J2603" t="n">
        <v>0</v>
      </c>
      <c r="K2603" t="n">
        <v>0</v>
      </c>
      <c r="L2603" t="n">
        <v>0</v>
      </c>
      <c r="M2603" t="n">
        <v>0</v>
      </c>
      <c r="N2603" t="n">
        <v>0</v>
      </c>
      <c r="O2603" t="n">
        <v>0</v>
      </c>
      <c r="P2603" t="n">
        <v>0</v>
      </c>
      <c r="Q2603" t="n">
        <v>0</v>
      </c>
      <c r="R2603" s="2" t="inlineStr"/>
    </row>
    <row r="2604" ht="15" customHeight="1">
      <c r="A2604" t="inlineStr">
        <is>
          <t>A 53454-2022</t>
        </is>
      </c>
      <c r="B2604" s="1" t="n">
        <v>44879</v>
      </c>
      <c r="C2604" s="1" t="n">
        <v>45724</v>
      </c>
      <c r="D2604" t="inlineStr">
        <is>
          <t>VÄSTMANLANDS LÄN</t>
        </is>
      </c>
      <c r="E2604" t="inlineStr">
        <is>
          <t>SKINNSKATTEBERG</t>
        </is>
      </c>
      <c r="G2604" t="n">
        <v>0.9</v>
      </c>
      <c r="H2604" t="n">
        <v>0</v>
      </c>
      <c r="I2604" t="n">
        <v>0</v>
      </c>
      <c r="J2604" t="n">
        <v>0</v>
      </c>
      <c r="K2604" t="n">
        <v>0</v>
      </c>
      <c r="L2604" t="n">
        <v>0</v>
      </c>
      <c r="M2604" t="n">
        <v>0</v>
      </c>
      <c r="N2604" t="n">
        <v>0</v>
      </c>
      <c r="O2604" t="n">
        <v>0</v>
      </c>
      <c r="P2604" t="n">
        <v>0</v>
      </c>
      <c r="Q2604" t="n">
        <v>0</v>
      </c>
      <c r="R2604" s="2" t="inlineStr"/>
    </row>
    <row r="2605" ht="15" customHeight="1">
      <c r="A2605" t="inlineStr">
        <is>
          <t>A 53425-2022</t>
        </is>
      </c>
      <c r="B2605" s="1" t="n">
        <v>44879</v>
      </c>
      <c r="C2605" s="1" t="n">
        <v>45724</v>
      </c>
      <c r="D2605" t="inlineStr">
        <is>
          <t>VÄSTMANLANDS LÄN</t>
        </is>
      </c>
      <c r="E2605" t="inlineStr">
        <is>
          <t>SALA</t>
        </is>
      </c>
      <c r="G2605" t="n">
        <v>1.2</v>
      </c>
      <c r="H2605" t="n">
        <v>0</v>
      </c>
      <c r="I2605" t="n">
        <v>0</v>
      </c>
      <c r="J2605" t="n">
        <v>0</v>
      </c>
      <c r="K2605" t="n">
        <v>0</v>
      </c>
      <c r="L2605" t="n">
        <v>0</v>
      </c>
      <c r="M2605" t="n">
        <v>0</v>
      </c>
      <c r="N2605" t="n">
        <v>0</v>
      </c>
      <c r="O2605" t="n">
        <v>0</v>
      </c>
      <c r="P2605" t="n">
        <v>0</v>
      </c>
      <c r="Q2605" t="n">
        <v>0</v>
      </c>
      <c r="R2605" s="2" t="inlineStr"/>
    </row>
    <row r="2606" ht="15" customHeight="1">
      <c r="A2606" t="inlineStr">
        <is>
          <t>A 53432-2022</t>
        </is>
      </c>
      <c r="B2606" s="1" t="n">
        <v>44879</v>
      </c>
      <c r="C2606" s="1" t="n">
        <v>45724</v>
      </c>
      <c r="D2606" t="inlineStr">
        <is>
          <t>VÄSTMANLANDS LÄN</t>
        </is>
      </c>
      <c r="E2606" t="inlineStr">
        <is>
          <t>SALA</t>
        </is>
      </c>
      <c r="G2606" t="n">
        <v>1</v>
      </c>
      <c r="H2606" t="n">
        <v>0</v>
      </c>
      <c r="I2606" t="n">
        <v>0</v>
      </c>
      <c r="J2606" t="n">
        <v>0</v>
      </c>
      <c r="K2606" t="n">
        <v>0</v>
      </c>
      <c r="L2606" t="n">
        <v>0</v>
      </c>
      <c r="M2606" t="n">
        <v>0</v>
      </c>
      <c r="N2606" t="n">
        <v>0</v>
      </c>
      <c r="O2606" t="n">
        <v>0</v>
      </c>
      <c r="P2606" t="n">
        <v>0</v>
      </c>
      <c r="Q2606" t="n">
        <v>0</v>
      </c>
      <c r="R2606" s="2" t="inlineStr"/>
    </row>
    <row r="2607" ht="15" customHeight="1">
      <c r="A2607" t="inlineStr">
        <is>
          <t>A 53628-2022</t>
        </is>
      </c>
      <c r="B2607" s="1" t="n">
        <v>44879</v>
      </c>
      <c r="C2607" s="1" t="n">
        <v>45724</v>
      </c>
      <c r="D2607" t="inlineStr">
        <is>
          <t>VÄSTMANLANDS LÄN</t>
        </is>
      </c>
      <c r="E2607" t="inlineStr">
        <is>
          <t>SALA</t>
        </is>
      </c>
      <c r="G2607" t="n">
        <v>2.7</v>
      </c>
      <c r="H2607" t="n">
        <v>0</v>
      </c>
      <c r="I2607" t="n">
        <v>0</v>
      </c>
      <c r="J2607" t="n">
        <v>0</v>
      </c>
      <c r="K2607" t="n">
        <v>0</v>
      </c>
      <c r="L2607" t="n">
        <v>0</v>
      </c>
      <c r="M2607" t="n">
        <v>0</v>
      </c>
      <c r="N2607" t="n">
        <v>0</v>
      </c>
      <c r="O2607" t="n">
        <v>0</v>
      </c>
      <c r="P2607" t="n">
        <v>0</v>
      </c>
      <c r="Q2607" t="n">
        <v>0</v>
      </c>
      <c r="R2607" s="2" t="inlineStr"/>
    </row>
    <row r="2608" ht="15" customHeight="1">
      <c r="A2608" t="inlineStr">
        <is>
          <t>A 53630-2022</t>
        </is>
      </c>
      <c r="B2608" s="1" t="n">
        <v>44879</v>
      </c>
      <c r="C2608" s="1" t="n">
        <v>45724</v>
      </c>
      <c r="D2608" t="inlineStr">
        <is>
          <t>VÄSTMANLANDS LÄN</t>
        </is>
      </c>
      <c r="E2608" t="inlineStr">
        <is>
          <t>SALA</t>
        </is>
      </c>
      <c r="G2608" t="n">
        <v>0.7</v>
      </c>
      <c r="H2608" t="n">
        <v>0</v>
      </c>
      <c r="I2608" t="n">
        <v>0</v>
      </c>
      <c r="J2608" t="n">
        <v>0</v>
      </c>
      <c r="K2608" t="n">
        <v>0</v>
      </c>
      <c r="L2608" t="n">
        <v>0</v>
      </c>
      <c r="M2608" t="n">
        <v>0</v>
      </c>
      <c r="N2608" t="n">
        <v>0</v>
      </c>
      <c r="O2608" t="n">
        <v>0</v>
      </c>
      <c r="P2608" t="n">
        <v>0</v>
      </c>
      <c r="Q2608" t="n">
        <v>0</v>
      </c>
      <c r="R2608" s="2" t="inlineStr"/>
    </row>
    <row r="2609" ht="15" customHeight="1">
      <c r="A2609" t="inlineStr">
        <is>
          <t>A 53836-2022</t>
        </is>
      </c>
      <c r="B2609" s="1" t="n">
        <v>44880</v>
      </c>
      <c r="C2609" s="1" t="n">
        <v>45724</v>
      </c>
      <c r="D2609" t="inlineStr">
        <is>
          <t>VÄSTMANLANDS LÄN</t>
        </is>
      </c>
      <c r="E2609" t="inlineStr">
        <is>
          <t>VÄSTERÅS</t>
        </is>
      </c>
      <c r="G2609" t="n">
        <v>6.2</v>
      </c>
      <c r="H2609" t="n">
        <v>0</v>
      </c>
      <c r="I2609" t="n">
        <v>0</v>
      </c>
      <c r="J2609" t="n">
        <v>0</v>
      </c>
      <c r="K2609" t="n">
        <v>0</v>
      </c>
      <c r="L2609" t="n">
        <v>0</v>
      </c>
      <c r="M2609" t="n">
        <v>0</v>
      </c>
      <c r="N2609" t="n">
        <v>0</v>
      </c>
      <c r="O2609" t="n">
        <v>0</v>
      </c>
      <c r="P2609" t="n">
        <v>0</v>
      </c>
      <c r="Q2609" t="n">
        <v>0</v>
      </c>
      <c r="R2609" s="2" t="inlineStr"/>
    </row>
    <row r="2610" ht="15" customHeight="1">
      <c r="A2610" t="inlineStr">
        <is>
          <t>A 53864-2022</t>
        </is>
      </c>
      <c r="B2610" s="1" t="n">
        <v>44880</v>
      </c>
      <c r="C2610" s="1" t="n">
        <v>45724</v>
      </c>
      <c r="D2610" t="inlineStr">
        <is>
          <t>VÄSTMANLANDS LÄN</t>
        </is>
      </c>
      <c r="E2610" t="inlineStr">
        <is>
          <t>SALA</t>
        </is>
      </c>
      <c r="G2610" t="n">
        <v>5.9</v>
      </c>
      <c r="H2610" t="n">
        <v>0</v>
      </c>
      <c r="I2610" t="n">
        <v>0</v>
      </c>
      <c r="J2610" t="n">
        <v>0</v>
      </c>
      <c r="K2610" t="n">
        <v>0</v>
      </c>
      <c r="L2610" t="n">
        <v>0</v>
      </c>
      <c r="M2610" t="n">
        <v>0</v>
      </c>
      <c r="N2610" t="n">
        <v>0</v>
      </c>
      <c r="O2610" t="n">
        <v>0</v>
      </c>
      <c r="P2610" t="n">
        <v>0</v>
      </c>
      <c r="Q2610" t="n">
        <v>0</v>
      </c>
      <c r="R2610" s="2" t="inlineStr"/>
    </row>
    <row r="2611" ht="15" customHeight="1">
      <c r="A2611" t="inlineStr">
        <is>
          <t>A 53735-2022</t>
        </is>
      </c>
      <c r="B2611" s="1" t="n">
        <v>44880</v>
      </c>
      <c r="C2611" s="1" t="n">
        <v>45724</v>
      </c>
      <c r="D2611" t="inlineStr">
        <is>
          <t>VÄSTMANLANDS LÄN</t>
        </is>
      </c>
      <c r="E2611" t="inlineStr">
        <is>
          <t>SALA</t>
        </is>
      </c>
      <c r="F2611" t="inlineStr">
        <is>
          <t>Bergvik skog öst AB</t>
        </is>
      </c>
      <c r="G2611" t="n">
        <v>1.8</v>
      </c>
      <c r="H2611" t="n">
        <v>0</v>
      </c>
      <c r="I2611" t="n">
        <v>0</v>
      </c>
      <c r="J2611" t="n">
        <v>0</v>
      </c>
      <c r="K2611" t="n">
        <v>0</v>
      </c>
      <c r="L2611" t="n">
        <v>0</v>
      </c>
      <c r="M2611" t="n">
        <v>0</v>
      </c>
      <c r="N2611" t="n">
        <v>0</v>
      </c>
      <c r="O2611" t="n">
        <v>0</v>
      </c>
      <c r="P2611" t="n">
        <v>0</v>
      </c>
      <c r="Q2611" t="n">
        <v>0</v>
      </c>
      <c r="R2611" s="2" t="inlineStr"/>
    </row>
    <row r="2612" ht="15" customHeight="1">
      <c r="A2612" t="inlineStr">
        <is>
          <t>A 53838-2022</t>
        </is>
      </c>
      <c r="B2612" s="1" t="n">
        <v>44880</v>
      </c>
      <c r="C2612" s="1" t="n">
        <v>45724</v>
      </c>
      <c r="D2612" t="inlineStr">
        <is>
          <t>VÄSTMANLANDS LÄN</t>
        </is>
      </c>
      <c r="E2612" t="inlineStr">
        <is>
          <t>SALA</t>
        </is>
      </c>
      <c r="G2612" t="n">
        <v>3.9</v>
      </c>
      <c r="H2612" t="n">
        <v>0</v>
      </c>
      <c r="I2612" t="n">
        <v>0</v>
      </c>
      <c r="J2612" t="n">
        <v>0</v>
      </c>
      <c r="K2612" t="n">
        <v>0</v>
      </c>
      <c r="L2612" t="n">
        <v>0</v>
      </c>
      <c r="M2612" t="n">
        <v>0</v>
      </c>
      <c r="N2612" t="n">
        <v>0</v>
      </c>
      <c r="O2612" t="n">
        <v>0</v>
      </c>
      <c r="P2612" t="n">
        <v>0</v>
      </c>
      <c r="Q2612" t="n">
        <v>0</v>
      </c>
      <c r="R2612" s="2" t="inlineStr"/>
    </row>
    <row r="2613" ht="15" customHeight="1">
      <c r="A2613" t="inlineStr">
        <is>
          <t>A 53858-2022</t>
        </is>
      </c>
      <c r="B2613" s="1" t="n">
        <v>44880</v>
      </c>
      <c r="C2613" s="1" t="n">
        <v>45724</v>
      </c>
      <c r="D2613" t="inlineStr">
        <is>
          <t>VÄSTMANLANDS LÄN</t>
        </is>
      </c>
      <c r="E2613" t="inlineStr">
        <is>
          <t>VÄSTERÅS</t>
        </is>
      </c>
      <c r="F2613" t="inlineStr">
        <is>
          <t>Sveaskog</t>
        </is>
      </c>
      <c r="G2613" t="n">
        <v>2.1</v>
      </c>
      <c r="H2613" t="n">
        <v>0</v>
      </c>
      <c r="I2613" t="n">
        <v>0</v>
      </c>
      <c r="J2613" t="n">
        <v>0</v>
      </c>
      <c r="K2613" t="n">
        <v>0</v>
      </c>
      <c r="L2613" t="n">
        <v>0</v>
      </c>
      <c r="M2613" t="n">
        <v>0</v>
      </c>
      <c r="N2613" t="n">
        <v>0</v>
      </c>
      <c r="O2613" t="n">
        <v>0</v>
      </c>
      <c r="P2613" t="n">
        <v>0</v>
      </c>
      <c r="Q2613" t="n">
        <v>0</v>
      </c>
      <c r="R2613" s="2" t="inlineStr"/>
    </row>
    <row r="2614" ht="15" customHeight="1">
      <c r="A2614" t="inlineStr">
        <is>
          <t>A 53833-2022</t>
        </is>
      </c>
      <c r="B2614" s="1" t="n">
        <v>44880</v>
      </c>
      <c r="C2614" s="1" t="n">
        <v>45724</v>
      </c>
      <c r="D2614" t="inlineStr">
        <is>
          <t>VÄSTMANLANDS LÄN</t>
        </is>
      </c>
      <c r="E2614" t="inlineStr">
        <is>
          <t>VÄSTERÅS</t>
        </is>
      </c>
      <c r="G2614" t="n">
        <v>6.9</v>
      </c>
      <c r="H2614" t="n">
        <v>0</v>
      </c>
      <c r="I2614" t="n">
        <v>0</v>
      </c>
      <c r="J2614" t="n">
        <v>0</v>
      </c>
      <c r="K2614" t="n">
        <v>0</v>
      </c>
      <c r="L2614" t="n">
        <v>0</v>
      </c>
      <c r="M2614" t="n">
        <v>0</v>
      </c>
      <c r="N2614" t="n">
        <v>0</v>
      </c>
      <c r="O2614" t="n">
        <v>0</v>
      </c>
      <c r="P2614" t="n">
        <v>0</v>
      </c>
      <c r="Q2614" t="n">
        <v>0</v>
      </c>
      <c r="R2614" s="2" t="inlineStr"/>
    </row>
    <row r="2615" ht="15" customHeight="1">
      <c r="A2615" t="inlineStr">
        <is>
          <t>A 53997-2022</t>
        </is>
      </c>
      <c r="B2615" s="1" t="n">
        <v>44881</v>
      </c>
      <c r="C2615" s="1" t="n">
        <v>45724</v>
      </c>
      <c r="D2615" t="inlineStr">
        <is>
          <t>VÄSTMANLANDS LÄN</t>
        </is>
      </c>
      <c r="E2615" t="inlineStr">
        <is>
          <t>SALA</t>
        </is>
      </c>
      <c r="G2615" t="n">
        <v>1.4</v>
      </c>
      <c r="H2615" t="n">
        <v>0</v>
      </c>
      <c r="I2615" t="n">
        <v>0</v>
      </c>
      <c r="J2615" t="n">
        <v>0</v>
      </c>
      <c r="K2615" t="n">
        <v>0</v>
      </c>
      <c r="L2615" t="n">
        <v>0</v>
      </c>
      <c r="M2615" t="n">
        <v>0</v>
      </c>
      <c r="N2615" t="n">
        <v>0</v>
      </c>
      <c r="O2615" t="n">
        <v>0</v>
      </c>
      <c r="P2615" t="n">
        <v>0</v>
      </c>
      <c r="Q2615" t="n">
        <v>0</v>
      </c>
      <c r="R2615" s="2" t="inlineStr"/>
    </row>
    <row r="2616" ht="15" customHeight="1">
      <c r="A2616" t="inlineStr">
        <is>
          <t>A 54657-2022</t>
        </is>
      </c>
      <c r="B2616" s="1" t="n">
        <v>44883</v>
      </c>
      <c r="C2616" s="1" t="n">
        <v>45724</v>
      </c>
      <c r="D2616" t="inlineStr">
        <is>
          <t>VÄSTMANLANDS LÄN</t>
        </is>
      </c>
      <c r="E2616" t="inlineStr">
        <is>
          <t>SKINNSKATTEBERG</t>
        </is>
      </c>
      <c r="F2616" t="inlineStr">
        <is>
          <t>Sveaskog</t>
        </is>
      </c>
      <c r="G2616" t="n">
        <v>0.7</v>
      </c>
      <c r="H2616" t="n">
        <v>0</v>
      </c>
      <c r="I2616" t="n">
        <v>0</v>
      </c>
      <c r="J2616" t="n">
        <v>0</v>
      </c>
      <c r="K2616" t="n">
        <v>0</v>
      </c>
      <c r="L2616" t="n">
        <v>0</v>
      </c>
      <c r="M2616" t="n">
        <v>0</v>
      </c>
      <c r="N2616" t="n">
        <v>0</v>
      </c>
      <c r="O2616" t="n">
        <v>0</v>
      </c>
      <c r="P2616" t="n">
        <v>0</v>
      </c>
      <c r="Q2616" t="n">
        <v>0</v>
      </c>
      <c r="R2616" s="2" t="inlineStr"/>
    </row>
    <row r="2617" ht="15" customHeight="1">
      <c r="A2617" t="inlineStr">
        <is>
          <t>A 54868-2022</t>
        </is>
      </c>
      <c r="B2617" s="1" t="n">
        <v>44885</v>
      </c>
      <c r="C2617" s="1" t="n">
        <v>45724</v>
      </c>
      <c r="D2617" t="inlineStr">
        <is>
          <t>VÄSTMANLANDS LÄN</t>
        </is>
      </c>
      <c r="E2617" t="inlineStr">
        <is>
          <t>KÖPING</t>
        </is>
      </c>
      <c r="G2617" t="n">
        <v>0.8</v>
      </c>
      <c r="H2617" t="n">
        <v>0</v>
      </c>
      <c r="I2617" t="n">
        <v>0</v>
      </c>
      <c r="J2617" t="n">
        <v>0</v>
      </c>
      <c r="K2617" t="n">
        <v>0</v>
      </c>
      <c r="L2617" t="n">
        <v>0</v>
      </c>
      <c r="M2617" t="n">
        <v>0</v>
      </c>
      <c r="N2617" t="n">
        <v>0</v>
      </c>
      <c r="O2617" t="n">
        <v>0</v>
      </c>
      <c r="P2617" t="n">
        <v>0</v>
      </c>
      <c r="Q2617" t="n">
        <v>0</v>
      </c>
      <c r="R2617" s="2" t="inlineStr"/>
    </row>
    <row r="2618" ht="15" customHeight="1">
      <c r="A2618" t="inlineStr">
        <is>
          <t>A 54968-2022</t>
        </is>
      </c>
      <c r="B2618" s="1" t="n">
        <v>44886</v>
      </c>
      <c r="C2618" s="1" t="n">
        <v>45724</v>
      </c>
      <c r="D2618" t="inlineStr">
        <is>
          <t>VÄSTMANLANDS LÄN</t>
        </is>
      </c>
      <c r="E2618" t="inlineStr">
        <is>
          <t>KUNGSÖR</t>
        </is>
      </c>
      <c r="G2618" t="n">
        <v>5.7</v>
      </c>
      <c r="H2618" t="n">
        <v>0</v>
      </c>
      <c r="I2618" t="n">
        <v>0</v>
      </c>
      <c r="J2618" t="n">
        <v>0</v>
      </c>
      <c r="K2618" t="n">
        <v>0</v>
      </c>
      <c r="L2618" t="n">
        <v>0</v>
      </c>
      <c r="M2618" t="n">
        <v>0</v>
      </c>
      <c r="N2618" t="n">
        <v>0</v>
      </c>
      <c r="O2618" t="n">
        <v>0</v>
      </c>
      <c r="P2618" t="n">
        <v>0</v>
      </c>
      <c r="Q2618" t="n">
        <v>0</v>
      </c>
      <c r="R2618" s="2" t="inlineStr"/>
    </row>
    <row r="2619" ht="15" customHeight="1">
      <c r="A2619" t="inlineStr">
        <is>
          <t>A 55003-2022</t>
        </is>
      </c>
      <c r="B2619" s="1" t="n">
        <v>44886</v>
      </c>
      <c r="C2619" s="1" t="n">
        <v>45724</v>
      </c>
      <c r="D2619" t="inlineStr">
        <is>
          <t>VÄSTMANLANDS LÄN</t>
        </is>
      </c>
      <c r="E2619" t="inlineStr">
        <is>
          <t>KUNGSÖR</t>
        </is>
      </c>
      <c r="G2619" t="n">
        <v>6.6</v>
      </c>
      <c r="H2619" t="n">
        <v>0</v>
      </c>
      <c r="I2619" t="n">
        <v>0</v>
      </c>
      <c r="J2619" t="n">
        <v>0</v>
      </c>
      <c r="K2619" t="n">
        <v>0</v>
      </c>
      <c r="L2619" t="n">
        <v>0</v>
      </c>
      <c r="M2619" t="n">
        <v>0</v>
      </c>
      <c r="N2619" t="n">
        <v>0</v>
      </c>
      <c r="O2619" t="n">
        <v>0</v>
      </c>
      <c r="P2619" t="n">
        <v>0</v>
      </c>
      <c r="Q2619" t="n">
        <v>0</v>
      </c>
      <c r="R2619" s="2" t="inlineStr"/>
    </row>
    <row r="2620" ht="15" customHeight="1">
      <c r="A2620" t="inlineStr">
        <is>
          <t>A 55187-2022</t>
        </is>
      </c>
      <c r="B2620" s="1" t="n">
        <v>44886</v>
      </c>
      <c r="C2620" s="1" t="n">
        <v>45724</v>
      </c>
      <c r="D2620" t="inlineStr">
        <is>
          <t>VÄSTMANLANDS LÄN</t>
        </is>
      </c>
      <c r="E2620" t="inlineStr">
        <is>
          <t>ARBOGA</t>
        </is>
      </c>
      <c r="F2620" t="inlineStr">
        <is>
          <t>Allmännings- och besparingsskogar</t>
        </is>
      </c>
      <c r="G2620" t="n">
        <v>19.4</v>
      </c>
      <c r="H2620" t="n">
        <v>0</v>
      </c>
      <c r="I2620" t="n">
        <v>0</v>
      </c>
      <c r="J2620" t="n">
        <v>0</v>
      </c>
      <c r="K2620" t="n">
        <v>0</v>
      </c>
      <c r="L2620" t="n">
        <v>0</v>
      </c>
      <c r="M2620" t="n">
        <v>0</v>
      </c>
      <c r="N2620" t="n">
        <v>0</v>
      </c>
      <c r="O2620" t="n">
        <v>0</v>
      </c>
      <c r="P2620" t="n">
        <v>0</v>
      </c>
      <c r="Q2620" t="n">
        <v>0</v>
      </c>
      <c r="R2620" s="2" t="inlineStr"/>
    </row>
    <row r="2621" ht="15" customHeight="1">
      <c r="A2621" t="inlineStr">
        <is>
          <t>A 55188-2022</t>
        </is>
      </c>
      <c r="B2621" s="1" t="n">
        <v>44886</v>
      </c>
      <c r="C2621" s="1" t="n">
        <v>45724</v>
      </c>
      <c r="D2621" t="inlineStr">
        <is>
          <t>VÄSTMANLANDS LÄN</t>
        </is>
      </c>
      <c r="E2621" t="inlineStr">
        <is>
          <t>ARBOGA</t>
        </is>
      </c>
      <c r="F2621" t="inlineStr">
        <is>
          <t>Allmännings- och besparingsskogar</t>
        </is>
      </c>
      <c r="G2621" t="n">
        <v>2.4</v>
      </c>
      <c r="H2621" t="n">
        <v>0</v>
      </c>
      <c r="I2621" t="n">
        <v>0</v>
      </c>
      <c r="J2621" t="n">
        <v>0</v>
      </c>
      <c r="K2621" t="n">
        <v>0</v>
      </c>
      <c r="L2621" t="n">
        <v>0</v>
      </c>
      <c r="M2621" t="n">
        <v>0</v>
      </c>
      <c r="N2621" t="n">
        <v>0</v>
      </c>
      <c r="O2621" t="n">
        <v>0</v>
      </c>
      <c r="P2621" t="n">
        <v>0</v>
      </c>
      <c r="Q2621" t="n">
        <v>0</v>
      </c>
      <c r="R2621" s="2" t="inlineStr"/>
    </row>
    <row r="2622" ht="15" customHeight="1">
      <c r="A2622" t="inlineStr">
        <is>
          <t>A 55348-2022</t>
        </is>
      </c>
      <c r="B2622" s="1" t="n">
        <v>44887</v>
      </c>
      <c r="C2622" s="1" t="n">
        <v>45724</v>
      </c>
      <c r="D2622" t="inlineStr">
        <is>
          <t>VÄSTMANLANDS LÄN</t>
        </is>
      </c>
      <c r="E2622" t="inlineStr">
        <is>
          <t>HALLSTAHAMMAR</t>
        </is>
      </c>
      <c r="G2622" t="n">
        <v>0.5</v>
      </c>
      <c r="H2622" t="n">
        <v>0</v>
      </c>
      <c r="I2622" t="n">
        <v>0</v>
      </c>
      <c r="J2622" t="n">
        <v>0</v>
      </c>
      <c r="K2622" t="n">
        <v>0</v>
      </c>
      <c r="L2622" t="n">
        <v>0</v>
      </c>
      <c r="M2622" t="n">
        <v>0</v>
      </c>
      <c r="N2622" t="n">
        <v>0</v>
      </c>
      <c r="O2622" t="n">
        <v>0</v>
      </c>
      <c r="P2622" t="n">
        <v>0</v>
      </c>
      <c r="Q2622" t="n">
        <v>0</v>
      </c>
      <c r="R2622" s="2" t="inlineStr"/>
    </row>
    <row r="2623" ht="15" customHeight="1">
      <c r="A2623" t="inlineStr">
        <is>
          <t>A 55389-2022</t>
        </is>
      </c>
      <c r="B2623" s="1" t="n">
        <v>44887</v>
      </c>
      <c r="C2623" s="1" t="n">
        <v>45724</v>
      </c>
      <c r="D2623" t="inlineStr">
        <is>
          <t>VÄSTMANLANDS LÄN</t>
        </is>
      </c>
      <c r="E2623" t="inlineStr">
        <is>
          <t>KÖPING</t>
        </is>
      </c>
      <c r="G2623" t="n">
        <v>4.8</v>
      </c>
      <c r="H2623" t="n">
        <v>0</v>
      </c>
      <c r="I2623" t="n">
        <v>0</v>
      </c>
      <c r="J2623" t="n">
        <v>0</v>
      </c>
      <c r="K2623" t="n">
        <v>0</v>
      </c>
      <c r="L2623" t="n">
        <v>0</v>
      </c>
      <c r="M2623" t="n">
        <v>0</v>
      </c>
      <c r="N2623" t="n">
        <v>0</v>
      </c>
      <c r="O2623" t="n">
        <v>0</v>
      </c>
      <c r="P2623" t="n">
        <v>0</v>
      </c>
      <c r="Q2623" t="n">
        <v>0</v>
      </c>
      <c r="R2623" s="2" t="inlineStr"/>
    </row>
    <row r="2624" ht="15" customHeight="1">
      <c r="A2624" t="inlineStr">
        <is>
          <t>A 56537-2022</t>
        </is>
      </c>
      <c r="B2624" s="1" t="n">
        <v>44887</v>
      </c>
      <c r="C2624" s="1" t="n">
        <v>45724</v>
      </c>
      <c r="D2624" t="inlineStr">
        <is>
          <t>VÄSTMANLANDS LÄN</t>
        </is>
      </c>
      <c r="E2624" t="inlineStr">
        <is>
          <t>SKINNSKATTEBERG</t>
        </is>
      </c>
      <c r="G2624" t="n">
        <v>0.9</v>
      </c>
      <c r="H2624" t="n">
        <v>0</v>
      </c>
      <c r="I2624" t="n">
        <v>0</v>
      </c>
      <c r="J2624" t="n">
        <v>0</v>
      </c>
      <c r="K2624" t="n">
        <v>0</v>
      </c>
      <c r="L2624" t="n">
        <v>0</v>
      </c>
      <c r="M2624" t="n">
        <v>0</v>
      </c>
      <c r="N2624" t="n">
        <v>0</v>
      </c>
      <c r="O2624" t="n">
        <v>0</v>
      </c>
      <c r="P2624" t="n">
        <v>0</v>
      </c>
      <c r="Q2624" t="n">
        <v>0</v>
      </c>
      <c r="R2624" s="2" t="inlineStr"/>
    </row>
    <row r="2625" ht="15" customHeight="1">
      <c r="A2625" t="inlineStr">
        <is>
          <t>A 55457-2022</t>
        </is>
      </c>
      <c r="B2625" s="1" t="n">
        <v>44887</v>
      </c>
      <c r="C2625" s="1" t="n">
        <v>45724</v>
      </c>
      <c r="D2625" t="inlineStr">
        <is>
          <t>VÄSTMANLANDS LÄN</t>
        </is>
      </c>
      <c r="E2625" t="inlineStr">
        <is>
          <t>ARBOGA</t>
        </is>
      </c>
      <c r="G2625" t="n">
        <v>2.2</v>
      </c>
      <c r="H2625" t="n">
        <v>0</v>
      </c>
      <c r="I2625" t="n">
        <v>0</v>
      </c>
      <c r="J2625" t="n">
        <v>0</v>
      </c>
      <c r="K2625" t="n">
        <v>0</v>
      </c>
      <c r="L2625" t="n">
        <v>0</v>
      </c>
      <c r="M2625" t="n">
        <v>0</v>
      </c>
      <c r="N2625" t="n">
        <v>0</v>
      </c>
      <c r="O2625" t="n">
        <v>0</v>
      </c>
      <c r="P2625" t="n">
        <v>0</v>
      </c>
      <c r="Q2625" t="n">
        <v>0</v>
      </c>
      <c r="R2625" s="2" t="inlineStr"/>
    </row>
    <row r="2626" ht="15" customHeight="1">
      <c r="A2626" t="inlineStr">
        <is>
          <t>A 55627-2022</t>
        </is>
      </c>
      <c r="B2626" s="1" t="n">
        <v>44888</v>
      </c>
      <c r="C2626" s="1" t="n">
        <v>45724</v>
      </c>
      <c r="D2626" t="inlineStr">
        <is>
          <t>VÄSTMANLANDS LÄN</t>
        </is>
      </c>
      <c r="E2626" t="inlineStr">
        <is>
          <t>ARBOGA</t>
        </is>
      </c>
      <c r="G2626" t="n">
        <v>2.1</v>
      </c>
      <c r="H2626" t="n">
        <v>0</v>
      </c>
      <c r="I2626" t="n">
        <v>0</v>
      </c>
      <c r="J2626" t="n">
        <v>0</v>
      </c>
      <c r="K2626" t="n">
        <v>0</v>
      </c>
      <c r="L2626" t="n">
        <v>0</v>
      </c>
      <c r="M2626" t="n">
        <v>0</v>
      </c>
      <c r="N2626" t="n">
        <v>0</v>
      </c>
      <c r="O2626" t="n">
        <v>0</v>
      </c>
      <c r="P2626" t="n">
        <v>0</v>
      </c>
      <c r="Q2626" t="n">
        <v>0</v>
      </c>
      <c r="R2626" s="2" t="inlineStr"/>
    </row>
    <row r="2627" ht="15" customHeight="1">
      <c r="A2627" t="inlineStr">
        <is>
          <t>A 55720-2022</t>
        </is>
      </c>
      <c r="B2627" s="1" t="n">
        <v>44888</v>
      </c>
      <c r="C2627" s="1" t="n">
        <v>45724</v>
      </c>
      <c r="D2627" t="inlineStr">
        <is>
          <t>VÄSTMANLANDS LÄN</t>
        </is>
      </c>
      <c r="E2627" t="inlineStr">
        <is>
          <t>KÖPING</t>
        </is>
      </c>
      <c r="G2627" t="n">
        <v>3.2</v>
      </c>
      <c r="H2627" t="n">
        <v>0</v>
      </c>
      <c r="I2627" t="n">
        <v>0</v>
      </c>
      <c r="J2627" t="n">
        <v>0</v>
      </c>
      <c r="K2627" t="n">
        <v>0</v>
      </c>
      <c r="L2627" t="n">
        <v>0</v>
      </c>
      <c r="M2627" t="n">
        <v>0</v>
      </c>
      <c r="N2627" t="n">
        <v>0</v>
      </c>
      <c r="O2627" t="n">
        <v>0</v>
      </c>
      <c r="P2627" t="n">
        <v>0</v>
      </c>
      <c r="Q2627" t="n">
        <v>0</v>
      </c>
      <c r="R2627" s="2" t="inlineStr"/>
    </row>
    <row r="2628" ht="15" customHeight="1">
      <c r="A2628" t="inlineStr">
        <is>
          <t>A 55562-2022</t>
        </is>
      </c>
      <c r="B2628" s="1" t="n">
        <v>44888</v>
      </c>
      <c r="C2628" s="1" t="n">
        <v>45724</v>
      </c>
      <c r="D2628" t="inlineStr">
        <is>
          <t>VÄSTMANLANDS LÄN</t>
        </is>
      </c>
      <c r="E2628" t="inlineStr">
        <is>
          <t>HALLSTAHAMMAR</t>
        </is>
      </c>
      <c r="G2628" t="n">
        <v>0.8</v>
      </c>
      <c r="H2628" t="n">
        <v>0</v>
      </c>
      <c r="I2628" t="n">
        <v>0</v>
      </c>
      <c r="J2628" t="n">
        <v>0</v>
      </c>
      <c r="K2628" t="n">
        <v>0</v>
      </c>
      <c r="L2628" t="n">
        <v>0</v>
      </c>
      <c r="M2628" t="n">
        <v>0</v>
      </c>
      <c r="N2628" t="n">
        <v>0</v>
      </c>
      <c r="O2628" t="n">
        <v>0</v>
      </c>
      <c r="P2628" t="n">
        <v>0</v>
      </c>
      <c r="Q2628" t="n">
        <v>0</v>
      </c>
      <c r="R2628" s="2" t="inlineStr"/>
    </row>
    <row r="2629" ht="15" customHeight="1">
      <c r="A2629" t="inlineStr">
        <is>
          <t>A 55574-2022</t>
        </is>
      </c>
      <c r="B2629" s="1" t="n">
        <v>44888</v>
      </c>
      <c r="C2629" s="1" t="n">
        <v>45724</v>
      </c>
      <c r="D2629" t="inlineStr">
        <is>
          <t>VÄSTMANLANDS LÄN</t>
        </is>
      </c>
      <c r="E2629" t="inlineStr">
        <is>
          <t>HALLSTAHAMMAR</t>
        </is>
      </c>
      <c r="G2629" t="n">
        <v>1.4</v>
      </c>
      <c r="H2629" t="n">
        <v>0</v>
      </c>
      <c r="I2629" t="n">
        <v>0</v>
      </c>
      <c r="J2629" t="n">
        <v>0</v>
      </c>
      <c r="K2629" t="n">
        <v>0</v>
      </c>
      <c r="L2629" t="n">
        <v>0</v>
      </c>
      <c r="M2629" t="n">
        <v>0</v>
      </c>
      <c r="N2629" t="n">
        <v>0</v>
      </c>
      <c r="O2629" t="n">
        <v>0</v>
      </c>
      <c r="P2629" t="n">
        <v>0</v>
      </c>
      <c r="Q2629" t="n">
        <v>0</v>
      </c>
      <c r="R2629" s="2" t="inlineStr"/>
    </row>
    <row r="2630" ht="15" customHeight="1">
      <c r="A2630" t="inlineStr">
        <is>
          <t>A 55733-2022</t>
        </is>
      </c>
      <c r="B2630" s="1" t="n">
        <v>44888</v>
      </c>
      <c r="C2630" s="1" t="n">
        <v>45724</v>
      </c>
      <c r="D2630" t="inlineStr">
        <is>
          <t>VÄSTMANLANDS LÄN</t>
        </is>
      </c>
      <c r="E2630" t="inlineStr">
        <is>
          <t>SALA</t>
        </is>
      </c>
      <c r="G2630" t="n">
        <v>0.4</v>
      </c>
      <c r="H2630" t="n">
        <v>0</v>
      </c>
      <c r="I2630" t="n">
        <v>0</v>
      </c>
      <c r="J2630" t="n">
        <v>0</v>
      </c>
      <c r="K2630" t="n">
        <v>0</v>
      </c>
      <c r="L2630" t="n">
        <v>0</v>
      </c>
      <c r="M2630" t="n">
        <v>0</v>
      </c>
      <c r="N2630" t="n">
        <v>0</v>
      </c>
      <c r="O2630" t="n">
        <v>0</v>
      </c>
      <c r="P2630" t="n">
        <v>0</v>
      </c>
      <c r="Q2630" t="n">
        <v>0</v>
      </c>
      <c r="R2630" s="2" t="inlineStr"/>
    </row>
    <row r="2631" ht="15" customHeight="1">
      <c r="A2631" t="inlineStr">
        <is>
          <t>A 56847-2022</t>
        </is>
      </c>
      <c r="B2631" s="1" t="n">
        <v>44888</v>
      </c>
      <c r="C2631" s="1" t="n">
        <v>45724</v>
      </c>
      <c r="D2631" t="inlineStr">
        <is>
          <t>VÄSTMANLANDS LÄN</t>
        </is>
      </c>
      <c r="E2631" t="inlineStr">
        <is>
          <t>VÄSTERÅS</t>
        </is>
      </c>
      <c r="F2631" t="inlineStr">
        <is>
          <t>Övriga Aktiebolag</t>
        </is>
      </c>
      <c r="G2631" t="n">
        <v>2.4</v>
      </c>
      <c r="H2631" t="n">
        <v>0</v>
      </c>
      <c r="I2631" t="n">
        <v>0</v>
      </c>
      <c r="J2631" t="n">
        <v>0</v>
      </c>
      <c r="K2631" t="n">
        <v>0</v>
      </c>
      <c r="L2631" t="n">
        <v>0</v>
      </c>
      <c r="M2631" t="n">
        <v>0</v>
      </c>
      <c r="N2631" t="n">
        <v>0</v>
      </c>
      <c r="O2631" t="n">
        <v>0</v>
      </c>
      <c r="P2631" t="n">
        <v>0</v>
      </c>
      <c r="Q2631" t="n">
        <v>0</v>
      </c>
      <c r="R2631" s="2" t="inlineStr"/>
    </row>
    <row r="2632" ht="15" customHeight="1">
      <c r="A2632" t="inlineStr">
        <is>
          <t>A 56089-2022</t>
        </is>
      </c>
      <c r="B2632" s="1" t="n">
        <v>44889</v>
      </c>
      <c r="C2632" s="1" t="n">
        <v>45724</v>
      </c>
      <c r="D2632" t="inlineStr">
        <is>
          <t>VÄSTMANLANDS LÄN</t>
        </is>
      </c>
      <c r="E2632" t="inlineStr">
        <is>
          <t>SALA</t>
        </is>
      </c>
      <c r="F2632" t="inlineStr">
        <is>
          <t>Sveaskog</t>
        </is>
      </c>
      <c r="G2632" t="n">
        <v>4.3</v>
      </c>
      <c r="H2632" t="n">
        <v>0</v>
      </c>
      <c r="I2632" t="n">
        <v>0</v>
      </c>
      <c r="J2632" t="n">
        <v>0</v>
      </c>
      <c r="K2632" t="n">
        <v>0</v>
      </c>
      <c r="L2632" t="n">
        <v>0</v>
      </c>
      <c r="M2632" t="n">
        <v>0</v>
      </c>
      <c r="N2632" t="n">
        <v>0</v>
      </c>
      <c r="O2632" t="n">
        <v>0</v>
      </c>
      <c r="P2632" t="n">
        <v>0</v>
      </c>
      <c r="Q2632" t="n">
        <v>0</v>
      </c>
      <c r="R2632" s="2" t="inlineStr"/>
    </row>
    <row r="2633" ht="15" customHeight="1">
      <c r="A2633" t="inlineStr">
        <is>
          <t>A 56088-2022</t>
        </is>
      </c>
      <c r="B2633" s="1" t="n">
        <v>44889</v>
      </c>
      <c r="C2633" s="1" t="n">
        <v>45724</v>
      </c>
      <c r="D2633" t="inlineStr">
        <is>
          <t>VÄSTMANLANDS LÄN</t>
        </is>
      </c>
      <c r="E2633" t="inlineStr">
        <is>
          <t>SALA</t>
        </is>
      </c>
      <c r="F2633" t="inlineStr">
        <is>
          <t>Sveaskog</t>
        </is>
      </c>
      <c r="G2633" t="n">
        <v>4.5</v>
      </c>
      <c r="H2633" t="n">
        <v>0</v>
      </c>
      <c r="I2633" t="n">
        <v>0</v>
      </c>
      <c r="J2633" t="n">
        <v>0</v>
      </c>
      <c r="K2633" t="n">
        <v>0</v>
      </c>
      <c r="L2633" t="n">
        <v>0</v>
      </c>
      <c r="M2633" t="n">
        <v>0</v>
      </c>
      <c r="N2633" t="n">
        <v>0</v>
      </c>
      <c r="O2633" t="n">
        <v>0</v>
      </c>
      <c r="P2633" t="n">
        <v>0</v>
      </c>
      <c r="Q2633" t="n">
        <v>0</v>
      </c>
      <c r="R2633" s="2" t="inlineStr"/>
    </row>
    <row r="2634" ht="15" customHeight="1">
      <c r="A2634" t="inlineStr">
        <is>
          <t>A 56146-2022</t>
        </is>
      </c>
      <c r="B2634" s="1" t="n">
        <v>44889</v>
      </c>
      <c r="C2634" s="1" t="n">
        <v>45724</v>
      </c>
      <c r="D2634" t="inlineStr">
        <is>
          <t>VÄSTMANLANDS LÄN</t>
        </is>
      </c>
      <c r="E2634" t="inlineStr">
        <is>
          <t>VÄSTERÅS</t>
        </is>
      </c>
      <c r="G2634" t="n">
        <v>3.4</v>
      </c>
      <c r="H2634" t="n">
        <v>0</v>
      </c>
      <c r="I2634" t="n">
        <v>0</v>
      </c>
      <c r="J2634" t="n">
        <v>0</v>
      </c>
      <c r="K2634" t="n">
        <v>0</v>
      </c>
      <c r="L2634" t="n">
        <v>0</v>
      </c>
      <c r="M2634" t="n">
        <v>0</v>
      </c>
      <c r="N2634" t="n">
        <v>0</v>
      </c>
      <c r="O2634" t="n">
        <v>0</v>
      </c>
      <c r="P2634" t="n">
        <v>0</v>
      </c>
      <c r="Q2634" t="n">
        <v>0</v>
      </c>
      <c r="R2634" s="2" t="inlineStr"/>
    </row>
    <row r="2635" ht="15" customHeight="1">
      <c r="A2635" t="inlineStr">
        <is>
          <t>A 56234-2022</t>
        </is>
      </c>
      <c r="B2635" s="1" t="n">
        <v>44890</v>
      </c>
      <c r="C2635" s="1" t="n">
        <v>45724</v>
      </c>
      <c r="D2635" t="inlineStr">
        <is>
          <t>VÄSTMANLANDS LÄN</t>
        </is>
      </c>
      <c r="E2635" t="inlineStr">
        <is>
          <t>SALA</t>
        </is>
      </c>
      <c r="G2635" t="n">
        <v>1.5</v>
      </c>
      <c r="H2635" t="n">
        <v>0</v>
      </c>
      <c r="I2635" t="n">
        <v>0</v>
      </c>
      <c r="J2635" t="n">
        <v>0</v>
      </c>
      <c r="K2635" t="n">
        <v>0</v>
      </c>
      <c r="L2635" t="n">
        <v>0</v>
      </c>
      <c r="M2635" t="n">
        <v>0</v>
      </c>
      <c r="N2635" t="n">
        <v>0</v>
      </c>
      <c r="O2635" t="n">
        <v>0</v>
      </c>
      <c r="P2635" t="n">
        <v>0</v>
      </c>
      <c r="Q2635" t="n">
        <v>0</v>
      </c>
      <c r="R2635" s="2" t="inlineStr"/>
    </row>
    <row r="2636" ht="15" customHeight="1">
      <c r="A2636" t="inlineStr">
        <is>
          <t>A 56292-2022</t>
        </is>
      </c>
      <c r="B2636" s="1" t="n">
        <v>44890</v>
      </c>
      <c r="C2636" s="1" t="n">
        <v>45724</v>
      </c>
      <c r="D2636" t="inlineStr">
        <is>
          <t>VÄSTMANLANDS LÄN</t>
        </is>
      </c>
      <c r="E2636" t="inlineStr">
        <is>
          <t>KÖPING</t>
        </is>
      </c>
      <c r="G2636" t="n">
        <v>1.4</v>
      </c>
      <c r="H2636" t="n">
        <v>0</v>
      </c>
      <c r="I2636" t="n">
        <v>0</v>
      </c>
      <c r="J2636" t="n">
        <v>0</v>
      </c>
      <c r="K2636" t="n">
        <v>0</v>
      </c>
      <c r="L2636" t="n">
        <v>0</v>
      </c>
      <c r="M2636" t="n">
        <v>0</v>
      </c>
      <c r="N2636" t="n">
        <v>0</v>
      </c>
      <c r="O2636" t="n">
        <v>0</v>
      </c>
      <c r="P2636" t="n">
        <v>0</v>
      </c>
      <c r="Q2636" t="n">
        <v>0</v>
      </c>
      <c r="R2636" s="2" t="inlineStr"/>
    </row>
    <row r="2637" ht="15" customHeight="1">
      <c r="A2637" t="inlineStr">
        <is>
          <t>A 56242-2022</t>
        </is>
      </c>
      <c r="B2637" s="1" t="n">
        <v>44890</v>
      </c>
      <c r="C2637" s="1" t="n">
        <v>45724</v>
      </c>
      <c r="D2637" t="inlineStr">
        <is>
          <t>VÄSTMANLANDS LÄN</t>
        </is>
      </c>
      <c r="E2637" t="inlineStr">
        <is>
          <t>SALA</t>
        </is>
      </c>
      <c r="G2637" t="n">
        <v>2.7</v>
      </c>
      <c r="H2637" t="n">
        <v>0</v>
      </c>
      <c r="I2637" t="n">
        <v>0</v>
      </c>
      <c r="J2637" t="n">
        <v>0</v>
      </c>
      <c r="K2637" t="n">
        <v>0</v>
      </c>
      <c r="L2637" t="n">
        <v>0</v>
      </c>
      <c r="M2637" t="n">
        <v>0</v>
      </c>
      <c r="N2637" t="n">
        <v>0</v>
      </c>
      <c r="O2637" t="n">
        <v>0</v>
      </c>
      <c r="P2637" t="n">
        <v>0</v>
      </c>
      <c r="Q2637" t="n">
        <v>0</v>
      </c>
      <c r="R2637" s="2" t="inlineStr"/>
    </row>
    <row r="2638" ht="15" customHeight="1">
      <c r="A2638" t="inlineStr">
        <is>
          <t>A 56259-2022</t>
        </is>
      </c>
      <c r="B2638" s="1" t="n">
        <v>44890</v>
      </c>
      <c r="C2638" s="1" t="n">
        <v>45724</v>
      </c>
      <c r="D2638" t="inlineStr">
        <is>
          <t>VÄSTMANLANDS LÄN</t>
        </is>
      </c>
      <c r="E2638" t="inlineStr">
        <is>
          <t>SKINNSKATTEBERG</t>
        </is>
      </c>
      <c r="G2638" t="n">
        <v>2</v>
      </c>
      <c r="H2638" t="n">
        <v>0</v>
      </c>
      <c r="I2638" t="n">
        <v>0</v>
      </c>
      <c r="J2638" t="n">
        <v>0</v>
      </c>
      <c r="K2638" t="n">
        <v>0</v>
      </c>
      <c r="L2638" t="n">
        <v>0</v>
      </c>
      <c r="M2638" t="n">
        <v>0</v>
      </c>
      <c r="N2638" t="n">
        <v>0</v>
      </c>
      <c r="O2638" t="n">
        <v>0</v>
      </c>
      <c r="P2638" t="n">
        <v>0</v>
      </c>
      <c r="Q2638" t="n">
        <v>0</v>
      </c>
      <c r="R2638" s="2" t="inlineStr"/>
    </row>
    <row r="2639" ht="15" customHeight="1">
      <c r="A2639" t="inlineStr">
        <is>
          <t>A 56279-2022</t>
        </is>
      </c>
      <c r="B2639" s="1" t="n">
        <v>44890</v>
      </c>
      <c r="C2639" s="1" t="n">
        <v>45724</v>
      </c>
      <c r="D2639" t="inlineStr">
        <is>
          <t>VÄSTMANLANDS LÄN</t>
        </is>
      </c>
      <c r="E2639" t="inlineStr">
        <is>
          <t>NORBERG</t>
        </is>
      </c>
      <c r="G2639" t="n">
        <v>3.1</v>
      </c>
      <c r="H2639" t="n">
        <v>0</v>
      </c>
      <c r="I2639" t="n">
        <v>0</v>
      </c>
      <c r="J2639" t="n">
        <v>0</v>
      </c>
      <c r="K2639" t="n">
        <v>0</v>
      </c>
      <c r="L2639" t="n">
        <v>0</v>
      </c>
      <c r="M2639" t="n">
        <v>0</v>
      </c>
      <c r="N2639" t="n">
        <v>0</v>
      </c>
      <c r="O2639" t="n">
        <v>0</v>
      </c>
      <c r="P2639" t="n">
        <v>0</v>
      </c>
      <c r="Q2639" t="n">
        <v>0</v>
      </c>
      <c r="R2639" s="2" t="inlineStr"/>
    </row>
    <row r="2640" ht="15" customHeight="1">
      <c r="A2640" t="inlineStr">
        <is>
          <t>A 56285-2022</t>
        </is>
      </c>
      <c r="B2640" s="1" t="n">
        <v>44890</v>
      </c>
      <c r="C2640" s="1" t="n">
        <v>45724</v>
      </c>
      <c r="D2640" t="inlineStr">
        <is>
          <t>VÄSTMANLANDS LÄN</t>
        </is>
      </c>
      <c r="E2640" t="inlineStr">
        <is>
          <t>VÄSTERÅS</t>
        </is>
      </c>
      <c r="F2640" t="inlineStr">
        <is>
          <t>Sveaskog</t>
        </is>
      </c>
      <c r="G2640" t="n">
        <v>1.8</v>
      </c>
      <c r="H2640" t="n">
        <v>0</v>
      </c>
      <c r="I2640" t="n">
        <v>0</v>
      </c>
      <c r="J2640" t="n">
        <v>0</v>
      </c>
      <c r="K2640" t="n">
        <v>0</v>
      </c>
      <c r="L2640" t="n">
        <v>0</v>
      </c>
      <c r="M2640" t="n">
        <v>0</v>
      </c>
      <c r="N2640" t="n">
        <v>0</v>
      </c>
      <c r="O2640" t="n">
        <v>0</v>
      </c>
      <c r="P2640" t="n">
        <v>0</v>
      </c>
      <c r="Q2640" t="n">
        <v>0</v>
      </c>
      <c r="R2640" s="2" t="inlineStr"/>
    </row>
    <row r="2641" ht="15" customHeight="1">
      <c r="A2641" t="inlineStr">
        <is>
          <t>A 56283-2022</t>
        </is>
      </c>
      <c r="B2641" s="1" t="n">
        <v>44890</v>
      </c>
      <c r="C2641" s="1" t="n">
        <v>45724</v>
      </c>
      <c r="D2641" t="inlineStr">
        <is>
          <t>VÄSTMANLANDS LÄN</t>
        </is>
      </c>
      <c r="E2641" t="inlineStr">
        <is>
          <t>KÖPING</t>
        </is>
      </c>
      <c r="G2641" t="n">
        <v>3.4</v>
      </c>
      <c r="H2641" t="n">
        <v>0</v>
      </c>
      <c r="I2641" t="n">
        <v>0</v>
      </c>
      <c r="J2641" t="n">
        <v>0</v>
      </c>
      <c r="K2641" t="n">
        <v>0</v>
      </c>
      <c r="L2641" t="n">
        <v>0</v>
      </c>
      <c r="M2641" t="n">
        <v>0</v>
      </c>
      <c r="N2641" t="n">
        <v>0</v>
      </c>
      <c r="O2641" t="n">
        <v>0</v>
      </c>
      <c r="P2641" t="n">
        <v>0</v>
      </c>
      <c r="Q2641" t="n">
        <v>0</v>
      </c>
      <c r="R2641" s="2" t="inlineStr"/>
    </row>
    <row r="2642" ht="15" customHeight="1">
      <c r="A2642" t="inlineStr">
        <is>
          <t>A 56290-2022</t>
        </is>
      </c>
      <c r="B2642" s="1" t="n">
        <v>44890</v>
      </c>
      <c r="C2642" s="1" t="n">
        <v>45724</v>
      </c>
      <c r="D2642" t="inlineStr">
        <is>
          <t>VÄSTMANLANDS LÄN</t>
        </is>
      </c>
      <c r="E2642" t="inlineStr">
        <is>
          <t>SKINNSKATTEBERG</t>
        </is>
      </c>
      <c r="G2642" t="n">
        <v>1.1</v>
      </c>
      <c r="H2642" t="n">
        <v>0</v>
      </c>
      <c r="I2642" t="n">
        <v>0</v>
      </c>
      <c r="J2642" t="n">
        <v>0</v>
      </c>
      <c r="K2642" t="n">
        <v>0</v>
      </c>
      <c r="L2642" t="n">
        <v>0</v>
      </c>
      <c r="M2642" t="n">
        <v>0</v>
      </c>
      <c r="N2642" t="n">
        <v>0</v>
      </c>
      <c r="O2642" t="n">
        <v>0</v>
      </c>
      <c r="P2642" t="n">
        <v>0</v>
      </c>
      <c r="Q2642" t="n">
        <v>0</v>
      </c>
      <c r="R2642" s="2" t="inlineStr"/>
    </row>
    <row r="2643" ht="15" customHeight="1">
      <c r="A2643" t="inlineStr">
        <is>
          <t>A 56535-2022</t>
        </is>
      </c>
      <c r="B2643" s="1" t="n">
        <v>44893</v>
      </c>
      <c r="C2643" s="1" t="n">
        <v>45724</v>
      </c>
      <c r="D2643" t="inlineStr">
        <is>
          <t>VÄSTMANLANDS LÄN</t>
        </is>
      </c>
      <c r="E2643" t="inlineStr">
        <is>
          <t>SALA</t>
        </is>
      </c>
      <c r="G2643" t="n">
        <v>0.5</v>
      </c>
      <c r="H2643" t="n">
        <v>0</v>
      </c>
      <c r="I2643" t="n">
        <v>0</v>
      </c>
      <c r="J2643" t="n">
        <v>0</v>
      </c>
      <c r="K2643" t="n">
        <v>0</v>
      </c>
      <c r="L2643" t="n">
        <v>0</v>
      </c>
      <c r="M2643" t="n">
        <v>0</v>
      </c>
      <c r="N2643" t="n">
        <v>0</v>
      </c>
      <c r="O2643" t="n">
        <v>0</v>
      </c>
      <c r="P2643" t="n">
        <v>0</v>
      </c>
      <c r="Q2643" t="n">
        <v>0</v>
      </c>
      <c r="R2643" s="2" t="inlineStr"/>
    </row>
    <row r="2644" ht="15" customHeight="1">
      <c r="A2644" t="inlineStr">
        <is>
          <t>A 56559-2022</t>
        </is>
      </c>
      <c r="B2644" s="1" t="n">
        <v>44893</v>
      </c>
      <c r="C2644" s="1" t="n">
        <v>45724</v>
      </c>
      <c r="D2644" t="inlineStr">
        <is>
          <t>VÄSTMANLANDS LÄN</t>
        </is>
      </c>
      <c r="E2644" t="inlineStr">
        <is>
          <t>VÄSTERÅS</t>
        </is>
      </c>
      <c r="G2644" t="n">
        <v>0.9</v>
      </c>
      <c r="H2644" t="n">
        <v>0</v>
      </c>
      <c r="I2644" t="n">
        <v>0</v>
      </c>
      <c r="J2644" t="n">
        <v>0</v>
      </c>
      <c r="K2644" t="n">
        <v>0</v>
      </c>
      <c r="L2644" t="n">
        <v>0</v>
      </c>
      <c r="M2644" t="n">
        <v>0</v>
      </c>
      <c r="N2644" t="n">
        <v>0</v>
      </c>
      <c r="O2644" t="n">
        <v>0</v>
      </c>
      <c r="P2644" t="n">
        <v>0</v>
      </c>
      <c r="Q2644" t="n">
        <v>0</v>
      </c>
      <c r="R2644" s="2" t="inlineStr"/>
    </row>
    <row r="2645" ht="15" customHeight="1">
      <c r="A2645" t="inlineStr">
        <is>
          <t>A 56532-2022</t>
        </is>
      </c>
      <c r="B2645" s="1" t="n">
        <v>44893</v>
      </c>
      <c r="C2645" s="1" t="n">
        <v>45724</v>
      </c>
      <c r="D2645" t="inlineStr">
        <is>
          <t>VÄSTMANLANDS LÄN</t>
        </is>
      </c>
      <c r="E2645" t="inlineStr">
        <is>
          <t>VÄSTERÅS</t>
        </is>
      </c>
      <c r="G2645" t="n">
        <v>2.2</v>
      </c>
      <c r="H2645" t="n">
        <v>0</v>
      </c>
      <c r="I2645" t="n">
        <v>0</v>
      </c>
      <c r="J2645" t="n">
        <v>0</v>
      </c>
      <c r="K2645" t="n">
        <v>0</v>
      </c>
      <c r="L2645" t="n">
        <v>0</v>
      </c>
      <c r="M2645" t="n">
        <v>0</v>
      </c>
      <c r="N2645" t="n">
        <v>0</v>
      </c>
      <c r="O2645" t="n">
        <v>0</v>
      </c>
      <c r="P2645" t="n">
        <v>0</v>
      </c>
      <c r="Q2645" t="n">
        <v>0</v>
      </c>
      <c r="R2645" s="2" t="inlineStr"/>
    </row>
    <row r="2646" ht="15" customHeight="1">
      <c r="A2646" t="inlineStr">
        <is>
          <t>A 56706-2022</t>
        </is>
      </c>
      <c r="B2646" s="1" t="n">
        <v>44893</v>
      </c>
      <c r="C2646" s="1" t="n">
        <v>45724</v>
      </c>
      <c r="D2646" t="inlineStr">
        <is>
          <t>VÄSTMANLANDS LÄN</t>
        </is>
      </c>
      <c r="E2646" t="inlineStr">
        <is>
          <t>SALA</t>
        </is>
      </c>
      <c r="G2646" t="n">
        <v>4.5</v>
      </c>
      <c r="H2646" t="n">
        <v>0</v>
      </c>
      <c r="I2646" t="n">
        <v>0</v>
      </c>
      <c r="J2646" t="n">
        <v>0</v>
      </c>
      <c r="K2646" t="n">
        <v>0</v>
      </c>
      <c r="L2646" t="n">
        <v>0</v>
      </c>
      <c r="M2646" t="n">
        <v>0</v>
      </c>
      <c r="N2646" t="n">
        <v>0</v>
      </c>
      <c r="O2646" t="n">
        <v>0</v>
      </c>
      <c r="P2646" t="n">
        <v>0</v>
      </c>
      <c r="Q2646" t="n">
        <v>0</v>
      </c>
      <c r="R2646" s="2" t="inlineStr"/>
    </row>
    <row r="2647" ht="15" customHeight="1">
      <c r="A2647" t="inlineStr">
        <is>
          <t>A 56547-2022</t>
        </is>
      </c>
      <c r="B2647" s="1" t="n">
        <v>44893</v>
      </c>
      <c r="C2647" s="1" t="n">
        <v>45724</v>
      </c>
      <c r="D2647" t="inlineStr">
        <is>
          <t>VÄSTMANLANDS LÄN</t>
        </is>
      </c>
      <c r="E2647" t="inlineStr">
        <is>
          <t>SALA</t>
        </is>
      </c>
      <c r="G2647" t="n">
        <v>0.5</v>
      </c>
      <c r="H2647" t="n">
        <v>0</v>
      </c>
      <c r="I2647" t="n">
        <v>0</v>
      </c>
      <c r="J2647" t="n">
        <v>0</v>
      </c>
      <c r="K2647" t="n">
        <v>0</v>
      </c>
      <c r="L2647" t="n">
        <v>0</v>
      </c>
      <c r="M2647" t="n">
        <v>0</v>
      </c>
      <c r="N2647" t="n">
        <v>0</v>
      </c>
      <c r="O2647" t="n">
        <v>0</v>
      </c>
      <c r="P2647" t="n">
        <v>0</v>
      </c>
      <c r="Q2647" t="n">
        <v>0</v>
      </c>
      <c r="R2647" s="2" t="inlineStr"/>
    </row>
    <row r="2648" ht="15" customHeight="1">
      <c r="A2648" t="inlineStr">
        <is>
          <t>A 56707-2022</t>
        </is>
      </c>
      <c r="B2648" s="1" t="n">
        <v>44893</v>
      </c>
      <c r="C2648" s="1" t="n">
        <v>45724</v>
      </c>
      <c r="D2648" t="inlineStr">
        <is>
          <t>VÄSTMANLANDS LÄN</t>
        </is>
      </c>
      <c r="E2648" t="inlineStr">
        <is>
          <t>SALA</t>
        </is>
      </c>
      <c r="G2648" t="n">
        <v>1</v>
      </c>
      <c r="H2648" t="n">
        <v>0</v>
      </c>
      <c r="I2648" t="n">
        <v>0</v>
      </c>
      <c r="J2648" t="n">
        <v>0</v>
      </c>
      <c r="K2648" t="n">
        <v>0</v>
      </c>
      <c r="L2648" t="n">
        <v>0</v>
      </c>
      <c r="M2648" t="n">
        <v>0</v>
      </c>
      <c r="N2648" t="n">
        <v>0</v>
      </c>
      <c r="O2648" t="n">
        <v>0</v>
      </c>
      <c r="P2648" t="n">
        <v>0</v>
      </c>
      <c r="Q2648" t="n">
        <v>0</v>
      </c>
      <c r="R2648" s="2" t="inlineStr"/>
    </row>
    <row r="2649" ht="15" customHeight="1">
      <c r="A2649" t="inlineStr">
        <is>
          <t>A 56553-2022</t>
        </is>
      </c>
      <c r="B2649" s="1" t="n">
        <v>44893</v>
      </c>
      <c r="C2649" s="1" t="n">
        <v>45724</v>
      </c>
      <c r="D2649" t="inlineStr">
        <is>
          <t>VÄSTMANLANDS LÄN</t>
        </is>
      </c>
      <c r="E2649" t="inlineStr">
        <is>
          <t>VÄSTERÅS</t>
        </is>
      </c>
      <c r="G2649" t="n">
        <v>7.3</v>
      </c>
      <c r="H2649" t="n">
        <v>0</v>
      </c>
      <c r="I2649" t="n">
        <v>0</v>
      </c>
      <c r="J2649" t="n">
        <v>0</v>
      </c>
      <c r="K2649" t="n">
        <v>0</v>
      </c>
      <c r="L2649" t="n">
        <v>0</v>
      </c>
      <c r="M2649" t="n">
        <v>0</v>
      </c>
      <c r="N2649" t="n">
        <v>0</v>
      </c>
      <c r="O2649" t="n">
        <v>0</v>
      </c>
      <c r="P2649" t="n">
        <v>0</v>
      </c>
      <c r="Q2649" t="n">
        <v>0</v>
      </c>
      <c r="R2649" s="2" t="inlineStr"/>
    </row>
    <row r="2650" ht="15" customHeight="1">
      <c r="A2650" t="inlineStr">
        <is>
          <t>A 56809-2022</t>
        </is>
      </c>
      <c r="B2650" s="1" t="n">
        <v>44894</v>
      </c>
      <c r="C2650" s="1" t="n">
        <v>45724</v>
      </c>
      <c r="D2650" t="inlineStr">
        <is>
          <t>VÄSTMANLANDS LÄN</t>
        </is>
      </c>
      <c r="E2650" t="inlineStr">
        <is>
          <t>KÖPING</t>
        </is>
      </c>
      <c r="G2650" t="n">
        <v>1.7</v>
      </c>
      <c r="H2650" t="n">
        <v>0</v>
      </c>
      <c r="I2650" t="n">
        <v>0</v>
      </c>
      <c r="J2650" t="n">
        <v>0</v>
      </c>
      <c r="K2650" t="n">
        <v>0</v>
      </c>
      <c r="L2650" t="n">
        <v>0</v>
      </c>
      <c r="M2650" t="n">
        <v>0</v>
      </c>
      <c r="N2650" t="n">
        <v>0</v>
      </c>
      <c r="O2650" t="n">
        <v>0</v>
      </c>
      <c r="P2650" t="n">
        <v>0</v>
      </c>
      <c r="Q2650" t="n">
        <v>0</v>
      </c>
      <c r="R2650" s="2" t="inlineStr"/>
    </row>
    <row r="2651" ht="15" customHeight="1">
      <c r="A2651" t="inlineStr">
        <is>
          <t>A 56929-2022</t>
        </is>
      </c>
      <c r="B2651" s="1" t="n">
        <v>44894</v>
      </c>
      <c r="C2651" s="1" t="n">
        <v>45724</v>
      </c>
      <c r="D2651" t="inlineStr">
        <is>
          <t>VÄSTMANLANDS LÄN</t>
        </is>
      </c>
      <c r="E2651" t="inlineStr">
        <is>
          <t>SKINNSKATTEBERG</t>
        </is>
      </c>
      <c r="F2651" t="inlineStr">
        <is>
          <t>Sveaskog</t>
        </is>
      </c>
      <c r="G2651" t="n">
        <v>3.7</v>
      </c>
      <c r="H2651" t="n">
        <v>0</v>
      </c>
      <c r="I2651" t="n">
        <v>0</v>
      </c>
      <c r="J2651" t="n">
        <v>0</v>
      </c>
      <c r="K2651" t="n">
        <v>0</v>
      </c>
      <c r="L2651" t="n">
        <v>0</v>
      </c>
      <c r="M2651" t="n">
        <v>0</v>
      </c>
      <c r="N2651" t="n">
        <v>0</v>
      </c>
      <c r="O2651" t="n">
        <v>0</v>
      </c>
      <c r="P2651" t="n">
        <v>0</v>
      </c>
      <c r="Q2651" t="n">
        <v>0</v>
      </c>
      <c r="R2651" s="2" t="inlineStr"/>
    </row>
    <row r="2652" ht="15" customHeight="1">
      <c r="A2652" t="inlineStr">
        <is>
          <t>A 56979-2022</t>
        </is>
      </c>
      <c r="B2652" s="1" t="n">
        <v>44894</v>
      </c>
      <c r="C2652" s="1" t="n">
        <v>45724</v>
      </c>
      <c r="D2652" t="inlineStr">
        <is>
          <t>VÄSTMANLANDS LÄN</t>
        </is>
      </c>
      <c r="E2652" t="inlineStr">
        <is>
          <t>KÖPING</t>
        </is>
      </c>
      <c r="G2652" t="n">
        <v>4.8</v>
      </c>
      <c r="H2652" t="n">
        <v>0</v>
      </c>
      <c r="I2652" t="n">
        <v>0</v>
      </c>
      <c r="J2652" t="n">
        <v>0</v>
      </c>
      <c r="K2652" t="n">
        <v>0</v>
      </c>
      <c r="L2652" t="n">
        <v>0</v>
      </c>
      <c r="M2652" t="n">
        <v>0</v>
      </c>
      <c r="N2652" t="n">
        <v>0</v>
      </c>
      <c r="O2652" t="n">
        <v>0</v>
      </c>
      <c r="P2652" t="n">
        <v>0</v>
      </c>
      <c r="Q2652" t="n">
        <v>0</v>
      </c>
      <c r="R2652" s="2" t="inlineStr"/>
    </row>
    <row r="2653" ht="15" customHeight="1">
      <c r="A2653" t="inlineStr">
        <is>
          <t>A 56846-2022</t>
        </is>
      </c>
      <c r="B2653" s="1" t="n">
        <v>44894</v>
      </c>
      <c r="C2653" s="1" t="n">
        <v>45724</v>
      </c>
      <c r="D2653" t="inlineStr">
        <is>
          <t>VÄSTMANLANDS LÄN</t>
        </is>
      </c>
      <c r="E2653" t="inlineStr">
        <is>
          <t>KÖPING</t>
        </is>
      </c>
      <c r="G2653" t="n">
        <v>4.7</v>
      </c>
      <c r="H2653" t="n">
        <v>0</v>
      </c>
      <c r="I2653" t="n">
        <v>0</v>
      </c>
      <c r="J2653" t="n">
        <v>0</v>
      </c>
      <c r="K2653" t="n">
        <v>0</v>
      </c>
      <c r="L2653" t="n">
        <v>0</v>
      </c>
      <c r="M2653" t="n">
        <v>0</v>
      </c>
      <c r="N2653" t="n">
        <v>0</v>
      </c>
      <c r="O2653" t="n">
        <v>0</v>
      </c>
      <c r="P2653" t="n">
        <v>0</v>
      </c>
      <c r="Q2653" t="n">
        <v>0</v>
      </c>
      <c r="R2653" s="2" t="inlineStr"/>
    </row>
    <row r="2654" ht="15" customHeight="1">
      <c r="A2654" t="inlineStr">
        <is>
          <t>A 56977-2022</t>
        </is>
      </c>
      <c r="B2654" s="1" t="n">
        <v>44894</v>
      </c>
      <c r="C2654" s="1" t="n">
        <v>45724</v>
      </c>
      <c r="D2654" t="inlineStr">
        <is>
          <t>VÄSTMANLANDS LÄN</t>
        </is>
      </c>
      <c r="E2654" t="inlineStr">
        <is>
          <t>SALA</t>
        </is>
      </c>
      <c r="G2654" t="n">
        <v>13</v>
      </c>
      <c r="H2654" t="n">
        <v>0</v>
      </c>
      <c r="I2654" t="n">
        <v>0</v>
      </c>
      <c r="J2654" t="n">
        <v>0</v>
      </c>
      <c r="K2654" t="n">
        <v>0</v>
      </c>
      <c r="L2654" t="n">
        <v>0</v>
      </c>
      <c r="M2654" t="n">
        <v>0</v>
      </c>
      <c r="N2654" t="n">
        <v>0</v>
      </c>
      <c r="O2654" t="n">
        <v>0</v>
      </c>
      <c r="P2654" t="n">
        <v>0</v>
      </c>
      <c r="Q2654" t="n">
        <v>0</v>
      </c>
      <c r="R2654" s="2" t="inlineStr"/>
    </row>
    <row r="2655" ht="15" customHeight="1">
      <c r="A2655" t="inlineStr">
        <is>
          <t>A 57248-2022</t>
        </is>
      </c>
      <c r="B2655" s="1" t="n">
        <v>44895</v>
      </c>
      <c r="C2655" s="1" t="n">
        <v>45724</v>
      </c>
      <c r="D2655" t="inlineStr">
        <is>
          <t>VÄSTMANLANDS LÄN</t>
        </is>
      </c>
      <c r="E2655" t="inlineStr">
        <is>
          <t>FAGERSTA</t>
        </is>
      </c>
      <c r="G2655" t="n">
        <v>0.7</v>
      </c>
      <c r="H2655" t="n">
        <v>0</v>
      </c>
      <c r="I2655" t="n">
        <v>0</v>
      </c>
      <c r="J2655" t="n">
        <v>0</v>
      </c>
      <c r="K2655" t="n">
        <v>0</v>
      </c>
      <c r="L2655" t="n">
        <v>0</v>
      </c>
      <c r="M2655" t="n">
        <v>0</v>
      </c>
      <c r="N2655" t="n">
        <v>0</v>
      </c>
      <c r="O2655" t="n">
        <v>0</v>
      </c>
      <c r="P2655" t="n">
        <v>0</v>
      </c>
      <c r="Q2655" t="n">
        <v>0</v>
      </c>
      <c r="R2655" s="2" t="inlineStr"/>
    </row>
    <row r="2656" ht="15" customHeight="1">
      <c r="A2656" t="inlineStr">
        <is>
          <t>A 57371-2022</t>
        </is>
      </c>
      <c r="B2656" s="1" t="n">
        <v>44896</v>
      </c>
      <c r="C2656" s="1" t="n">
        <v>45724</v>
      </c>
      <c r="D2656" t="inlineStr">
        <is>
          <t>VÄSTMANLANDS LÄN</t>
        </is>
      </c>
      <c r="E2656" t="inlineStr">
        <is>
          <t>SALA</t>
        </is>
      </c>
      <c r="G2656" t="n">
        <v>0.7</v>
      </c>
      <c r="H2656" t="n">
        <v>0</v>
      </c>
      <c r="I2656" t="n">
        <v>0</v>
      </c>
      <c r="J2656" t="n">
        <v>0</v>
      </c>
      <c r="K2656" t="n">
        <v>0</v>
      </c>
      <c r="L2656" t="n">
        <v>0</v>
      </c>
      <c r="M2656" t="n">
        <v>0</v>
      </c>
      <c r="N2656" t="n">
        <v>0</v>
      </c>
      <c r="O2656" t="n">
        <v>0</v>
      </c>
      <c r="P2656" t="n">
        <v>0</v>
      </c>
      <c r="Q2656" t="n">
        <v>0</v>
      </c>
      <c r="R2656" s="2" t="inlineStr"/>
    </row>
    <row r="2657" ht="15" customHeight="1">
      <c r="A2657" t="inlineStr">
        <is>
          <t>A 57514-2022</t>
        </is>
      </c>
      <c r="B2657" s="1" t="n">
        <v>44896</v>
      </c>
      <c r="C2657" s="1" t="n">
        <v>45724</v>
      </c>
      <c r="D2657" t="inlineStr">
        <is>
          <t>VÄSTMANLANDS LÄN</t>
        </is>
      </c>
      <c r="E2657" t="inlineStr">
        <is>
          <t>KÖPING</t>
        </is>
      </c>
      <c r="G2657" t="n">
        <v>4.3</v>
      </c>
      <c r="H2657" t="n">
        <v>0</v>
      </c>
      <c r="I2657" t="n">
        <v>0</v>
      </c>
      <c r="J2657" t="n">
        <v>0</v>
      </c>
      <c r="K2657" t="n">
        <v>0</v>
      </c>
      <c r="L2657" t="n">
        <v>0</v>
      </c>
      <c r="M2657" t="n">
        <v>0</v>
      </c>
      <c r="N2657" t="n">
        <v>0</v>
      </c>
      <c r="O2657" t="n">
        <v>0</v>
      </c>
      <c r="P2657" t="n">
        <v>0</v>
      </c>
      <c r="Q2657" t="n">
        <v>0</v>
      </c>
      <c r="R2657" s="2" t="inlineStr"/>
    </row>
    <row r="2658" ht="15" customHeight="1">
      <c r="A2658" t="inlineStr">
        <is>
          <t>A 57760-2022</t>
        </is>
      </c>
      <c r="B2658" s="1" t="n">
        <v>44897</v>
      </c>
      <c r="C2658" s="1" t="n">
        <v>45724</v>
      </c>
      <c r="D2658" t="inlineStr">
        <is>
          <t>VÄSTMANLANDS LÄN</t>
        </is>
      </c>
      <c r="E2658" t="inlineStr">
        <is>
          <t>KÖPING</t>
        </is>
      </c>
      <c r="G2658" t="n">
        <v>6</v>
      </c>
      <c r="H2658" t="n">
        <v>0</v>
      </c>
      <c r="I2658" t="n">
        <v>0</v>
      </c>
      <c r="J2658" t="n">
        <v>0</v>
      </c>
      <c r="K2658" t="n">
        <v>0</v>
      </c>
      <c r="L2658" t="n">
        <v>0</v>
      </c>
      <c r="M2658" t="n">
        <v>0</v>
      </c>
      <c r="N2658" t="n">
        <v>0</v>
      </c>
      <c r="O2658" t="n">
        <v>0</v>
      </c>
      <c r="P2658" t="n">
        <v>0</v>
      </c>
      <c r="Q2658" t="n">
        <v>0</v>
      </c>
      <c r="R2658" s="2" t="inlineStr"/>
    </row>
    <row r="2659" ht="15" customHeight="1">
      <c r="A2659" t="inlineStr">
        <is>
          <t>A 57641-2022</t>
        </is>
      </c>
      <c r="B2659" s="1" t="n">
        <v>44897</v>
      </c>
      <c r="C2659" s="1" t="n">
        <v>45724</v>
      </c>
      <c r="D2659" t="inlineStr">
        <is>
          <t>VÄSTMANLANDS LÄN</t>
        </is>
      </c>
      <c r="E2659" t="inlineStr">
        <is>
          <t>KÖPING</t>
        </is>
      </c>
      <c r="G2659" t="n">
        <v>3.4</v>
      </c>
      <c r="H2659" t="n">
        <v>0</v>
      </c>
      <c r="I2659" t="n">
        <v>0</v>
      </c>
      <c r="J2659" t="n">
        <v>0</v>
      </c>
      <c r="K2659" t="n">
        <v>0</v>
      </c>
      <c r="L2659" t="n">
        <v>0</v>
      </c>
      <c r="M2659" t="n">
        <v>0</v>
      </c>
      <c r="N2659" t="n">
        <v>0</v>
      </c>
      <c r="O2659" t="n">
        <v>0</v>
      </c>
      <c r="P2659" t="n">
        <v>0</v>
      </c>
      <c r="Q2659" t="n">
        <v>0</v>
      </c>
      <c r="R2659" s="2" t="inlineStr"/>
    </row>
    <row r="2660" ht="15" customHeight="1">
      <c r="A2660" t="inlineStr">
        <is>
          <t>A 57873-2022</t>
        </is>
      </c>
      <c r="B2660" s="1" t="n">
        <v>44899</v>
      </c>
      <c r="C2660" s="1" t="n">
        <v>45724</v>
      </c>
      <c r="D2660" t="inlineStr">
        <is>
          <t>VÄSTMANLANDS LÄN</t>
        </is>
      </c>
      <c r="E2660" t="inlineStr">
        <is>
          <t>VÄSTERÅS</t>
        </is>
      </c>
      <c r="G2660" t="n">
        <v>1.8</v>
      </c>
      <c r="H2660" t="n">
        <v>0</v>
      </c>
      <c r="I2660" t="n">
        <v>0</v>
      </c>
      <c r="J2660" t="n">
        <v>0</v>
      </c>
      <c r="K2660" t="n">
        <v>0</v>
      </c>
      <c r="L2660" t="n">
        <v>0</v>
      </c>
      <c r="M2660" t="n">
        <v>0</v>
      </c>
      <c r="N2660" t="n">
        <v>0</v>
      </c>
      <c r="O2660" t="n">
        <v>0</v>
      </c>
      <c r="P2660" t="n">
        <v>0</v>
      </c>
      <c r="Q2660" t="n">
        <v>0</v>
      </c>
      <c r="R2660" s="2" t="inlineStr"/>
    </row>
    <row r="2661" ht="15" customHeight="1">
      <c r="A2661" t="inlineStr">
        <is>
          <t>A 58105-2022</t>
        </is>
      </c>
      <c r="B2661" s="1" t="n">
        <v>44900</v>
      </c>
      <c r="C2661" s="1" t="n">
        <v>45724</v>
      </c>
      <c r="D2661" t="inlineStr">
        <is>
          <t>VÄSTMANLANDS LÄN</t>
        </is>
      </c>
      <c r="E2661" t="inlineStr">
        <is>
          <t>KÖPING</t>
        </is>
      </c>
      <c r="G2661" t="n">
        <v>0.7</v>
      </c>
      <c r="H2661" t="n">
        <v>0</v>
      </c>
      <c r="I2661" t="n">
        <v>0</v>
      </c>
      <c r="J2661" t="n">
        <v>0</v>
      </c>
      <c r="K2661" t="n">
        <v>0</v>
      </c>
      <c r="L2661" t="n">
        <v>0</v>
      </c>
      <c r="M2661" t="n">
        <v>0</v>
      </c>
      <c r="N2661" t="n">
        <v>0</v>
      </c>
      <c r="O2661" t="n">
        <v>0</v>
      </c>
      <c r="P2661" t="n">
        <v>0</v>
      </c>
      <c r="Q2661" t="n">
        <v>0</v>
      </c>
      <c r="R2661" s="2" t="inlineStr"/>
    </row>
    <row r="2662" ht="15" customHeight="1">
      <c r="A2662" t="inlineStr">
        <is>
          <t>A 58076-2022</t>
        </is>
      </c>
      <c r="B2662" s="1" t="n">
        <v>44900</v>
      </c>
      <c r="C2662" s="1" t="n">
        <v>45724</v>
      </c>
      <c r="D2662" t="inlineStr">
        <is>
          <t>VÄSTMANLANDS LÄN</t>
        </is>
      </c>
      <c r="E2662" t="inlineStr">
        <is>
          <t>SALA</t>
        </is>
      </c>
      <c r="G2662" t="n">
        <v>6.4</v>
      </c>
      <c r="H2662" t="n">
        <v>0</v>
      </c>
      <c r="I2662" t="n">
        <v>0</v>
      </c>
      <c r="J2662" t="n">
        <v>0</v>
      </c>
      <c r="K2662" t="n">
        <v>0</v>
      </c>
      <c r="L2662" t="n">
        <v>0</v>
      </c>
      <c r="M2662" t="n">
        <v>0</v>
      </c>
      <c r="N2662" t="n">
        <v>0</v>
      </c>
      <c r="O2662" t="n">
        <v>0</v>
      </c>
      <c r="P2662" t="n">
        <v>0</v>
      </c>
      <c r="Q2662" t="n">
        <v>0</v>
      </c>
      <c r="R2662" s="2" t="inlineStr"/>
    </row>
    <row r="2663" ht="15" customHeight="1">
      <c r="A2663" t="inlineStr">
        <is>
          <t>A 58085-2022</t>
        </is>
      </c>
      <c r="B2663" s="1" t="n">
        <v>44900</v>
      </c>
      <c r="C2663" s="1" t="n">
        <v>45724</v>
      </c>
      <c r="D2663" t="inlineStr">
        <is>
          <t>VÄSTMANLANDS LÄN</t>
        </is>
      </c>
      <c r="E2663" t="inlineStr">
        <is>
          <t>VÄSTERÅS</t>
        </is>
      </c>
      <c r="G2663" t="n">
        <v>0.5</v>
      </c>
      <c r="H2663" t="n">
        <v>0</v>
      </c>
      <c r="I2663" t="n">
        <v>0</v>
      </c>
      <c r="J2663" t="n">
        <v>0</v>
      </c>
      <c r="K2663" t="n">
        <v>0</v>
      </c>
      <c r="L2663" t="n">
        <v>0</v>
      </c>
      <c r="M2663" t="n">
        <v>0</v>
      </c>
      <c r="N2663" t="n">
        <v>0</v>
      </c>
      <c r="O2663" t="n">
        <v>0</v>
      </c>
      <c r="P2663" t="n">
        <v>0</v>
      </c>
      <c r="Q2663" t="n">
        <v>0</v>
      </c>
      <c r="R2663" s="2" t="inlineStr"/>
    </row>
    <row r="2664" ht="15" customHeight="1">
      <c r="A2664" t="inlineStr">
        <is>
          <t>A 58106-2022</t>
        </is>
      </c>
      <c r="B2664" s="1" t="n">
        <v>44900</v>
      </c>
      <c r="C2664" s="1" t="n">
        <v>45724</v>
      </c>
      <c r="D2664" t="inlineStr">
        <is>
          <t>VÄSTMANLANDS LÄN</t>
        </is>
      </c>
      <c r="E2664" t="inlineStr">
        <is>
          <t>KÖPING</t>
        </is>
      </c>
      <c r="G2664" t="n">
        <v>1.5</v>
      </c>
      <c r="H2664" t="n">
        <v>0</v>
      </c>
      <c r="I2664" t="n">
        <v>0</v>
      </c>
      <c r="J2664" t="n">
        <v>0</v>
      </c>
      <c r="K2664" t="n">
        <v>0</v>
      </c>
      <c r="L2664" t="n">
        <v>0</v>
      </c>
      <c r="M2664" t="n">
        <v>0</v>
      </c>
      <c r="N2664" t="n">
        <v>0</v>
      </c>
      <c r="O2664" t="n">
        <v>0</v>
      </c>
      <c r="P2664" t="n">
        <v>0</v>
      </c>
      <c r="Q2664" t="n">
        <v>0</v>
      </c>
      <c r="R2664" s="2" t="inlineStr"/>
    </row>
    <row r="2665" ht="15" customHeight="1">
      <c r="A2665" t="inlineStr">
        <is>
          <t>A 58215-2022</t>
        </is>
      </c>
      <c r="B2665" s="1" t="n">
        <v>44901</v>
      </c>
      <c r="C2665" s="1" t="n">
        <v>45724</v>
      </c>
      <c r="D2665" t="inlineStr">
        <is>
          <t>VÄSTMANLANDS LÄN</t>
        </is>
      </c>
      <c r="E2665" t="inlineStr">
        <is>
          <t>VÄSTERÅS</t>
        </is>
      </c>
      <c r="G2665" t="n">
        <v>3.2</v>
      </c>
      <c r="H2665" t="n">
        <v>0</v>
      </c>
      <c r="I2665" t="n">
        <v>0</v>
      </c>
      <c r="J2665" t="n">
        <v>0</v>
      </c>
      <c r="K2665" t="n">
        <v>0</v>
      </c>
      <c r="L2665" t="n">
        <v>0</v>
      </c>
      <c r="M2665" t="n">
        <v>0</v>
      </c>
      <c r="N2665" t="n">
        <v>0</v>
      </c>
      <c r="O2665" t="n">
        <v>0</v>
      </c>
      <c r="P2665" t="n">
        <v>0</v>
      </c>
      <c r="Q2665" t="n">
        <v>0</v>
      </c>
      <c r="R2665" s="2" t="inlineStr"/>
    </row>
    <row r="2666" ht="15" customHeight="1">
      <c r="A2666" t="inlineStr">
        <is>
          <t>A 58231-2022</t>
        </is>
      </c>
      <c r="B2666" s="1" t="n">
        <v>44901</v>
      </c>
      <c r="C2666" s="1" t="n">
        <v>45724</v>
      </c>
      <c r="D2666" t="inlineStr">
        <is>
          <t>VÄSTMANLANDS LÄN</t>
        </is>
      </c>
      <c r="E2666" t="inlineStr">
        <is>
          <t>VÄSTERÅS</t>
        </is>
      </c>
      <c r="G2666" t="n">
        <v>1</v>
      </c>
      <c r="H2666" t="n">
        <v>0</v>
      </c>
      <c r="I2666" t="n">
        <v>0</v>
      </c>
      <c r="J2666" t="n">
        <v>0</v>
      </c>
      <c r="K2666" t="n">
        <v>0</v>
      </c>
      <c r="L2666" t="n">
        <v>0</v>
      </c>
      <c r="M2666" t="n">
        <v>0</v>
      </c>
      <c r="N2666" t="n">
        <v>0</v>
      </c>
      <c r="O2666" t="n">
        <v>0</v>
      </c>
      <c r="P2666" t="n">
        <v>0</v>
      </c>
      <c r="Q2666" t="n">
        <v>0</v>
      </c>
      <c r="R2666" s="2" t="inlineStr"/>
    </row>
    <row r="2667" ht="15" customHeight="1">
      <c r="A2667" t="inlineStr">
        <is>
          <t>A 58364-2022</t>
        </is>
      </c>
      <c r="B2667" s="1" t="n">
        <v>44901</v>
      </c>
      <c r="C2667" s="1" t="n">
        <v>45724</v>
      </c>
      <c r="D2667" t="inlineStr">
        <is>
          <t>VÄSTMANLANDS LÄN</t>
        </is>
      </c>
      <c r="E2667" t="inlineStr">
        <is>
          <t>VÄSTERÅS</t>
        </is>
      </c>
      <c r="G2667" t="n">
        <v>1.1</v>
      </c>
      <c r="H2667" t="n">
        <v>0</v>
      </c>
      <c r="I2667" t="n">
        <v>0</v>
      </c>
      <c r="J2667" t="n">
        <v>0</v>
      </c>
      <c r="K2667" t="n">
        <v>0</v>
      </c>
      <c r="L2667" t="n">
        <v>0</v>
      </c>
      <c r="M2667" t="n">
        <v>0</v>
      </c>
      <c r="N2667" t="n">
        <v>0</v>
      </c>
      <c r="O2667" t="n">
        <v>0</v>
      </c>
      <c r="P2667" t="n">
        <v>0</v>
      </c>
      <c r="Q2667" t="n">
        <v>0</v>
      </c>
      <c r="R2667" s="2" t="inlineStr"/>
    </row>
    <row r="2668" ht="15" customHeight="1">
      <c r="A2668" t="inlineStr">
        <is>
          <t>A 58395-2022</t>
        </is>
      </c>
      <c r="B2668" s="1" t="n">
        <v>44901</v>
      </c>
      <c r="C2668" s="1" t="n">
        <v>45724</v>
      </c>
      <c r="D2668" t="inlineStr">
        <is>
          <t>VÄSTMANLANDS LÄN</t>
        </is>
      </c>
      <c r="E2668" t="inlineStr">
        <is>
          <t>VÄSTERÅS</t>
        </is>
      </c>
      <c r="G2668" t="n">
        <v>0.5</v>
      </c>
      <c r="H2668" t="n">
        <v>0</v>
      </c>
      <c r="I2668" t="n">
        <v>0</v>
      </c>
      <c r="J2668" t="n">
        <v>0</v>
      </c>
      <c r="K2668" t="n">
        <v>0</v>
      </c>
      <c r="L2668" t="n">
        <v>0</v>
      </c>
      <c r="M2668" t="n">
        <v>0</v>
      </c>
      <c r="N2668" t="n">
        <v>0</v>
      </c>
      <c r="O2668" t="n">
        <v>0</v>
      </c>
      <c r="P2668" t="n">
        <v>0</v>
      </c>
      <c r="Q2668" t="n">
        <v>0</v>
      </c>
      <c r="R2668" s="2" t="inlineStr"/>
    </row>
    <row r="2669" ht="15" customHeight="1">
      <c r="A2669" t="inlineStr">
        <is>
          <t>A 58348-2022</t>
        </is>
      </c>
      <c r="B2669" s="1" t="n">
        <v>44901</v>
      </c>
      <c r="C2669" s="1" t="n">
        <v>45724</v>
      </c>
      <c r="D2669" t="inlineStr">
        <is>
          <t>VÄSTMANLANDS LÄN</t>
        </is>
      </c>
      <c r="E2669" t="inlineStr">
        <is>
          <t>HALLSTAHAMMAR</t>
        </is>
      </c>
      <c r="G2669" t="n">
        <v>0.6</v>
      </c>
      <c r="H2669" t="n">
        <v>0</v>
      </c>
      <c r="I2669" t="n">
        <v>0</v>
      </c>
      <c r="J2669" t="n">
        <v>0</v>
      </c>
      <c r="K2669" t="n">
        <v>0</v>
      </c>
      <c r="L2669" t="n">
        <v>0</v>
      </c>
      <c r="M2669" t="n">
        <v>0</v>
      </c>
      <c r="N2669" t="n">
        <v>0</v>
      </c>
      <c r="O2669" t="n">
        <v>0</v>
      </c>
      <c r="P2669" t="n">
        <v>0</v>
      </c>
      <c r="Q2669" t="n">
        <v>0</v>
      </c>
      <c r="R2669" s="2" t="inlineStr"/>
    </row>
    <row r="2670" ht="15" customHeight="1">
      <c r="A2670" t="inlineStr">
        <is>
          <t>A 58496-2022</t>
        </is>
      </c>
      <c r="B2670" s="1" t="n">
        <v>44902</v>
      </c>
      <c r="C2670" s="1" t="n">
        <v>45724</v>
      </c>
      <c r="D2670" t="inlineStr">
        <is>
          <t>VÄSTMANLANDS LÄN</t>
        </is>
      </c>
      <c r="E2670" t="inlineStr">
        <is>
          <t>SALA</t>
        </is>
      </c>
      <c r="G2670" t="n">
        <v>5.9</v>
      </c>
      <c r="H2670" t="n">
        <v>0</v>
      </c>
      <c r="I2670" t="n">
        <v>0</v>
      </c>
      <c r="J2670" t="n">
        <v>0</v>
      </c>
      <c r="K2670" t="n">
        <v>0</v>
      </c>
      <c r="L2670" t="n">
        <v>0</v>
      </c>
      <c r="M2670" t="n">
        <v>0</v>
      </c>
      <c r="N2670" t="n">
        <v>0</v>
      </c>
      <c r="O2670" t="n">
        <v>0</v>
      </c>
      <c r="P2670" t="n">
        <v>0</v>
      </c>
      <c r="Q2670" t="n">
        <v>0</v>
      </c>
      <c r="R2670" s="2" t="inlineStr"/>
    </row>
    <row r="2671" ht="15" customHeight="1">
      <c r="A2671" t="inlineStr">
        <is>
          <t>A 58502-2022</t>
        </is>
      </c>
      <c r="B2671" s="1" t="n">
        <v>44902</v>
      </c>
      <c r="C2671" s="1" t="n">
        <v>45724</v>
      </c>
      <c r="D2671" t="inlineStr">
        <is>
          <t>VÄSTMANLANDS LÄN</t>
        </is>
      </c>
      <c r="E2671" t="inlineStr">
        <is>
          <t>SALA</t>
        </is>
      </c>
      <c r="G2671" t="n">
        <v>4.6</v>
      </c>
      <c r="H2671" t="n">
        <v>0</v>
      </c>
      <c r="I2671" t="n">
        <v>0</v>
      </c>
      <c r="J2671" t="n">
        <v>0</v>
      </c>
      <c r="K2671" t="n">
        <v>0</v>
      </c>
      <c r="L2671" t="n">
        <v>0</v>
      </c>
      <c r="M2671" t="n">
        <v>0</v>
      </c>
      <c r="N2671" t="n">
        <v>0</v>
      </c>
      <c r="O2671" t="n">
        <v>0</v>
      </c>
      <c r="P2671" t="n">
        <v>0</v>
      </c>
      <c r="Q2671" t="n">
        <v>0</v>
      </c>
      <c r="R2671" s="2" t="inlineStr"/>
    </row>
    <row r="2672" ht="15" customHeight="1">
      <c r="A2672" t="inlineStr">
        <is>
          <t>A 58622-2022</t>
        </is>
      </c>
      <c r="B2672" s="1" t="n">
        <v>44902</v>
      </c>
      <c r="C2672" s="1" t="n">
        <v>45724</v>
      </c>
      <c r="D2672" t="inlineStr">
        <is>
          <t>VÄSTMANLANDS LÄN</t>
        </is>
      </c>
      <c r="E2672" t="inlineStr">
        <is>
          <t>KUNGSÖR</t>
        </is>
      </c>
      <c r="G2672" t="n">
        <v>3.2</v>
      </c>
      <c r="H2672" t="n">
        <v>0</v>
      </c>
      <c r="I2672" t="n">
        <v>0</v>
      </c>
      <c r="J2672" t="n">
        <v>0</v>
      </c>
      <c r="K2672" t="n">
        <v>0</v>
      </c>
      <c r="L2672" t="n">
        <v>0</v>
      </c>
      <c r="M2672" t="n">
        <v>0</v>
      </c>
      <c r="N2672" t="n">
        <v>0</v>
      </c>
      <c r="O2672" t="n">
        <v>0</v>
      </c>
      <c r="P2672" t="n">
        <v>0</v>
      </c>
      <c r="Q2672" t="n">
        <v>0</v>
      </c>
      <c r="R2672" s="2" t="inlineStr"/>
    </row>
    <row r="2673" ht="15" customHeight="1">
      <c r="A2673" t="inlineStr">
        <is>
          <t>A 58657-2022</t>
        </is>
      </c>
      <c r="B2673" s="1" t="n">
        <v>44902</v>
      </c>
      <c r="C2673" s="1" t="n">
        <v>45724</v>
      </c>
      <c r="D2673" t="inlineStr">
        <is>
          <t>VÄSTMANLANDS LÄN</t>
        </is>
      </c>
      <c r="E2673" t="inlineStr">
        <is>
          <t>KUNGSÖR</t>
        </is>
      </c>
      <c r="G2673" t="n">
        <v>2.6</v>
      </c>
      <c r="H2673" t="n">
        <v>0</v>
      </c>
      <c r="I2673" t="n">
        <v>0</v>
      </c>
      <c r="J2673" t="n">
        <v>0</v>
      </c>
      <c r="K2673" t="n">
        <v>0</v>
      </c>
      <c r="L2673" t="n">
        <v>0</v>
      </c>
      <c r="M2673" t="n">
        <v>0</v>
      </c>
      <c r="N2673" t="n">
        <v>0</v>
      </c>
      <c r="O2673" t="n">
        <v>0</v>
      </c>
      <c r="P2673" t="n">
        <v>0</v>
      </c>
      <c r="Q2673" t="n">
        <v>0</v>
      </c>
      <c r="R2673" s="2" t="inlineStr"/>
    </row>
    <row r="2674" ht="15" customHeight="1">
      <c r="A2674" t="inlineStr">
        <is>
          <t>A 58637-2022</t>
        </is>
      </c>
      <c r="B2674" s="1" t="n">
        <v>44902</v>
      </c>
      <c r="C2674" s="1" t="n">
        <v>45724</v>
      </c>
      <c r="D2674" t="inlineStr">
        <is>
          <t>VÄSTMANLANDS LÄN</t>
        </is>
      </c>
      <c r="E2674" t="inlineStr">
        <is>
          <t>VÄSTERÅS</t>
        </is>
      </c>
      <c r="F2674" t="inlineStr">
        <is>
          <t>Kyrkan</t>
        </is>
      </c>
      <c r="G2674" t="n">
        <v>5.1</v>
      </c>
      <c r="H2674" t="n">
        <v>0</v>
      </c>
      <c r="I2674" t="n">
        <v>0</v>
      </c>
      <c r="J2674" t="n">
        <v>0</v>
      </c>
      <c r="K2674" t="n">
        <v>0</v>
      </c>
      <c r="L2674" t="n">
        <v>0</v>
      </c>
      <c r="M2674" t="n">
        <v>0</v>
      </c>
      <c r="N2674" t="n">
        <v>0</v>
      </c>
      <c r="O2674" t="n">
        <v>0</v>
      </c>
      <c r="P2674" t="n">
        <v>0</v>
      </c>
      <c r="Q2674" t="n">
        <v>0</v>
      </c>
      <c r="R2674" s="2" t="inlineStr"/>
    </row>
    <row r="2675" ht="15" customHeight="1">
      <c r="A2675" t="inlineStr">
        <is>
          <t>A 58642-2022</t>
        </is>
      </c>
      <c r="B2675" s="1" t="n">
        <v>44902</v>
      </c>
      <c r="C2675" s="1" t="n">
        <v>45724</v>
      </c>
      <c r="D2675" t="inlineStr">
        <is>
          <t>VÄSTMANLANDS LÄN</t>
        </is>
      </c>
      <c r="E2675" t="inlineStr">
        <is>
          <t>KUNGSÖR</t>
        </is>
      </c>
      <c r="G2675" t="n">
        <v>5.1</v>
      </c>
      <c r="H2675" t="n">
        <v>0</v>
      </c>
      <c r="I2675" t="n">
        <v>0</v>
      </c>
      <c r="J2675" t="n">
        <v>0</v>
      </c>
      <c r="K2675" t="n">
        <v>0</v>
      </c>
      <c r="L2675" t="n">
        <v>0</v>
      </c>
      <c r="M2675" t="n">
        <v>0</v>
      </c>
      <c r="N2675" t="n">
        <v>0</v>
      </c>
      <c r="O2675" t="n">
        <v>0</v>
      </c>
      <c r="P2675" t="n">
        <v>0</v>
      </c>
      <c r="Q2675" t="n">
        <v>0</v>
      </c>
      <c r="R2675" s="2" t="inlineStr"/>
    </row>
    <row r="2676" ht="15" customHeight="1">
      <c r="A2676" t="inlineStr">
        <is>
          <t>A 58834-2022</t>
        </is>
      </c>
      <c r="B2676" s="1" t="n">
        <v>44903</v>
      </c>
      <c r="C2676" s="1" t="n">
        <v>45724</v>
      </c>
      <c r="D2676" t="inlineStr">
        <is>
          <t>VÄSTMANLANDS LÄN</t>
        </is>
      </c>
      <c r="E2676" t="inlineStr">
        <is>
          <t>SKINNSKATTEBERG</t>
        </is>
      </c>
      <c r="G2676" t="n">
        <v>2.4</v>
      </c>
      <c r="H2676" t="n">
        <v>0</v>
      </c>
      <c r="I2676" t="n">
        <v>0</v>
      </c>
      <c r="J2676" t="n">
        <v>0</v>
      </c>
      <c r="K2676" t="n">
        <v>0</v>
      </c>
      <c r="L2676" t="n">
        <v>0</v>
      </c>
      <c r="M2676" t="n">
        <v>0</v>
      </c>
      <c r="N2676" t="n">
        <v>0</v>
      </c>
      <c r="O2676" t="n">
        <v>0</v>
      </c>
      <c r="P2676" t="n">
        <v>0</v>
      </c>
      <c r="Q2676" t="n">
        <v>0</v>
      </c>
      <c r="R2676" s="2" t="inlineStr"/>
    </row>
    <row r="2677" ht="15" customHeight="1">
      <c r="A2677" t="inlineStr">
        <is>
          <t>A 58960-2022</t>
        </is>
      </c>
      <c r="B2677" s="1" t="n">
        <v>44903</v>
      </c>
      <c r="C2677" s="1" t="n">
        <v>45724</v>
      </c>
      <c r="D2677" t="inlineStr">
        <is>
          <t>VÄSTMANLANDS LÄN</t>
        </is>
      </c>
      <c r="E2677" t="inlineStr">
        <is>
          <t>VÄSTERÅS</t>
        </is>
      </c>
      <c r="G2677" t="n">
        <v>0.9</v>
      </c>
      <c r="H2677" t="n">
        <v>0</v>
      </c>
      <c r="I2677" t="n">
        <v>0</v>
      </c>
      <c r="J2677" t="n">
        <v>0</v>
      </c>
      <c r="K2677" t="n">
        <v>0</v>
      </c>
      <c r="L2677" t="n">
        <v>0</v>
      </c>
      <c r="M2677" t="n">
        <v>0</v>
      </c>
      <c r="N2677" t="n">
        <v>0</v>
      </c>
      <c r="O2677" t="n">
        <v>0</v>
      </c>
      <c r="P2677" t="n">
        <v>0</v>
      </c>
      <c r="Q2677" t="n">
        <v>0</v>
      </c>
      <c r="R2677" s="2" t="inlineStr"/>
    </row>
    <row r="2678" ht="15" customHeight="1">
      <c r="A2678" t="inlineStr">
        <is>
          <t>A 59019-2022</t>
        </is>
      </c>
      <c r="B2678" s="1" t="n">
        <v>44903</v>
      </c>
      <c r="C2678" s="1" t="n">
        <v>45724</v>
      </c>
      <c r="D2678" t="inlineStr">
        <is>
          <t>VÄSTMANLANDS LÄN</t>
        </is>
      </c>
      <c r="E2678" t="inlineStr">
        <is>
          <t>SALA</t>
        </is>
      </c>
      <c r="G2678" t="n">
        <v>1.1</v>
      </c>
      <c r="H2678" t="n">
        <v>0</v>
      </c>
      <c r="I2678" t="n">
        <v>0</v>
      </c>
      <c r="J2678" t="n">
        <v>0</v>
      </c>
      <c r="K2678" t="n">
        <v>0</v>
      </c>
      <c r="L2678" t="n">
        <v>0</v>
      </c>
      <c r="M2678" t="n">
        <v>0</v>
      </c>
      <c r="N2678" t="n">
        <v>0</v>
      </c>
      <c r="O2678" t="n">
        <v>0</v>
      </c>
      <c r="P2678" t="n">
        <v>0</v>
      </c>
      <c r="Q2678" t="n">
        <v>0</v>
      </c>
      <c r="R2678" s="2" t="inlineStr"/>
    </row>
    <row r="2679" ht="15" customHeight="1">
      <c r="A2679" t="inlineStr">
        <is>
          <t>A 60325-2022</t>
        </is>
      </c>
      <c r="B2679" s="1" t="n">
        <v>44903</v>
      </c>
      <c r="C2679" s="1" t="n">
        <v>45724</v>
      </c>
      <c r="D2679" t="inlineStr">
        <is>
          <t>VÄSTMANLANDS LÄN</t>
        </is>
      </c>
      <c r="E2679" t="inlineStr">
        <is>
          <t>VÄSTERÅS</t>
        </is>
      </c>
      <c r="F2679" t="inlineStr">
        <is>
          <t>Övriga Aktiebolag</t>
        </is>
      </c>
      <c r="G2679" t="n">
        <v>1.3</v>
      </c>
      <c r="H2679" t="n">
        <v>0</v>
      </c>
      <c r="I2679" t="n">
        <v>0</v>
      </c>
      <c r="J2679" t="n">
        <v>0</v>
      </c>
      <c r="K2679" t="n">
        <v>0</v>
      </c>
      <c r="L2679" t="n">
        <v>0</v>
      </c>
      <c r="M2679" t="n">
        <v>0</v>
      </c>
      <c r="N2679" t="n">
        <v>0</v>
      </c>
      <c r="O2679" t="n">
        <v>0</v>
      </c>
      <c r="P2679" t="n">
        <v>0</v>
      </c>
      <c r="Q2679" t="n">
        <v>0</v>
      </c>
      <c r="R2679" s="2" t="inlineStr"/>
    </row>
    <row r="2680" ht="15" customHeight="1">
      <c r="A2680" t="inlineStr">
        <is>
          <t>A 59175-2022</t>
        </is>
      </c>
      <c r="B2680" s="1" t="n">
        <v>44904</v>
      </c>
      <c r="C2680" s="1" t="n">
        <v>45724</v>
      </c>
      <c r="D2680" t="inlineStr">
        <is>
          <t>VÄSTMANLANDS LÄN</t>
        </is>
      </c>
      <c r="E2680" t="inlineStr">
        <is>
          <t>SALA</t>
        </is>
      </c>
      <c r="G2680" t="n">
        <v>2.1</v>
      </c>
      <c r="H2680" t="n">
        <v>0</v>
      </c>
      <c r="I2680" t="n">
        <v>0</v>
      </c>
      <c r="J2680" t="n">
        <v>0</v>
      </c>
      <c r="K2680" t="n">
        <v>0</v>
      </c>
      <c r="L2680" t="n">
        <v>0</v>
      </c>
      <c r="M2680" t="n">
        <v>0</v>
      </c>
      <c r="N2680" t="n">
        <v>0</v>
      </c>
      <c r="O2680" t="n">
        <v>0</v>
      </c>
      <c r="P2680" t="n">
        <v>0</v>
      </c>
      <c r="Q2680" t="n">
        <v>0</v>
      </c>
      <c r="R2680" s="2" t="inlineStr"/>
    </row>
    <row r="2681" ht="15" customHeight="1">
      <c r="A2681" t="inlineStr">
        <is>
          <t>A 59143-2022</t>
        </is>
      </c>
      <c r="B2681" s="1" t="n">
        <v>44904</v>
      </c>
      <c r="C2681" s="1" t="n">
        <v>45724</v>
      </c>
      <c r="D2681" t="inlineStr">
        <is>
          <t>VÄSTMANLANDS LÄN</t>
        </is>
      </c>
      <c r="E2681" t="inlineStr">
        <is>
          <t>VÄSTERÅS</t>
        </is>
      </c>
      <c r="G2681" t="n">
        <v>7.3</v>
      </c>
      <c r="H2681" t="n">
        <v>0</v>
      </c>
      <c r="I2681" t="n">
        <v>0</v>
      </c>
      <c r="J2681" t="n">
        <v>0</v>
      </c>
      <c r="K2681" t="n">
        <v>0</v>
      </c>
      <c r="L2681" t="n">
        <v>0</v>
      </c>
      <c r="M2681" t="n">
        <v>0</v>
      </c>
      <c r="N2681" t="n">
        <v>0</v>
      </c>
      <c r="O2681" t="n">
        <v>0</v>
      </c>
      <c r="P2681" t="n">
        <v>0</v>
      </c>
      <c r="Q2681" t="n">
        <v>0</v>
      </c>
      <c r="R2681" s="2" t="inlineStr"/>
    </row>
    <row r="2682" ht="15" customHeight="1">
      <c r="A2682" t="inlineStr">
        <is>
          <t>A 59483-2022</t>
        </is>
      </c>
      <c r="B2682" s="1" t="n">
        <v>44907</v>
      </c>
      <c r="C2682" s="1" t="n">
        <v>45724</v>
      </c>
      <c r="D2682" t="inlineStr">
        <is>
          <t>VÄSTMANLANDS LÄN</t>
        </is>
      </c>
      <c r="E2682" t="inlineStr">
        <is>
          <t>SALA</t>
        </is>
      </c>
      <c r="G2682" t="n">
        <v>5.2</v>
      </c>
      <c r="H2682" t="n">
        <v>0</v>
      </c>
      <c r="I2682" t="n">
        <v>0</v>
      </c>
      <c r="J2682" t="n">
        <v>0</v>
      </c>
      <c r="K2682" t="n">
        <v>0</v>
      </c>
      <c r="L2682" t="n">
        <v>0</v>
      </c>
      <c r="M2682" t="n">
        <v>0</v>
      </c>
      <c r="N2682" t="n">
        <v>0</v>
      </c>
      <c r="O2682" t="n">
        <v>0</v>
      </c>
      <c r="P2682" t="n">
        <v>0</v>
      </c>
      <c r="Q2682" t="n">
        <v>0</v>
      </c>
      <c r="R2682" s="2" t="inlineStr"/>
    </row>
    <row r="2683" ht="15" customHeight="1">
      <c r="A2683" t="inlineStr">
        <is>
          <t>A 59500-2022</t>
        </is>
      </c>
      <c r="B2683" s="1" t="n">
        <v>44907</v>
      </c>
      <c r="C2683" s="1" t="n">
        <v>45724</v>
      </c>
      <c r="D2683" t="inlineStr">
        <is>
          <t>VÄSTMANLANDS LÄN</t>
        </is>
      </c>
      <c r="E2683" t="inlineStr">
        <is>
          <t>KÖPING</t>
        </is>
      </c>
      <c r="G2683" t="n">
        <v>2.8</v>
      </c>
      <c r="H2683" t="n">
        <v>0</v>
      </c>
      <c r="I2683" t="n">
        <v>0</v>
      </c>
      <c r="J2683" t="n">
        <v>0</v>
      </c>
      <c r="K2683" t="n">
        <v>0</v>
      </c>
      <c r="L2683" t="n">
        <v>0</v>
      </c>
      <c r="M2683" t="n">
        <v>0</v>
      </c>
      <c r="N2683" t="n">
        <v>0</v>
      </c>
      <c r="O2683" t="n">
        <v>0</v>
      </c>
      <c r="P2683" t="n">
        <v>0</v>
      </c>
      <c r="Q2683" t="n">
        <v>0</v>
      </c>
      <c r="R2683" s="2" t="inlineStr"/>
    </row>
    <row r="2684" ht="15" customHeight="1">
      <c r="A2684" t="inlineStr">
        <is>
          <t>A 59735-2022</t>
        </is>
      </c>
      <c r="B2684" s="1" t="n">
        <v>44908</v>
      </c>
      <c r="C2684" s="1" t="n">
        <v>45724</v>
      </c>
      <c r="D2684" t="inlineStr">
        <is>
          <t>VÄSTMANLANDS LÄN</t>
        </is>
      </c>
      <c r="E2684" t="inlineStr">
        <is>
          <t>KÖPING</t>
        </is>
      </c>
      <c r="G2684" t="n">
        <v>3.9</v>
      </c>
      <c r="H2684" t="n">
        <v>0</v>
      </c>
      <c r="I2684" t="n">
        <v>0</v>
      </c>
      <c r="J2684" t="n">
        <v>0</v>
      </c>
      <c r="K2684" t="n">
        <v>0</v>
      </c>
      <c r="L2684" t="n">
        <v>0</v>
      </c>
      <c r="M2684" t="n">
        <v>0</v>
      </c>
      <c r="N2684" t="n">
        <v>0</v>
      </c>
      <c r="O2684" t="n">
        <v>0</v>
      </c>
      <c r="P2684" t="n">
        <v>0</v>
      </c>
      <c r="Q2684" t="n">
        <v>0</v>
      </c>
      <c r="R2684" s="2" t="inlineStr"/>
    </row>
    <row r="2685" ht="15" customHeight="1">
      <c r="A2685" t="inlineStr">
        <is>
          <t>A 60949-2022</t>
        </is>
      </c>
      <c r="B2685" s="1" t="n">
        <v>44908</v>
      </c>
      <c r="C2685" s="1" t="n">
        <v>45724</v>
      </c>
      <c r="D2685" t="inlineStr">
        <is>
          <t>VÄSTMANLANDS LÄN</t>
        </is>
      </c>
      <c r="E2685" t="inlineStr">
        <is>
          <t>VÄSTERÅS</t>
        </is>
      </c>
      <c r="G2685" t="n">
        <v>6.1</v>
      </c>
      <c r="H2685" t="n">
        <v>0</v>
      </c>
      <c r="I2685" t="n">
        <v>0</v>
      </c>
      <c r="J2685" t="n">
        <v>0</v>
      </c>
      <c r="K2685" t="n">
        <v>0</v>
      </c>
      <c r="L2685" t="n">
        <v>0</v>
      </c>
      <c r="M2685" t="n">
        <v>0</v>
      </c>
      <c r="N2685" t="n">
        <v>0</v>
      </c>
      <c r="O2685" t="n">
        <v>0</v>
      </c>
      <c r="P2685" t="n">
        <v>0</v>
      </c>
      <c r="Q2685" t="n">
        <v>0</v>
      </c>
      <c r="R2685" s="2" t="inlineStr"/>
    </row>
    <row r="2686" ht="15" customHeight="1">
      <c r="A2686" t="inlineStr">
        <is>
          <t>A 61069-2022</t>
        </is>
      </c>
      <c r="B2686" s="1" t="n">
        <v>44908</v>
      </c>
      <c r="C2686" s="1" t="n">
        <v>45724</v>
      </c>
      <c r="D2686" t="inlineStr">
        <is>
          <t>VÄSTMANLANDS LÄN</t>
        </is>
      </c>
      <c r="E2686" t="inlineStr">
        <is>
          <t>VÄSTERÅS</t>
        </is>
      </c>
      <c r="G2686" t="n">
        <v>6.7</v>
      </c>
      <c r="H2686" t="n">
        <v>0</v>
      </c>
      <c r="I2686" t="n">
        <v>0</v>
      </c>
      <c r="J2686" t="n">
        <v>0</v>
      </c>
      <c r="K2686" t="n">
        <v>0</v>
      </c>
      <c r="L2686" t="n">
        <v>0</v>
      </c>
      <c r="M2686" t="n">
        <v>0</v>
      </c>
      <c r="N2686" t="n">
        <v>0</v>
      </c>
      <c r="O2686" t="n">
        <v>0</v>
      </c>
      <c r="P2686" t="n">
        <v>0</v>
      </c>
      <c r="Q2686" t="n">
        <v>0</v>
      </c>
      <c r="R2686" s="2" t="inlineStr"/>
    </row>
    <row r="2687" ht="15" customHeight="1">
      <c r="A2687" t="inlineStr">
        <is>
          <t>A 59853-2022</t>
        </is>
      </c>
      <c r="B2687" s="1" t="n">
        <v>44908</v>
      </c>
      <c r="C2687" s="1" t="n">
        <v>45724</v>
      </c>
      <c r="D2687" t="inlineStr">
        <is>
          <t>VÄSTMANLANDS LÄN</t>
        </is>
      </c>
      <c r="E2687" t="inlineStr">
        <is>
          <t>KUNGSÖR</t>
        </is>
      </c>
      <c r="G2687" t="n">
        <v>0.7</v>
      </c>
      <c r="H2687" t="n">
        <v>0</v>
      </c>
      <c r="I2687" t="n">
        <v>0</v>
      </c>
      <c r="J2687" t="n">
        <v>0</v>
      </c>
      <c r="K2687" t="n">
        <v>0</v>
      </c>
      <c r="L2687" t="n">
        <v>0</v>
      </c>
      <c r="M2687" t="n">
        <v>0</v>
      </c>
      <c r="N2687" t="n">
        <v>0</v>
      </c>
      <c r="O2687" t="n">
        <v>0</v>
      </c>
      <c r="P2687" t="n">
        <v>0</v>
      </c>
      <c r="Q2687" t="n">
        <v>0</v>
      </c>
      <c r="R2687" s="2" t="inlineStr"/>
    </row>
    <row r="2688" ht="15" customHeight="1">
      <c r="A2688" t="inlineStr">
        <is>
          <t>A 60046-2022</t>
        </is>
      </c>
      <c r="B2688" s="1" t="n">
        <v>44909</v>
      </c>
      <c r="C2688" s="1" t="n">
        <v>45724</v>
      </c>
      <c r="D2688" t="inlineStr">
        <is>
          <t>VÄSTMANLANDS LÄN</t>
        </is>
      </c>
      <c r="E2688" t="inlineStr">
        <is>
          <t>ARBOGA</t>
        </is>
      </c>
      <c r="G2688" t="n">
        <v>2.5</v>
      </c>
      <c r="H2688" t="n">
        <v>0</v>
      </c>
      <c r="I2688" t="n">
        <v>0</v>
      </c>
      <c r="J2688" t="n">
        <v>0</v>
      </c>
      <c r="K2688" t="n">
        <v>0</v>
      </c>
      <c r="L2688" t="n">
        <v>0</v>
      </c>
      <c r="M2688" t="n">
        <v>0</v>
      </c>
      <c r="N2688" t="n">
        <v>0</v>
      </c>
      <c r="O2688" t="n">
        <v>0</v>
      </c>
      <c r="P2688" t="n">
        <v>0</v>
      </c>
      <c r="Q2688" t="n">
        <v>0</v>
      </c>
      <c r="R2688" s="2" t="inlineStr"/>
    </row>
    <row r="2689" ht="15" customHeight="1">
      <c r="A2689" t="inlineStr">
        <is>
          <t>A 60156-2022</t>
        </is>
      </c>
      <c r="B2689" s="1" t="n">
        <v>44909</v>
      </c>
      <c r="C2689" s="1" t="n">
        <v>45724</v>
      </c>
      <c r="D2689" t="inlineStr">
        <is>
          <t>VÄSTMANLANDS LÄN</t>
        </is>
      </c>
      <c r="E2689" t="inlineStr">
        <is>
          <t>SALA</t>
        </is>
      </c>
      <c r="G2689" t="n">
        <v>3.4</v>
      </c>
      <c r="H2689" t="n">
        <v>0</v>
      </c>
      <c r="I2689" t="n">
        <v>0</v>
      </c>
      <c r="J2689" t="n">
        <v>0</v>
      </c>
      <c r="K2689" t="n">
        <v>0</v>
      </c>
      <c r="L2689" t="n">
        <v>0</v>
      </c>
      <c r="M2689" t="n">
        <v>0</v>
      </c>
      <c r="N2689" t="n">
        <v>0</v>
      </c>
      <c r="O2689" t="n">
        <v>0</v>
      </c>
      <c r="P2689" t="n">
        <v>0</v>
      </c>
      <c r="Q2689" t="n">
        <v>0</v>
      </c>
      <c r="R2689" s="2" t="inlineStr"/>
    </row>
    <row r="2690" ht="15" customHeight="1">
      <c r="A2690" t="inlineStr">
        <is>
          <t>A 59969-2022</t>
        </is>
      </c>
      <c r="B2690" s="1" t="n">
        <v>44909</v>
      </c>
      <c r="C2690" s="1" t="n">
        <v>45724</v>
      </c>
      <c r="D2690" t="inlineStr">
        <is>
          <t>VÄSTMANLANDS LÄN</t>
        </is>
      </c>
      <c r="E2690" t="inlineStr">
        <is>
          <t>ARBOGA</t>
        </is>
      </c>
      <c r="G2690" t="n">
        <v>2.5</v>
      </c>
      <c r="H2690" t="n">
        <v>0</v>
      </c>
      <c r="I2690" t="n">
        <v>0</v>
      </c>
      <c r="J2690" t="n">
        <v>0</v>
      </c>
      <c r="K2690" t="n">
        <v>0</v>
      </c>
      <c r="L2690" t="n">
        <v>0</v>
      </c>
      <c r="M2690" t="n">
        <v>0</v>
      </c>
      <c r="N2690" t="n">
        <v>0</v>
      </c>
      <c r="O2690" t="n">
        <v>0</v>
      </c>
      <c r="P2690" t="n">
        <v>0</v>
      </c>
      <c r="Q2690" t="n">
        <v>0</v>
      </c>
      <c r="R2690" s="2" t="inlineStr"/>
    </row>
    <row r="2691" ht="15" customHeight="1">
      <c r="A2691" t="inlineStr">
        <is>
          <t>A 59980-2022</t>
        </is>
      </c>
      <c r="B2691" s="1" t="n">
        <v>44909</v>
      </c>
      <c r="C2691" s="1" t="n">
        <v>45724</v>
      </c>
      <c r="D2691" t="inlineStr">
        <is>
          <t>VÄSTMANLANDS LÄN</t>
        </is>
      </c>
      <c r="E2691" t="inlineStr">
        <is>
          <t>ARBOGA</t>
        </is>
      </c>
      <c r="G2691" t="n">
        <v>1.1</v>
      </c>
      <c r="H2691" t="n">
        <v>0</v>
      </c>
      <c r="I2691" t="n">
        <v>0</v>
      </c>
      <c r="J2691" t="n">
        <v>0</v>
      </c>
      <c r="K2691" t="n">
        <v>0</v>
      </c>
      <c r="L2691" t="n">
        <v>0</v>
      </c>
      <c r="M2691" t="n">
        <v>0</v>
      </c>
      <c r="N2691" t="n">
        <v>0</v>
      </c>
      <c r="O2691" t="n">
        <v>0</v>
      </c>
      <c r="P2691" t="n">
        <v>0</v>
      </c>
      <c r="Q2691" t="n">
        <v>0</v>
      </c>
      <c r="R2691" s="2" t="inlineStr"/>
    </row>
    <row r="2692" ht="15" customHeight="1">
      <c r="A2692" t="inlineStr">
        <is>
          <t>A 59970-2022</t>
        </is>
      </c>
      <c r="B2692" s="1" t="n">
        <v>44909</v>
      </c>
      <c r="C2692" s="1" t="n">
        <v>45724</v>
      </c>
      <c r="D2692" t="inlineStr">
        <is>
          <t>VÄSTMANLANDS LÄN</t>
        </is>
      </c>
      <c r="E2692" t="inlineStr">
        <is>
          <t>ARBOGA</t>
        </is>
      </c>
      <c r="G2692" t="n">
        <v>2.5</v>
      </c>
      <c r="H2692" t="n">
        <v>0</v>
      </c>
      <c r="I2692" t="n">
        <v>0</v>
      </c>
      <c r="J2692" t="n">
        <v>0</v>
      </c>
      <c r="K2692" t="n">
        <v>0</v>
      </c>
      <c r="L2692" t="n">
        <v>0</v>
      </c>
      <c r="M2692" t="n">
        <v>0</v>
      </c>
      <c r="N2692" t="n">
        <v>0</v>
      </c>
      <c r="O2692" t="n">
        <v>0</v>
      </c>
      <c r="P2692" t="n">
        <v>0</v>
      </c>
      <c r="Q2692" t="n">
        <v>0</v>
      </c>
      <c r="R2692" s="2" t="inlineStr"/>
    </row>
    <row r="2693" ht="15" customHeight="1">
      <c r="A2693" t="inlineStr">
        <is>
          <t>A 59977-2022</t>
        </is>
      </c>
      <c r="B2693" s="1" t="n">
        <v>44909</v>
      </c>
      <c r="C2693" s="1" t="n">
        <v>45724</v>
      </c>
      <c r="D2693" t="inlineStr">
        <is>
          <t>VÄSTMANLANDS LÄN</t>
        </is>
      </c>
      <c r="E2693" t="inlineStr">
        <is>
          <t>ARBOGA</t>
        </is>
      </c>
      <c r="G2693" t="n">
        <v>5.1</v>
      </c>
      <c r="H2693" t="n">
        <v>0</v>
      </c>
      <c r="I2693" t="n">
        <v>0</v>
      </c>
      <c r="J2693" t="n">
        <v>0</v>
      </c>
      <c r="K2693" t="n">
        <v>0</v>
      </c>
      <c r="L2693" t="n">
        <v>0</v>
      </c>
      <c r="M2693" t="n">
        <v>0</v>
      </c>
      <c r="N2693" t="n">
        <v>0</v>
      </c>
      <c r="O2693" t="n">
        <v>0</v>
      </c>
      <c r="P2693" t="n">
        <v>0</v>
      </c>
      <c r="Q2693" t="n">
        <v>0</v>
      </c>
      <c r="R2693" s="2" t="inlineStr"/>
    </row>
    <row r="2694" ht="15" customHeight="1">
      <c r="A2694" t="inlineStr">
        <is>
          <t>A 60185-2022</t>
        </is>
      </c>
      <c r="B2694" s="1" t="n">
        <v>44910</v>
      </c>
      <c r="C2694" s="1" t="n">
        <v>45724</v>
      </c>
      <c r="D2694" t="inlineStr">
        <is>
          <t>VÄSTMANLANDS LÄN</t>
        </is>
      </c>
      <c r="E2694" t="inlineStr">
        <is>
          <t>SKINNSKATTEBERG</t>
        </is>
      </c>
      <c r="G2694" t="n">
        <v>1.6</v>
      </c>
      <c r="H2694" t="n">
        <v>0</v>
      </c>
      <c r="I2694" t="n">
        <v>0</v>
      </c>
      <c r="J2694" t="n">
        <v>0</v>
      </c>
      <c r="K2694" t="n">
        <v>0</v>
      </c>
      <c r="L2694" t="n">
        <v>0</v>
      </c>
      <c r="M2694" t="n">
        <v>0</v>
      </c>
      <c r="N2694" t="n">
        <v>0</v>
      </c>
      <c r="O2694" t="n">
        <v>0</v>
      </c>
      <c r="P2694" t="n">
        <v>0</v>
      </c>
      <c r="Q2694" t="n">
        <v>0</v>
      </c>
      <c r="R2694" s="2" t="inlineStr"/>
    </row>
    <row r="2695" ht="15" customHeight="1">
      <c r="A2695" t="inlineStr">
        <is>
          <t>A 60379-2022</t>
        </is>
      </c>
      <c r="B2695" s="1" t="n">
        <v>44910</v>
      </c>
      <c r="C2695" s="1" t="n">
        <v>45724</v>
      </c>
      <c r="D2695" t="inlineStr">
        <is>
          <t>VÄSTMANLANDS LÄN</t>
        </is>
      </c>
      <c r="E2695" t="inlineStr">
        <is>
          <t>SALA</t>
        </is>
      </c>
      <c r="F2695" t="inlineStr">
        <is>
          <t>Kyrkan</t>
        </is>
      </c>
      <c r="G2695" t="n">
        <v>2.5</v>
      </c>
      <c r="H2695" t="n">
        <v>0</v>
      </c>
      <c r="I2695" t="n">
        <v>0</v>
      </c>
      <c r="J2695" t="n">
        <v>0</v>
      </c>
      <c r="K2695" t="n">
        <v>0</v>
      </c>
      <c r="L2695" t="n">
        <v>0</v>
      </c>
      <c r="M2695" t="n">
        <v>0</v>
      </c>
      <c r="N2695" t="n">
        <v>0</v>
      </c>
      <c r="O2695" t="n">
        <v>0</v>
      </c>
      <c r="P2695" t="n">
        <v>0</v>
      </c>
      <c r="Q2695" t="n">
        <v>0</v>
      </c>
      <c r="R2695" s="2" t="inlineStr"/>
    </row>
    <row r="2696" ht="15" customHeight="1">
      <c r="A2696" t="inlineStr">
        <is>
          <t>A 60481-2022</t>
        </is>
      </c>
      <c r="B2696" s="1" t="n">
        <v>44911</v>
      </c>
      <c r="C2696" s="1" t="n">
        <v>45724</v>
      </c>
      <c r="D2696" t="inlineStr">
        <is>
          <t>VÄSTMANLANDS LÄN</t>
        </is>
      </c>
      <c r="E2696" t="inlineStr">
        <is>
          <t>KÖPING</t>
        </is>
      </c>
      <c r="G2696" t="n">
        <v>1.5</v>
      </c>
      <c r="H2696" t="n">
        <v>0</v>
      </c>
      <c r="I2696" t="n">
        <v>0</v>
      </c>
      <c r="J2696" t="n">
        <v>0</v>
      </c>
      <c r="K2696" t="n">
        <v>0</v>
      </c>
      <c r="L2696" t="n">
        <v>0</v>
      </c>
      <c r="M2696" t="n">
        <v>0</v>
      </c>
      <c r="N2696" t="n">
        <v>0</v>
      </c>
      <c r="O2696" t="n">
        <v>0</v>
      </c>
      <c r="P2696" t="n">
        <v>0</v>
      </c>
      <c r="Q2696" t="n">
        <v>0</v>
      </c>
      <c r="R2696" s="2" t="inlineStr"/>
    </row>
    <row r="2697" ht="15" customHeight="1">
      <c r="A2697" t="inlineStr">
        <is>
          <t>A 60485-2022</t>
        </is>
      </c>
      <c r="B2697" s="1" t="n">
        <v>44911</v>
      </c>
      <c r="C2697" s="1" t="n">
        <v>45724</v>
      </c>
      <c r="D2697" t="inlineStr">
        <is>
          <t>VÄSTMANLANDS LÄN</t>
        </is>
      </c>
      <c r="E2697" t="inlineStr">
        <is>
          <t>KÖPING</t>
        </is>
      </c>
      <c r="G2697" t="n">
        <v>1.1</v>
      </c>
      <c r="H2697" t="n">
        <v>0</v>
      </c>
      <c r="I2697" t="n">
        <v>0</v>
      </c>
      <c r="J2697" t="n">
        <v>0</v>
      </c>
      <c r="K2697" t="n">
        <v>0</v>
      </c>
      <c r="L2697" t="n">
        <v>0</v>
      </c>
      <c r="M2697" t="n">
        <v>0</v>
      </c>
      <c r="N2697" t="n">
        <v>0</v>
      </c>
      <c r="O2697" t="n">
        <v>0</v>
      </c>
      <c r="P2697" t="n">
        <v>0</v>
      </c>
      <c r="Q2697" t="n">
        <v>0</v>
      </c>
      <c r="R2697" s="2" t="inlineStr"/>
    </row>
    <row r="2698" ht="15" customHeight="1">
      <c r="A2698" t="inlineStr">
        <is>
          <t>A 60479-2022</t>
        </is>
      </c>
      <c r="B2698" s="1" t="n">
        <v>44911</v>
      </c>
      <c r="C2698" s="1" t="n">
        <v>45724</v>
      </c>
      <c r="D2698" t="inlineStr">
        <is>
          <t>VÄSTMANLANDS LÄN</t>
        </is>
      </c>
      <c r="E2698" t="inlineStr">
        <is>
          <t>KÖPING</t>
        </is>
      </c>
      <c r="G2698" t="n">
        <v>2.3</v>
      </c>
      <c r="H2698" t="n">
        <v>0</v>
      </c>
      <c r="I2698" t="n">
        <v>0</v>
      </c>
      <c r="J2698" t="n">
        <v>0</v>
      </c>
      <c r="K2698" t="n">
        <v>0</v>
      </c>
      <c r="L2698" t="n">
        <v>0</v>
      </c>
      <c r="M2698" t="n">
        <v>0</v>
      </c>
      <c r="N2698" t="n">
        <v>0</v>
      </c>
      <c r="O2698" t="n">
        <v>0</v>
      </c>
      <c r="P2698" t="n">
        <v>0</v>
      </c>
      <c r="Q2698" t="n">
        <v>0</v>
      </c>
      <c r="R2698" s="2" t="inlineStr"/>
    </row>
    <row r="2699" ht="15" customHeight="1">
      <c r="A2699" t="inlineStr">
        <is>
          <t>A 61745-2022</t>
        </is>
      </c>
      <c r="B2699" s="1" t="n">
        <v>44911</v>
      </c>
      <c r="C2699" s="1" t="n">
        <v>45724</v>
      </c>
      <c r="D2699" t="inlineStr">
        <is>
          <t>VÄSTMANLANDS LÄN</t>
        </is>
      </c>
      <c r="E2699" t="inlineStr">
        <is>
          <t>NORBERG</t>
        </is>
      </c>
      <c r="G2699" t="n">
        <v>3.9</v>
      </c>
      <c r="H2699" t="n">
        <v>0</v>
      </c>
      <c r="I2699" t="n">
        <v>0</v>
      </c>
      <c r="J2699" t="n">
        <v>0</v>
      </c>
      <c r="K2699" t="n">
        <v>0</v>
      </c>
      <c r="L2699" t="n">
        <v>0</v>
      </c>
      <c r="M2699" t="n">
        <v>0</v>
      </c>
      <c r="N2699" t="n">
        <v>0</v>
      </c>
      <c r="O2699" t="n">
        <v>0</v>
      </c>
      <c r="P2699" t="n">
        <v>0</v>
      </c>
      <c r="Q2699" t="n">
        <v>0</v>
      </c>
      <c r="R2699" s="2" t="inlineStr"/>
    </row>
    <row r="2700" ht="15" customHeight="1">
      <c r="A2700" t="inlineStr">
        <is>
          <t>A 60703-2022</t>
        </is>
      </c>
      <c r="B2700" s="1" t="n">
        <v>44912</v>
      </c>
      <c r="C2700" s="1" t="n">
        <v>45724</v>
      </c>
      <c r="D2700" t="inlineStr">
        <is>
          <t>VÄSTMANLANDS LÄN</t>
        </is>
      </c>
      <c r="E2700" t="inlineStr">
        <is>
          <t>SALA</t>
        </is>
      </c>
      <c r="G2700" t="n">
        <v>4.6</v>
      </c>
      <c r="H2700" t="n">
        <v>0</v>
      </c>
      <c r="I2700" t="n">
        <v>0</v>
      </c>
      <c r="J2700" t="n">
        <v>0</v>
      </c>
      <c r="K2700" t="n">
        <v>0</v>
      </c>
      <c r="L2700" t="n">
        <v>0</v>
      </c>
      <c r="M2700" t="n">
        <v>0</v>
      </c>
      <c r="N2700" t="n">
        <v>0</v>
      </c>
      <c r="O2700" t="n">
        <v>0</v>
      </c>
      <c r="P2700" t="n">
        <v>0</v>
      </c>
      <c r="Q2700" t="n">
        <v>0</v>
      </c>
      <c r="R2700" s="2" t="inlineStr"/>
    </row>
    <row r="2701" ht="15" customHeight="1">
      <c r="A2701" t="inlineStr">
        <is>
          <t>A 60705-2022</t>
        </is>
      </c>
      <c r="B2701" s="1" t="n">
        <v>44912</v>
      </c>
      <c r="C2701" s="1" t="n">
        <v>45724</v>
      </c>
      <c r="D2701" t="inlineStr">
        <is>
          <t>VÄSTMANLANDS LÄN</t>
        </is>
      </c>
      <c r="E2701" t="inlineStr">
        <is>
          <t>VÄSTERÅS</t>
        </is>
      </c>
      <c r="G2701" t="n">
        <v>1.7</v>
      </c>
      <c r="H2701" t="n">
        <v>0</v>
      </c>
      <c r="I2701" t="n">
        <v>0</v>
      </c>
      <c r="J2701" t="n">
        <v>0</v>
      </c>
      <c r="K2701" t="n">
        <v>0</v>
      </c>
      <c r="L2701" t="n">
        <v>0</v>
      </c>
      <c r="M2701" t="n">
        <v>0</v>
      </c>
      <c r="N2701" t="n">
        <v>0</v>
      </c>
      <c r="O2701" t="n">
        <v>0</v>
      </c>
      <c r="P2701" t="n">
        <v>0</v>
      </c>
      <c r="Q2701" t="n">
        <v>0</v>
      </c>
      <c r="R2701" s="2" t="inlineStr"/>
    </row>
    <row r="2702" ht="15" customHeight="1">
      <c r="A2702" t="inlineStr">
        <is>
          <t>A 60794-2022</t>
        </is>
      </c>
      <c r="B2702" s="1" t="n">
        <v>44914</v>
      </c>
      <c r="C2702" s="1" t="n">
        <v>45724</v>
      </c>
      <c r="D2702" t="inlineStr">
        <is>
          <t>VÄSTMANLANDS LÄN</t>
        </is>
      </c>
      <c r="E2702" t="inlineStr">
        <is>
          <t>VÄSTERÅS</t>
        </is>
      </c>
      <c r="G2702" t="n">
        <v>1.1</v>
      </c>
      <c r="H2702" t="n">
        <v>0</v>
      </c>
      <c r="I2702" t="n">
        <v>0</v>
      </c>
      <c r="J2702" t="n">
        <v>0</v>
      </c>
      <c r="K2702" t="n">
        <v>0</v>
      </c>
      <c r="L2702" t="n">
        <v>0</v>
      </c>
      <c r="M2702" t="n">
        <v>0</v>
      </c>
      <c r="N2702" t="n">
        <v>0</v>
      </c>
      <c r="O2702" t="n">
        <v>0</v>
      </c>
      <c r="P2702" t="n">
        <v>0</v>
      </c>
      <c r="Q2702" t="n">
        <v>0</v>
      </c>
      <c r="R2702" s="2" t="inlineStr"/>
    </row>
    <row r="2703" ht="15" customHeight="1">
      <c r="A2703" t="inlineStr">
        <is>
          <t>A 60790-2022</t>
        </is>
      </c>
      <c r="B2703" s="1" t="n">
        <v>44914</v>
      </c>
      <c r="C2703" s="1" t="n">
        <v>45724</v>
      </c>
      <c r="D2703" t="inlineStr">
        <is>
          <t>VÄSTMANLANDS LÄN</t>
        </is>
      </c>
      <c r="E2703" t="inlineStr">
        <is>
          <t>VÄSTERÅS</t>
        </is>
      </c>
      <c r="G2703" t="n">
        <v>2.8</v>
      </c>
      <c r="H2703" t="n">
        <v>0</v>
      </c>
      <c r="I2703" t="n">
        <v>0</v>
      </c>
      <c r="J2703" t="n">
        <v>0</v>
      </c>
      <c r="K2703" t="n">
        <v>0</v>
      </c>
      <c r="L2703" t="n">
        <v>0</v>
      </c>
      <c r="M2703" t="n">
        <v>0</v>
      </c>
      <c r="N2703" t="n">
        <v>0</v>
      </c>
      <c r="O2703" t="n">
        <v>0</v>
      </c>
      <c r="P2703" t="n">
        <v>0</v>
      </c>
      <c r="Q2703" t="n">
        <v>0</v>
      </c>
      <c r="R2703" s="2" t="inlineStr"/>
    </row>
    <row r="2704" ht="15" customHeight="1">
      <c r="A2704" t="inlineStr">
        <is>
          <t>A 60894-2022</t>
        </is>
      </c>
      <c r="B2704" s="1" t="n">
        <v>44914</v>
      </c>
      <c r="C2704" s="1" t="n">
        <v>45724</v>
      </c>
      <c r="D2704" t="inlineStr">
        <is>
          <t>VÄSTMANLANDS LÄN</t>
        </is>
      </c>
      <c r="E2704" t="inlineStr">
        <is>
          <t>KÖPING</t>
        </is>
      </c>
      <c r="G2704" t="n">
        <v>8.199999999999999</v>
      </c>
      <c r="H2704" t="n">
        <v>0</v>
      </c>
      <c r="I2704" t="n">
        <v>0</v>
      </c>
      <c r="J2704" t="n">
        <v>0</v>
      </c>
      <c r="K2704" t="n">
        <v>0</v>
      </c>
      <c r="L2704" t="n">
        <v>0</v>
      </c>
      <c r="M2704" t="n">
        <v>0</v>
      </c>
      <c r="N2704" t="n">
        <v>0</v>
      </c>
      <c r="O2704" t="n">
        <v>0</v>
      </c>
      <c r="P2704" t="n">
        <v>0</v>
      </c>
      <c r="Q2704" t="n">
        <v>0</v>
      </c>
      <c r="R2704" s="2" t="inlineStr"/>
    </row>
    <row r="2705" ht="15" customHeight="1">
      <c r="A2705" t="inlineStr">
        <is>
          <t>A 60974-2022</t>
        </is>
      </c>
      <c r="B2705" s="1" t="n">
        <v>44914</v>
      </c>
      <c r="C2705" s="1" t="n">
        <v>45724</v>
      </c>
      <c r="D2705" t="inlineStr">
        <is>
          <t>VÄSTMANLANDS LÄN</t>
        </is>
      </c>
      <c r="E2705" t="inlineStr">
        <is>
          <t>SALA</t>
        </is>
      </c>
      <c r="G2705" t="n">
        <v>1.1</v>
      </c>
      <c r="H2705" t="n">
        <v>0</v>
      </c>
      <c r="I2705" t="n">
        <v>0</v>
      </c>
      <c r="J2705" t="n">
        <v>0</v>
      </c>
      <c r="K2705" t="n">
        <v>0</v>
      </c>
      <c r="L2705" t="n">
        <v>0</v>
      </c>
      <c r="M2705" t="n">
        <v>0</v>
      </c>
      <c r="N2705" t="n">
        <v>0</v>
      </c>
      <c r="O2705" t="n">
        <v>0</v>
      </c>
      <c r="P2705" t="n">
        <v>0</v>
      </c>
      <c r="Q2705" t="n">
        <v>0</v>
      </c>
      <c r="R2705" s="2" t="inlineStr"/>
    </row>
    <row r="2706" ht="15" customHeight="1">
      <c r="A2706" t="inlineStr">
        <is>
          <t>A 61000-2022</t>
        </is>
      </c>
      <c r="B2706" s="1" t="n">
        <v>44914</v>
      </c>
      <c r="C2706" s="1" t="n">
        <v>45724</v>
      </c>
      <c r="D2706" t="inlineStr">
        <is>
          <t>VÄSTMANLANDS LÄN</t>
        </is>
      </c>
      <c r="E2706" t="inlineStr">
        <is>
          <t>KÖPING</t>
        </is>
      </c>
      <c r="G2706" t="n">
        <v>0.8</v>
      </c>
      <c r="H2706" t="n">
        <v>0</v>
      </c>
      <c r="I2706" t="n">
        <v>0</v>
      </c>
      <c r="J2706" t="n">
        <v>0</v>
      </c>
      <c r="K2706" t="n">
        <v>0</v>
      </c>
      <c r="L2706" t="n">
        <v>0</v>
      </c>
      <c r="M2706" t="n">
        <v>0</v>
      </c>
      <c r="N2706" t="n">
        <v>0</v>
      </c>
      <c r="O2706" t="n">
        <v>0</v>
      </c>
      <c r="P2706" t="n">
        <v>0</v>
      </c>
      <c r="Q2706" t="n">
        <v>0</v>
      </c>
      <c r="R2706" s="2" t="inlineStr"/>
    </row>
    <row r="2707" ht="15" customHeight="1">
      <c r="A2707" t="inlineStr">
        <is>
          <t>A 60797-2022</t>
        </is>
      </c>
      <c r="B2707" s="1" t="n">
        <v>44914</v>
      </c>
      <c r="C2707" s="1" t="n">
        <v>45724</v>
      </c>
      <c r="D2707" t="inlineStr">
        <is>
          <t>VÄSTMANLANDS LÄN</t>
        </is>
      </c>
      <c r="E2707" t="inlineStr">
        <is>
          <t>VÄSTERÅS</t>
        </is>
      </c>
      <c r="G2707" t="n">
        <v>0.8</v>
      </c>
      <c r="H2707" t="n">
        <v>0</v>
      </c>
      <c r="I2707" t="n">
        <v>0</v>
      </c>
      <c r="J2707" t="n">
        <v>0</v>
      </c>
      <c r="K2707" t="n">
        <v>0</v>
      </c>
      <c r="L2707" t="n">
        <v>0</v>
      </c>
      <c r="M2707" t="n">
        <v>0</v>
      </c>
      <c r="N2707" t="n">
        <v>0</v>
      </c>
      <c r="O2707" t="n">
        <v>0</v>
      </c>
      <c r="P2707" t="n">
        <v>0</v>
      </c>
      <c r="Q2707" t="n">
        <v>0</v>
      </c>
      <c r="R2707" s="2" t="inlineStr"/>
    </row>
    <row r="2708" ht="15" customHeight="1">
      <c r="A2708" t="inlineStr">
        <is>
          <t>A 60924-2022</t>
        </is>
      </c>
      <c r="B2708" s="1" t="n">
        <v>44914</v>
      </c>
      <c r="C2708" s="1" t="n">
        <v>45724</v>
      </c>
      <c r="D2708" t="inlineStr">
        <is>
          <t>VÄSTMANLANDS LÄN</t>
        </is>
      </c>
      <c r="E2708" t="inlineStr">
        <is>
          <t>KÖPING</t>
        </is>
      </c>
      <c r="G2708" t="n">
        <v>0.8</v>
      </c>
      <c r="H2708" t="n">
        <v>0</v>
      </c>
      <c r="I2708" t="n">
        <v>0</v>
      </c>
      <c r="J2708" t="n">
        <v>0</v>
      </c>
      <c r="K2708" t="n">
        <v>0</v>
      </c>
      <c r="L2708" t="n">
        <v>0</v>
      </c>
      <c r="M2708" t="n">
        <v>0</v>
      </c>
      <c r="N2708" t="n">
        <v>0</v>
      </c>
      <c r="O2708" t="n">
        <v>0</v>
      </c>
      <c r="P2708" t="n">
        <v>0</v>
      </c>
      <c r="Q2708" t="n">
        <v>0</v>
      </c>
      <c r="R2708" s="2" t="inlineStr"/>
    </row>
    <row r="2709" ht="15" customHeight="1">
      <c r="A2709" t="inlineStr">
        <is>
          <t>A 61119-2022</t>
        </is>
      </c>
      <c r="B2709" s="1" t="n">
        <v>44915</v>
      </c>
      <c r="C2709" s="1" t="n">
        <v>45724</v>
      </c>
      <c r="D2709" t="inlineStr">
        <is>
          <t>VÄSTMANLANDS LÄN</t>
        </is>
      </c>
      <c r="E2709" t="inlineStr">
        <is>
          <t>VÄSTERÅS</t>
        </is>
      </c>
      <c r="G2709" t="n">
        <v>2</v>
      </c>
      <c r="H2709" t="n">
        <v>0</v>
      </c>
      <c r="I2709" t="n">
        <v>0</v>
      </c>
      <c r="J2709" t="n">
        <v>0</v>
      </c>
      <c r="K2709" t="n">
        <v>0</v>
      </c>
      <c r="L2709" t="n">
        <v>0</v>
      </c>
      <c r="M2709" t="n">
        <v>0</v>
      </c>
      <c r="N2709" t="n">
        <v>0</v>
      </c>
      <c r="O2709" t="n">
        <v>0</v>
      </c>
      <c r="P2709" t="n">
        <v>0</v>
      </c>
      <c r="Q2709" t="n">
        <v>0</v>
      </c>
      <c r="R2709" s="2" t="inlineStr"/>
    </row>
    <row r="2710" ht="15" customHeight="1">
      <c r="A2710" t="inlineStr">
        <is>
          <t>A 61308-2022</t>
        </is>
      </c>
      <c r="B2710" s="1" t="n">
        <v>44915</v>
      </c>
      <c r="C2710" s="1" t="n">
        <v>45724</v>
      </c>
      <c r="D2710" t="inlineStr">
        <is>
          <t>VÄSTMANLANDS LÄN</t>
        </is>
      </c>
      <c r="E2710" t="inlineStr">
        <is>
          <t>VÄSTERÅS</t>
        </is>
      </c>
      <c r="G2710" t="n">
        <v>1.2</v>
      </c>
      <c r="H2710" t="n">
        <v>0</v>
      </c>
      <c r="I2710" t="n">
        <v>0</v>
      </c>
      <c r="J2710" t="n">
        <v>0</v>
      </c>
      <c r="K2710" t="n">
        <v>0</v>
      </c>
      <c r="L2710" t="n">
        <v>0</v>
      </c>
      <c r="M2710" t="n">
        <v>0</v>
      </c>
      <c r="N2710" t="n">
        <v>0</v>
      </c>
      <c r="O2710" t="n">
        <v>0</v>
      </c>
      <c r="P2710" t="n">
        <v>0</v>
      </c>
      <c r="Q2710" t="n">
        <v>0</v>
      </c>
      <c r="R2710" s="2" t="inlineStr"/>
    </row>
    <row r="2711" ht="15" customHeight="1">
      <c r="A2711" t="inlineStr">
        <is>
          <t>A 61083-2022</t>
        </is>
      </c>
      <c r="B2711" s="1" t="n">
        <v>44915</v>
      </c>
      <c r="C2711" s="1" t="n">
        <v>45724</v>
      </c>
      <c r="D2711" t="inlineStr">
        <is>
          <t>VÄSTMANLANDS LÄN</t>
        </is>
      </c>
      <c r="E2711" t="inlineStr">
        <is>
          <t>KÖPING</t>
        </is>
      </c>
      <c r="G2711" t="n">
        <v>6.7</v>
      </c>
      <c r="H2711" t="n">
        <v>0</v>
      </c>
      <c r="I2711" t="n">
        <v>0</v>
      </c>
      <c r="J2711" t="n">
        <v>0</v>
      </c>
      <c r="K2711" t="n">
        <v>0</v>
      </c>
      <c r="L2711" t="n">
        <v>0</v>
      </c>
      <c r="M2711" t="n">
        <v>0</v>
      </c>
      <c r="N2711" t="n">
        <v>0</v>
      </c>
      <c r="O2711" t="n">
        <v>0</v>
      </c>
      <c r="P2711" t="n">
        <v>0</v>
      </c>
      <c r="Q2711" t="n">
        <v>0</v>
      </c>
      <c r="R2711" s="2" t="inlineStr"/>
    </row>
    <row r="2712" ht="15" customHeight="1">
      <c r="A2712" t="inlineStr">
        <is>
          <t>A 61059-2022</t>
        </is>
      </c>
      <c r="B2712" s="1" t="n">
        <v>44915</v>
      </c>
      <c r="C2712" s="1" t="n">
        <v>45724</v>
      </c>
      <c r="D2712" t="inlineStr">
        <is>
          <t>VÄSTMANLANDS LÄN</t>
        </is>
      </c>
      <c r="E2712" t="inlineStr">
        <is>
          <t>KÖPING</t>
        </is>
      </c>
      <c r="G2712" t="n">
        <v>1.8</v>
      </c>
      <c r="H2712" t="n">
        <v>0</v>
      </c>
      <c r="I2712" t="n">
        <v>0</v>
      </c>
      <c r="J2712" t="n">
        <v>0</v>
      </c>
      <c r="K2712" t="n">
        <v>0</v>
      </c>
      <c r="L2712" t="n">
        <v>0</v>
      </c>
      <c r="M2712" t="n">
        <v>0</v>
      </c>
      <c r="N2712" t="n">
        <v>0</v>
      </c>
      <c r="O2712" t="n">
        <v>0</v>
      </c>
      <c r="P2712" t="n">
        <v>0</v>
      </c>
      <c r="Q2712" t="n">
        <v>0</v>
      </c>
      <c r="R2712" s="2" t="inlineStr"/>
    </row>
    <row r="2713" ht="15" customHeight="1">
      <c r="A2713" t="inlineStr">
        <is>
          <t>A 61070-2022</t>
        </is>
      </c>
      <c r="B2713" s="1" t="n">
        <v>44915</v>
      </c>
      <c r="C2713" s="1" t="n">
        <v>45724</v>
      </c>
      <c r="D2713" t="inlineStr">
        <is>
          <t>VÄSTMANLANDS LÄN</t>
        </is>
      </c>
      <c r="E2713" t="inlineStr">
        <is>
          <t>KÖPING</t>
        </is>
      </c>
      <c r="G2713" t="n">
        <v>2.5</v>
      </c>
      <c r="H2713" t="n">
        <v>0</v>
      </c>
      <c r="I2713" t="n">
        <v>0</v>
      </c>
      <c r="J2713" t="n">
        <v>0</v>
      </c>
      <c r="K2713" t="n">
        <v>0</v>
      </c>
      <c r="L2713" t="n">
        <v>0</v>
      </c>
      <c r="M2713" t="n">
        <v>0</v>
      </c>
      <c r="N2713" t="n">
        <v>0</v>
      </c>
      <c r="O2713" t="n">
        <v>0</v>
      </c>
      <c r="P2713" t="n">
        <v>0</v>
      </c>
      <c r="Q2713" t="n">
        <v>0</v>
      </c>
      <c r="R2713" s="2" t="inlineStr"/>
    </row>
    <row r="2714" ht="15" customHeight="1">
      <c r="A2714" t="inlineStr">
        <is>
          <t>A 61072-2022</t>
        </is>
      </c>
      <c r="B2714" s="1" t="n">
        <v>44915</v>
      </c>
      <c r="C2714" s="1" t="n">
        <v>45724</v>
      </c>
      <c r="D2714" t="inlineStr">
        <is>
          <t>VÄSTMANLANDS LÄN</t>
        </is>
      </c>
      <c r="E2714" t="inlineStr">
        <is>
          <t>KÖPING</t>
        </is>
      </c>
      <c r="G2714" t="n">
        <v>2.4</v>
      </c>
      <c r="H2714" t="n">
        <v>0</v>
      </c>
      <c r="I2714" t="n">
        <v>0</v>
      </c>
      <c r="J2714" t="n">
        <v>0</v>
      </c>
      <c r="K2714" t="n">
        <v>0</v>
      </c>
      <c r="L2714" t="n">
        <v>0</v>
      </c>
      <c r="M2714" t="n">
        <v>0</v>
      </c>
      <c r="N2714" t="n">
        <v>0</v>
      </c>
      <c r="O2714" t="n">
        <v>0</v>
      </c>
      <c r="P2714" t="n">
        <v>0</v>
      </c>
      <c r="Q2714" t="n">
        <v>0</v>
      </c>
      <c r="R2714" s="2" t="inlineStr"/>
    </row>
    <row r="2715" ht="15" customHeight="1">
      <c r="A2715" t="inlineStr">
        <is>
          <t>A 61403-2022</t>
        </is>
      </c>
      <c r="B2715" s="1" t="n">
        <v>44916</v>
      </c>
      <c r="C2715" s="1" t="n">
        <v>45724</v>
      </c>
      <c r="D2715" t="inlineStr">
        <is>
          <t>VÄSTMANLANDS LÄN</t>
        </is>
      </c>
      <c r="E2715" t="inlineStr">
        <is>
          <t>ARBOGA</t>
        </is>
      </c>
      <c r="G2715" t="n">
        <v>0.9</v>
      </c>
      <c r="H2715" t="n">
        <v>0</v>
      </c>
      <c r="I2715" t="n">
        <v>0</v>
      </c>
      <c r="J2715" t="n">
        <v>0</v>
      </c>
      <c r="K2715" t="n">
        <v>0</v>
      </c>
      <c r="L2715" t="n">
        <v>0</v>
      </c>
      <c r="M2715" t="n">
        <v>0</v>
      </c>
      <c r="N2715" t="n">
        <v>0</v>
      </c>
      <c r="O2715" t="n">
        <v>0</v>
      </c>
      <c r="P2715" t="n">
        <v>0</v>
      </c>
      <c r="Q2715" t="n">
        <v>0</v>
      </c>
      <c r="R2715" s="2" t="inlineStr"/>
    </row>
    <row r="2716" ht="15" customHeight="1">
      <c r="A2716" t="inlineStr">
        <is>
          <t>A 62635-2022</t>
        </is>
      </c>
      <c r="B2716" s="1" t="n">
        <v>44917</v>
      </c>
      <c r="C2716" s="1" t="n">
        <v>45724</v>
      </c>
      <c r="D2716" t="inlineStr">
        <is>
          <t>VÄSTMANLANDS LÄN</t>
        </is>
      </c>
      <c r="E2716" t="inlineStr">
        <is>
          <t>SALA</t>
        </is>
      </c>
      <c r="G2716" t="n">
        <v>0.4</v>
      </c>
      <c r="H2716" t="n">
        <v>0</v>
      </c>
      <c r="I2716" t="n">
        <v>0</v>
      </c>
      <c r="J2716" t="n">
        <v>0</v>
      </c>
      <c r="K2716" t="n">
        <v>0</v>
      </c>
      <c r="L2716" t="n">
        <v>0</v>
      </c>
      <c r="M2716" t="n">
        <v>0</v>
      </c>
      <c r="N2716" t="n">
        <v>0</v>
      </c>
      <c r="O2716" t="n">
        <v>0</v>
      </c>
      <c r="P2716" t="n">
        <v>0</v>
      </c>
      <c r="Q2716" t="n">
        <v>0</v>
      </c>
      <c r="R2716" s="2" t="inlineStr"/>
    </row>
    <row r="2717" ht="15" customHeight="1">
      <c r="A2717" t="inlineStr">
        <is>
          <t>A 62654-2022</t>
        </is>
      </c>
      <c r="B2717" s="1" t="n">
        <v>44917</v>
      </c>
      <c r="C2717" s="1" t="n">
        <v>45724</v>
      </c>
      <c r="D2717" t="inlineStr">
        <is>
          <t>VÄSTMANLANDS LÄN</t>
        </is>
      </c>
      <c r="E2717" t="inlineStr">
        <is>
          <t>SALA</t>
        </is>
      </c>
      <c r="G2717" t="n">
        <v>0.5</v>
      </c>
      <c r="H2717" t="n">
        <v>0</v>
      </c>
      <c r="I2717" t="n">
        <v>0</v>
      </c>
      <c r="J2717" t="n">
        <v>0</v>
      </c>
      <c r="K2717" t="n">
        <v>0</v>
      </c>
      <c r="L2717" t="n">
        <v>0</v>
      </c>
      <c r="M2717" t="n">
        <v>0</v>
      </c>
      <c r="N2717" t="n">
        <v>0</v>
      </c>
      <c r="O2717" t="n">
        <v>0</v>
      </c>
      <c r="P2717" t="n">
        <v>0</v>
      </c>
      <c r="Q2717" t="n">
        <v>0</v>
      </c>
      <c r="R2717" s="2" t="inlineStr"/>
    </row>
    <row r="2718" ht="15" customHeight="1">
      <c r="A2718" t="inlineStr">
        <is>
          <t>A 62651-2022</t>
        </is>
      </c>
      <c r="B2718" s="1" t="n">
        <v>44917</v>
      </c>
      <c r="C2718" s="1" t="n">
        <v>45724</v>
      </c>
      <c r="D2718" t="inlineStr">
        <is>
          <t>VÄSTMANLANDS LÄN</t>
        </is>
      </c>
      <c r="E2718" t="inlineStr">
        <is>
          <t>SALA</t>
        </is>
      </c>
      <c r="G2718" t="n">
        <v>0.4</v>
      </c>
      <c r="H2718" t="n">
        <v>0</v>
      </c>
      <c r="I2718" t="n">
        <v>0</v>
      </c>
      <c r="J2718" t="n">
        <v>0</v>
      </c>
      <c r="K2718" t="n">
        <v>0</v>
      </c>
      <c r="L2718" t="n">
        <v>0</v>
      </c>
      <c r="M2718" t="n">
        <v>0</v>
      </c>
      <c r="N2718" t="n">
        <v>0</v>
      </c>
      <c r="O2718" t="n">
        <v>0</v>
      </c>
      <c r="P2718" t="n">
        <v>0</v>
      </c>
      <c r="Q2718" t="n">
        <v>0</v>
      </c>
      <c r="R2718" s="2" t="inlineStr"/>
    </row>
    <row r="2719" ht="15" customHeight="1">
      <c r="A2719" t="inlineStr">
        <is>
          <t>A 61892-2022</t>
        </is>
      </c>
      <c r="B2719" s="1" t="n">
        <v>44917</v>
      </c>
      <c r="C2719" s="1" t="n">
        <v>45724</v>
      </c>
      <c r="D2719" t="inlineStr">
        <is>
          <t>VÄSTMANLANDS LÄN</t>
        </is>
      </c>
      <c r="E2719" t="inlineStr">
        <is>
          <t>ARBOGA</t>
        </is>
      </c>
      <c r="G2719" t="n">
        <v>10.9</v>
      </c>
      <c r="H2719" t="n">
        <v>0</v>
      </c>
      <c r="I2719" t="n">
        <v>0</v>
      </c>
      <c r="J2719" t="n">
        <v>0</v>
      </c>
      <c r="K2719" t="n">
        <v>0</v>
      </c>
      <c r="L2719" t="n">
        <v>0</v>
      </c>
      <c r="M2719" t="n">
        <v>0</v>
      </c>
      <c r="N2719" t="n">
        <v>0</v>
      </c>
      <c r="O2719" t="n">
        <v>0</v>
      </c>
      <c r="P2719" t="n">
        <v>0</v>
      </c>
      <c r="Q2719" t="n">
        <v>0</v>
      </c>
      <c r="R2719" s="2" t="inlineStr"/>
    </row>
    <row r="2720" ht="15" customHeight="1">
      <c r="A2720" t="inlineStr">
        <is>
          <t>A 61897-2022</t>
        </is>
      </c>
      <c r="B2720" s="1" t="n">
        <v>44917</v>
      </c>
      <c r="C2720" s="1" t="n">
        <v>45724</v>
      </c>
      <c r="D2720" t="inlineStr">
        <is>
          <t>VÄSTMANLANDS LÄN</t>
        </is>
      </c>
      <c r="E2720" t="inlineStr">
        <is>
          <t>KÖPING</t>
        </is>
      </c>
      <c r="G2720" t="n">
        <v>8.1</v>
      </c>
      <c r="H2720" t="n">
        <v>0</v>
      </c>
      <c r="I2720" t="n">
        <v>0</v>
      </c>
      <c r="J2720" t="n">
        <v>0</v>
      </c>
      <c r="K2720" t="n">
        <v>0</v>
      </c>
      <c r="L2720" t="n">
        <v>0</v>
      </c>
      <c r="M2720" t="n">
        <v>0</v>
      </c>
      <c r="N2720" t="n">
        <v>0</v>
      </c>
      <c r="O2720" t="n">
        <v>0</v>
      </c>
      <c r="P2720" t="n">
        <v>0</v>
      </c>
      <c r="Q2720" t="n">
        <v>0</v>
      </c>
      <c r="R2720" s="2" t="inlineStr"/>
    </row>
    <row r="2721" ht="15" customHeight="1">
      <c r="A2721" t="inlineStr">
        <is>
          <t>A 62648-2022</t>
        </is>
      </c>
      <c r="B2721" s="1" t="n">
        <v>44917</v>
      </c>
      <c r="C2721" s="1" t="n">
        <v>45724</v>
      </c>
      <c r="D2721" t="inlineStr">
        <is>
          <t>VÄSTMANLANDS LÄN</t>
        </is>
      </c>
      <c r="E2721" t="inlineStr">
        <is>
          <t>SALA</t>
        </is>
      </c>
      <c r="G2721" t="n">
        <v>0.5</v>
      </c>
      <c r="H2721" t="n">
        <v>0</v>
      </c>
      <c r="I2721" t="n">
        <v>0</v>
      </c>
      <c r="J2721" t="n">
        <v>0</v>
      </c>
      <c r="K2721" t="n">
        <v>0</v>
      </c>
      <c r="L2721" t="n">
        <v>0</v>
      </c>
      <c r="M2721" t="n">
        <v>0</v>
      </c>
      <c r="N2721" t="n">
        <v>0</v>
      </c>
      <c r="O2721" t="n">
        <v>0</v>
      </c>
      <c r="P2721" t="n">
        <v>0</v>
      </c>
      <c r="Q2721" t="n">
        <v>0</v>
      </c>
      <c r="R2721" s="2" t="inlineStr"/>
    </row>
    <row r="2722" ht="15" customHeight="1">
      <c r="A2722" t="inlineStr">
        <is>
          <t>A 61985-2022</t>
        </is>
      </c>
      <c r="B2722" s="1" t="n">
        <v>44918</v>
      </c>
      <c r="C2722" s="1" t="n">
        <v>45724</v>
      </c>
      <c r="D2722" t="inlineStr">
        <is>
          <t>VÄSTMANLANDS LÄN</t>
        </is>
      </c>
      <c r="E2722" t="inlineStr">
        <is>
          <t>SALA</t>
        </is>
      </c>
      <c r="G2722" t="n">
        <v>0.7</v>
      </c>
      <c r="H2722" t="n">
        <v>0</v>
      </c>
      <c r="I2722" t="n">
        <v>0</v>
      </c>
      <c r="J2722" t="n">
        <v>0</v>
      </c>
      <c r="K2722" t="n">
        <v>0</v>
      </c>
      <c r="L2722" t="n">
        <v>0</v>
      </c>
      <c r="M2722" t="n">
        <v>0</v>
      </c>
      <c r="N2722" t="n">
        <v>0</v>
      </c>
      <c r="O2722" t="n">
        <v>0</v>
      </c>
      <c r="P2722" t="n">
        <v>0</v>
      </c>
      <c r="Q2722" t="n">
        <v>0</v>
      </c>
      <c r="R2722" s="2" t="inlineStr"/>
    </row>
    <row r="2723" ht="15" customHeight="1">
      <c r="A2723" t="inlineStr">
        <is>
          <t>A 62095-2022</t>
        </is>
      </c>
      <c r="B2723" s="1" t="n">
        <v>44919</v>
      </c>
      <c r="C2723" s="1" t="n">
        <v>45724</v>
      </c>
      <c r="D2723" t="inlineStr">
        <is>
          <t>VÄSTMANLANDS LÄN</t>
        </is>
      </c>
      <c r="E2723" t="inlineStr">
        <is>
          <t>FAGERSTA</t>
        </is>
      </c>
      <c r="G2723" t="n">
        <v>2.8</v>
      </c>
      <c r="H2723" t="n">
        <v>0</v>
      </c>
      <c r="I2723" t="n">
        <v>0</v>
      </c>
      <c r="J2723" t="n">
        <v>0</v>
      </c>
      <c r="K2723" t="n">
        <v>0</v>
      </c>
      <c r="L2723" t="n">
        <v>0</v>
      </c>
      <c r="M2723" t="n">
        <v>0</v>
      </c>
      <c r="N2723" t="n">
        <v>0</v>
      </c>
      <c r="O2723" t="n">
        <v>0</v>
      </c>
      <c r="P2723" t="n">
        <v>0</v>
      </c>
      <c r="Q2723" t="n">
        <v>0</v>
      </c>
      <c r="R2723" s="2" t="inlineStr"/>
    </row>
    <row r="2724" ht="15" customHeight="1">
      <c r="A2724" t="inlineStr">
        <is>
          <t>A 62292-2022</t>
        </is>
      </c>
      <c r="B2724" s="1" t="n">
        <v>44923</v>
      </c>
      <c r="C2724" s="1" t="n">
        <v>45724</v>
      </c>
      <c r="D2724" t="inlineStr">
        <is>
          <t>VÄSTMANLANDS LÄN</t>
        </is>
      </c>
      <c r="E2724" t="inlineStr">
        <is>
          <t>SALA</t>
        </is>
      </c>
      <c r="G2724" t="n">
        <v>1</v>
      </c>
      <c r="H2724" t="n">
        <v>0</v>
      </c>
      <c r="I2724" t="n">
        <v>0</v>
      </c>
      <c r="J2724" t="n">
        <v>0</v>
      </c>
      <c r="K2724" t="n">
        <v>0</v>
      </c>
      <c r="L2724" t="n">
        <v>0</v>
      </c>
      <c r="M2724" t="n">
        <v>0</v>
      </c>
      <c r="N2724" t="n">
        <v>0</v>
      </c>
      <c r="O2724" t="n">
        <v>0</v>
      </c>
      <c r="P2724" t="n">
        <v>0</v>
      </c>
      <c r="Q2724" t="n">
        <v>0</v>
      </c>
      <c r="R2724" s="2" t="inlineStr"/>
    </row>
    <row r="2725" ht="15" customHeight="1">
      <c r="A2725" t="inlineStr">
        <is>
          <t>A 62300-2022</t>
        </is>
      </c>
      <c r="B2725" s="1" t="n">
        <v>44923</v>
      </c>
      <c r="C2725" s="1" t="n">
        <v>45724</v>
      </c>
      <c r="D2725" t="inlineStr">
        <is>
          <t>VÄSTMANLANDS LÄN</t>
        </is>
      </c>
      <c r="E2725" t="inlineStr">
        <is>
          <t>SALA</t>
        </is>
      </c>
      <c r="G2725" t="n">
        <v>1.9</v>
      </c>
      <c r="H2725" t="n">
        <v>0</v>
      </c>
      <c r="I2725" t="n">
        <v>0</v>
      </c>
      <c r="J2725" t="n">
        <v>0</v>
      </c>
      <c r="K2725" t="n">
        <v>0</v>
      </c>
      <c r="L2725" t="n">
        <v>0</v>
      </c>
      <c r="M2725" t="n">
        <v>0</v>
      </c>
      <c r="N2725" t="n">
        <v>0</v>
      </c>
      <c r="O2725" t="n">
        <v>0</v>
      </c>
      <c r="P2725" t="n">
        <v>0</v>
      </c>
      <c r="Q2725" t="n">
        <v>0</v>
      </c>
      <c r="R2725" s="2" t="inlineStr"/>
    </row>
    <row r="2726" ht="15" customHeight="1">
      <c r="A2726" t="inlineStr">
        <is>
          <t>A 552-2023</t>
        </is>
      </c>
      <c r="B2726" s="1" t="n">
        <v>44925</v>
      </c>
      <c r="C2726" s="1" t="n">
        <v>45724</v>
      </c>
      <c r="D2726" t="inlineStr">
        <is>
          <t>VÄSTMANLANDS LÄN</t>
        </is>
      </c>
      <c r="E2726" t="inlineStr">
        <is>
          <t>NORBERG</t>
        </is>
      </c>
      <c r="G2726" t="n">
        <v>4.6</v>
      </c>
      <c r="H2726" t="n">
        <v>0</v>
      </c>
      <c r="I2726" t="n">
        <v>0</v>
      </c>
      <c r="J2726" t="n">
        <v>0</v>
      </c>
      <c r="K2726" t="n">
        <v>0</v>
      </c>
      <c r="L2726" t="n">
        <v>0</v>
      </c>
      <c r="M2726" t="n">
        <v>0</v>
      </c>
      <c r="N2726" t="n">
        <v>0</v>
      </c>
      <c r="O2726" t="n">
        <v>0</v>
      </c>
      <c r="P2726" t="n">
        <v>0</v>
      </c>
      <c r="Q2726" t="n">
        <v>0</v>
      </c>
      <c r="R2726" s="2" t="inlineStr"/>
    </row>
    <row r="2727" ht="15" customHeight="1">
      <c r="A2727" t="inlineStr">
        <is>
          <t>A 559-2023</t>
        </is>
      </c>
      <c r="B2727" s="1" t="n">
        <v>44925</v>
      </c>
      <c r="C2727" s="1" t="n">
        <v>45724</v>
      </c>
      <c r="D2727" t="inlineStr">
        <is>
          <t>VÄSTMANLANDS LÄN</t>
        </is>
      </c>
      <c r="E2727" t="inlineStr">
        <is>
          <t>NORBERG</t>
        </is>
      </c>
      <c r="G2727" t="n">
        <v>8.5</v>
      </c>
      <c r="H2727" t="n">
        <v>0</v>
      </c>
      <c r="I2727" t="n">
        <v>0</v>
      </c>
      <c r="J2727" t="n">
        <v>0</v>
      </c>
      <c r="K2727" t="n">
        <v>0</v>
      </c>
      <c r="L2727" t="n">
        <v>0</v>
      </c>
      <c r="M2727" t="n">
        <v>0</v>
      </c>
      <c r="N2727" t="n">
        <v>0</v>
      </c>
      <c r="O2727" t="n">
        <v>0</v>
      </c>
      <c r="P2727" t="n">
        <v>0</v>
      </c>
      <c r="Q2727" t="n">
        <v>0</v>
      </c>
      <c r="R2727" s="2" t="inlineStr"/>
    </row>
    <row r="2728" ht="15" customHeight="1">
      <c r="A2728" t="inlineStr">
        <is>
          <t>A 71-2023</t>
        </is>
      </c>
      <c r="B2728" s="1" t="n">
        <v>44928</v>
      </c>
      <c r="C2728" s="1" t="n">
        <v>45724</v>
      </c>
      <c r="D2728" t="inlineStr">
        <is>
          <t>VÄSTMANLANDS LÄN</t>
        </is>
      </c>
      <c r="E2728" t="inlineStr">
        <is>
          <t>KÖPING</t>
        </is>
      </c>
      <c r="G2728" t="n">
        <v>0.8</v>
      </c>
      <c r="H2728" t="n">
        <v>0</v>
      </c>
      <c r="I2728" t="n">
        <v>0</v>
      </c>
      <c r="J2728" t="n">
        <v>0</v>
      </c>
      <c r="K2728" t="n">
        <v>0</v>
      </c>
      <c r="L2728" t="n">
        <v>0</v>
      </c>
      <c r="M2728" t="n">
        <v>0</v>
      </c>
      <c r="N2728" t="n">
        <v>0</v>
      </c>
      <c r="O2728" t="n">
        <v>0</v>
      </c>
      <c r="P2728" t="n">
        <v>0</v>
      </c>
      <c r="Q2728" t="n">
        <v>0</v>
      </c>
      <c r="R2728" s="2" t="inlineStr"/>
    </row>
    <row r="2729" ht="15" customHeight="1">
      <c r="A2729" t="inlineStr">
        <is>
          <t>A 198-2023</t>
        </is>
      </c>
      <c r="B2729" s="1" t="n">
        <v>44928</v>
      </c>
      <c r="C2729" s="1" t="n">
        <v>45724</v>
      </c>
      <c r="D2729" t="inlineStr">
        <is>
          <t>VÄSTMANLANDS LÄN</t>
        </is>
      </c>
      <c r="E2729" t="inlineStr">
        <is>
          <t>VÄSTERÅS</t>
        </is>
      </c>
      <c r="G2729" t="n">
        <v>5.4</v>
      </c>
      <c r="H2729" t="n">
        <v>0</v>
      </c>
      <c r="I2729" t="n">
        <v>0</v>
      </c>
      <c r="J2729" t="n">
        <v>0</v>
      </c>
      <c r="K2729" t="n">
        <v>0</v>
      </c>
      <c r="L2729" t="n">
        <v>0</v>
      </c>
      <c r="M2729" t="n">
        <v>0</v>
      </c>
      <c r="N2729" t="n">
        <v>0</v>
      </c>
      <c r="O2729" t="n">
        <v>0</v>
      </c>
      <c r="P2729" t="n">
        <v>0</v>
      </c>
      <c r="Q2729" t="n">
        <v>0</v>
      </c>
      <c r="R2729" s="2" t="inlineStr"/>
    </row>
    <row r="2730" ht="15" customHeight="1">
      <c r="A2730" t="inlineStr">
        <is>
          <t>A 202-2023</t>
        </is>
      </c>
      <c r="B2730" s="1" t="n">
        <v>44928</v>
      </c>
      <c r="C2730" s="1" t="n">
        <v>45724</v>
      </c>
      <c r="D2730" t="inlineStr">
        <is>
          <t>VÄSTMANLANDS LÄN</t>
        </is>
      </c>
      <c r="E2730" t="inlineStr">
        <is>
          <t>VÄSTERÅS</t>
        </is>
      </c>
      <c r="G2730" t="n">
        <v>0.9</v>
      </c>
      <c r="H2730" t="n">
        <v>0</v>
      </c>
      <c r="I2730" t="n">
        <v>0</v>
      </c>
      <c r="J2730" t="n">
        <v>0</v>
      </c>
      <c r="K2730" t="n">
        <v>0</v>
      </c>
      <c r="L2730" t="n">
        <v>0</v>
      </c>
      <c r="M2730" t="n">
        <v>0</v>
      </c>
      <c r="N2730" t="n">
        <v>0</v>
      </c>
      <c r="O2730" t="n">
        <v>0</v>
      </c>
      <c r="P2730" t="n">
        <v>0</v>
      </c>
      <c r="Q2730" t="n">
        <v>0</v>
      </c>
      <c r="R2730" s="2" t="inlineStr"/>
    </row>
    <row r="2731" ht="15" customHeight="1">
      <c r="A2731" t="inlineStr">
        <is>
          <t>A 1034-2023</t>
        </is>
      </c>
      <c r="B2731" s="1" t="n">
        <v>44935</v>
      </c>
      <c r="C2731" s="1" t="n">
        <v>45724</v>
      </c>
      <c r="D2731" t="inlineStr">
        <is>
          <t>VÄSTMANLANDS LÄN</t>
        </is>
      </c>
      <c r="E2731" t="inlineStr">
        <is>
          <t>KÖPING</t>
        </is>
      </c>
      <c r="G2731" t="n">
        <v>5.4</v>
      </c>
      <c r="H2731" t="n">
        <v>0</v>
      </c>
      <c r="I2731" t="n">
        <v>0</v>
      </c>
      <c r="J2731" t="n">
        <v>0</v>
      </c>
      <c r="K2731" t="n">
        <v>0</v>
      </c>
      <c r="L2731" t="n">
        <v>0</v>
      </c>
      <c r="M2731" t="n">
        <v>0</v>
      </c>
      <c r="N2731" t="n">
        <v>0</v>
      </c>
      <c r="O2731" t="n">
        <v>0</v>
      </c>
      <c r="P2731" t="n">
        <v>0</v>
      </c>
      <c r="Q2731" t="n">
        <v>0</v>
      </c>
      <c r="R2731" s="2" t="inlineStr"/>
    </row>
    <row r="2732" ht="15" customHeight="1">
      <c r="A2732" t="inlineStr">
        <is>
          <t>A 1069-2023</t>
        </is>
      </c>
      <c r="B2732" s="1" t="n">
        <v>44935</v>
      </c>
      <c r="C2732" s="1" t="n">
        <v>45724</v>
      </c>
      <c r="D2732" t="inlineStr">
        <is>
          <t>VÄSTMANLANDS LÄN</t>
        </is>
      </c>
      <c r="E2732" t="inlineStr">
        <is>
          <t>SKINNSKATTEBERG</t>
        </is>
      </c>
      <c r="G2732" t="n">
        <v>10.5</v>
      </c>
      <c r="H2732" t="n">
        <v>0</v>
      </c>
      <c r="I2732" t="n">
        <v>0</v>
      </c>
      <c r="J2732" t="n">
        <v>0</v>
      </c>
      <c r="K2732" t="n">
        <v>0</v>
      </c>
      <c r="L2732" t="n">
        <v>0</v>
      </c>
      <c r="M2732" t="n">
        <v>0</v>
      </c>
      <c r="N2732" t="n">
        <v>0</v>
      </c>
      <c r="O2732" t="n">
        <v>0</v>
      </c>
      <c r="P2732" t="n">
        <v>0</v>
      </c>
      <c r="Q2732" t="n">
        <v>0</v>
      </c>
      <c r="R2732" s="2" t="inlineStr"/>
    </row>
    <row r="2733" ht="15" customHeight="1">
      <c r="A2733" t="inlineStr">
        <is>
          <t>A 1196-2023</t>
        </is>
      </c>
      <c r="B2733" s="1" t="n">
        <v>44935</v>
      </c>
      <c r="C2733" s="1" t="n">
        <v>45724</v>
      </c>
      <c r="D2733" t="inlineStr">
        <is>
          <t>VÄSTMANLANDS LÄN</t>
        </is>
      </c>
      <c r="E2733" t="inlineStr">
        <is>
          <t>SALA</t>
        </is>
      </c>
      <c r="G2733" t="n">
        <v>4.1</v>
      </c>
      <c r="H2733" t="n">
        <v>0</v>
      </c>
      <c r="I2733" t="n">
        <v>0</v>
      </c>
      <c r="J2733" t="n">
        <v>0</v>
      </c>
      <c r="K2733" t="n">
        <v>0</v>
      </c>
      <c r="L2733" t="n">
        <v>0</v>
      </c>
      <c r="M2733" t="n">
        <v>0</v>
      </c>
      <c r="N2733" t="n">
        <v>0</v>
      </c>
      <c r="O2733" t="n">
        <v>0</v>
      </c>
      <c r="P2733" t="n">
        <v>0</v>
      </c>
      <c r="Q2733" t="n">
        <v>0</v>
      </c>
      <c r="R2733" s="2" t="inlineStr"/>
    </row>
    <row r="2734" ht="15" customHeight="1">
      <c r="A2734" t="inlineStr">
        <is>
          <t>A 1594-2023</t>
        </is>
      </c>
      <c r="B2734" s="1" t="n">
        <v>44935</v>
      </c>
      <c r="C2734" s="1" t="n">
        <v>45724</v>
      </c>
      <c r="D2734" t="inlineStr">
        <is>
          <t>VÄSTMANLANDS LÄN</t>
        </is>
      </c>
      <c r="E2734" t="inlineStr">
        <is>
          <t>VÄSTERÅS</t>
        </is>
      </c>
      <c r="G2734" t="n">
        <v>10.9</v>
      </c>
      <c r="H2734" t="n">
        <v>0</v>
      </c>
      <c r="I2734" t="n">
        <v>0</v>
      </c>
      <c r="J2734" t="n">
        <v>0</v>
      </c>
      <c r="K2734" t="n">
        <v>0</v>
      </c>
      <c r="L2734" t="n">
        <v>0</v>
      </c>
      <c r="M2734" t="n">
        <v>0</v>
      </c>
      <c r="N2734" t="n">
        <v>0</v>
      </c>
      <c r="O2734" t="n">
        <v>0</v>
      </c>
      <c r="P2734" t="n">
        <v>0</v>
      </c>
      <c r="Q2734" t="n">
        <v>0</v>
      </c>
      <c r="R2734" s="2" t="inlineStr"/>
    </row>
    <row r="2735" ht="15" customHeight="1">
      <c r="A2735" t="inlineStr">
        <is>
          <t>A 1290-2023</t>
        </is>
      </c>
      <c r="B2735" s="1" t="n">
        <v>44936</v>
      </c>
      <c r="C2735" s="1" t="n">
        <v>45724</v>
      </c>
      <c r="D2735" t="inlineStr">
        <is>
          <t>VÄSTMANLANDS LÄN</t>
        </is>
      </c>
      <c r="E2735" t="inlineStr">
        <is>
          <t>KÖPING</t>
        </is>
      </c>
      <c r="G2735" t="n">
        <v>6</v>
      </c>
      <c r="H2735" t="n">
        <v>0</v>
      </c>
      <c r="I2735" t="n">
        <v>0</v>
      </c>
      <c r="J2735" t="n">
        <v>0</v>
      </c>
      <c r="K2735" t="n">
        <v>0</v>
      </c>
      <c r="L2735" t="n">
        <v>0</v>
      </c>
      <c r="M2735" t="n">
        <v>0</v>
      </c>
      <c r="N2735" t="n">
        <v>0</v>
      </c>
      <c r="O2735" t="n">
        <v>0</v>
      </c>
      <c r="P2735" t="n">
        <v>0</v>
      </c>
      <c r="Q2735" t="n">
        <v>0</v>
      </c>
      <c r="R2735" s="2" t="inlineStr"/>
    </row>
    <row r="2736" ht="15" customHeight="1">
      <c r="A2736" t="inlineStr">
        <is>
          <t>A 1282-2023</t>
        </is>
      </c>
      <c r="B2736" s="1" t="n">
        <v>44936</v>
      </c>
      <c r="C2736" s="1" t="n">
        <v>45724</v>
      </c>
      <c r="D2736" t="inlineStr">
        <is>
          <t>VÄSTMANLANDS LÄN</t>
        </is>
      </c>
      <c r="E2736" t="inlineStr">
        <is>
          <t>SKINNSKATTEBERG</t>
        </is>
      </c>
      <c r="G2736" t="n">
        <v>3.9</v>
      </c>
      <c r="H2736" t="n">
        <v>0</v>
      </c>
      <c r="I2736" t="n">
        <v>0</v>
      </c>
      <c r="J2736" t="n">
        <v>0</v>
      </c>
      <c r="K2736" t="n">
        <v>0</v>
      </c>
      <c r="L2736" t="n">
        <v>0</v>
      </c>
      <c r="M2736" t="n">
        <v>0</v>
      </c>
      <c r="N2736" t="n">
        <v>0</v>
      </c>
      <c r="O2736" t="n">
        <v>0</v>
      </c>
      <c r="P2736" t="n">
        <v>0</v>
      </c>
      <c r="Q2736" t="n">
        <v>0</v>
      </c>
      <c r="R2736" s="2" t="inlineStr"/>
    </row>
    <row r="2737" ht="15" customHeight="1">
      <c r="A2737" t="inlineStr">
        <is>
          <t>A 1701-2023</t>
        </is>
      </c>
      <c r="B2737" s="1" t="n">
        <v>44936</v>
      </c>
      <c r="C2737" s="1" t="n">
        <v>45724</v>
      </c>
      <c r="D2737" t="inlineStr">
        <is>
          <t>VÄSTMANLANDS LÄN</t>
        </is>
      </c>
      <c r="E2737" t="inlineStr">
        <is>
          <t>VÄSTERÅS</t>
        </is>
      </c>
      <c r="G2737" t="n">
        <v>2.2</v>
      </c>
      <c r="H2737" t="n">
        <v>0</v>
      </c>
      <c r="I2737" t="n">
        <v>0</v>
      </c>
      <c r="J2737" t="n">
        <v>0</v>
      </c>
      <c r="K2737" t="n">
        <v>0</v>
      </c>
      <c r="L2737" t="n">
        <v>0</v>
      </c>
      <c r="M2737" t="n">
        <v>0</v>
      </c>
      <c r="N2737" t="n">
        <v>0</v>
      </c>
      <c r="O2737" t="n">
        <v>0</v>
      </c>
      <c r="P2737" t="n">
        <v>0</v>
      </c>
      <c r="Q2737" t="n">
        <v>0</v>
      </c>
      <c r="R2737" s="2" t="inlineStr"/>
    </row>
    <row r="2738" ht="15" customHeight="1">
      <c r="A2738" t="inlineStr">
        <is>
          <t>A 1700-2023</t>
        </is>
      </c>
      <c r="B2738" s="1" t="n">
        <v>44936</v>
      </c>
      <c r="C2738" s="1" t="n">
        <v>45724</v>
      </c>
      <c r="D2738" t="inlineStr">
        <is>
          <t>VÄSTMANLANDS LÄN</t>
        </is>
      </c>
      <c r="E2738" t="inlineStr">
        <is>
          <t>VÄSTERÅS</t>
        </is>
      </c>
      <c r="G2738" t="n">
        <v>4.9</v>
      </c>
      <c r="H2738" t="n">
        <v>0</v>
      </c>
      <c r="I2738" t="n">
        <v>0</v>
      </c>
      <c r="J2738" t="n">
        <v>0</v>
      </c>
      <c r="K2738" t="n">
        <v>0</v>
      </c>
      <c r="L2738" t="n">
        <v>0</v>
      </c>
      <c r="M2738" t="n">
        <v>0</v>
      </c>
      <c r="N2738" t="n">
        <v>0</v>
      </c>
      <c r="O2738" t="n">
        <v>0</v>
      </c>
      <c r="P2738" t="n">
        <v>0</v>
      </c>
      <c r="Q2738" t="n">
        <v>0</v>
      </c>
      <c r="R2738" s="2" t="inlineStr"/>
    </row>
    <row r="2739" ht="15" customHeight="1">
      <c r="A2739" t="inlineStr">
        <is>
          <t>A 1761-2023</t>
        </is>
      </c>
      <c r="B2739" s="1" t="n">
        <v>44936</v>
      </c>
      <c r="C2739" s="1" t="n">
        <v>45724</v>
      </c>
      <c r="D2739" t="inlineStr">
        <is>
          <t>VÄSTMANLANDS LÄN</t>
        </is>
      </c>
      <c r="E2739" t="inlineStr">
        <is>
          <t>VÄSTERÅS</t>
        </is>
      </c>
      <c r="G2739" t="n">
        <v>3.4</v>
      </c>
      <c r="H2739" t="n">
        <v>0</v>
      </c>
      <c r="I2739" t="n">
        <v>0</v>
      </c>
      <c r="J2739" t="n">
        <v>0</v>
      </c>
      <c r="K2739" t="n">
        <v>0</v>
      </c>
      <c r="L2739" t="n">
        <v>0</v>
      </c>
      <c r="M2739" t="n">
        <v>0</v>
      </c>
      <c r="N2739" t="n">
        <v>0</v>
      </c>
      <c r="O2739" t="n">
        <v>0</v>
      </c>
      <c r="P2739" t="n">
        <v>0</v>
      </c>
      <c r="Q2739" t="n">
        <v>0</v>
      </c>
      <c r="R2739" s="2" t="inlineStr"/>
    </row>
    <row r="2740" ht="15" customHeight="1">
      <c r="A2740" t="inlineStr">
        <is>
          <t>A 1773-2023</t>
        </is>
      </c>
      <c r="B2740" s="1" t="n">
        <v>44936</v>
      </c>
      <c r="C2740" s="1" t="n">
        <v>45724</v>
      </c>
      <c r="D2740" t="inlineStr">
        <is>
          <t>VÄSTMANLANDS LÄN</t>
        </is>
      </c>
      <c r="E2740" t="inlineStr">
        <is>
          <t>VÄSTERÅS</t>
        </is>
      </c>
      <c r="G2740" t="n">
        <v>2.9</v>
      </c>
      <c r="H2740" t="n">
        <v>0</v>
      </c>
      <c r="I2740" t="n">
        <v>0</v>
      </c>
      <c r="J2740" t="n">
        <v>0</v>
      </c>
      <c r="K2740" t="n">
        <v>0</v>
      </c>
      <c r="L2740" t="n">
        <v>0</v>
      </c>
      <c r="M2740" t="n">
        <v>0</v>
      </c>
      <c r="N2740" t="n">
        <v>0</v>
      </c>
      <c r="O2740" t="n">
        <v>0</v>
      </c>
      <c r="P2740" t="n">
        <v>0</v>
      </c>
      <c r="Q2740" t="n">
        <v>0</v>
      </c>
      <c r="R2740" s="2" t="inlineStr"/>
    </row>
    <row r="2741" ht="15" customHeight="1">
      <c r="A2741" t="inlineStr">
        <is>
          <t>A 1617-2023</t>
        </is>
      </c>
      <c r="B2741" s="1" t="n">
        <v>44937</v>
      </c>
      <c r="C2741" s="1" t="n">
        <v>45724</v>
      </c>
      <c r="D2741" t="inlineStr">
        <is>
          <t>VÄSTMANLANDS LÄN</t>
        </is>
      </c>
      <c r="E2741" t="inlineStr">
        <is>
          <t>SKINNSKATTEBERG</t>
        </is>
      </c>
      <c r="G2741" t="n">
        <v>15.3</v>
      </c>
      <c r="H2741" t="n">
        <v>0</v>
      </c>
      <c r="I2741" t="n">
        <v>0</v>
      </c>
      <c r="J2741" t="n">
        <v>0</v>
      </c>
      <c r="K2741" t="n">
        <v>0</v>
      </c>
      <c r="L2741" t="n">
        <v>0</v>
      </c>
      <c r="M2741" t="n">
        <v>0</v>
      </c>
      <c r="N2741" t="n">
        <v>0</v>
      </c>
      <c r="O2741" t="n">
        <v>0</v>
      </c>
      <c r="P2741" t="n">
        <v>0</v>
      </c>
      <c r="Q2741" t="n">
        <v>0</v>
      </c>
      <c r="R2741" s="2" t="inlineStr"/>
    </row>
    <row r="2742" ht="15" customHeight="1">
      <c r="A2742" t="inlineStr">
        <is>
          <t>A 1638-2023</t>
        </is>
      </c>
      <c r="B2742" s="1" t="n">
        <v>44937</v>
      </c>
      <c r="C2742" s="1" t="n">
        <v>45724</v>
      </c>
      <c r="D2742" t="inlineStr">
        <is>
          <t>VÄSTMANLANDS LÄN</t>
        </is>
      </c>
      <c r="E2742" t="inlineStr">
        <is>
          <t>SALA</t>
        </is>
      </c>
      <c r="G2742" t="n">
        <v>3.1</v>
      </c>
      <c r="H2742" t="n">
        <v>0</v>
      </c>
      <c r="I2742" t="n">
        <v>0</v>
      </c>
      <c r="J2742" t="n">
        <v>0</v>
      </c>
      <c r="K2742" t="n">
        <v>0</v>
      </c>
      <c r="L2742" t="n">
        <v>0</v>
      </c>
      <c r="M2742" t="n">
        <v>0</v>
      </c>
      <c r="N2742" t="n">
        <v>0</v>
      </c>
      <c r="O2742" t="n">
        <v>0</v>
      </c>
      <c r="P2742" t="n">
        <v>0</v>
      </c>
      <c r="Q2742" t="n">
        <v>0</v>
      </c>
      <c r="R2742" s="2" t="inlineStr"/>
    </row>
    <row r="2743" ht="15" customHeight="1">
      <c r="A2743" t="inlineStr">
        <is>
          <t>A 1793-2023</t>
        </is>
      </c>
      <c r="B2743" s="1" t="n">
        <v>44937</v>
      </c>
      <c r="C2743" s="1" t="n">
        <v>45724</v>
      </c>
      <c r="D2743" t="inlineStr">
        <is>
          <t>VÄSTMANLANDS LÄN</t>
        </is>
      </c>
      <c r="E2743" t="inlineStr">
        <is>
          <t>SALA</t>
        </is>
      </c>
      <c r="G2743" t="n">
        <v>2.6</v>
      </c>
      <c r="H2743" t="n">
        <v>0</v>
      </c>
      <c r="I2743" t="n">
        <v>0</v>
      </c>
      <c r="J2743" t="n">
        <v>0</v>
      </c>
      <c r="K2743" t="n">
        <v>0</v>
      </c>
      <c r="L2743" t="n">
        <v>0</v>
      </c>
      <c r="M2743" t="n">
        <v>0</v>
      </c>
      <c r="N2743" t="n">
        <v>0</v>
      </c>
      <c r="O2743" t="n">
        <v>0</v>
      </c>
      <c r="P2743" t="n">
        <v>0</v>
      </c>
      <c r="Q2743" t="n">
        <v>0</v>
      </c>
      <c r="R2743" s="2" t="inlineStr"/>
    </row>
    <row r="2744" ht="15" customHeight="1">
      <c r="A2744" t="inlineStr">
        <is>
          <t>A 1814-2023</t>
        </is>
      </c>
      <c r="B2744" s="1" t="n">
        <v>44938</v>
      </c>
      <c r="C2744" s="1" t="n">
        <v>45724</v>
      </c>
      <c r="D2744" t="inlineStr">
        <is>
          <t>VÄSTMANLANDS LÄN</t>
        </is>
      </c>
      <c r="E2744" t="inlineStr">
        <is>
          <t>NORBERG</t>
        </is>
      </c>
      <c r="G2744" t="n">
        <v>5.9</v>
      </c>
      <c r="H2744" t="n">
        <v>0</v>
      </c>
      <c r="I2744" t="n">
        <v>0</v>
      </c>
      <c r="J2744" t="n">
        <v>0</v>
      </c>
      <c r="K2744" t="n">
        <v>0</v>
      </c>
      <c r="L2744" t="n">
        <v>0</v>
      </c>
      <c r="M2744" t="n">
        <v>0</v>
      </c>
      <c r="N2744" t="n">
        <v>0</v>
      </c>
      <c r="O2744" t="n">
        <v>0</v>
      </c>
      <c r="P2744" t="n">
        <v>0</v>
      </c>
      <c r="Q2744" t="n">
        <v>0</v>
      </c>
      <c r="R2744" s="2" t="inlineStr"/>
    </row>
    <row r="2745" ht="15" customHeight="1">
      <c r="A2745" t="inlineStr">
        <is>
          <t>A 1934-2023</t>
        </is>
      </c>
      <c r="B2745" s="1" t="n">
        <v>44939</v>
      </c>
      <c r="C2745" s="1" t="n">
        <v>45724</v>
      </c>
      <c r="D2745" t="inlineStr">
        <is>
          <t>VÄSTMANLANDS LÄN</t>
        </is>
      </c>
      <c r="E2745" t="inlineStr">
        <is>
          <t>SALA</t>
        </is>
      </c>
      <c r="G2745" t="n">
        <v>0.5</v>
      </c>
      <c r="H2745" t="n">
        <v>0</v>
      </c>
      <c r="I2745" t="n">
        <v>0</v>
      </c>
      <c r="J2745" t="n">
        <v>0</v>
      </c>
      <c r="K2745" t="n">
        <v>0</v>
      </c>
      <c r="L2745" t="n">
        <v>0</v>
      </c>
      <c r="M2745" t="n">
        <v>0</v>
      </c>
      <c r="N2745" t="n">
        <v>0</v>
      </c>
      <c r="O2745" t="n">
        <v>0</v>
      </c>
      <c r="P2745" t="n">
        <v>0</v>
      </c>
      <c r="Q2745" t="n">
        <v>0</v>
      </c>
      <c r="R2745" s="2" t="inlineStr"/>
    </row>
    <row r="2746" ht="15" customHeight="1">
      <c r="A2746" t="inlineStr">
        <is>
          <t>A 1967-2023</t>
        </is>
      </c>
      <c r="B2746" s="1" t="n">
        <v>44939</v>
      </c>
      <c r="C2746" s="1" t="n">
        <v>45724</v>
      </c>
      <c r="D2746" t="inlineStr">
        <is>
          <t>VÄSTMANLANDS LÄN</t>
        </is>
      </c>
      <c r="E2746" t="inlineStr">
        <is>
          <t>SALA</t>
        </is>
      </c>
      <c r="G2746" t="n">
        <v>4.1</v>
      </c>
      <c r="H2746" t="n">
        <v>0</v>
      </c>
      <c r="I2746" t="n">
        <v>0</v>
      </c>
      <c r="J2746" t="n">
        <v>0</v>
      </c>
      <c r="K2746" t="n">
        <v>0</v>
      </c>
      <c r="L2746" t="n">
        <v>0</v>
      </c>
      <c r="M2746" t="n">
        <v>0</v>
      </c>
      <c r="N2746" t="n">
        <v>0</v>
      </c>
      <c r="O2746" t="n">
        <v>0</v>
      </c>
      <c r="P2746" t="n">
        <v>0</v>
      </c>
      <c r="Q2746" t="n">
        <v>0</v>
      </c>
      <c r="R2746" s="2" t="inlineStr"/>
    </row>
    <row r="2747" ht="15" customHeight="1">
      <c r="A2747" t="inlineStr">
        <is>
          <t>A 2329-2023</t>
        </is>
      </c>
      <c r="B2747" s="1" t="n">
        <v>44942</v>
      </c>
      <c r="C2747" s="1" t="n">
        <v>45724</v>
      </c>
      <c r="D2747" t="inlineStr">
        <is>
          <t>VÄSTMANLANDS LÄN</t>
        </is>
      </c>
      <c r="E2747" t="inlineStr">
        <is>
          <t>ARBOGA</t>
        </is>
      </c>
      <c r="G2747" t="n">
        <v>2</v>
      </c>
      <c r="H2747" t="n">
        <v>0</v>
      </c>
      <c r="I2747" t="n">
        <v>0</v>
      </c>
      <c r="J2747" t="n">
        <v>0</v>
      </c>
      <c r="K2747" t="n">
        <v>0</v>
      </c>
      <c r="L2747" t="n">
        <v>0</v>
      </c>
      <c r="M2747" t="n">
        <v>0</v>
      </c>
      <c r="N2747" t="n">
        <v>0</v>
      </c>
      <c r="O2747" t="n">
        <v>0</v>
      </c>
      <c r="P2747" t="n">
        <v>0</v>
      </c>
      <c r="Q2747" t="n">
        <v>0</v>
      </c>
      <c r="R2747" s="2" t="inlineStr"/>
    </row>
    <row r="2748" ht="15" customHeight="1">
      <c r="A2748" t="inlineStr">
        <is>
          <t>A 2521-2023</t>
        </is>
      </c>
      <c r="B2748" s="1" t="n">
        <v>44943</v>
      </c>
      <c r="C2748" s="1" t="n">
        <v>45724</v>
      </c>
      <c r="D2748" t="inlineStr">
        <is>
          <t>VÄSTMANLANDS LÄN</t>
        </is>
      </c>
      <c r="E2748" t="inlineStr">
        <is>
          <t>SALA</t>
        </is>
      </c>
      <c r="G2748" t="n">
        <v>1.5</v>
      </c>
      <c r="H2748" t="n">
        <v>0</v>
      </c>
      <c r="I2748" t="n">
        <v>0</v>
      </c>
      <c r="J2748" t="n">
        <v>0</v>
      </c>
      <c r="K2748" t="n">
        <v>0</v>
      </c>
      <c r="L2748" t="n">
        <v>0</v>
      </c>
      <c r="M2748" t="n">
        <v>0</v>
      </c>
      <c r="N2748" t="n">
        <v>0</v>
      </c>
      <c r="O2748" t="n">
        <v>0</v>
      </c>
      <c r="P2748" t="n">
        <v>0</v>
      </c>
      <c r="Q2748" t="n">
        <v>0</v>
      </c>
      <c r="R2748" s="2" t="inlineStr"/>
    </row>
    <row r="2749" ht="15" customHeight="1">
      <c r="A2749" t="inlineStr">
        <is>
          <t>A 2900-2023</t>
        </is>
      </c>
      <c r="B2749" s="1" t="n">
        <v>44943</v>
      </c>
      <c r="C2749" s="1" t="n">
        <v>45724</v>
      </c>
      <c r="D2749" t="inlineStr">
        <is>
          <t>VÄSTMANLANDS LÄN</t>
        </is>
      </c>
      <c r="E2749" t="inlineStr">
        <is>
          <t>SALA</t>
        </is>
      </c>
      <c r="G2749" t="n">
        <v>0.5</v>
      </c>
      <c r="H2749" t="n">
        <v>0</v>
      </c>
      <c r="I2749" t="n">
        <v>0</v>
      </c>
      <c r="J2749" t="n">
        <v>0</v>
      </c>
      <c r="K2749" t="n">
        <v>0</v>
      </c>
      <c r="L2749" t="n">
        <v>0</v>
      </c>
      <c r="M2749" t="n">
        <v>0</v>
      </c>
      <c r="N2749" t="n">
        <v>0</v>
      </c>
      <c r="O2749" t="n">
        <v>0</v>
      </c>
      <c r="P2749" t="n">
        <v>0</v>
      </c>
      <c r="Q2749" t="n">
        <v>0</v>
      </c>
      <c r="R2749" s="2" t="inlineStr"/>
    </row>
    <row r="2750" ht="15" customHeight="1">
      <c r="A2750" t="inlineStr">
        <is>
          <t>A 2868-2023</t>
        </is>
      </c>
      <c r="B2750" s="1" t="n">
        <v>44945</v>
      </c>
      <c r="C2750" s="1" t="n">
        <v>45724</v>
      </c>
      <c r="D2750" t="inlineStr">
        <is>
          <t>VÄSTMANLANDS LÄN</t>
        </is>
      </c>
      <c r="E2750" t="inlineStr">
        <is>
          <t>KÖPING</t>
        </is>
      </c>
      <c r="G2750" t="n">
        <v>1.1</v>
      </c>
      <c r="H2750" t="n">
        <v>0</v>
      </c>
      <c r="I2750" t="n">
        <v>0</v>
      </c>
      <c r="J2750" t="n">
        <v>0</v>
      </c>
      <c r="K2750" t="n">
        <v>0</v>
      </c>
      <c r="L2750" t="n">
        <v>0</v>
      </c>
      <c r="M2750" t="n">
        <v>0</v>
      </c>
      <c r="N2750" t="n">
        <v>0</v>
      </c>
      <c r="O2750" t="n">
        <v>0</v>
      </c>
      <c r="P2750" t="n">
        <v>0</v>
      </c>
      <c r="Q2750" t="n">
        <v>0</v>
      </c>
      <c r="R2750" s="2" t="inlineStr"/>
    </row>
    <row r="2751" ht="15" customHeight="1">
      <c r="A2751" t="inlineStr">
        <is>
          <t>A 2848-2023</t>
        </is>
      </c>
      <c r="B2751" s="1" t="n">
        <v>44945</v>
      </c>
      <c r="C2751" s="1" t="n">
        <v>45724</v>
      </c>
      <c r="D2751" t="inlineStr">
        <is>
          <t>VÄSTMANLANDS LÄN</t>
        </is>
      </c>
      <c r="E2751" t="inlineStr">
        <is>
          <t>VÄSTERÅS</t>
        </is>
      </c>
      <c r="G2751" t="n">
        <v>4.5</v>
      </c>
      <c r="H2751" t="n">
        <v>0</v>
      </c>
      <c r="I2751" t="n">
        <v>0</v>
      </c>
      <c r="J2751" t="n">
        <v>0</v>
      </c>
      <c r="K2751" t="n">
        <v>0</v>
      </c>
      <c r="L2751" t="n">
        <v>0</v>
      </c>
      <c r="M2751" t="n">
        <v>0</v>
      </c>
      <c r="N2751" t="n">
        <v>0</v>
      </c>
      <c r="O2751" t="n">
        <v>0</v>
      </c>
      <c r="P2751" t="n">
        <v>0</v>
      </c>
      <c r="Q2751" t="n">
        <v>0</v>
      </c>
      <c r="R2751" s="2" t="inlineStr"/>
    </row>
    <row r="2752" ht="15" customHeight="1">
      <c r="A2752" t="inlineStr">
        <is>
          <t>A 3085-2023</t>
        </is>
      </c>
      <c r="B2752" s="1" t="n">
        <v>44946</v>
      </c>
      <c r="C2752" s="1" t="n">
        <v>45724</v>
      </c>
      <c r="D2752" t="inlineStr">
        <is>
          <t>VÄSTMANLANDS LÄN</t>
        </is>
      </c>
      <c r="E2752" t="inlineStr">
        <is>
          <t>SURAHAMMAR</t>
        </is>
      </c>
      <c r="F2752" t="inlineStr">
        <is>
          <t>Kyrkan</t>
        </is>
      </c>
      <c r="G2752" t="n">
        <v>13</v>
      </c>
      <c r="H2752" t="n">
        <v>0</v>
      </c>
      <c r="I2752" t="n">
        <v>0</v>
      </c>
      <c r="J2752" t="n">
        <v>0</v>
      </c>
      <c r="K2752" t="n">
        <v>0</v>
      </c>
      <c r="L2752" t="n">
        <v>0</v>
      </c>
      <c r="M2752" t="n">
        <v>0</v>
      </c>
      <c r="N2752" t="n">
        <v>0</v>
      </c>
      <c r="O2752" t="n">
        <v>0</v>
      </c>
      <c r="P2752" t="n">
        <v>0</v>
      </c>
      <c r="Q2752" t="n">
        <v>0</v>
      </c>
      <c r="R2752" s="2" t="inlineStr"/>
    </row>
    <row r="2753" ht="15" customHeight="1">
      <c r="A2753" t="inlineStr">
        <is>
          <t>A 3399-2023</t>
        </is>
      </c>
      <c r="B2753" s="1" t="n">
        <v>44949</v>
      </c>
      <c r="C2753" s="1" t="n">
        <v>45724</v>
      </c>
      <c r="D2753" t="inlineStr">
        <is>
          <t>VÄSTMANLANDS LÄN</t>
        </is>
      </c>
      <c r="E2753" t="inlineStr">
        <is>
          <t>ARBOGA</t>
        </is>
      </c>
      <c r="F2753" t="inlineStr">
        <is>
          <t>Sveaskog</t>
        </is>
      </c>
      <c r="G2753" t="n">
        <v>1.4</v>
      </c>
      <c r="H2753" t="n">
        <v>0</v>
      </c>
      <c r="I2753" t="n">
        <v>0</v>
      </c>
      <c r="J2753" t="n">
        <v>0</v>
      </c>
      <c r="K2753" t="n">
        <v>0</v>
      </c>
      <c r="L2753" t="n">
        <v>0</v>
      </c>
      <c r="M2753" t="n">
        <v>0</v>
      </c>
      <c r="N2753" t="n">
        <v>0</v>
      </c>
      <c r="O2753" t="n">
        <v>0</v>
      </c>
      <c r="P2753" t="n">
        <v>0</v>
      </c>
      <c r="Q2753" t="n">
        <v>0</v>
      </c>
      <c r="R2753" s="2" t="inlineStr"/>
    </row>
    <row r="2754" ht="15" customHeight="1">
      <c r="A2754" t="inlineStr">
        <is>
          <t>A 3683-2023</t>
        </is>
      </c>
      <c r="B2754" s="1" t="n">
        <v>44950</v>
      </c>
      <c r="C2754" s="1" t="n">
        <v>45724</v>
      </c>
      <c r="D2754" t="inlineStr">
        <is>
          <t>VÄSTMANLANDS LÄN</t>
        </is>
      </c>
      <c r="E2754" t="inlineStr">
        <is>
          <t>KUNGSÖR</t>
        </is>
      </c>
      <c r="F2754" t="inlineStr">
        <is>
          <t>Allmännings- och besparingsskogar</t>
        </is>
      </c>
      <c r="G2754" t="n">
        <v>6.3</v>
      </c>
      <c r="H2754" t="n">
        <v>0</v>
      </c>
      <c r="I2754" t="n">
        <v>0</v>
      </c>
      <c r="J2754" t="n">
        <v>0</v>
      </c>
      <c r="K2754" t="n">
        <v>0</v>
      </c>
      <c r="L2754" t="n">
        <v>0</v>
      </c>
      <c r="M2754" t="n">
        <v>0</v>
      </c>
      <c r="N2754" t="n">
        <v>0</v>
      </c>
      <c r="O2754" t="n">
        <v>0</v>
      </c>
      <c r="P2754" t="n">
        <v>0</v>
      </c>
      <c r="Q2754" t="n">
        <v>0</v>
      </c>
      <c r="R2754" s="2" t="inlineStr"/>
    </row>
    <row r="2755" ht="15" customHeight="1">
      <c r="A2755" t="inlineStr">
        <is>
          <t>A 3733-2023</t>
        </is>
      </c>
      <c r="B2755" s="1" t="n">
        <v>44951</v>
      </c>
      <c r="C2755" s="1" t="n">
        <v>45724</v>
      </c>
      <c r="D2755" t="inlineStr">
        <is>
          <t>VÄSTMANLANDS LÄN</t>
        </is>
      </c>
      <c r="E2755" t="inlineStr">
        <is>
          <t>SALA</t>
        </is>
      </c>
      <c r="G2755" t="n">
        <v>3.1</v>
      </c>
      <c r="H2755" t="n">
        <v>0</v>
      </c>
      <c r="I2755" t="n">
        <v>0</v>
      </c>
      <c r="J2755" t="n">
        <v>0</v>
      </c>
      <c r="K2755" t="n">
        <v>0</v>
      </c>
      <c r="L2755" t="n">
        <v>0</v>
      </c>
      <c r="M2755" t="n">
        <v>0</v>
      </c>
      <c r="N2755" t="n">
        <v>0</v>
      </c>
      <c r="O2755" t="n">
        <v>0</v>
      </c>
      <c r="P2755" t="n">
        <v>0</v>
      </c>
      <c r="Q2755" t="n">
        <v>0</v>
      </c>
      <c r="R2755" s="2" t="inlineStr"/>
    </row>
    <row r="2756" ht="15" customHeight="1">
      <c r="A2756" t="inlineStr">
        <is>
          <t>A 3810-2023</t>
        </is>
      </c>
      <c r="B2756" s="1" t="n">
        <v>44951</v>
      </c>
      <c r="C2756" s="1" t="n">
        <v>45724</v>
      </c>
      <c r="D2756" t="inlineStr">
        <is>
          <t>VÄSTMANLANDS LÄN</t>
        </is>
      </c>
      <c r="E2756" t="inlineStr">
        <is>
          <t>SALA</t>
        </is>
      </c>
      <c r="G2756" t="n">
        <v>4.2</v>
      </c>
      <c r="H2756" t="n">
        <v>0</v>
      </c>
      <c r="I2756" t="n">
        <v>0</v>
      </c>
      <c r="J2756" t="n">
        <v>0</v>
      </c>
      <c r="K2756" t="n">
        <v>0</v>
      </c>
      <c r="L2756" t="n">
        <v>0</v>
      </c>
      <c r="M2756" t="n">
        <v>0</v>
      </c>
      <c r="N2756" t="n">
        <v>0</v>
      </c>
      <c r="O2756" t="n">
        <v>0</v>
      </c>
      <c r="P2756" t="n">
        <v>0</v>
      </c>
      <c r="Q2756" t="n">
        <v>0</v>
      </c>
      <c r="R2756" s="2" t="inlineStr"/>
    </row>
    <row r="2757" ht="15" customHeight="1">
      <c r="A2757" t="inlineStr">
        <is>
          <t>A 3866-2023</t>
        </is>
      </c>
      <c r="B2757" s="1" t="n">
        <v>44951</v>
      </c>
      <c r="C2757" s="1" t="n">
        <v>45724</v>
      </c>
      <c r="D2757" t="inlineStr">
        <is>
          <t>VÄSTMANLANDS LÄN</t>
        </is>
      </c>
      <c r="E2757" t="inlineStr">
        <is>
          <t>SALA</t>
        </is>
      </c>
      <c r="G2757" t="n">
        <v>1.7</v>
      </c>
      <c r="H2757" t="n">
        <v>0</v>
      </c>
      <c r="I2757" t="n">
        <v>0</v>
      </c>
      <c r="J2757" t="n">
        <v>0</v>
      </c>
      <c r="K2757" t="n">
        <v>0</v>
      </c>
      <c r="L2757" t="n">
        <v>0</v>
      </c>
      <c r="M2757" t="n">
        <v>0</v>
      </c>
      <c r="N2757" t="n">
        <v>0</v>
      </c>
      <c r="O2757" t="n">
        <v>0</v>
      </c>
      <c r="P2757" t="n">
        <v>0</v>
      </c>
      <c r="Q2757" t="n">
        <v>0</v>
      </c>
      <c r="R2757" s="2" t="inlineStr"/>
    </row>
    <row r="2758" ht="15" customHeight="1">
      <c r="A2758" t="inlineStr">
        <is>
          <t>A 4264-2023</t>
        </is>
      </c>
      <c r="B2758" s="1" t="n">
        <v>44953</v>
      </c>
      <c r="C2758" s="1" t="n">
        <v>45724</v>
      </c>
      <c r="D2758" t="inlineStr">
        <is>
          <t>VÄSTMANLANDS LÄN</t>
        </is>
      </c>
      <c r="E2758" t="inlineStr">
        <is>
          <t>FAGERSTA</t>
        </is>
      </c>
      <c r="G2758" t="n">
        <v>1.9</v>
      </c>
      <c r="H2758" t="n">
        <v>0</v>
      </c>
      <c r="I2758" t="n">
        <v>0</v>
      </c>
      <c r="J2758" t="n">
        <v>0</v>
      </c>
      <c r="K2758" t="n">
        <v>0</v>
      </c>
      <c r="L2758" t="n">
        <v>0</v>
      </c>
      <c r="M2758" t="n">
        <v>0</v>
      </c>
      <c r="N2758" t="n">
        <v>0</v>
      </c>
      <c r="O2758" t="n">
        <v>0</v>
      </c>
      <c r="P2758" t="n">
        <v>0</v>
      </c>
      <c r="Q2758" t="n">
        <v>0</v>
      </c>
      <c r="R2758" s="2" t="inlineStr"/>
    </row>
    <row r="2759" ht="15" customHeight="1">
      <c r="A2759" t="inlineStr">
        <is>
          <t>A 4386-2023</t>
        </is>
      </c>
      <c r="B2759" s="1" t="n">
        <v>44955</v>
      </c>
      <c r="C2759" s="1" t="n">
        <v>45724</v>
      </c>
      <c r="D2759" t="inlineStr">
        <is>
          <t>VÄSTMANLANDS LÄN</t>
        </is>
      </c>
      <c r="E2759" t="inlineStr">
        <is>
          <t>SKINNSKATTEBERG</t>
        </is>
      </c>
      <c r="F2759" t="inlineStr">
        <is>
          <t>Sveaskog</t>
        </is>
      </c>
      <c r="G2759" t="n">
        <v>6.6</v>
      </c>
      <c r="H2759" t="n">
        <v>0</v>
      </c>
      <c r="I2759" t="n">
        <v>0</v>
      </c>
      <c r="J2759" t="n">
        <v>0</v>
      </c>
      <c r="K2759" t="n">
        <v>0</v>
      </c>
      <c r="L2759" t="n">
        <v>0</v>
      </c>
      <c r="M2759" t="n">
        <v>0</v>
      </c>
      <c r="N2759" t="n">
        <v>0</v>
      </c>
      <c r="O2759" t="n">
        <v>0</v>
      </c>
      <c r="P2759" t="n">
        <v>0</v>
      </c>
      <c r="Q2759" t="n">
        <v>0</v>
      </c>
      <c r="R2759" s="2" t="inlineStr"/>
    </row>
    <row r="2760" ht="15" customHeight="1">
      <c r="A2760" t="inlineStr">
        <is>
          <t>A 4853-2023</t>
        </is>
      </c>
      <c r="B2760" s="1" t="n">
        <v>44957</v>
      </c>
      <c r="C2760" s="1" t="n">
        <v>45724</v>
      </c>
      <c r="D2760" t="inlineStr">
        <is>
          <t>VÄSTMANLANDS LÄN</t>
        </is>
      </c>
      <c r="E2760" t="inlineStr">
        <is>
          <t>SALA</t>
        </is>
      </c>
      <c r="G2760" t="n">
        <v>2.7</v>
      </c>
      <c r="H2760" t="n">
        <v>0</v>
      </c>
      <c r="I2760" t="n">
        <v>0</v>
      </c>
      <c r="J2760" t="n">
        <v>0</v>
      </c>
      <c r="K2760" t="n">
        <v>0</v>
      </c>
      <c r="L2760" t="n">
        <v>0</v>
      </c>
      <c r="M2760" t="n">
        <v>0</v>
      </c>
      <c r="N2760" t="n">
        <v>0</v>
      </c>
      <c r="O2760" t="n">
        <v>0</v>
      </c>
      <c r="P2760" t="n">
        <v>0</v>
      </c>
      <c r="Q2760" t="n">
        <v>0</v>
      </c>
      <c r="R2760" s="2" t="inlineStr"/>
    </row>
    <row r="2761" ht="15" customHeight="1">
      <c r="A2761" t="inlineStr">
        <is>
          <t>A 4637-2023</t>
        </is>
      </c>
      <c r="B2761" s="1" t="n">
        <v>44957</v>
      </c>
      <c r="C2761" s="1" t="n">
        <v>45724</v>
      </c>
      <c r="D2761" t="inlineStr">
        <is>
          <t>VÄSTMANLANDS LÄN</t>
        </is>
      </c>
      <c r="E2761" t="inlineStr">
        <is>
          <t>SALA</t>
        </is>
      </c>
      <c r="G2761" t="n">
        <v>1.4</v>
      </c>
      <c r="H2761" t="n">
        <v>0</v>
      </c>
      <c r="I2761" t="n">
        <v>0</v>
      </c>
      <c r="J2761" t="n">
        <v>0</v>
      </c>
      <c r="K2761" t="n">
        <v>0</v>
      </c>
      <c r="L2761" t="n">
        <v>0</v>
      </c>
      <c r="M2761" t="n">
        <v>0</v>
      </c>
      <c r="N2761" t="n">
        <v>0</v>
      </c>
      <c r="O2761" t="n">
        <v>0</v>
      </c>
      <c r="P2761" t="n">
        <v>0</v>
      </c>
      <c r="Q2761" t="n">
        <v>0</v>
      </c>
      <c r="R2761" s="2" t="inlineStr"/>
    </row>
    <row r="2762" ht="15" customHeight="1">
      <c r="A2762" t="inlineStr">
        <is>
          <t>A 4687-2023</t>
        </is>
      </c>
      <c r="B2762" s="1" t="n">
        <v>44957</v>
      </c>
      <c r="C2762" s="1" t="n">
        <v>45724</v>
      </c>
      <c r="D2762" t="inlineStr">
        <is>
          <t>VÄSTMANLANDS LÄN</t>
        </is>
      </c>
      <c r="E2762" t="inlineStr">
        <is>
          <t>KÖPING</t>
        </is>
      </c>
      <c r="G2762" t="n">
        <v>4.6</v>
      </c>
      <c r="H2762" t="n">
        <v>0</v>
      </c>
      <c r="I2762" t="n">
        <v>0</v>
      </c>
      <c r="J2762" t="n">
        <v>0</v>
      </c>
      <c r="K2762" t="n">
        <v>0</v>
      </c>
      <c r="L2762" t="n">
        <v>0</v>
      </c>
      <c r="M2762" t="n">
        <v>0</v>
      </c>
      <c r="N2762" t="n">
        <v>0</v>
      </c>
      <c r="O2762" t="n">
        <v>0</v>
      </c>
      <c r="P2762" t="n">
        <v>0</v>
      </c>
      <c r="Q2762" t="n">
        <v>0</v>
      </c>
      <c r="R2762" s="2" t="inlineStr"/>
    </row>
    <row r="2763" ht="15" customHeight="1">
      <c r="A2763" t="inlineStr">
        <is>
          <t>A 4791-2023</t>
        </is>
      </c>
      <c r="B2763" s="1" t="n">
        <v>44957</v>
      </c>
      <c r="C2763" s="1" t="n">
        <v>45724</v>
      </c>
      <c r="D2763" t="inlineStr">
        <is>
          <t>VÄSTMANLANDS LÄN</t>
        </is>
      </c>
      <c r="E2763" t="inlineStr">
        <is>
          <t>SALA</t>
        </is>
      </c>
      <c r="G2763" t="n">
        <v>2.8</v>
      </c>
      <c r="H2763" t="n">
        <v>0</v>
      </c>
      <c r="I2763" t="n">
        <v>0</v>
      </c>
      <c r="J2763" t="n">
        <v>0</v>
      </c>
      <c r="K2763" t="n">
        <v>0</v>
      </c>
      <c r="L2763" t="n">
        <v>0</v>
      </c>
      <c r="M2763" t="n">
        <v>0</v>
      </c>
      <c r="N2763" t="n">
        <v>0</v>
      </c>
      <c r="O2763" t="n">
        <v>0</v>
      </c>
      <c r="P2763" t="n">
        <v>0</v>
      </c>
      <c r="Q2763" t="n">
        <v>0</v>
      </c>
      <c r="R2763" s="2" t="inlineStr"/>
    </row>
    <row r="2764" ht="15" customHeight="1">
      <c r="A2764" t="inlineStr">
        <is>
          <t>A 4797-2023</t>
        </is>
      </c>
      <c r="B2764" s="1" t="n">
        <v>44957</v>
      </c>
      <c r="C2764" s="1" t="n">
        <v>45724</v>
      </c>
      <c r="D2764" t="inlineStr">
        <is>
          <t>VÄSTMANLANDS LÄN</t>
        </is>
      </c>
      <c r="E2764" t="inlineStr">
        <is>
          <t>SALA</t>
        </is>
      </c>
      <c r="G2764" t="n">
        <v>5.7</v>
      </c>
      <c r="H2764" t="n">
        <v>0</v>
      </c>
      <c r="I2764" t="n">
        <v>0</v>
      </c>
      <c r="J2764" t="n">
        <v>0</v>
      </c>
      <c r="K2764" t="n">
        <v>0</v>
      </c>
      <c r="L2764" t="n">
        <v>0</v>
      </c>
      <c r="M2764" t="n">
        <v>0</v>
      </c>
      <c r="N2764" t="n">
        <v>0</v>
      </c>
      <c r="O2764" t="n">
        <v>0</v>
      </c>
      <c r="P2764" t="n">
        <v>0</v>
      </c>
      <c r="Q2764" t="n">
        <v>0</v>
      </c>
      <c r="R2764" s="2" t="inlineStr"/>
    </row>
    <row r="2765" ht="15" customHeight="1">
      <c r="A2765" t="inlineStr">
        <is>
          <t>A 4852-2023</t>
        </is>
      </c>
      <c r="B2765" s="1" t="n">
        <v>44957</v>
      </c>
      <c r="C2765" s="1" t="n">
        <v>45724</v>
      </c>
      <c r="D2765" t="inlineStr">
        <is>
          <t>VÄSTMANLANDS LÄN</t>
        </is>
      </c>
      <c r="E2765" t="inlineStr">
        <is>
          <t>SALA</t>
        </is>
      </c>
      <c r="G2765" t="n">
        <v>2</v>
      </c>
      <c r="H2765" t="n">
        <v>0</v>
      </c>
      <c r="I2765" t="n">
        <v>0</v>
      </c>
      <c r="J2765" t="n">
        <v>0</v>
      </c>
      <c r="K2765" t="n">
        <v>0</v>
      </c>
      <c r="L2765" t="n">
        <v>0</v>
      </c>
      <c r="M2765" t="n">
        <v>0</v>
      </c>
      <c r="N2765" t="n">
        <v>0</v>
      </c>
      <c r="O2765" t="n">
        <v>0</v>
      </c>
      <c r="P2765" t="n">
        <v>0</v>
      </c>
      <c r="Q2765" t="n">
        <v>0</v>
      </c>
      <c r="R2765" s="2" t="inlineStr"/>
    </row>
    <row r="2766" ht="15" customHeight="1">
      <c r="A2766" t="inlineStr">
        <is>
          <t>A 5123-2023</t>
        </is>
      </c>
      <c r="B2766" s="1" t="n">
        <v>44958</v>
      </c>
      <c r="C2766" s="1" t="n">
        <v>45724</v>
      </c>
      <c r="D2766" t="inlineStr">
        <is>
          <t>VÄSTMANLANDS LÄN</t>
        </is>
      </c>
      <c r="E2766" t="inlineStr">
        <is>
          <t>VÄSTERÅS</t>
        </is>
      </c>
      <c r="G2766" t="n">
        <v>2.2</v>
      </c>
      <c r="H2766" t="n">
        <v>0</v>
      </c>
      <c r="I2766" t="n">
        <v>0</v>
      </c>
      <c r="J2766" t="n">
        <v>0</v>
      </c>
      <c r="K2766" t="n">
        <v>0</v>
      </c>
      <c r="L2766" t="n">
        <v>0</v>
      </c>
      <c r="M2766" t="n">
        <v>0</v>
      </c>
      <c r="N2766" t="n">
        <v>0</v>
      </c>
      <c r="O2766" t="n">
        <v>0</v>
      </c>
      <c r="P2766" t="n">
        <v>0</v>
      </c>
      <c r="Q2766" t="n">
        <v>0</v>
      </c>
      <c r="R2766" s="2" t="inlineStr"/>
    </row>
    <row r="2767" ht="15" customHeight="1">
      <c r="A2767" t="inlineStr">
        <is>
          <t>A 5459-2023</t>
        </is>
      </c>
      <c r="B2767" s="1" t="n">
        <v>44960</v>
      </c>
      <c r="C2767" s="1" t="n">
        <v>45724</v>
      </c>
      <c r="D2767" t="inlineStr">
        <is>
          <t>VÄSTMANLANDS LÄN</t>
        </is>
      </c>
      <c r="E2767" t="inlineStr">
        <is>
          <t>ARBOGA</t>
        </is>
      </c>
      <c r="F2767" t="inlineStr">
        <is>
          <t>Allmännings- och besparingsskogar</t>
        </is>
      </c>
      <c r="G2767" t="n">
        <v>14.8</v>
      </c>
      <c r="H2767" t="n">
        <v>0</v>
      </c>
      <c r="I2767" t="n">
        <v>0</v>
      </c>
      <c r="J2767" t="n">
        <v>0</v>
      </c>
      <c r="K2767" t="n">
        <v>0</v>
      </c>
      <c r="L2767" t="n">
        <v>0</v>
      </c>
      <c r="M2767" t="n">
        <v>0</v>
      </c>
      <c r="N2767" t="n">
        <v>0</v>
      </c>
      <c r="O2767" t="n">
        <v>0</v>
      </c>
      <c r="P2767" t="n">
        <v>0</v>
      </c>
      <c r="Q2767" t="n">
        <v>0</v>
      </c>
      <c r="R2767" s="2" t="inlineStr"/>
    </row>
    <row r="2768" ht="15" customHeight="1">
      <c r="A2768" t="inlineStr">
        <is>
          <t>A 5724-2023</t>
        </is>
      </c>
      <c r="B2768" s="1" t="n">
        <v>44961</v>
      </c>
      <c r="C2768" s="1" t="n">
        <v>45724</v>
      </c>
      <c r="D2768" t="inlineStr">
        <is>
          <t>VÄSTMANLANDS LÄN</t>
        </is>
      </c>
      <c r="E2768" t="inlineStr">
        <is>
          <t>VÄSTERÅS</t>
        </is>
      </c>
      <c r="G2768" t="n">
        <v>1.5</v>
      </c>
      <c r="H2768" t="n">
        <v>0</v>
      </c>
      <c r="I2768" t="n">
        <v>0</v>
      </c>
      <c r="J2768" t="n">
        <v>0</v>
      </c>
      <c r="K2768" t="n">
        <v>0</v>
      </c>
      <c r="L2768" t="n">
        <v>0</v>
      </c>
      <c r="M2768" t="n">
        <v>0</v>
      </c>
      <c r="N2768" t="n">
        <v>0</v>
      </c>
      <c r="O2768" t="n">
        <v>0</v>
      </c>
      <c r="P2768" t="n">
        <v>0</v>
      </c>
      <c r="Q2768" t="n">
        <v>0</v>
      </c>
      <c r="R2768" s="2" t="inlineStr"/>
    </row>
    <row r="2769" ht="15" customHeight="1">
      <c r="A2769" t="inlineStr">
        <is>
          <t>A 5782-2023</t>
        </is>
      </c>
      <c r="B2769" s="1" t="n">
        <v>44963</v>
      </c>
      <c r="C2769" s="1" t="n">
        <v>45724</v>
      </c>
      <c r="D2769" t="inlineStr">
        <is>
          <t>VÄSTMANLANDS LÄN</t>
        </is>
      </c>
      <c r="E2769" t="inlineStr">
        <is>
          <t>SALA</t>
        </is>
      </c>
      <c r="G2769" t="n">
        <v>4.2</v>
      </c>
      <c r="H2769" t="n">
        <v>0</v>
      </c>
      <c r="I2769" t="n">
        <v>0</v>
      </c>
      <c r="J2769" t="n">
        <v>0</v>
      </c>
      <c r="K2769" t="n">
        <v>0</v>
      </c>
      <c r="L2769" t="n">
        <v>0</v>
      </c>
      <c r="M2769" t="n">
        <v>0</v>
      </c>
      <c r="N2769" t="n">
        <v>0</v>
      </c>
      <c r="O2769" t="n">
        <v>0</v>
      </c>
      <c r="P2769" t="n">
        <v>0</v>
      </c>
      <c r="Q2769" t="n">
        <v>0</v>
      </c>
      <c r="R2769" s="2" t="inlineStr"/>
    </row>
    <row r="2770" ht="15" customHeight="1">
      <c r="A2770" t="inlineStr">
        <is>
          <t>A 6111-2023</t>
        </is>
      </c>
      <c r="B2770" s="1" t="n">
        <v>44964</v>
      </c>
      <c r="C2770" s="1" t="n">
        <v>45724</v>
      </c>
      <c r="D2770" t="inlineStr">
        <is>
          <t>VÄSTMANLANDS LÄN</t>
        </is>
      </c>
      <c r="E2770" t="inlineStr">
        <is>
          <t>SALA</t>
        </is>
      </c>
      <c r="G2770" t="n">
        <v>3.7</v>
      </c>
      <c r="H2770" t="n">
        <v>0</v>
      </c>
      <c r="I2770" t="n">
        <v>0</v>
      </c>
      <c r="J2770" t="n">
        <v>0</v>
      </c>
      <c r="K2770" t="n">
        <v>0</v>
      </c>
      <c r="L2770" t="n">
        <v>0</v>
      </c>
      <c r="M2770" t="n">
        <v>0</v>
      </c>
      <c r="N2770" t="n">
        <v>0</v>
      </c>
      <c r="O2770" t="n">
        <v>0</v>
      </c>
      <c r="P2770" t="n">
        <v>0</v>
      </c>
      <c r="Q2770" t="n">
        <v>0</v>
      </c>
      <c r="R2770" s="2" t="inlineStr"/>
    </row>
    <row r="2771" ht="15" customHeight="1">
      <c r="A2771" t="inlineStr">
        <is>
          <t>A 6135-2023</t>
        </is>
      </c>
      <c r="B2771" s="1" t="n">
        <v>44964</v>
      </c>
      <c r="C2771" s="1" t="n">
        <v>45724</v>
      </c>
      <c r="D2771" t="inlineStr">
        <is>
          <t>VÄSTMANLANDS LÄN</t>
        </is>
      </c>
      <c r="E2771" t="inlineStr">
        <is>
          <t>SALA</t>
        </is>
      </c>
      <c r="G2771" t="n">
        <v>0.5</v>
      </c>
      <c r="H2771" t="n">
        <v>0</v>
      </c>
      <c r="I2771" t="n">
        <v>0</v>
      </c>
      <c r="J2771" t="n">
        <v>0</v>
      </c>
      <c r="K2771" t="n">
        <v>0</v>
      </c>
      <c r="L2771" t="n">
        <v>0</v>
      </c>
      <c r="M2771" t="n">
        <v>0</v>
      </c>
      <c r="N2771" t="n">
        <v>0</v>
      </c>
      <c r="O2771" t="n">
        <v>0</v>
      </c>
      <c r="P2771" t="n">
        <v>0</v>
      </c>
      <c r="Q2771" t="n">
        <v>0</v>
      </c>
      <c r="R2771" s="2" t="inlineStr"/>
    </row>
    <row r="2772" ht="15" customHeight="1">
      <c r="A2772" t="inlineStr">
        <is>
          <t>A 6167-2023</t>
        </is>
      </c>
      <c r="B2772" s="1" t="n">
        <v>44964</v>
      </c>
      <c r="C2772" s="1" t="n">
        <v>45724</v>
      </c>
      <c r="D2772" t="inlineStr">
        <is>
          <t>VÄSTMANLANDS LÄN</t>
        </is>
      </c>
      <c r="E2772" t="inlineStr">
        <is>
          <t>SALA</t>
        </is>
      </c>
      <c r="G2772" t="n">
        <v>0.7</v>
      </c>
      <c r="H2772" t="n">
        <v>0</v>
      </c>
      <c r="I2772" t="n">
        <v>0</v>
      </c>
      <c r="J2772" t="n">
        <v>0</v>
      </c>
      <c r="K2772" t="n">
        <v>0</v>
      </c>
      <c r="L2772" t="n">
        <v>0</v>
      </c>
      <c r="M2772" t="n">
        <v>0</v>
      </c>
      <c r="N2772" t="n">
        <v>0</v>
      </c>
      <c r="O2772" t="n">
        <v>0</v>
      </c>
      <c r="P2772" t="n">
        <v>0</v>
      </c>
      <c r="Q2772" t="n">
        <v>0</v>
      </c>
      <c r="R2772" s="2" t="inlineStr"/>
    </row>
    <row r="2773" ht="15" customHeight="1">
      <c r="A2773" t="inlineStr">
        <is>
          <t>A 6130-2023</t>
        </is>
      </c>
      <c r="B2773" s="1" t="n">
        <v>44964</v>
      </c>
      <c r="C2773" s="1" t="n">
        <v>45724</v>
      </c>
      <c r="D2773" t="inlineStr">
        <is>
          <t>VÄSTMANLANDS LÄN</t>
        </is>
      </c>
      <c r="E2773" t="inlineStr">
        <is>
          <t>SALA</t>
        </is>
      </c>
      <c r="G2773" t="n">
        <v>8</v>
      </c>
      <c r="H2773" t="n">
        <v>0</v>
      </c>
      <c r="I2773" t="n">
        <v>0</v>
      </c>
      <c r="J2773" t="n">
        <v>0</v>
      </c>
      <c r="K2773" t="n">
        <v>0</v>
      </c>
      <c r="L2773" t="n">
        <v>0</v>
      </c>
      <c r="M2773" t="n">
        <v>0</v>
      </c>
      <c r="N2773" t="n">
        <v>0</v>
      </c>
      <c r="O2773" t="n">
        <v>0</v>
      </c>
      <c r="P2773" t="n">
        <v>0</v>
      </c>
      <c r="Q2773" t="n">
        <v>0</v>
      </c>
      <c r="R2773" s="2" t="inlineStr"/>
    </row>
    <row r="2774" ht="15" customHeight="1">
      <c r="A2774" t="inlineStr">
        <is>
          <t>A 6051-2023</t>
        </is>
      </c>
      <c r="B2774" s="1" t="n">
        <v>44964</v>
      </c>
      <c r="C2774" s="1" t="n">
        <v>45724</v>
      </c>
      <c r="D2774" t="inlineStr">
        <is>
          <t>VÄSTMANLANDS LÄN</t>
        </is>
      </c>
      <c r="E2774" t="inlineStr">
        <is>
          <t>KÖPING</t>
        </is>
      </c>
      <c r="G2774" t="n">
        <v>3.2</v>
      </c>
      <c r="H2774" t="n">
        <v>0</v>
      </c>
      <c r="I2774" t="n">
        <v>0</v>
      </c>
      <c r="J2774" t="n">
        <v>0</v>
      </c>
      <c r="K2774" t="n">
        <v>0</v>
      </c>
      <c r="L2774" t="n">
        <v>0</v>
      </c>
      <c r="M2774" t="n">
        <v>0</v>
      </c>
      <c r="N2774" t="n">
        <v>0</v>
      </c>
      <c r="O2774" t="n">
        <v>0</v>
      </c>
      <c r="P2774" t="n">
        <v>0</v>
      </c>
      <c r="Q2774" t="n">
        <v>0</v>
      </c>
      <c r="R2774" s="2" t="inlineStr"/>
    </row>
    <row r="2775" ht="15" customHeight="1">
      <c r="A2775" t="inlineStr">
        <is>
          <t>A 6116-2023</t>
        </is>
      </c>
      <c r="B2775" s="1" t="n">
        <v>44964</v>
      </c>
      <c r="C2775" s="1" t="n">
        <v>45724</v>
      </c>
      <c r="D2775" t="inlineStr">
        <is>
          <t>VÄSTMANLANDS LÄN</t>
        </is>
      </c>
      <c r="E2775" t="inlineStr">
        <is>
          <t>SALA</t>
        </is>
      </c>
      <c r="G2775" t="n">
        <v>1.9</v>
      </c>
      <c r="H2775" t="n">
        <v>0</v>
      </c>
      <c r="I2775" t="n">
        <v>0</v>
      </c>
      <c r="J2775" t="n">
        <v>0</v>
      </c>
      <c r="K2775" t="n">
        <v>0</v>
      </c>
      <c r="L2775" t="n">
        <v>0</v>
      </c>
      <c r="M2775" t="n">
        <v>0</v>
      </c>
      <c r="N2775" t="n">
        <v>0</v>
      </c>
      <c r="O2775" t="n">
        <v>0</v>
      </c>
      <c r="P2775" t="n">
        <v>0</v>
      </c>
      <c r="Q2775" t="n">
        <v>0</v>
      </c>
      <c r="R2775" s="2" t="inlineStr"/>
    </row>
    <row r="2776" ht="15" customHeight="1">
      <c r="A2776" t="inlineStr">
        <is>
          <t>A 6139-2023</t>
        </is>
      </c>
      <c r="B2776" s="1" t="n">
        <v>44964</v>
      </c>
      <c r="C2776" s="1" t="n">
        <v>45724</v>
      </c>
      <c r="D2776" t="inlineStr">
        <is>
          <t>VÄSTMANLANDS LÄN</t>
        </is>
      </c>
      <c r="E2776" t="inlineStr">
        <is>
          <t>SALA</t>
        </is>
      </c>
      <c r="G2776" t="n">
        <v>2.1</v>
      </c>
      <c r="H2776" t="n">
        <v>0</v>
      </c>
      <c r="I2776" t="n">
        <v>0</v>
      </c>
      <c r="J2776" t="n">
        <v>0</v>
      </c>
      <c r="K2776" t="n">
        <v>0</v>
      </c>
      <c r="L2776" t="n">
        <v>0</v>
      </c>
      <c r="M2776" t="n">
        <v>0</v>
      </c>
      <c r="N2776" t="n">
        <v>0</v>
      </c>
      <c r="O2776" t="n">
        <v>0</v>
      </c>
      <c r="P2776" t="n">
        <v>0</v>
      </c>
      <c r="Q2776" t="n">
        <v>0</v>
      </c>
      <c r="R2776" s="2" t="inlineStr"/>
    </row>
    <row r="2777" ht="15" customHeight="1">
      <c r="A2777" t="inlineStr">
        <is>
          <t>A 6183-2023</t>
        </is>
      </c>
      <c r="B2777" s="1" t="n">
        <v>44964</v>
      </c>
      <c r="C2777" s="1" t="n">
        <v>45724</v>
      </c>
      <c r="D2777" t="inlineStr">
        <is>
          <t>VÄSTMANLANDS LÄN</t>
        </is>
      </c>
      <c r="E2777" t="inlineStr">
        <is>
          <t>SKINNSKATTEBERG</t>
        </is>
      </c>
      <c r="F2777" t="inlineStr">
        <is>
          <t>Sveaskog</t>
        </is>
      </c>
      <c r="G2777" t="n">
        <v>1.7</v>
      </c>
      <c r="H2777" t="n">
        <v>0</v>
      </c>
      <c r="I2777" t="n">
        <v>0</v>
      </c>
      <c r="J2777" t="n">
        <v>0</v>
      </c>
      <c r="K2777" t="n">
        <v>0</v>
      </c>
      <c r="L2777" t="n">
        <v>0</v>
      </c>
      <c r="M2777" t="n">
        <v>0</v>
      </c>
      <c r="N2777" t="n">
        <v>0</v>
      </c>
      <c r="O2777" t="n">
        <v>0</v>
      </c>
      <c r="P2777" t="n">
        <v>0</v>
      </c>
      <c r="Q2777" t="n">
        <v>0</v>
      </c>
      <c r="R2777" s="2" t="inlineStr"/>
    </row>
    <row r="2778" ht="15" customHeight="1">
      <c r="A2778" t="inlineStr">
        <is>
          <t>A 6869-2023</t>
        </is>
      </c>
      <c r="B2778" s="1" t="n">
        <v>44964</v>
      </c>
      <c r="C2778" s="1" t="n">
        <v>45724</v>
      </c>
      <c r="D2778" t="inlineStr">
        <is>
          <t>VÄSTMANLANDS LÄN</t>
        </is>
      </c>
      <c r="E2778" t="inlineStr">
        <is>
          <t>SALA</t>
        </is>
      </c>
      <c r="G2778" t="n">
        <v>11.6</v>
      </c>
      <c r="H2778" t="n">
        <v>0</v>
      </c>
      <c r="I2778" t="n">
        <v>0</v>
      </c>
      <c r="J2778" t="n">
        <v>0</v>
      </c>
      <c r="K2778" t="n">
        <v>0</v>
      </c>
      <c r="L2778" t="n">
        <v>0</v>
      </c>
      <c r="M2778" t="n">
        <v>0</v>
      </c>
      <c r="N2778" t="n">
        <v>0</v>
      </c>
      <c r="O2778" t="n">
        <v>0</v>
      </c>
      <c r="P2778" t="n">
        <v>0</v>
      </c>
      <c r="Q2778" t="n">
        <v>0</v>
      </c>
      <c r="R2778" s="2" t="inlineStr"/>
    </row>
    <row r="2779" ht="15" customHeight="1">
      <c r="A2779" t="inlineStr">
        <is>
          <t>A 6298-2023</t>
        </is>
      </c>
      <c r="B2779" s="1" t="n">
        <v>44965</v>
      </c>
      <c r="C2779" s="1" t="n">
        <v>45724</v>
      </c>
      <c r="D2779" t="inlineStr">
        <is>
          <t>VÄSTMANLANDS LÄN</t>
        </is>
      </c>
      <c r="E2779" t="inlineStr">
        <is>
          <t>SKINNSKATTEBERG</t>
        </is>
      </c>
      <c r="G2779" t="n">
        <v>2.2</v>
      </c>
      <c r="H2779" t="n">
        <v>0</v>
      </c>
      <c r="I2779" t="n">
        <v>0</v>
      </c>
      <c r="J2779" t="n">
        <v>0</v>
      </c>
      <c r="K2779" t="n">
        <v>0</v>
      </c>
      <c r="L2779" t="n">
        <v>0</v>
      </c>
      <c r="M2779" t="n">
        <v>0</v>
      </c>
      <c r="N2779" t="n">
        <v>0</v>
      </c>
      <c r="O2779" t="n">
        <v>0</v>
      </c>
      <c r="P2779" t="n">
        <v>0</v>
      </c>
      <c r="Q2779" t="n">
        <v>0</v>
      </c>
      <c r="R2779" s="2" t="inlineStr"/>
    </row>
    <row r="2780" ht="15" customHeight="1">
      <c r="A2780" t="inlineStr">
        <is>
          <t>A 6351-2023</t>
        </is>
      </c>
      <c r="B2780" s="1" t="n">
        <v>44965</v>
      </c>
      <c r="C2780" s="1" t="n">
        <v>45724</v>
      </c>
      <c r="D2780" t="inlineStr">
        <is>
          <t>VÄSTMANLANDS LÄN</t>
        </is>
      </c>
      <c r="E2780" t="inlineStr">
        <is>
          <t>SALA</t>
        </is>
      </c>
      <c r="F2780" t="inlineStr">
        <is>
          <t>Kommuner</t>
        </is>
      </c>
      <c r="G2780" t="n">
        <v>8.800000000000001</v>
      </c>
      <c r="H2780" t="n">
        <v>0</v>
      </c>
      <c r="I2780" t="n">
        <v>0</v>
      </c>
      <c r="J2780" t="n">
        <v>0</v>
      </c>
      <c r="K2780" t="n">
        <v>0</v>
      </c>
      <c r="L2780" t="n">
        <v>0</v>
      </c>
      <c r="M2780" t="n">
        <v>0</v>
      </c>
      <c r="N2780" t="n">
        <v>0</v>
      </c>
      <c r="O2780" t="n">
        <v>0</v>
      </c>
      <c r="P2780" t="n">
        <v>0</v>
      </c>
      <c r="Q2780" t="n">
        <v>0</v>
      </c>
      <c r="R2780" s="2" t="inlineStr"/>
    </row>
    <row r="2781" ht="15" customHeight="1">
      <c r="A2781" t="inlineStr">
        <is>
          <t>A 6667-2023</t>
        </is>
      </c>
      <c r="B2781" s="1" t="n">
        <v>44966</v>
      </c>
      <c r="C2781" s="1" t="n">
        <v>45724</v>
      </c>
      <c r="D2781" t="inlineStr">
        <is>
          <t>VÄSTMANLANDS LÄN</t>
        </is>
      </c>
      <c r="E2781" t="inlineStr">
        <is>
          <t>KÖPING</t>
        </is>
      </c>
      <c r="G2781" t="n">
        <v>11.9</v>
      </c>
      <c r="H2781" t="n">
        <v>0</v>
      </c>
      <c r="I2781" t="n">
        <v>0</v>
      </c>
      <c r="J2781" t="n">
        <v>0</v>
      </c>
      <c r="K2781" t="n">
        <v>0</v>
      </c>
      <c r="L2781" t="n">
        <v>0</v>
      </c>
      <c r="M2781" t="n">
        <v>0</v>
      </c>
      <c r="N2781" t="n">
        <v>0</v>
      </c>
      <c r="O2781" t="n">
        <v>0</v>
      </c>
      <c r="P2781" t="n">
        <v>0</v>
      </c>
      <c r="Q2781" t="n">
        <v>0</v>
      </c>
      <c r="R2781" s="2" t="inlineStr"/>
    </row>
    <row r="2782" ht="15" customHeight="1">
      <c r="A2782" t="inlineStr">
        <is>
          <t>A 6680-2023</t>
        </is>
      </c>
      <c r="B2782" s="1" t="n">
        <v>44966</v>
      </c>
      <c r="C2782" s="1" t="n">
        <v>45724</v>
      </c>
      <c r="D2782" t="inlineStr">
        <is>
          <t>VÄSTMANLANDS LÄN</t>
        </is>
      </c>
      <c r="E2782" t="inlineStr">
        <is>
          <t>ARBOGA</t>
        </is>
      </c>
      <c r="G2782" t="n">
        <v>2.3</v>
      </c>
      <c r="H2782" t="n">
        <v>0</v>
      </c>
      <c r="I2782" t="n">
        <v>0</v>
      </c>
      <c r="J2782" t="n">
        <v>0</v>
      </c>
      <c r="K2782" t="n">
        <v>0</v>
      </c>
      <c r="L2782" t="n">
        <v>0</v>
      </c>
      <c r="M2782" t="n">
        <v>0</v>
      </c>
      <c r="N2782" t="n">
        <v>0</v>
      </c>
      <c r="O2782" t="n">
        <v>0</v>
      </c>
      <c r="P2782" t="n">
        <v>0</v>
      </c>
      <c r="Q2782" t="n">
        <v>0</v>
      </c>
      <c r="R2782" s="2" t="inlineStr"/>
    </row>
    <row r="2783" ht="15" customHeight="1">
      <c r="A2783" t="inlineStr">
        <is>
          <t>A 6851-2023</t>
        </is>
      </c>
      <c r="B2783" s="1" t="n">
        <v>44967</v>
      </c>
      <c r="C2783" s="1" t="n">
        <v>45724</v>
      </c>
      <c r="D2783" t="inlineStr">
        <is>
          <t>VÄSTMANLANDS LÄN</t>
        </is>
      </c>
      <c r="E2783" t="inlineStr">
        <is>
          <t>SALA</t>
        </is>
      </c>
      <c r="G2783" t="n">
        <v>2.7</v>
      </c>
      <c r="H2783" t="n">
        <v>0</v>
      </c>
      <c r="I2783" t="n">
        <v>0</v>
      </c>
      <c r="J2783" t="n">
        <v>0</v>
      </c>
      <c r="K2783" t="n">
        <v>0</v>
      </c>
      <c r="L2783" t="n">
        <v>0</v>
      </c>
      <c r="M2783" t="n">
        <v>0</v>
      </c>
      <c r="N2783" t="n">
        <v>0</v>
      </c>
      <c r="O2783" t="n">
        <v>0</v>
      </c>
      <c r="P2783" t="n">
        <v>0</v>
      </c>
      <c r="Q2783" t="n">
        <v>0</v>
      </c>
      <c r="R2783" s="2" t="inlineStr"/>
    </row>
    <row r="2784" ht="15" customHeight="1">
      <c r="A2784" t="inlineStr">
        <is>
          <t>A 6946-2023</t>
        </is>
      </c>
      <c r="B2784" s="1" t="n">
        <v>44967</v>
      </c>
      <c r="C2784" s="1" t="n">
        <v>45724</v>
      </c>
      <c r="D2784" t="inlineStr">
        <is>
          <t>VÄSTMANLANDS LÄN</t>
        </is>
      </c>
      <c r="E2784" t="inlineStr">
        <is>
          <t>KÖPING</t>
        </is>
      </c>
      <c r="F2784" t="inlineStr">
        <is>
          <t>Sveaskog</t>
        </is>
      </c>
      <c r="G2784" t="n">
        <v>7.5</v>
      </c>
      <c r="H2784" t="n">
        <v>0</v>
      </c>
      <c r="I2784" t="n">
        <v>0</v>
      </c>
      <c r="J2784" t="n">
        <v>0</v>
      </c>
      <c r="K2784" t="n">
        <v>0</v>
      </c>
      <c r="L2784" t="n">
        <v>0</v>
      </c>
      <c r="M2784" t="n">
        <v>0</v>
      </c>
      <c r="N2784" t="n">
        <v>0</v>
      </c>
      <c r="O2784" t="n">
        <v>0</v>
      </c>
      <c r="P2784" t="n">
        <v>0</v>
      </c>
      <c r="Q2784" t="n">
        <v>0</v>
      </c>
      <c r="R2784" s="2" t="inlineStr"/>
    </row>
    <row r="2785" ht="15" customHeight="1">
      <c r="A2785" t="inlineStr">
        <is>
          <t>A 6943-2023</t>
        </is>
      </c>
      <c r="B2785" s="1" t="n">
        <v>44967</v>
      </c>
      <c r="C2785" s="1" t="n">
        <v>45724</v>
      </c>
      <c r="D2785" t="inlineStr">
        <is>
          <t>VÄSTMANLANDS LÄN</t>
        </is>
      </c>
      <c r="E2785" t="inlineStr">
        <is>
          <t>SKINNSKATTEBERG</t>
        </is>
      </c>
      <c r="F2785" t="inlineStr">
        <is>
          <t>Sveaskog</t>
        </is>
      </c>
      <c r="G2785" t="n">
        <v>3</v>
      </c>
      <c r="H2785" t="n">
        <v>0</v>
      </c>
      <c r="I2785" t="n">
        <v>0</v>
      </c>
      <c r="J2785" t="n">
        <v>0</v>
      </c>
      <c r="K2785" t="n">
        <v>0</v>
      </c>
      <c r="L2785" t="n">
        <v>0</v>
      </c>
      <c r="M2785" t="n">
        <v>0</v>
      </c>
      <c r="N2785" t="n">
        <v>0</v>
      </c>
      <c r="O2785" t="n">
        <v>0</v>
      </c>
      <c r="P2785" t="n">
        <v>0</v>
      </c>
      <c r="Q2785" t="n">
        <v>0</v>
      </c>
      <c r="R2785" s="2" t="inlineStr"/>
    </row>
    <row r="2786" ht="15" customHeight="1">
      <c r="A2786" t="inlineStr">
        <is>
          <t>A 6948-2023</t>
        </is>
      </c>
      <c r="B2786" s="1" t="n">
        <v>44967</v>
      </c>
      <c r="C2786" s="1" t="n">
        <v>45724</v>
      </c>
      <c r="D2786" t="inlineStr">
        <is>
          <t>VÄSTMANLANDS LÄN</t>
        </is>
      </c>
      <c r="E2786" t="inlineStr">
        <is>
          <t>KÖPING</t>
        </is>
      </c>
      <c r="F2786" t="inlineStr">
        <is>
          <t>Sveaskog</t>
        </is>
      </c>
      <c r="G2786" t="n">
        <v>0.5</v>
      </c>
      <c r="H2786" t="n">
        <v>0</v>
      </c>
      <c r="I2786" t="n">
        <v>0</v>
      </c>
      <c r="J2786" t="n">
        <v>0</v>
      </c>
      <c r="K2786" t="n">
        <v>0</v>
      </c>
      <c r="L2786" t="n">
        <v>0</v>
      </c>
      <c r="M2786" t="n">
        <v>0</v>
      </c>
      <c r="N2786" t="n">
        <v>0</v>
      </c>
      <c r="O2786" t="n">
        <v>0</v>
      </c>
      <c r="P2786" t="n">
        <v>0</v>
      </c>
      <c r="Q2786" t="n">
        <v>0</v>
      </c>
      <c r="R2786" s="2" t="inlineStr"/>
    </row>
    <row r="2787" ht="15" customHeight="1">
      <c r="A2787" t="inlineStr">
        <is>
          <t>A 6949-2023</t>
        </is>
      </c>
      <c r="B2787" s="1" t="n">
        <v>44967</v>
      </c>
      <c r="C2787" s="1" t="n">
        <v>45724</v>
      </c>
      <c r="D2787" t="inlineStr">
        <is>
          <t>VÄSTMANLANDS LÄN</t>
        </is>
      </c>
      <c r="E2787" t="inlineStr">
        <is>
          <t>KÖPING</t>
        </is>
      </c>
      <c r="F2787" t="inlineStr">
        <is>
          <t>Sveaskog</t>
        </is>
      </c>
      <c r="G2787" t="n">
        <v>1.1</v>
      </c>
      <c r="H2787" t="n">
        <v>0</v>
      </c>
      <c r="I2787" t="n">
        <v>0</v>
      </c>
      <c r="J2787" t="n">
        <v>0</v>
      </c>
      <c r="K2787" t="n">
        <v>0</v>
      </c>
      <c r="L2787" t="n">
        <v>0</v>
      </c>
      <c r="M2787" t="n">
        <v>0</v>
      </c>
      <c r="N2787" t="n">
        <v>0</v>
      </c>
      <c r="O2787" t="n">
        <v>0</v>
      </c>
      <c r="P2787" t="n">
        <v>0</v>
      </c>
      <c r="Q2787" t="n">
        <v>0</v>
      </c>
      <c r="R2787" s="2" t="inlineStr"/>
    </row>
    <row r="2788" ht="15" customHeight="1">
      <c r="A2788" t="inlineStr">
        <is>
          <t>A 7176-2023</t>
        </is>
      </c>
      <c r="B2788" s="1" t="n">
        <v>44970</v>
      </c>
      <c r="C2788" s="1" t="n">
        <v>45724</v>
      </c>
      <c r="D2788" t="inlineStr">
        <is>
          <t>VÄSTMANLANDS LÄN</t>
        </is>
      </c>
      <c r="E2788" t="inlineStr">
        <is>
          <t>SALA</t>
        </is>
      </c>
      <c r="G2788" t="n">
        <v>1.5</v>
      </c>
      <c r="H2788" t="n">
        <v>0</v>
      </c>
      <c r="I2788" t="n">
        <v>0</v>
      </c>
      <c r="J2788" t="n">
        <v>0</v>
      </c>
      <c r="K2788" t="n">
        <v>0</v>
      </c>
      <c r="L2788" t="n">
        <v>0</v>
      </c>
      <c r="M2788" t="n">
        <v>0</v>
      </c>
      <c r="N2788" t="n">
        <v>0</v>
      </c>
      <c r="O2788" t="n">
        <v>0</v>
      </c>
      <c r="P2788" t="n">
        <v>0</v>
      </c>
      <c r="Q2788" t="n">
        <v>0</v>
      </c>
      <c r="R2788" s="2" t="inlineStr"/>
    </row>
    <row r="2789" ht="15" customHeight="1">
      <c r="A2789" t="inlineStr">
        <is>
          <t>A 7193-2023</t>
        </is>
      </c>
      <c r="B2789" s="1" t="n">
        <v>44970</v>
      </c>
      <c r="C2789" s="1" t="n">
        <v>45724</v>
      </c>
      <c r="D2789" t="inlineStr">
        <is>
          <t>VÄSTMANLANDS LÄN</t>
        </is>
      </c>
      <c r="E2789" t="inlineStr">
        <is>
          <t>SALA</t>
        </is>
      </c>
      <c r="G2789" t="n">
        <v>2.5</v>
      </c>
      <c r="H2789" t="n">
        <v>0</v>
      </c>
      <c r="I2789" t="n">
        <v>0</v>
      </c>
      <c r="J2789" t="n">
        <v>0</v>
      </c>
      <c r="K2789" t="n">
        <v>0</v>
      </c>
      <c r="L2789" t="n">
        <v>0</v>
      </c>
      <c r="M2789" t="n">
        <v>0</v>
      </c>
      <c r="N2789" t="n">
        <v>0</v>
      </c>
      <c r="O2789" t="n">
        <v>0</v>
      </c>
      <c r="P2789" t="n">
        <v>0</v>
      </c>
      <c r="Q2789" t="n">
        <v>0</v>
      </c>
      <c r="R2789" s="2" t="inlineStr"/>
    </row>
    <row r="2790" ht="15" customHeight="1">
      <c r="A2790" t="inlineStr">
        <is>
          <t>A 7965-2023</t>
        </is>
      </c>
      <c r="B2790" s="1" t="n">
        <v>44970</v>
      </c>
      <c r="C2790" s="1" t="n">
        <v>45724</v>
      </c>
      <c r="D2790" t="inlineStr">
        <is>
          <t>VÄSTMANLANDS LÄN</t>
        </is>
      </c>
      <c r="E2790" t="inlineStr">
        <is>
          <t>KÖPING</t>
        </is>
      </c>
      <c r="G2790" t="n">
        <v>1.7</v>
      </c>
      <c r="H2790" t="n">
        <v>0</v>
      </c>
      <c r="I2790" t="n">
        <v>0</v>
      </c>
      <c r="J2790" t="n">
        <v>0</v>
      </c>
      <c r="K2790" t="n">
        <v>0</v>
      </c>
      <c r="L2790" t="n">
        <v>0</v>
      </c>
      <c r="M2790" t="n">
        <v>0</v>
      </c>
      <c r="N2790" t="n">
        <v>0</v>
      </c>
      <c r="O2790" t="n">
        <v>0</v>
      </c>
      <c r="P2790" t="n">
        <v>0</v>
      </c>
      <c r="Q2790" t="n">
        <v>0</v>
      </c>
      <c r="R2790" s="2" t="inlineStr"/>
    </row>
    <row r="2791" ht="15" customHeight="1">
      <c r="A2791" t="inlineStr">
        <is>
          <t>A 7954-2023</t>
        </is>
      </c>
      <c r="B2791" s="1" t="n">
        <v>44970</v>
      </c>
      <c r="C2791" s="1" t="n">
        <v>45724</v>
      </c>
      <c r="D2791" t="inlineStr">
        <is>
          <t>VÄSTMANLANDS LÄN</t>
        </is>
      </c>
      <c r="E2791" t="inlineStr">
        <is>
          <t>SALA</t>
        </is>
      </c>
      <c r="G2791" t="n">
        <v>1.6</v>
      </c>
      <c r="H2791" t="n">
        <v>0</v>
      </c>
      <c r="I2791" t="n">
        <v>0</v>
      </c>
      <c r="J2791" t="n">
        <v>0</v>
      </c>
      <c r="K2791" t="n">
        <v>0</v>
      </c>
      <c r="L2791" t="n">
        <v>0</v>
      </c>
      <c r="M2791" t="n">
        <v>0</v>
      </c>
      <c r="N2791" t="n">
        <v>0</v>
      </c>
      <c r="O2791" t="n">
        <v>0</v>
      </c>
      <c r="P2791" t="n">
        <v>0</v>
      </c>
      <c r="Q2791" t="n">
        <v>0</v>
      </c>
      <c r="R2791" s="2" t="inlineStr"/>
    </row>
    <row r="2792" ht="15" customHeight="1">
      <c r="A2792" t="inlineStr">
        <is>
          <t>A 7377-2023</t>
        </is>
      </c>
      <c r="B2792" s="1" t="n">
        <v>44971</v>
      </c>
      <c r="C2792" s="1" t="n">
        <v>45724</v>
      </c>
      <c r="D2792" t="inlineStr">
        <is>
          <t>VÄSTMANLANDS LÄN</t>
        </is>
      </c>
      <c r="E2792" t="inlineStr">
        <is>
          <t>SALA</t>
        </is>
      </c>
      <c r="G2792" t="n">
        <v>0.9</v>
      </c>
      <c r="H2792" t="n">
        <v>0</v>
      </c>
      <c r="I2792" t="n">
        <v>0</v>
      </c>
      <c r="J2792" t="n">
        <v>0</v>
      </c>
      <c r="K2792" t="n">
        <v>0</v>
      </c>
      <c r="L2792" t="n">
        <v>0</v>
      </c>
      <c r="M2792" t="n">
        <v>0</v>
      </c>
      <c r="N2792" t="n">
        <v>0</v>
      </c>
      <c r="O2792" t="n">
        <v>0</v>
      </c>
      <c r="P2792" t="n">
        <v>0</v>
      </c>
      <c r="Q2792" t="n">
        <v>0</v>
      </c>
      <c r="R2792" s="2" t="inlineStr"/>
    </row>
    <row r="2793" ht="15" customHeight="1">
      <c r="A2793" t="inlineStr">
        <is>
          <t>A 7351-2023</t>
        </is>
      </c>
      <c r="B2793" s="1" t="n">
        <v>44971</v>
      </c>
      <c r="C2793" s="1" t="n">
        <v>45724</v>
      </c>
      <c r="D2793" t="inlineStr">
        <is>
          <t>VÄSTMANLANDS LÄN</t>
        </is>
      </c>
      <c r="E2793" t="inlineStr">
        <is>
          <t>SALA</t>
        </is>
      </c>
      <c r="G2793" t="n">
        <v>2.3</v>
      </c>
      <c r="H2793" t="n">
        <v>0</v>
      </c>
      <c r="I2793" t="n">
        <v>0</v>
      </c>
      <c r="J2793" t="n">
        <v>0</v>
      </c>
      <c r="K2793" t="n">
        <v>0</v>
      </c>
      <c r="L2793" t="n">
        <v>0</v>
      </c>
      <c r="M2793" t="n">
        <v>0</v>
      </c>
      <c r="N2793" t="n">
        <v>0</v>
      </c>
      <c r="O2793" t="n">
        <v>0</v>
      </c>
      <c r="P2793" t="n">
        <v>0</v>
      </c>
      <c r="Q2793" t="n">
        <v>0</v>
      </c>
      <c r="R2793" s="2" t="inlineStr"/>
    </row>
    <row r="2794" ht="15" customHeight="1">
      <c r="A2794" t="inlineStr">
        <is>
          <t>A 7385-2023</t>
        </is>
      </c>
      <c r="B2794" s="1" t="n">
        <v>44971</v>
      </c>
      <c r="C2794" s="1" t="n">
        <v>45724</v>
      </c>
      <c r="D2794" t="inlineStr">
        <is>
          <t>VÄSTMANLANDS LÄN</t>
        </is>
      </c>
      <c r="E2794" t="inlineStr">
        <is>
          <t>FAGERSTA</t>
        </is>
      </c>
      <c r="G2794" t="n">
        <v>3.5</v>
      </c>
      <c r="H2794" t="n">
        <v>0</v>
      </c>
      <c r="I2794" t="n">
        <v>0</v>
      </c>
      <c r="J2794" t="n">
        <v>0</v>
      </c>
      <c r="K2794" t="n">
        <v>0</v>
      </c>
      <c r="L2794" t="n">
        <v>0</v>
      </c>
      <c r="M2794" t="n">
        <v>0</v>
      </c>
      <c r="N2794" t="n">
        <v>0</v>
      </c>
      <c r="O2794" t="n">
        <v>0</v>
      </c>
      <c r="P2794" t="n">
        <v>0</v>
      </c>
      <c r="Q2794" t="n">
        <v>0</v>
      </c>
      <c r="R2794" s="2" t="inlineStr"/>
    </row>
    <row r="2795" ht="15" customHeight="1">
      <c r="A2795" t="inlineStr">
        <is>
          <t>A 7396-2023</t>
        </is>
      </c>
      <c r="B2795" s="1" t="n">
        <v>44971</v>
      </c>
      <c r="C2795" s="1" t="n">
        <v>45724</v>
      </c>
      <c r="D2795" t="inlineStr">
        <is>
          <t>VÄSTMANLANDS LÄN</t>
        </is>
      </c>
      <c r="E2795" t="inlineStr">
        <is>
          <t>FAGERSTA</t>
        </is>
      </c>
      <c r="G2795" t="n">
        <v>5.1</v>
      </c>
      <c r="H2795" t="n">
        <v>0</v>
      </c>
      <c r="I2795" t="n">
        <v>0</v>
      </c>
      <c r="J2795" t="n">
        <v>0</v>
      </c>
      <c r="K2795" t="n">
        <v>0</v>
      </c>
      <c r="L2795" t="n">
        <v>0</v>
      </c>
      <c r="M2795" t="n">
        <v>0</v>
      </c>
      <c r="N2795" t="n">
        <v>0</v>
      </c>
      <c r="O2795" t="n">
        <v>0</v>
      </c>
      <c r="P2795" t="n">
        <v>0</v>
      </c>
      <c r="Q2795" t="n">
        <v>0</v>
      </c>
      <c r="R2795" s="2" t="inlineStr"/>
    </row>
    <row r="2796" ht="15" customHeight="1">
      <c r="A2796" t="inlineStr">
        <is>
          <t>A 7502-2023</t>
        </is>
      </c>
      <c r="B2796" s="1" t="n">
        <v>44971</v>
      </c>
      <c r="C2796" s="1" t="n">
        <v>45724</v>
      </c>
      <c r="D2796" t="inlineStr">
        <is>
          <t>VÄSTMANLANDS LÄN</t>
        </is>
      </c>
      <c r="E2796" t="inlineStr">
        <is>
          <t>SALA</t>
        </is>
      </c>
      <c r="G2796" t="n">
        <v>1.8</v>
      </c>
      <c r="H2796" t="n">
        <v>0</v>
      </c>
      <c r="I2796" t="n">
        <v>0</v>
      </c>
      <c r="J2796" t="n">
        <v>0</v>
      </c>
      <c r="K2796" t="n">
        <v>0</v>
      </c>
      <c r="L2796" t="n">
        <v>0</v>
      </c>
      <c r="M2796" t="n">
        <v>0</v>
      </c>
      <c r="N2796" t="n">
        <v>0</v>
      </c>
      <c r="O2796" t="n">
        <v>0</v>
      </c>
      <c r="P2796" t="n">
        <v>0</v>
      </c>
      <c r="Q2796" t="n">
        <v>0</v>
      </c>
      <c r="R2796" s="2" t="inlineStr"/>
    </row>
    <row r="2797" ht="15" customHeight="1">
      <c r="A2797" t="inlineStr">
        <is>
          <t>A 7616-2023</t>
        </is>
      </c>
      <c r="B2797" s="1" t="n">
        <v>44972</v>
      </c>
      <c r="C2797" s="1" t="n">
        <v>45724</v>
      </c>
      <c r="D2797" t="inlineStr">
        <is>
          <t>VÄSTMANLANDS LÄN</t>
        </is>
      </c>
      <c r="E2797" t="inlineStr">
        <is>
          <t>KUNGSÖR</t>
        </is>
      </c>
      <c r="G2797" t="n">
        <v>13.3</v>
      </c>
      <c r="H2797" t="n">
        <v>0</v>
      </c>
      <c r="I2797" t="n">
        <v>0</v>
      </c>
      <c r="J2797" t="n">
        <v>0</v>
      </c>
      <c r="K2797" t="n">
        <v>0</v>
      </c>
      <c r="L2797" t="n">
        <v>0</v>
      </c>
      <c r="M2797" t="n">
        <v>0</v>
      </c>
      <c r="N2797" t="n">
        <v>0</v>
      </c>
      <c r="O2797" t="n">
        <v>0</v>
      </c>
      <c r="P2797" t="n">
        <v>0</v>
      </c>
      <c r="Q2797" t="n">
        <v>0</v>
      </c>
      <c r="R2797" s="2" t="inlineStr"/>
    </row>
    <row r="2798" ht="15" customHeight="1">
      <c r="A2798" t="inlineStr">
        <is>
          <t>A 7664-2023</t>
        </is>
      </c>
      <c r="B2798" s="1" t="n">
        <v>44972</v>
      </c>
      <c r="C2798" s="1" t="n">
        <v>45724</v>
      </c>
      <c r="D2798" t="inlineStr">
        <is>
          <t>VÄSTMANLANDS LÄN</t>
        </is>
      </c>
      <c r="E2798" t="inlineStr">
        <is>
          <t>SALA</t>
        </is>
      </c>
      <c r="G2798" t="n">
        <v>1.4</v>
      </c>
      <c r="H2798" t="n">
        <v>0</v>
      </c>
      <c r="I2798" t="n">
        <v>0</v>
      </c>
      <c r="J2798" t="n">
        <v>0</v>
      </c>
      <c r="K2798" t="n">
        <v>0</v>
      </c>
      <c r="L2798" t="n">
        <v>0</v>
      </c>
      <c r="M2798" t="n">
        <v>0</v>
      </c>
      <c r="N2798" t="n">
        <v>0</v>
      </c>
      <c r="O2798" t="n">
        <v>0</v>
      </c>
      <c r="P2798" t="n">
        <v>0</v>
      </c>
      <c r="Q2798" t="n">
        <v>0</v>
      </c>
      <c r="R2798" s="2" t="inlineStr"/>
    </row>
    <row r="2799" ht="15" customHeight="1">
      <c r="A2799" t="inlineStr">
        <is>
          <t>A 7635-2023</t>
        </is>
      </c>
      <c r="B2799" s="1" t="n">
        <v>44972</v>
      </c>
      <c r="C2799" s="1" t="n">
        <v>45724</v>
      </c>
      <c r="D2799" t="inlineStr">
        <is>
          <t>VÄSTMANLANDS LÄN</t>
        </is>
      </c>
      <c r="E2799" t="inlineStr">
        <is>
          <t>SALA</t>
        </is>
      </c>
      <c r="G2799" t="n">
        <v>1.3</v>
      </c>
      <c r="H2799" t="n">
        <v>0</v>
      </c>
      <c r="I2799" t="n">
        <v>0</v>
      </c>
      <c r="J2799" t="n">
        <v>0</v>
      </c>
      <c r="K2799" t="n">
        <v>0</v>
      </c>
      <c r="L2799" t="n">
        <v>0</v>
      </c>
      <c r="M2799" t="n">
        <v>0</v>
      </c>
      <c r="N2799" t="n">
        <v>0</v>
      </c>
      <c r="O2799" t="n">
        <v>0</v>
      </c>
      <c r="P2799" t="n">
        <v>0</v>
      </c>
      <c r="Q2799" t="n">
        <v>0</v>
      </c>
      <c r="R2799" s="2" t="inlineStr"/>
    </row>
    <row r="2800" ht="15" customHeight="1">
      <c r="A2800" t="inlineStr">
        <is>
          <t>A 7744-2023</t>
        </is>
      </c>
      <c r="B2800" s="1" t="n">
        <v>44973</v>
      </c>
      <c r="C2800" s="1" t="n">
        <v>45724</v>
      </c>
      <c r="D2800" t="inlineStr">
        <is>
          <t>VÄSTMANLANDS LÄN</t>
        </is>
      </c>
      <c r="E2800" t="inlineStr">
        <is>
          <t>NORBERG</t>
        </is>
      </c>
      <c r="F2800" t="inlineStr">
        <is>
          <t>Övriga Aktiebolag</t>
        </is>
      </c>
      <c r="G2800" t="n">
        <v>2.1</v>
      </c>
      <c r="H2800" t="n">
        <v>0</v>
      </c>
      <c r="I2800" t="n">
        <v>0</v>
      </c>
      <c r="J2800" t="n">
        <v>0</v>
      </c>
      <c r="K2800" t="n">
        <v>0</v>
      </c>
      <c r="L2800" t="n">
        <v>0</v>
      </c>
      <c r="M2800" t="n">
        <v>0</v>
      </c>
      <c r="N2800" t="n">
        <v>0</v>
      </c>
      <c r="O2800" t="n">
        <v>0</v>
      </c>
      <c r="P2800" t="n">
        <v>0</v>
      </c>
      <c r="Q2800" t="n">
        <v>0</v>
      </c>
      <c r="R2800" s="2" t="inlineStr"/>
    </row>
    <row r="2801" ht="15" customHeight="1">
      <c r="A2801" t="inlineStr">
        <is>
          <t>A 7772-2023</t>
        </is>
      </c>
      <c r="B2801" s="1" t="n">
        <v>44973</v>
      </c>
      <c r="C2801" s="1" t="n">
        <v>45724</v>
      </c>
      <c r="D2801" t="inlineStr">
        <is>
          <t>VÄSTMANLANDS LÄN</t>
        </is>
      </c>
      <c r="E2801" t="inlineStr">
        <is>
          <t>SALA</t>
        </is>
      </c>
      <c r="G2801" t="n">
        <v>0.5</v>
      </c>
      <c r="H2801" t="n">
        <v>0</v>
      </c>
      <c r="I2801" t="n">
        <v>0</v>
      </c>
      <c r="J2801" t="n">
        <v>0</v>
      </c>
      <c r="K2801" t="n">
        <v>0</v>
      </c>
      <c r="L2801" t="n">
        <v>0</v>
      </c>
      <c r="M2801" t="n">
        <v>0</v>
      </c>
      <c r="N2801" t="n">
        <v>0</v>
      </c>
      <c r="O2801" t="n">
        <v>0</v>
      </c>
      <c r="P2801" t="n">
        <v>0</v>
      </c>
      <c r="Q2801" t="n">
        <v>0</v>
      </c>
      <c r="R2801" s="2" t="inlineStr"/>
    </row>
    <row r="2802" ht="15" customHeight="1">
      <c r="A2802" t="inlineStr">
        <is>
          <t>A 7813-2023</t>
        </is>
      </c>
      <c r="B2802" s="1" t="n">
        <v>44973</v>
      </c>
      <c r="C2802" s="1" t="n">
        <v>45724</v>
      </c>
      <c r="D2802" t="inlineStr">
        <is>
          <t>VÄSTMANLANDS LÄN</t>
        </is>
      </c>
      <c r="E2802" t="inlineStr">
        <is>
          <t>SALA</t>
        </is>
      </c>
      <c r="F2802" t="inlineStr">
        <is>
          <t>Bergvik skog öst AB</t>
        </is>
      </c>
      <c r="G2802" t="n">
        <v>1.8</v>
      </c>
      <c r="H2802" t="n">
        <v>0</v>
      </c>
      <c r="I2802" t="n">
        <v>0</v>
      </c>
      <c r="J2802" t="n">
        <v>0</v>
      </c>
      <c r="K2802" t="n">
        <v>0</v>
      </c>
      <c r="L2802" t="n">
        <v>0</v>
      </c>
      <c r="M2802" t="n">
        <v>0</v>
      </c>
      <c r="N2802" t="n">
        <v>0</v>
      </c>
      <c r="O2802" t="n">
        <v>0</v>
      </c>
      <c r="P2802" t="n">
        <v>0</v>
      </c>
      <c r="Q2802" t="n">
        <v>0</v>
      </c>
      <c r="R2802" s="2" t="inlineStr"/>
    </row>
    <row r="2803" ht="15" customHeight="1">
      <c r="A2803" t="inlineStr">
        <is>
          <t>A 8746-2023</t>
        </is>
      </c>
      <c r="B2803" s="1" t="n">
        <v>44973</v>
      </c>
      <c r="C2803" s="1" t="n">
        <v>45724</v>
      </c>
      <c r="D2803" t="inlineStr">
        <is>
          <t>VÄSTMANLANDS LÄN</t>
        </is>
      </c>
      <c r="E2803" t="inlineStr">
        <is>
          <t>NORBERG</t>
        </is>
      </c>
      <c r="G2803" t="n">
        <v>1</v>
      </c>
      <c r="H2803" t="n">
        <v>0</v>
      </c>
      <c r="I2803" t="n">
        <v>0</v>
      </c>
      <c r="J2803" t="n">
        <v>0</v>
      </c>
      <c r="K2803" t="n">
        <v>0</v>
      </c>
      <c r="L2803" t="n">
        <v>0</v>
      </c>
      <c r="M2803" t="n">
        <v>0</v>
      </c>
      <c r="N2803" t="n">
        <v>0</v>
      </c>
      <c r="O2803" t="n">
        <v>0</v>
      </c>
      <c r="P2803" t="n">
        <v>0</v>
      </c>
      <c r="Q2803" t="n">
        <v>0</v>
      </c>
      <c r="R2803" s="2" t="inlineStr"/>
    </row>
    <row r="2804" ht="15" customHeight="1">
      <c r="A2804" t="inlineStr">
        <is>
          <t>A 8744-2023</t>
        </is>
      </c>
      <c r="B2804" s="1" t="n">
        <v>44973</v>
      </c>
      <c r="C2804" s="1" t="n">
        <v>45724</v>
      </c>
      <c r="D2804" t="inlineStr">
        <is>
          <t>VÄSTMANLANDS LÄN</t>
        </is>
      </c>
      <c r="E2804" t="inlineStr">
        <is>
          <t>NORBERG</t>
        </is>
      </c>
      <c r="G2804" t="n">
        <v>5.1</v>
      </c>
      <c r="H2804" t="n">
        <v>0</v>
      </c>
      <c r="I2804" t="n">
        <v>0</v>
      </c>
      <c r="J2804" t="n">
        <v>0</v>
      </c>
      <c r="K2804" t="n">
        <v>0</v>
      </c>
      <c r="L2804" t="n">
        <v>0</v>
      </c>
      <c r="M2804" t="n">
        <v>0</v>
      </c>
      <c r="N2804" t="n">
        <v>0</v>
      </c>
      <c r="O2804" t="n">
        <v>0</v>
      </c>
      <c r="P2804" t="n">
        <v>0</v>
      </c>
      <c r="Q2804" t="n">
        <v>0</v>
      </c>
      <c r="R2804" s="2" t="inlineStr"/>
    </row>
    <row r="2805" ht="15" customHeight="1">
      <c r="A2805" t="inlineStr">
        <is>
          <t>A 8047-2023</t>
        </is>
      </c>
      <c r="B2805" s="1" t="n">
        <v>44974</v>
      </c>
      <c r="C2805" s="1" t="n">
        <v>45724</v>
      </c>
      <c r="D2805" t="inlineStr">
        <is>
          <t>VÄSTMANLANDS LÄN</t>
        </is>
      </c>
      <c r="E2805" t="inlineStr">
        <is>
          <t>SALA</t>
        </is>
      </c>
      <c r="G2805" t="n">
        <v>17.4</v>
      </c>
      <c r="H2805" t="n">
        <v>0</v>
      </c>
      <c r="I2805" t="n">
        <v>0</v>
      </c>
      <c r="J2805" t="n">
        <v>0</v>
      </c>
      <c r="K2805" t="n">
        <v>0</v>
      </c>
      <c r="L2805" t="n">
        <v>0</v>
      </c>
      <c r="M2805" t="n">
        <v>0</v>
      </c>
      <c r="N2805" t="n">
        <v>0</v>
      </c>
      <c r="O2805" t="n">
        <v>0</v>
      </c>
      <c r="P2805" t="n">
        <v>0</v>
      </c>
      <c r="Q2805" t="n">
        <v>0</v>
      </c>
      <c r="R2805" s="2" t="inlineStr"/>
    </row>
    <row r="2806" ht="15" customHeight="1">
      <c r="A2806" t="inlineStr">
        <is>
          <t>A 8198-2023</t>
        </is>
      </c>
      <c r="B2806" s="1" t="n">
        <v>44974</v>
      </c>
      <c r="C2806" s="1" t="n">
        <v>45724</v>
      </c>
      <c r="D2806" t="inlineStr">
        <is>
          <t>VÄSTMANLANDS LÄN</t>
        </is>
      </c>
      <c r="E2806" t="inlineStr">
        <is>
          <t>SKINNSKATTEBERG</t>
        </is>
      </c>
      <c r="F2806" t="inlineStr">
        <is>
          <t>Kyrkan</t>
        </is>
      </c>
      <c r="G2806" t="n">
        <v>1.7</v>
      </c>
      <c r="H2806" t="n">
        <v>0</v>
      </c>
      <c r="I2806" t="n">
        <v>0</v>
      </c>
      <c r="J2806" t="n">
        <v>0</v>
      </c>
      <c r="K2806" t="n">
        <v>0</v>
      </c>
      <c r="L2806" t="n">
        <v>0</v>
      </c>
      <c r="M2806" t="n">
        <v>0</v>
      </c>
      <c r="N2806" t="n">
        <v>0</v>
      </c>
      <c r="O2806" t="n">
        <v>0</v>
      </c>
      <c r="P2806" t="n">
        <v>0</v>
      </c>
      <c r="Q2806" t="n">
        <v>0</v>
      </c>
      <c r="R2806" s="2" t="inlineStr"/>
    </row>
    <row r="2807" ht="15" customHeight="1">
      <c r="A2807" t="inlineStr">
        <is>
          <t>A 8125-2023</t>
        </is>
      </c>
      <c r="B2807" s="1" t="n">
        <v>44974</v>
      </c>
      <c r="C2807" s="1" t="n">
        <v>45724</v>
      </c>
      <c r="D2807" t="inlineStr">
        <is>
          <t>VÄSTMANLANDS LÄN</t>
        </is>
      </c>
      <c r="E2807" t="inlineStr">
        <is>
          <t>ARBOGA</t>
        </is>
      </c>
      <c r="F2807" t="inlineStr">
        <is>
          <t>Allmännings- och besparingsskogar</t>
        </is>
      </c>
      <c r="G2807" t="n">
        <v>14.1</v>
      </c>
      <c r="H2807" t="n">
        <v>0</v>
      </c>
      <c r="I2807" t="n">
        <v>0</v>
      </c>
      <c r="J2807" t="n">
        <v>0</v>
      </c>
      <c r="K2807" t="n">
        <v>0</v>
      </c>
      <c r="L2807" t="n">
        <v>0</v>
      </c>
      <c r="M2807" t="n">
        <v>0</v>
      </c>
      <c r="N2807" t="n">
        <v>0</v>
      </c>
      <c r="O2807" t="n">
        <v>0</v>
      </c>
      <c r="P2807" t="n">
        <v>0</v>
      </c>
      <c r="Q2807" t="n">
        <v>0</v>
      </c>
      <c r="R2807" s="2" t="inlineStr"/>
    </row>
    <row r="2808" ht="15" customHeight="1">
      <c r="A2808" t="inlineStr">
        <is>
          <t>A 8264-2023</t>
        </is>
      </c>
      <c r="B2808" s="1" t="n">
        <v>44974</v>
      </c>
      <c r="C2808" s="1" t="n">
        <v>45724</v>
      </c>
      <c r="D2808" t="inlineStr">
        <is>
          <t>VÄSTMANLANDS LÄN</t>
        </is>
      </c>
      <c r="E2808" t="inlineStr">
        <is>
          <t>FAGERSTA</t>
        </is>
      </c>
      <c r="G2808" t="n">
        <v>8.5</v>
      </c>
      <c r="H2808" t="n">
        <v>0</v>
      </c>
      <c r="I2808" t="n">
        <v>0</v>
      </c>
      <c r="J2808" t="n">
        <v>0</v>
      </c>
      <c r="K2808" t="n">
        <v>0</v>
      </c>
      <c r="L2808" t="n">
        <v>0</v>
      </c>
      <c r="M2808" t="n">
        <v>0</v>
      </c>
      <c r="N2808" t="n">
        <v>0</v>
      </c>
      <c r="O2808" t="n">
        <v>0</v>
      </c>
      <c r="P2808" t="n">
        <v>0</v>
      </c>
      <c r="Q2808" t="n">
        <v>0</v>
      </c>
      <c r="R2808" s="2" t="inlineStr"/>
    </row>
    <row r="2809" ht="15" customHeight="1">
      <c r="A2809" t="inlineStr">
        <is>
          <t>A 8193-2023</t>
        </is>
      </c>
      <c r="B2809" s="1" t="n">
        <v>44974</v>
      </c>
      <c r="C2809" s="1" t="n">
        <v>45724</v>
      </c>
      <c r="D2809" t="inlineStr">
        <is>
          <t>VÄSTMANLANDS LÄN</t>
        </is>
      </c>
      <c r="E2809" t="inlineStr">
        <is>
          <t>KUNGSÖR</t>
        </is>
      </c>
      <c r="F2809" t="inlineStr">
        <is>
          <t>Allmännings- och besparingsskogar</t>
        </is>
      </c>
      <c r="G2809" t="n">
        <v>10.5</v>
      </c>
      <c r="H2809" t="n">
        <v>0</v>
      </c>
      <c r="I2809" t="n">
        <v>0</v>
      </c>
      <c r="J2809" t="n">
        <v>0</v>
      </c>
      <c r="K2809" t="n">
        <v>0</v>
      </c>
      <c r="L2809" t="n">
        <v>0</v>
      </c>
      <c r="M2809" t="n">
        <v>0</v>
      </c>
      <c r="N2809" t="n">
        <v>0</v>
      </c>
      <c r="O2809" t="n">
        <v>0</v>
      </c>
      <c r="P2809" t="n">
        <v>0</v>
      </c>
      <c r="Q2809" t="n">
        <v>0</v>
      </c>
      <c r="R2809" s="2" t="inlineStr"/>
    </row>
    <row r="2810" ht="15" customHeight="1">
      <c r="A2810" t="inlineStr">
        <is>
          <t>A 8202-2023</t>
        </is>
      </c>
      <c r="B2810" s="1" t="n">
        <v>44974</v>
      </c>
      <c r="C2810" s="1" t="n">
        <v>45724</v>
      </c>
      <c r="D2810" t="inlineStr">
        <is>
          <t>VÄSTMANLANDS LÄN</t>
        </is>
      </c>
      <c r="E2810" t="inlineStr">
        <is>
          <t>SKINNSKATTEBERG</t>
        </is>
      </c>
      <c r="F2810" t="inlineStr">
        <is>
          <t>Kyrkan</t>
        </is>
      </c>
      <c r="G2810" t="n">
        <v>1.2</v>
      </c>
      <c r="H2810" t="n">
        <v>0</v>
      </c>
      <c r="I2810" t="n">
        <v>0</v>
      </c>
      <c r="J2810" t="n">
        <v>0</v>
      </c>
      <c r="K2810" t="n">
        <v>0</v>
      </c>
      <c r="L2810" t="n">
        <v>0</v>
      </c>
      <c r="M2810" t="n">
        <v>0</v>
      </c>
      <c r="N2810" t="n">
        <v>0</v>
      </c>
      <c r="O2810" t="n">
        <v>0</v>
      </c>
      <c r="P2810" t="n">
        <v>0</v>
      </c>
      <c r="Q2810" t="n">
        <v>0</v>
      </c>
      <c r="R2810" s="2" t="inlineStr"/>
    </row>
    <row r="2811" ht="15" customHeight="1">
      <c r="A2811" t="inlineStr">
        <is>
          <t>A 8218-2023</t>
        </is>
      </c>
      <c r="B2811" s="1" t="n">
        <v>44974</v>
      </c>
      <c r="C2811" s="1" t="n">
        <v>45724</v>
      </c>
      <c r="D2811" t="inlineStr">
        <is>
          <t>VÄSTMANLANDS LÄN</t>
        </is>
      </c>
      <c r="E2811" t="inlineStr">
        <is>
          <t>SKINNSKATTEBERG</t>
        </is>
      </c>
      <c r="F2811" t="inlineStr">
        <is>
          <t>Kyrkan</t>
        </is>
      </c>
      <c r="G2811" t="n">
        <v>1.7</v>
      </c>
      <c r="H2811" t="n">
        <v>0</v>
      </c>
      <c r="I2811" t="n">
        <v>0</v>
      </c>
      <c r="J2811" t="n">
        <v>0</v>
      </c>
      <c r="K2811" t="n">
        <v>0</v>
      </c>
      <c r="L2811" t="n">
        <v>0</v>
      </c>
      <c r="M2811" t="n">
        <v>0</v>
      </c>
      <c r="N2811" t="n">
        <v>0</v>
      </c>
      <c r="O2811" t="n">
        <v>0</v>
      </c>
      <c r="P2811" t="n">
        <v>0</v>
      </c>
      <c r="Q2811" t="n">
        <v>0</v>
      </c>
      <c r="R2811" s="2" t="inlineStr"/>
    </row>
    <row r="2812" ht="15" customHeight="1">
      <c r="A2812" t="inlineStr">
        <is>
          <t>A 8331-2023</t>
        </is>
      </c>
      <c r="B2812" s="1" t="n">
        <v>44974</v>
      </c>
      <c r="C2812" s="1" t="n">
        <v>45724</v>
      </c>
      <c r="D2812" t="inlineStr">
        <is>
          <t>VÄSTMANLANDS LÄN</t>
        </is>
      </c>
      <c r="E2812" t="inlineStr">
        <is>
          <t>KUNGSÖR</t>
        </is>
      </c>
      <c r="F2812" t="inlineStr">
        <is>
          <t>Allmännings- och besparingsskogar</t>
        </is>
      </c>
      <c r="G2812" t="n">
        <v>20.7</v>
      </c>
      <c r="H2812" t="n">
        <v>0</v>
      </c>
      <c r="I2812" t="n">
        <v>0</v>
      </c>
      <c r="J2812" t="n">
        <v>0</v>
      </c>
      <c r="K2812" t="n">
        <v>0</v>
      </c>
      <c r="L2812" t="n">
        <v>0</v>
      </c>
      <c r="M2812" t="n">
        <v>0</v>
      </c>
      <c r="N2812" t="n">
        <v>0</v>
      </c>
      <c r="O2812" t="n">
        <v>0</v>
      </c>
      <c r="P2812" t="n">
        <v>0</v>
      </c>
      <c r="Q2812" t="n">
        <v>0</v>
      </c>
      <c r="R2812" s="2" t="inlineStr"/>
    </row>
    <row r="2813" ht="15" customHeight="1">
      <c r="A2813" t="inlineStr">
        <is>
          <t>A 8199-2023</t>
        </is>
      </c>
      <c r="B2813" s="1" t="n">
        <v>44974</v>
      </c>
      <c r="C2813" s="1" t="n">
        <v>45724</v>
      </c>
      <c r="D2813" t="inlineStr">
        <is>
          <t>VÄSTMANLANDS LÄN</t>
        </is>
      </c>
      <c r="E2813" t="inlineStr">
        <is>
          <t>SKINNSKATTEBERG</t>
        </is>
      </c>
      <c r="F2813" t="inlineStr">
        <is>
          <t>Kyrkan</t>
        </is>
      </c>
      <c r="G2813" t="n">
        <v>1.2</v>
      </c>
      <c r="H2813" t="n">
        <v>0</v>
      </c>
      <c r="I2813" t="n">
        <v>0</v>
      </c>
      <c r="J2813" t="n">
        <v>0</v>
      </c>
      <c r="K2813" t="n">
        <v>0</v>
      </c>
      <c r="L2813" t="n">
        <v>0</v>
      </c>
      <c r="M2813" t="n">
        <v>0</v>
      </c>
      <c r="N2813" t="n">
        <v>0</v>
      </c>
      <c r="O2813" t="n">
        <v>0</v>
      </c>
      <c r="P2813" t="n">
        <v>0</v>
      </c>
      <c r="Q2813" t="n">
        <v>0</v>
      </c>
      <c r="R2813" s="2" t="inlineStr"/>
    </row>
    <row r="2814" ht="15" customHeight="1">
      <c r="A2814" t="inlineStr">
        <is>
          <t>A 8228-2023</t>
        </is>
      </c>
      <c r="B2814" s="1" t="n">
        <v>44974</v>
      </c>
      <c r="C2814" s="1" t="n">
        <v>45724</v>
      </c>
      <c r="D2814" t="inlineStr">
        <is>
          <t>VÄSTMANLANDS LÄN</t>
        </is>
      </c>
      <c r="E2814" t="inlineStr">
        <is>
          <t>KUNGSÖR</t>
        </is>
      </c>
      <c r="G2814" t="n">
        <v>13.9</v>
      </c>
      <c r="H2814" t="n">
        <v>0</v>
      </c>
      <c r="I2814" t="n">
        <v>0</v>
      </c>
      <c r="J2814" t="n">
        <v>0</v>
      </c>
      <c r="K2814" t="n">
        <v>0</v>
      </c>
      <c r="L2814" t="n">
        <v>0</v>
      </c>
      <c r="M2814" t="n">
        <v>0</v>
      </c>
      <c r="N2814" t="n">
        <v>0</v>
      </c>
      <c r="O2814" t="n">
        <v>0</v>
      </c>
      <c r="P2814" t="n">
        <v>0</v>
      </c>
      <c r="Q2814" t="n">
        <v>0</v>
      </c>
      <c r="R2814" s="2" t="inlineStr"/>
    </row>
    <row r="2815" ht="15" customHeight="1">
      <c r="A2815" t="inlineStr">
        <is>
          <t>A 8275-2023</t>
        </is>
      </c>
      <c r="B2815" s="1" t="n">
        <v>44974</v>
      </c>
      <c r="C2815" s="1" t="n">
        <v>45724</v>
      </c>
      <c r="D2815" t="inlineStr">
        <is>
          <t>VÄSTMANLANDS LÄN</t>
        </is>
      </c>
      <c r="E2815" t="inlineStr">
        <is>
          <t>KUNGSÖR</t>
        </is>
      </c>
      <c r="F2815" t="inlineStr">
        <is>
          <t>Allmännings- och besparingsskogar</t>
        </is>
      </c>
      <c r="G2815" t="n">
        <v>7.2</v>
      </c>
      <c r="H2815" t="n">
        <v>0</v>
      </c>
      <c r="I2815" t="n">
        <v>0</v>
      </c>
      <c r="J2815" t="n">
        <v>0</v>
      </c>
      <c r="K2815" t="n">
        <v>0</v>
      </c>
      <c r="L2815" t="n">
        <v>0</v>
      </c>
      <c r="M2815" t="n">
        <v>0</v>
      </c>
      <c r="N2815" t="n">
        <v>0</v>
      </c>
      <c r="O2815" t="n">
        <v>0</v>
      </c>
      <c r="P2815" t="n">
        <v>0</v>
      </c>
      <c r="Q2815" t="n">
        <v>0</v>
      </c>
      <c r="R2815" s="2" t="inlineStr"/>
    </row>
    <row r="2816" ht="15" customHeight="1">
      <c r="A2816" t="inlineStr">
        <is>
          <t>A 8436-2023</t>
        </is>
      </c>
      <c r="B2816" s="1" t="n">
        <v>44977</v>
      </c>
      <c r="C2816" s="1" t="n">
        <v>45724</v>
      </c>
      <c r="D2816" t="inlineStr">
        <is>
          <t>VÄSTMANLANDS LÄN</t>
        </is>
      </c>
      <c r="E2816" t="inlineStr">
        <is>
          <t>HALLSTAHAMMAR</t>
        </is>
      </c>
      <c r="F2816" t="inlineStr">
        <is>
          <t>Kyrkan</t>
        </is>
      </c>
      <c r="G2816" t="n">
        <v>4</v>
      </c>
      <c r="H2816" t="n">
        <v>0</v>
      </c>
      <c r="I2816" t="n">
        <v>0</v>
      </c>
      <c r="J2816" t="n">
        <v>0</v>
      </c>
      <c r="K2816" t="n">
        <v>0</v>
      </c>
      <c r="L2816" t="n">
        <v>0</v>
      </c>
      <c r="M2816" t="n">
        <v>0</v>
      </c>
      <c r="N2816" t="n">
        <v>0</v>
      </c>
      <c r="O2816" t="n">
        <v>0</v>
      </c>
      <c r="P2816" t="n">
        <v>0</v>
      </c>
      <c r="Q2816" t="n">
        <v>0</v>
      </c>
      <c r="R2816" s="2" t="inlineStr"/>
    </row>
    <row r="2817" ht="15" customHeight="1">
      <c r="A2817" t="inlineStr">
        <is>
          <t>A 8461-2023</t>
        </is>
      </c>
      <c r="B2817" s="1" t="n">
        <v>44977</v>
      </c>
      <c r="C2817" s="1" t="n">
        <v>45724</v>
      </c>
      <c r="D2817" t="inlineStr">
        <is>
          <t>VÄSTMANLANDS LÄN</t>
        </is>
      </c>
      <c r="E2817" t="inlineStr">
        <is>
          <t>KÖPING</t>
        </is>
      </c>
      <c r="G2817" t="n">
        <v>1.4</v>
      </c>
      <c r="H2817" t="n">
        <v>0</v>
      </c>
      <c r="I2817" t="n">
        <v>0</v>
      </c>
      <c r="J2817" t="n">
        <v>0</v>
      </c>
      <c r="K2817" t="n">
        <v>0</v>
      </c>
      <c r="L2817" t="n">
        <v>0</v>
      </c>
      <c r="M2817" t="n">
        <v>0</v>
      </c>
      <c r="N2817" t="n">
        <v>0</v>
      </c>
      <c r="O2817" t="n">
        <v>0</v>
      </c>
      <c r="P2817" t="n">
        <v>0</v>
      </c>
      <c r="Q2817" t="n">
        <v>0</v>
      </c>
      <c r="R2817" s="2" t="inlineStr"/>
    </row>
    <row r="2818" ht="15" customHeight="1">
      <c r="A2818" t="inlineStr">
        <is>
          <t>A 8543-2023</t>
        </is>
      </c>
      <c r="B2818" s="1" t="n">
        <v>44977</v>
      </c>
      <c r="C2818" s="1" t="n">
        <v>45724</v>
      </c>
      <c r="D2818" t="inlineStr">
        <is>
          <t>VÄSTMANLANDS LÄN</t>
        </is>
      </c>
      <c r="E2818" t="inlineStr">
        <is>
          <t>VÄSTERÅS</t>
        </is>
      </c>
      <c r="G2818" t="n">
        <v>5.3</v>
      </c>
      <c r="H2818" t="n">
        <v>0</v>
      </c>
      <c r="I2818" t="n">
        <v>0</v>
      </c>
      <c r="J2818" t="n">
        <v>0</v>
      </c>
      <c r="K2818" t="n">
        <v>0</v>
      </c>
      <c r="L2818" t="n">
        <v>0</v>
      </c>
      <c r="M2818" t="n">
        <v>0</v>
      </c>
      <c r="N2818" t="n">
        <v>0</v>
      </c>
      <c r="O2818" t="n">
        <v>0</v>
      </c>
      <c r="P2818" t="n">
        <v>0</v>
      </c>
      <c r="Q2818" t="n">
        <v>0</v>
      </c>
      <c r="R2818" s="2" t="inlineStr"/>
    </row>
    <row r="2819" ht="15" customHeight="1">
      <c r="A2819" t="inlineStr">
        <is>
          <t>A 8578-2023</t>
        </is>
      </c>
      <c r="B2819" s="1" t="n">
        <v>44977</v>
      </c>
      <c r="C2819" s="1" t="n">
        <v>45724</v>
      </c>
      <c r="D2819" t="inlineStr">
        <is>
          <t>VÄSTMANLANDS LÄN</t>
        </is>
      </c>
      <c r="E2819" t="inlineStr">
        <is>
          <t>SKINNSKATTEBERG</t>
        </is>
      </c>
      <c r="F2819" t="inlineStr">
        <is>
          <t>Sveaskog</t>
        </is>
      </c>
      <c r="G2819" t="n">
        <v>4.3</v>
      </c>
      <c r="H2819" t="n">
        <v>0</v>
      </c>
      <c r="I2819" t="n">
        <v>0</v>
      </c>
      <c r="J2819" t="n">
        <v>0</v>
      </c>
      <c r="K2819" t="n">
        <v>0</v>
      </c>
      <c r="L2819" t="n">
        <v>0</v>
      </c>
      <c r="M2819" t="n">
        <v>0</v>
      </c>
      <c r="N2819" t="n">
        <v>0</v>
      </c>
      <c r="O2819" t="n">
        <v>0</v>
      </c>
      <c r="P2819" t="n">
        <v>0</v>
      </c>
      <c r="Q2819" t="n">
        <v>0</v>
      </c>
      <c r="R2819" s="2" t="inlineStr"/>
    </row>
    <row r="2820" ht="15" customHeight="1">
      <c r="A2820" t="inlineStr">
        <is>
          <t>A 8541-2023</t>
        </is>
      </c>
      <c r="B2820" s="1" t="n">
        <v>44977</v>
      </c>
      <c r="C2820" s="1" t="n">
        <v>45724</v>
      </c>
      <c r="D2820" t="inlineStr">
        <is>
          <t>VÄSTMANLANDS LÄN</t>
        </is>
      </c>
      <c r="E2820" t="inlineStr">
        <is>
          <t>VÄSTERÅS</t>
        </is>
      </c>
      <c r="G2820" t="n">
        <v>1.7</v>
      </c>
      <c r="H2820" t="n">
        <v>0</v>
      </c>
      <c r="I2820" t="n">
        <v>0</v>
      </c>
      <c r="J2820" t="n">
        <v>0</v>
      </c>
      <c r="K2820" t="n">
        <v>0</v>
      </c>
      <c r="L2820" t="n">
        <v>0</v>
      </c>
      <c r="M2820" t="n">
        <v>0</v>
      </c>
      <c r="N2820" t="n">
        <v>0</v>
      </c>
      <c r="O2820" t="n">
        <v>0</v>
      </c>
      <c r="P2820" t="n">
        <v>0</v>
      </c>
      <c r="Q2820" t="n">
        <v>0</v>
      </c>
      <c r="R2820" s="2" t="inlineStr"/>
    </row>
    <row r="2821" ht="15" customHeight="1">
      <c r="A2821" t="inlineStr">
        <is>
          <t>A 8476-2023</t>
        </is>
      </c>
      <c r="B2821" s="1" t="n">
        <v>44977</v>
      </c>
      <c r="C2821" s="1" t="n">
        <v>45724</v>
      </c>
      <c r="D2821" t="inlineStr">
        <is>
          <t>VÄSTMANLANDS LÄN</t>
        </is>
      </c>
      <c r="E2821" t="inlineStr">
        <is>
          <t>KÖPING</t>
        </is>
      </c>
      <c r="G2821" t="n">
        <v>7.2</v>
      </c>
      <c r="H2821" t="n">
        <v>0</v>
      </c>
      <c r="I2821" t="n">
        <v>0</v>
      </c>
      <c r="J2821" t="n">
        <v>0</v>
      </c>
      <c r="K2821" t="n">
        <v>0</v>
      </c>
      <c r="L2821" t="n">
        <v>0</v>
      </c>
      <c r="M2821" t="n">
        <v>0</v>
      </c>
      <c r="N2821" t="n">
        <v>0</v>
      </c>
      <c r="O2821" t="n">
        <v>0</v>
      </c>
      <c r="P2821" t="n">
        <v>0</v>
      </c>
      <c r="Q2821" t="n">
        <v>0</v>
      </c>
      <c r="R2821" s="2" t="inlineStr"/>
    </row>
    <row r="2822" ht="15" customHeight="1">
      <c r="A2822" t="inlineStr">
        <is>
          <t>A 8542-2023</t>
        </is>
      </c>
      <c r="B2822" s="1" t="n">
        <v>44977</v>
      </c>
      <c r="C2822" s="1" t="n">
        <v>45724</v>
      </c>
      <c r="D2822" t="inlineStr">
        <is>
          <t>VÄSTMANLANDS LÄN</t>
        </is>
      </c>
      <c r="E2822" t="inlineStr">
        <is>
          <t>VÄSTERÅS</t>
        </is>
      </c>
      <c r="G2822" t="n">
        <v>2.2</v>
      </c>
      <c r="H2822" t="n">
        <v>0</v>
      </c>
      <c r="I2822" t="n">
        <v>0</v>
      </c>
      <c r="J2822" t="n">
        <v>0</v>
      </c>
      <c r="K2822" t="n">
        <v>0</v>
      </c>
      <c r="L2822" t="n">
        <v>0</v>
      </c>
      <c r="M2822" t="n">
        <v>0</v>
      </c>
      <c r="N2822" t="n">
        <v>0</v>
      </c>
      <c r="O2822" t="n">
        <v>0</v>
      </c>
      <c r="P2822" t="n">
        <v>0</v>
      </c>
      <c r="Q2822" t="n">
        <v>0</v>
      </c>
      <c r="R2822" s="2" t="inlineStr"/>
    </row>
    <row r="2823" ht="15" customHeight="1">
      <c r="A2823" t="inlineStr">
        <is>
          <t>A 8553-2023</t>
        </is>
      </c>
      <c r="B2823" s="1" t="n">
        <v>44977</v>
      </c>
      <c r="C2823" s="1" t="n">
        <v>45724</v>
      </c>
      <c r="D2823" t="inlineStr">
        <is>
          <t>VÄSTMANLANDS LÄN</t>
        </is>
      </c>
      <c r="E2823" t="inlineStr">
        <is>
          <t>SURAHAMMAR</t>
        </is>
      </c>
      <c r="F2823" t="inlineStr">
        <is>
          <t>Sveaskog</t>
        </is>
      </c>
      <c r="G2823" t="n">
        <v>1.5</v>
      </c>
      <c r="H2823" t="n">
        <v>0</v>
      </c>
      <c r="I2823" t="n">
        <v>0</v>
      </c>
      <c r="J2823" t="n">
        <v>0</v>
      </c>
      <c r="K2823" t="n">
        <v>0</v>
      </c>
      <c r="L2823" t="n">
        <v>0</v>
      </c>
      <c r="M2823" t="n">
        <v>0</v>
      </c>
      <c r="N2823" t="n">
        <v>0</v>
      </c>
      <c r="O2823" t="n">
        <v>0</v>
      </c>
      <c r="P2823" t="n">
        <v>0</v>
      </c>
      <c r="Q2823" t="n">
        <v>0</v>
      </c>
      <c r="R2823" s="2" t="inlineStr"/>
    </row>
    <row r="2824" ht="15" customHeight="1">
      <c r="A2824" t="inlineStr">
        <is>
          <t>A 8727-2023</t>
        </is>
      </c>
      <c r="B2824" s="1" t="n">
        <v>44978</v>
      </c>
      <c r="C2824" s="1" t="n">
        <v>45724</v>
      </c>
      <c r="D2824" t="inlineStr">
        <is>
          <t>VÄSTMANLANDS LÄN</t>
        </is>
      </c>
      <c r="E2824" t="inlineStr">
        <is>
          <t>VÄSTERÅS</t>
        </is>
      </c>
      <c r="F2824" t="inlineStr">
        <is>
          <t>Kyrkan</t>
        </is>
      </c>
      <c r="G2824" t="n">
        <v>0.9</v>
      </c>
      <c r="H2824" t="n">
        <v>0</v>
      </c>
      <c r="I2824" t="n">
        <v>0</v>
      </c>
      <c r="J2824" t="n">
        <v>0</v>
      </c>
      <c r="K2824" t="n">
        <v>0</v>
      </c>
      <c r="L2824" t="n">
        <v>0</v>
      </c>
      <c r="M2824" t="n">
        <v>0</v>
      </c>
      <c r="N2824" t="n">
        <v>0</v>
      </c>
      <c r="O2824" t="n">
        <v>0</v>
      </c>
      <c r="P2824" t="n">
        <v>0</v>
      </c>
      <c r="Q2824" t="n">
        <v>0</v>
      </c>
      <c r="R2824" s="2" t="inlineStr"/>
    </row>
    <row r="2825" ht="15" customHeight="1">
      <c r="A2825" t="inlineStr">
        <is>
          <t>A 8800-2023</t>
        </is>
      </c>
      <c r="B2825" s="1" t="n">
        <v>44978</v>
      </c>
      <c r="C2825" s="1" t="n">
        <v>45724</v>
      </c>
      <c r="D2825" t="inlineStr">
        <is>
          <t>VÄSTMANLANDS LÄN</t>
        </is>
      </c>
      <c r="E2825" t="inlineStr">
        <is>
          <t>VÄSTERÅS</t>
        </is>
      </c>
      <c r="G2825" t="n">
        <v>1.2</v>
      </c>
      <c r="H2825" t="n">
        <v>0</v>
      </c>
      <c r="I2825" t="n">
        <v>0</v>
      </c>
      <c r="J2825" t="n">
        <v>0</v>
      </c>
      <c r="K2825" t="n">
        <v>0</v>
      </c>
      <c r="L2825" t="n">
        <v>0</v>
      </c>
      <c r="M2825" t="n">
        <v>0</v>
      </c>
      <c r="N2825" t="n">
        <v>0</v>
      </c>
      <c r="O2825" t="n">
        <v>0</v>
      </c>
      <c r="P2825" t="n">
        <v>0</v>
      </c>
      <c r="Q2825" t="n">
        <v>0</v>
      </c>
      <c r="R2825" s="2" t="inlineStr"/>
    </row>
    <row r="2826" ht="15" customHeight="1">
      <c r="A2826" t="inlineStr">
        <is>
          <t>A 8833-2023</t>
        </is>
      </c>
      <c r="B2826" s="1" t="n">
        <v>44978</v>
      </c>
      <c r="C2826" s="1" t="n">
        <v>45724</v>
      </c>
      <c r="D2826" t="inlineStr">
        <is>
          <t>VÄSTMANLANDS LÄN</t>
        </is>
      </c>
      <c r="E2826" t="inlineStr">
        <is>
          <t>HALLSTAHAMMAR</t>
        </is>
      </c>
      <c r="G2826" t="n">
        <v>1.3</v>
      </c>
      <c r="H2826" t="n">
        <v>0</v>
      </c>
      <c r="I2826" t="n">
        <v>0</v>
      </c>
      <c r="J2826" t="n">
        <v>0</v>
      </c>
      <c r="K2826" t="n">
        <v>0</v>
      </c>
      <c r="L2826" t="n">
        <v>0</v>
      </c>
      <c r="M2826" t="n">
        <v>0</v>
      </c>
      <c r="N2826" t="n">
        <v>0</v>
      </c>
      <c r="O2826" t="n">
        <v>0</v>
      </c>
      <c r="P2826" t="n">
        <v>0</v>
      </c>
      <c r="Q2826" t="n">
        <v>0</v>
      </c>
      <c r="R2826" s="2" t="inlineStr"/>
    </row>
    <row r="2827" ht="15" customHeight="1">
      <c r="A2827" t="inlineStr">
        <is>
          <t>A 8766-2023</t>
        </is>
      </c>
      <c r="B2827" s="1" t="n">
        <v>44978</v>
      </c>
      <c r="C2827" s="1" t="n">
        <v>45724</v>
      </c>
      <c r="D2827" t="inlineStr">
        <is>
          <t>VÄSTMANLANDS LÄN</t>
        </is>
      </c>
      <c r="E2827" t="inlineStr">
        <is>
          <t>SALA</t>
        </is>
      </c>
      <c r="G2827" t="n">
        <v>1.2</v>
      </c>
      <c r="H2827" t="n">
        <v>0</v>
      </c>
      <c r="I2827" t="n">
        <v>0</v>
      </c>
      <c r="J2827" t="n">
        <v>0</v>
      </c>
      <c r="K2827" t="n">
        <v>0</v>
      </c>
      <c r="L2827" t="n">
        <v>0</v>
      </c>
      <c r="M2827" t="n">
        <v>0</v>
      </c>
      <c r="N2827" t="n">
        <v>0</v>
      </c>
      <c r="O2827" t="n">
        <v>0</v>
      </c>
      <c r="P2827" t="n">
        <v>0</v>
      </c>
      <c r="Q2827" t="n">
        <v>0</v>
      </c>
      <c r="R2827" s="2" t="inlineStr"/>
    </row>
    <row r="2828" ht="15" customHeight="1">
      <c r="A2828" t="inlineStr">
        <is>
          <t>A 8818-2023</t>
        </is>
      </c>
      <c r="B2828" s="1" t="n">
        <v>44978</v>
      </c>
      <c r="C2828" s="1" t="n">
        <v>45724</v>
      </c>
      <c r="D2828" t="inlineStr">
        <is>
          <t>VÄSTMANLANDS LÄN</t>
        </is>
      </c>
      <c r="E2828" t="inlineStr">
        <is>
          <t>ARBOGA</t>
        </is>
      </c>
      <c r="G2828" t="n">
        <v>3.6</v>
      </c>
      <c r="H2828" t="n">
        <v>0</v>
      </c>
      <c r="I2828" t="n">
        <v>0</v>
      </c>
      <c r="J2828" t="n">
        <v>0</v>
      </c>
      <c r="K2828" t="n">
        <v>0</v>
      </c>
      <c r="L2828" t="n">
        <v>0</v>
      </c>
      <c r="M2828" t="n">
        <v>0</v>
      </c>
      <c r="N2828" t="n">
        <v>0</v>
      </c>
      <c r="O2828" t="n">
        <v>0</v>
      </c>
      <c r="P2828" t="n">
        <v>0</v>
      </c>
      <c r="Q2828" t="n">
        <v>0</v>
      </c>
      <c r="R2828" s="2" t="inlineStr"/>
    </row>
    <row r="2829" ht="15" customHeight="1">
      <c r="A2829" t="inlineStr">
        <is>
          <t>A 8797-2023</t>
        </is>
      </c>
      <c r="B2829" s="1" t="n">
        <v>44978</v>
      </c>
      <c r="C2829" s="1" t="n">
        <v>45724</v>
      </c>
      <c r="D2829" t="inlineStr">
        <is>
          <t>VÄSTMANLANDS LÄN</t>
        </is>
      </c>
      <c r="E2829" t="inlineStr">
        <is>
          <t>VÄSTERÅS</t>
        </is>
      </c>
      <c r="G2829" t="n">
        <v>1.5</v>
      </c>
      <c r="H2829" t="n">
        <v>0</v>
      </c>
      <c r="I2829" t="n">
        <v>0</v>
      </c>
      <c r="J2829" t="n">
        <v>0</v>
      </c>
      <c r="K2829" t="n">
        <v>0</v>
      </c>
      <c r="L2829" t="n">
        <v>0</v>
      </c>
      <c r="M2829" t="n">
        <v>0</v>
      </c>
      <c r="N2829" t="n">
        <v>0</v>
      </c>
      <c r="O2829" t="n">
        <v>0</v>
      </c>
      <c r="P2829" t="n">
        <v>0</v>
      </c>
      <c r="Q2829" t="n">
        <v>0</v>
      </c>
      <c r="R2829" s="2" t="inlineStr"/>
    </row>
    <row r="2830" ht="15" customHeight="1">
      <c r="A2830" t="inlineStr">
        <is>
          <t>A 9051-2023</t>
        </is>
      </c>
      <c r="B2830" s="1" t="n">
        <v>44979</v>
      </c>
      <c r="C2830" s="1" t="n">
        <v>45724</v>
      </c>
      <c r="D2830" t="inlineStr">
        <is>
          <t>VÄSTMANLANDS LÄN</t>
        </is>
      </c>
      <c r="E2830" t="inlineStr">
        <is>
          <t>SALA</t>
        </is>
      </c>
      <c r="G2830" t="n">
        <v>4.1</v>
      </c>
      <c r="H2830" t="n">
        <v>0</v>
      </c>
      <c r="I2830" t="n">
        <v>0</v>
      </c>
      <c r="J2830" t="n">
        <v>0</v>
      </c>
      <c r="K2830" t="n">
        <v>0</v>
      </c>
      <c r="L2830" t="n">
        <v>0</v>
      </c>
      <c r="M2830" t="n">
        <v>0</v>
      </c>
      <c r="N2830" t="n">
        <v>0</v>
      </c>
      <c r="O2830" t="n">
        <v>0</v>
      </c>
      <c r="P2830" t="n">
        <v>0</v>
      </c>
      <c r="Q2830" t="n">
        <v>0</v>
      </c>
      <c r="R2830" s="2" t="inlineStr"/>
    </row>
    <row r="2831" ht="15" customHeight="1">
      <c r="A2831" t="inlineStr">
        <is>
          <t>A 10749-2023</t>
        </is>
      </c>
      <c r="B2831" s="1" t="n">
        <v>44985</v>
      </c>
      <c r="C2831" s="1" t="n">
        <v>45724</v>
      </c>
      <c r="D2831" t="inlineStr">
        <is>
          <t>VÄSTMANLANDS LÄN</t>
        </is>
      </c>
      <c r="E2831" t="inlineStr">
        <is>
          <t>KÖPING</t>
        </is>
      </c>
      <c r="G2831" t="n">
        <v>2.4</v>
      </c>
      <c r="H2831" t="n">
        <v>0</v>
      </c>
      <c r="I2831" t="n">
        <v>0</v>
      </c>
      <c r="J2831" t="n">
        <v>0</v>
      </c>
      <c r="K2831" t="n">
        <v>0</v>
      </c>
      <c r="L2831" t="n">
        <v>0</v>
      </c>
      <c r="M2831" t="n">
        <v>0</v>
      </c>
      <c r="N2831" t="n">
        <v>0</v>
      </c>
      <c r="O2831" t="n">
        <v>0</v>
      </c>
      <c r="P2831" t="n">
        <v>0</v>
      </c>
      <c r="Q2831" t="n">
        <v>0</v>
      </c>
      <c r="R2831" s="2" t="inlineStr"/>
    </row>
    <row r="2832" ht="15" customHeight="1">
      <c r="A2832" t="inlineStr">
        <is>
          <t>A 10750-2023</t>
        </is>
      </c>
      <c r="B2832" s="1" t="n">
        <v>44985</v>
      </c>
      <c r="C2832" s="1" t="n">
        <v>45724</v>
      </c>
      <c r="D2832" t="inlineStr">
        <is>
          <t>VÄSTMANLANDS LÄN</t>
        </is>
      </c>
      <c r="E2832" t="inlineStr">
        <is>
          <t>KÖPING</t>
        </is>
      </c>
      <c r="G2832" t="n">
        <v>5.9</v>
      </c>
      <c r="H2832" t="n">
        <v>0</v>
      </c>
      <c r="I2832" t="n">
        <v>0</v>
      </c>
      <c r="J2832" t="n">
        <v>0</v>
      </c>
      <c r="K2832" t="n">
        <v>0</v>
      </c>
      <c r="L2832" t="n">
        <v>0</v>
      </c>
      <c r="M2832" t="n">
        <v>0</v>
      </c>
      <c r="N2832" t="n">
        <v>0</v>
      </c>
      <c r="O2832" t="n">
        <v>0</v>
      </c>
      <c r="P2832" t="n">
        <v>0</v>
      </c>
      <c r="Q2832" t="n">
        <v>0</v>
      </c>
      <c r="R2832" s="2" t="inlineStr"/>
    </row>
    <row r="2833" ht="15" customHeight="1">
      <c r="A2833" t="inlineStr">
        <is>
          <t>A 10132-2023</t>
        </is>
      </c>
      <c r="B2833" s="1" t="n">
        <v>44986</v>
      </c>
      <c r="C2833" s="1" t="n">
        <v>45724</v>
      </c>
      <c r="D2833" t="inlineStr">
        <is>
          <t>VÄSTMANLANDS LÄN</t>
        </is>
      </c>
      <c r="E2833" t="inlineStr">
        <is>
          <t>ARBOGA</t>
        </is>
      </c>
      <c r="G2833" t="n">
        <v>1</v>
      </c>
      <c r="H2833" t="n">
        <v>0</v>
      </c>
      <c r="I2833" t="n">
        <v>0</v>
      </c>
      <c r="J2833" t="n">
        <v>0</v>
      </c>
      <c r="K2833" t="n">
        <v>0</v>
      </c>
      <c r="L2833" t="n">
        <v>0</v>
      </c>
      <c r="M2833" t="n">
        <v>0</v>
      </c>
      <c r="N2833" t="n">
        <v>0</v>
      </c>
      <c r="O2833" t="n">
        <v>0</v>
      </c>
      <c r="P2833" t="n">
        <v>0</v>
      </c>
      <c r="Q2833" t="n">
        <v>0</v>
      </c>
      <c r="R2833" s="2" t="inlineStr"/>
    </row>
    <row r="2834" ht="15" customHeight="1">
      <c r="A2834" t="inlineStr">
        <is>
          <t>A 10225-2023</t>
        </is>
      </c>
      <c r="B2834" s="1" t="n">
        <v>44986</v>
      </c>
      <c r="C2834" s="1" t="n">
        <v>45724</v>
      </c>
      <c r="D2834" t="inlineStr">
        <is>
          <t>VÄSTMANLANDS LÄN</t>
        </is>
      </c>
      <c r="E2834" t="inlineStr">
        <is>
          <t>VÄSTERÅS</t>
        </is>
      </c>
      <c r="G2834" t="n">
        <v>1.2</v>
      </c>
      <c r="H2834" t="n">
        <v>0</v>
      </c>
      <c r="I2834" t="n">
        <v>0</v>
      </c>
      <c r="J2834" t="n">
        <v>0</v>
      </c>
      <c r="K2834" t="n">
        <v>0</v>
      </c>
      <c r="L2834" t="n">
        <v>0</v>
      </c>
      <c r="M2834" t="n">
        <v>0</v>
      </c>
      <c r="N2834" t="n">
        <v>0</v>
      </c>
      <c r="O2834" t="n">
        <v>0</v>
      </c>
      <c r="P2834" t="n">
        <v>0</v>
      </c>
      <c r="Q2834" t="n">
        <v>0</v>
      </c>
      <c r="R2834" s="2" t="inlineStr"/>
    </row>
    <row r="2835" ht="15" customHeight="1">
      <c r="A2835" t="inlineStr">
        <is>
          <t>A 10378-2023</t>
        </is>
      </c>
      <c r="B2835" s="1" t="n">
        <v>44987</v>
      </c>
      <c r="C2835" s="1" t="n">
        <v>45724</v>
      </c>
      <c r="D2835" t="inlineStr">
        <is>
          <t>VÄSTMANLANDS LÄN</t>
        </is>
      </c>
      <c r="E2835" t="inlineStr">
        <is>
          <t>NORBERG</t>
        </is>
      </c>
      <c r="F2835" t="inlineStr">
        <is>
          <t>Övriga Aktiebolag</t>
        </is>
      </c>
      <c r="G2835" t="n">
        <v>11</v>
      </c>
      <c r="H2835" t="n">
        <v>0</v>
      </c>
      <c r="I2835" t="n">
        <v>0</v>
      </c>
      <c r="J2835" t="n">
        <v>0</v>
      </c>
      <c r="K2835" t="n">
        <v>0</v>
      </c>
      <c r="L2835" t="n">
        <v>0</v>
      </c>
      <c r="M2835" t="n">
        <v>0</v>
      </c>
      <c r="N2835" t="n">
        <v>0</v>
      </c>
      <c r="O2835" t="n">
        <v>0</v>
      </c>
      <c r="P2835" t="n">
        <v>0</v>
      </c>
      <c r="Q2835" t="n">
        <v>0</v>
      </c>
      <c r="R2835" s="2" t="inlineStr"/>
    </row>
    <row r="2836" ht="15" customHeight="1">
      <c r="A2836" t="inlineStr">
        <is>
          <t>A 10380-2023</t>
        </is>
      </c>
      <c r="B2836" s="1" t="n">
        <v>44987</v>
      </c>
      <c r="C2836" s="1" t="n">
        <v>45724</v>
      </c>
      <c r="D2836" t="inlineStr">
        <is>
          <t>VÄSTMANLANDS LÄN</t>
        </is>
      </c>
      <c r="E2836" t="inlineStr">
        <is>
          <t>FAGERSTA</t>
        </is>
      </c>
      <c r="F2836" t="inlineStr">
        <is>
          <t>Övriga Aktiebolag</t>
        </is>
      </c>
      <c r="G2836" t="n">
        <v>13</v>
      </c>
      <c r="H2836" t="n">
        <v>0</v>
      </c>
      <c r="I2836" t="n">
        <v>0</v>
      </c>
      <c r="J2836" t="n">
        <v>0</v>
      </c>
      <c r="K2836" t="n">
        <v>0</v>
      </c>
      <c r="L2836" t="n">
        <v>0</v>
      </c>
      <c r="M2836" t="n">
        <v>0</v>
      </c>
      <c r="N2836" t="n">
        <v>0</v>
      </c>
      <c r="O2836" t="n">
        <v>0</v>
      </c>
      <c r="P2836" t="n">
        <v>0</v>
      </c>
      <c r="Q2836" t="n">
        <v>0</v>
      </c>
      <c r="R2836" s="2" t="inlineStr"/>
    </row>
    <row r="2837" ht="15" customHeight="1">
      <c r="A2837" t="inlineStr">
        <is>
          <t>A 11137-2023</t>
        </is>
      </c>
      <c r="B2837" s="1" t="n">
        <v>44987</v>
      </c>
      <c r="C2837" s="1" t="n">
        <v>45724</v>
      </c>
      <c r="D2837" t="inlineStr">
        <is>
          <t>VÄSTMANLANDS LÄN</t>
        </is>
      </c>
      <c r="E2837" t="inlineStr">
        <is>
          <t>VÄSTERÅS</t>
        </is>
      </c>
      <c r="G2837" t="n">
        <v>0.9</v>
      </c>
      <c r="H2837" t="n">
        <v>0</v>
      </c>
      <c r="I2837" t="n">
        <v>0</v>
      </c>
      <c r="J2837" t="n">
        <v>0</v>
      </c>
      <c r="K2837" t="n">
        <v>0</v>
      </c>
      <c r="L2837" t="n">
        <v>0</v>
      </c>
      <c r="M2837" t="n">
        <v>0</v>
      </c>
      <c r="N2837" t="n">
        <v>0</v>
      </c>
      <c r="O2837" t="n">
        <v>0</v>
      </c>
      <c r="P2837" t="n">
        <v>0</v>
      </c>
      <c r="Q2837" t="n">
        <v>0</v>
      </c>
      <c r="R2837" s="2" t="inlineStr"/>
    </row>
    <row r="2838" ht="15" customHeight="1">
      <c r="A2838" t="inlineStr">
        <is>
          <t>A 10617-2023</t>
        </is>
      </c>
      <c r="B2838" s="1" t="n">
        <v>44988</v>
      </c>
      <c r="C2838" s="1" t="n">
        <v>45724</v>
      </c>
      <c r="D2838" t="inlineStr">
        <is>
          <t>VÄSTMANLANDS LÄN</t>
        </is>
      </c>
      <c r="E2838" t="inlineStr">
        <is>
          <t>ARBOGA</t>
        </is>
      </c>
      <c r="G2838" t="n">
        <v>3.5</v>
      </c>
      <c r="H2838" t="n">
        <v>0</v>
      </c>
      <c r="I2838" t="n">
        <v>0</v>
      </c>
      <c r="J2838" t="n">
        <v>0</v>
      </c>
      <c r="K2838" t="n">
        <v>0</v>
      </c>
      <c r="L2838" t="n">
        <v>0</v>
      </c>
      <c r="M2838" t="n">
        <v>0</v>
      </c>
      <c r="N2838" t="n">
        <v>0</v>
      </c>
      <c r="O2838" t="n">
        <v>0</v>
      </c>
      <c r="P2838" t="n">
        <v>0</v>
      </c>
      <c r="Q2838" t="n">
        <v>0</v>
      </c>
      <c r="R2838" s="2" t="inlineStr"/>
    </row>
    <row r="2839" ht="15" customHeight="1">
      <c r="A2839" t="inlineStr">
        <is>
          <t>A 11220-2023</t>
        </is>
      </c>
      <c r="B2839" s="1" t="n">
        <v>44988</v>
      </c>
      <c r="C2839" s="1" t="n">
        <v>45724</v>
      </c>
      <c r="D2839" t="inlineStr">
        <is>
          <t>VÄSTMANLANDS LÄN</t>
        </is>
      </c>
      <c r="E2839" t="inlineStr">
        <is>
          <t>KÖPING</t>
        </is>
      </c>
      <c r="G2839" t="n">
        <v>7</v>
      </c>
      <c r="H2839" t="n">
        <v>0</v>
      </c>
      <c r="I2839" t="n">
        <v>0</v>
      </c>
      <c r="J2839" t="n">
        <v>0</v>
      </c>
      <c r="K2839" t="n">
        <v>0</v>
      </c>
      <c r="L2839" t="n">
        <v>0</v>
      </c>
      <c r="M2839" t="n">
        <v>0</v>
      </c>
      <c r="N2839" t="n">
        <v>0</v>
      </c>
      <c r="O2839" t="n">
        <v>0</v>
      </c>
      <c r="P2839" t="n">
        <v>0</v>
      </c>
      <c r="Q2839" t="n">
        <v>0</v>
      </c>
      <c r="R2839" s="2" t="inlineStr"/>
    </row>
    <row r="2840" ht="15" customHeight="1">
      <c r="A2840" t="inlineStr">
        <is>
          <t>A 11336-2023</t>
        </is>
      </c>
      <c r="B2840" s="1" t="n">
        <v>44988</v>
      </c>
      <c r="C2840" s="1" t="n">
        <v>45724</v>
      </c>
      <c r="D2840" t="inlineStr">
        <is>
          <t>VÄSTMANLANDS LÄN</t>
        </is>
      </c>
      <c r="E2840" t="inlineStr">
        <is>
          <t>VÄSTERÅS</t>
        </is>
      </c>
      <c r="F2840" t="inlineStr">
        <is>
          <t>Övriga Aktiebolag</t>
        </is>
      </c>
      <c r="G2840" t="n">
        <v>2.9</v>
      </c>
      <c r="H2840" t="n">
        <v>0</v>
      </c>
      <c r="I2840" t="n">
        <v>0</v>
      </c>
      <c r="J2840" t="n">
        <v>0</v>
      </c>
      <c r="K2840" t="n">
        <v>0</v>
      </c>
      <c r="L2840" t="n">
        <v>0</v>
      </c>
      <c r="M2840" t="n">
        <v>0</v>
      </c>
      <c r="N2840" t="n">
        <v>0</v>
      </c>
      <c r="O2840" t="n">
        <v>0</v>
      </c>
      <c r="P2840" t="n">
        <v>0</v>
      </c>
      <c r="Q2840" t="n">
        <v>0</v>
      </c>
      <c r="R2840" s="2" t="inlineStr"/>
    </row>
    <row r="2841" ht="15" customHeight="1">
      <c r="A2841" t="inlineStr">
        <is>
          <t>A 11384-2023</t>
        </is>
      </c>
      <c r="B2841" s="1" t="n">
        <v>44988</v>
      </c>
      <c r="C2841" s="1" t="n">
        <v>45724</v>
      </c>
      <c r="D2841" t="inlineStr">
        <is>
          <t>VÄSTMANLANDS LÄN</t>
        </is>
      </c>
      <c r="E2841" t="inlineStr">
        <is>
          <t>KÖPING</t>
        </is>
      </c>
      <c r="G2841" t="n">
        <v>10</v>
      </c>
      <c r="H2841" t="n">
        <v>0</v>
      </c>
      <c r="I2841" t="n">
        <v>0</v>
      </c>
      <c r="J2841" t="n">
        <v>0</v>
      </c>
      <c r="K2841" t="n">
        <v>0</v>
      </c>
      <c r="L2841" t="n">
        <v>0</v>
      </c>
      <c r="M2841" t="n">
        <v>0</v>
      </c>
      <c r="N2841" t="n">
        <v>0</v>
      </c>
      <c r="O2841" t="n">
        <v>0</v>
      </c>
      <c r="P2841" t="n">
        <v>0</v>
      </c>
      <c r="Q2841" t="n">
        <v>0</v>
      </c>
      <c r="R2841" s="2" t="inlineStr"/>
    </row>
    <row r="2842" ht="15" customHeight="1">
      <c r="A2842" t="inlineStr">
        <is>
          <t>A 10877-2023</t>
        </is>
      </c>
      <c r="B2842" s="1" t="n">
        <v>44991</v>
      </c>
      <c r="C2842" s="1" t="n">
        <v>45724</v>
      </c>
      <c r="D2842" t="inlineStr">
        <is>
          <t>VÄSTMANLANDS LÄN</t>
        </is>
      </c>
      <c r="E2842" t="inlineStr">
        <is>
          <t>SURAHAMMAR</t>
        </is>
      </c>
      <c r="F2842" t="inlineStr">
        <is>
          <t>Övriga Aktiebolag</t>
        </is>
      </c>
      <c r="G2842" t="n">
        <v>1.4</v>
      </c>
      <c r="H2842" t="n">
        <v>0</v>
      </c>
      <c r="I2842" t="n">
        <v>0</v>
      </c>
      <c r="J2842" t="n">
        <v>0</v>
      </c>
      <c r="K2842" t="n">
        <v>0</v>
      </c>
      <c r="L2842" t="n">
        <v>0</v>
      </c>
      <c r="M2842" t="n">
        <v>0</v>
      </c>
      <c r="N2842" t="n">
        <v>0</v>
      </c>
      <c r="O2842" t="n">
        <v>0</v>
      </c>
      <c r="P2842" t="n">
        <v>0</v>
      </c>
      <c r="Q2842" t="n">
        <v>0</v>
      </c>
      <c r="R2842" s="2" t="inlineStr"/>
    </row>
    <row r="2843" ht="15" customHeight="1">
      <c r="A2843" t="inlineStr">
        <is>
          <t>A 10883-2023</t>
        </is>
      </c>
      <c r="B2843" s="1" t="n">
        <v>44991</v>
      </c>
      <c r="C2843" s="1" t="n">
        <v>45724</v>
      </c>
      <c r="D2843" t="inlineStr">
        <is>
          <t>VÄSTMANLANDS LÄN</t>
        </is>
      </c>
      <c r="E2843" t="inlineStr">
        <is>
          <t>SURAHAMMAR</t>
        </is>
      </c>
      <c r="F2843" t="inlineStr">
        <is>
          <t>Övriga Aktiebolag</t>
        </is>
      </c>
      <c r="G2843" t="n">
        <v>12.5</v>
      </c>
      <c r="H2843" t="n">
        <v>0</v>
      </c>
      <c r="I2843" t="n">
        <v>0</v>
      </c>
      <c r="J2843" t="n">
        <v>0</v>
      </c>
      <c r="K2843" t="n">
        <v>0</v>
      </c>
      <c r="L2843" t="n">
        <v>0</v>
      </c>
      <c r="M2843" t="n">
        <v>0</v>
      </c>
      <c r="N2843" t="n">
        <v>0</v>
      </c>
      <c r="O2843" t="n">
        <v>0</v>
      </c>
      <c r="P2843" t="n">
        <v>0</v>
      </c>
      <c r="Q2843" t="n">
        <v>0</v>
      </c>
      <c r="R2843" s="2" t="inlineStr"/>
    </row>
    <row r="2844" ht="15" customHeight="1">
      <c r="A2844" t="inlineStr">
        <is>
          <t>A 10851-2023</t>
        </is>
      </c>
      <c r="B2844" s="1" t="n">
        <v>44991</v>
      </c>
      <c r="C2844" s="1" t="n">
        <v>45724</v>
      </c>
      <c r="D2844" t="inlineStr">
        <is>
          <t>VÄSTMANLANDS LÄN</t>
        </is>
      </c>
      <c r="E2844" t="inlineStr">
        <is>
          <t>FAGERSTA</t>
        </is>
      </c>
      <c r="F2844" t="inlineStr">
        <is>
          <t>Övriga Aktiebolag</t>
        </is>
      </c>
      <c r="G2844" t="n">
        <v>0.9</v>
      </c>
      <c r="H2844" t="n">
        <v>0</v>
      </c>
      <c r="I2844" t="n">
        <v>0</v>
      </c>
      <c r="J2844" t="n">
        <v>0</v>
      </c>
      <c r="K2844" t="n">
        <v>0</v>
      </c>
      <c r="L2844" t="n">
        <v>0</v>
      </c>
      <c r="M2844" t="n">
        <v>0</v>
      </c>
      <c r="N2844" t="n">
        <v>0</v>
      </c>
      <c r="O2844" t="n">
        <v>0</v>
      </c>
      <c r="P2844" t="n">
        <v>0</v>
      </c>
      <c r="Q2844" t="n">
        <v>0</v>
      </c>
      <c r="R2844" s="2" t="inlineStr"/>
    </row>
    <row r="2845" ht="15" customHeight="1">
      <c r="A2845" t="inlineStr">
        <is>
          <t>A 11463-2023</t>
        </is>
      </c>
      <c r="B2845" s="1" t="n">
        <v>44991</v>
      </c>
      <c r="C2845" s="1" t="n">
        <v>45724</v>
      </c>
      <c r="D2845" t="inlineStr">
        <is>
          <t>VÄSTMANLANDS LÄN</t>
        </is>
      </c>
      <c r="E2845" t="inlineStr">
        <is>
          <t>VÄSTERÅS</t>
        </is>
      </c>
      <c r="G2845" t="n">
        <v>3.6</v>
      </c>
      <c r="H2845" t="n">
        <v>0</v>
      </c>
      <c r="I2845" t="n">
        <v>0</v>
      </c>
      <c r="J2845" t="n">
        <v>0</v>
      </c>
      <c r="K2845" t="n">
        <v>0</v>
      </c>
      <c r="L2845" t="n">
        <v>0</v>
      </c>
      <c r="M2845" t="n">
        <v>0</v>
      </c>
      <c r="N2845" t="n">
        <v>0</v>
      </c>
      <c r="O2845" t="n">
        <v>0</v>
      </c>
      <c r="P2845" t="n">
        <v>0</v>
      </c>
      <c r="Q2845" t="n">
        <v>0</v>
      </c>
      <c r="R2845" s="2" t="inlineStr"/>
    </row>
    <row r="2846" ht="15" customHeight="1">
      <c r="A2846" t="inlineStr">
        <is>
          <t>A 11501-2023</t>
        </is>
      </c>
      <c r="B2846" s="1" t="n">
        <v>44991</v>
      </c>
      <c r="C2846" s="1" t="n">
        <v>45724</v>
      </c>
      <c r="D2846" t="inlineStr">
        <is>
          <t>VÄSTMANLANDS LÄN</t>
        </is>
      </c>
      <c r="E2846" t="inlineStr">
        <is>
          <t>SURAHAMMAR</t>
        </is>
      </c>
      <c r="F2846" t="inlineStr">
        <is>
          <t>Bergvik skog väst AB</t>
        </is>
      </c>
      <c r="G2846" t="n">
        <v>1.1</v>
      </c>
      <c r="H2846" t="n">
        <v>0</v>
      </c>
      <c r="I2846" t="n">
        <v>0</v>
      </c>
      <c r="J2846" t="n">
        <v>0</v>
      </c>
      <c r="K2846" t="n">
        <v>0</v>
      </c>
      <c r="L2846" t="n">
        <v>0</v>
      </c>
      <c r="M2846" t="n">
        <v>0</v>
      </c>
      <c r="N2846" t="n">
        <v>0</v>
      </c>
      <c r="O2846" t="n">
        <v>0</v>
      </c>
      <c r="P2846" t="n">
        <v>0</v>
      </c>
      <c r="Q2846" t="n">
        <v>0</v>
      </c>
      <c r="R2846" s="2" t="inlineStr"/>
    </row>
    <row r="2847" ht="15" customHeight="1">
      <c r="A2847" t="inlineStr">
        <is>
          <t>A 11099-2023</t>
        </is>
      </c>
      <c r="B2847" s="1" t="n">
        <v>44992</v>
      </c>
      <c r="C2847" s="1" t="n">
        <v>45724</v>
      </c>
      <c r="D2847" t="inlineStr">
        <is>
          <t>VÄSTMANLANDS LÄN</t>
        </is>
      </c>
      <c r="E2847" t="inlineStr">
        <is>
          <t>NORBERG</t>
        </is>
      </c>
      <c r="G2847" t="n">
        <v>0.6</v>
      </c>
      <c r="H2847" t="n">
        <v>0</v>
      </c>
      <c r="I2847" t="n">
        <v>0</v>
      </c>
      <c r="J2847" t="n">
        <v>0</v>
      </c>
      <c r="K2847" t="n">
        <v>0</v>
      </c>
      <c r="L2847" t="n">
        <v>0</v>
      </c>
      <c r="M2847" t="n">
        <v>0</v>
      </c>
      <c r="N2847" t="n">
        <v>0</v>
      </c>
      <c r="O2847" t="n">
        <v>0</v>
      </c>
      <c r="P2847" t="n">
        <v>0</v>
      </c>
      <c r="Q2847" t="n">
        <v>0</v>
      </c>
      <c r="R2847" s="2" t="inlineStr"/>
    </row>
    <row r="2848" ht="15" customHeight="1">
      <c r="A2848" t="inlineStr">
        <is>
          <t>A 11190-2023</t>
        </is>
      </c>
      <c r="B2848" s="1" t="n">
        <v>44992</v>
      </c>
      <c r="C2848" s="1" t="n">
        <v>45724</v>
      </c>
      <c r="D2848" t="inlineStr">
        <is>
          <t>VÄSTMANLANDS LÄN</t>
        </is>
      </c>
      <c r="E2848" t="inlineStr">
        <is>
          <t>SALA</t>
        </is>
      </c>
      <c r="G2848" t="n">
        <v>1</v>
      </c>
      <c r="H2848" t="n">
        <v>0</v>
      </c>
      <c r="I2848" t="n">
        <v>0</v>
      </c>
      <c r="J2848" t="n">
        <v>0</v>
      </c>
      <c r="K2848" t="n">
        <v>0</v>
      </c>
      <c r="L2848" t="n">
        <v>0</v>
      </c>
      <c r="M2848" t="n">
        <v>0</v>
      </c>
      <c r="N2848" t="n">
        <v>0</v>
      </c>
      <c r="O2848" t="n">
        <v>0</v>
      </c>
      <c r="P2848" t="n">
        <v>0</v>
      </c>
      <c r="Q2848" t="n">
        <v>0</v>
      </c>
      <c r="R2848" s="2" t="inlineStr"/>
    </row>
    <row r="2849" ht="15" customHeight="1">
      <c r="A2849" t="inlineStr">
        <is>
          <t>A 11166-2023</t>
        </is>
      </c>
      <c r="B2849" s="1" t="n">
        <v>44992</v>
      </c>
      <c r="C2849" s="1" t="n">
        <v>45724</v>
      </c>
      <c r="D2849" t="inlineStr">
        <is>
          <t>VÄSTMANLANDS LÄN</t>
        </is>
      </c>
      <c r="E2849" t="inlineStr">
        <is>
          <t>SALA</t>
        </is>
      </c>
      <c r="G2849" t="n">
        <v>3.9</v>
      </c>
      <c r="H2849" t="n">
        <v>0</v>
      </c>
      <c r="I2849" t="n">
        <v>0</v>
      </c>
      <c r="J2849" t="n">
        <v>0</v>
      </c>
      <c r="K2849" t="n">
        <v>0</v>
      </c>
      <c r="L2849" t="n">
        <v>0</v>
      </c>
      <c r="M2849" t="n">
        <v>0</v>
      </c>
      <c r="N2849" t="n">
        <v>0</v>
      </c>
      <c r="O2849" t="n">
        <v>0</v>
      </c>
      <c r="P2849" t="n">
        <v>0</v>
      </c>
      <c r="Q2849" t="n">
        <v>0</v>
      </c>
      <c r="R2849" s="2" t="inlineStr"/>
    </row>
    <row r="2850" ht="15" customHeight="1">
      <c r="A2850" t="inlineStr">
        <is>
          <t>A 11183-2023</t>
        </is>
      </c>
      <c r="B2850" s="1" t="n">
        <v>44992</v>
      </c>
      <c r="C2850" s="1" t="n">
        <v>45724</v>
      </c>
      <c r="D2850" t="inlineStr">
        <is>
          <t>VÄSTMANLANDS LÄN</t>
        </is>
      </c>
      <c r="E2850" t="inlineStr">
        <is>
          <t>SALA</t>
        </is>
      </c>
      <c r="G2850" t="n">
        <v>0.9</v>
      </c>
      <c r="H2850" t="n">
        <v>0</v>
      </c>
      <c r="I2850" t="n">
        <v>0</v>
      </c>
      <c r="J2850" t="n">
        <v>0</v>
      </c>
      <c r="K2850" t="n">
        <v>0</v>
      </c>
      <c r="L2850" t="n">
        <v>0</v>
      </c>
      <c r="M2850" t="n">
        <v>0</v>
      </c>
      <c r="N2850" t="n">
        <v>0</v>
      </c>
      <c r="O2850" t="n">
        <v>0</v>
      </c>
      <c r="P2850" t="n">
        <v>0</v>
      </c>
      <c r="Q2850" t="n">
        <v>0</v>
      </c>
      <c r="R2850" s="2" t="inlineStr"/>
    </row>
    <row r="2851" ht="15" customHeight="1">
      <c r="A2851" t="inlineStr">
        <is>
          <t>A 11664-2023</t>
        </is>
      </c>
      <c r="B2851" s="1" t="n">
        <v>44992</v>
      </c>
      <c r="C2851" s="1" t="n">
        <v>45724</v>
      </c>
      <c r="D2851" t="inlineStr">
        <is>
          <t>VÄSTMANLANDS LÄN</t>
        </is>
      </c>
      <c r="E2851" t="inlineStr">
        <is>
          <t>NORBERG</t>
        </is>
      </c>
      <c r="G2851" t="n">
        <v>8.300000000000001</v>
      </c>
      <c r="H2851" t="n">
        <v>0</v>
      </c>
      <c r="I2851" t="n">
        <v>0</v>
      </c>
      <c r="J2851" t="n">
        <v>0</v>
      </c>
      <c r="K2851" t="n">
        <v>0</v>
      </c>
      <c r="L2851" t="n">
        <v>0</v>
      </c>
      <c r="M2851" t="n">
        <v>0</v>
      </c>
      <c r="N2851" t="n">
        <v>0</v>
      </c>
      <c r="O2851" t="n">
        <v>0</v>
      </c>
      <c r="P2851" t="n">
        <v>0</v>
      </c>
      <c r="Q2851" t="n">
        <v>0</v>
      </c>
      <c r="R2851" s="2" t="inlineStr"/>
    </row>
    <row r="2852" ht="15" customHeight="1">
      <c r="A2852" t="inlineStr">
        <is>
          <t>A 11494-2023</t>
        </is>
      </c>
      <c r="B2852" s="1" t="n">
        <v>44993</v>
      </c>
      <c r="C2852" s="1" t="n">
        <v>45724</v>
      </c>
      <c r="D2852" t="inlineStr">
        <is>
          <t>VÄSTMANLANDS LÄN</t>
        </is>
      </c>
      <c r="E2852" t="inlineStr">
        <is>
          <t>SKINNSKATTEBERG</t>
        </is>
      </c>
      <c r="F2852" t="inlineStr">
        <is>
          <t>Sveaskog</t>
        </is>
      </c>
      <c r="G2852" t="n">
        <v>1.4</v>
      </c>
      <c r="H2852" t="n">
        <v>0</v>
      </c>
      <c r="I2852" t="n">
        <v>0</v>
      </c>
      <c r="J2852" t="n">
        <v>0</v>
      </c>
      <c r="K2852" t="n">
        <v>0</v>
      </c>
      <c r="L2852" t="n">
        <v>0</v>
      </c>
      <c r="M2852" t="n">
        <v>0</v>
      </c>
      <c r="N2852" t="n">
        <v>0</v>
      </c>
      <c r="O2852" t="n">
        <v>0</v>
      </c>
      <c r="P2852" t="n">
        <v>0</v>
      </c>
      <c r="Q2852" t="n">
        <v>0</v>
      </c>
      <c r="R2852" s="2" t="inlineStr"/>
    </row>
    <row r="2853" ht="15" customHeight="1">
      <c r="A2853" t="inlineStr">
        <is>
          <t>A 11728-2023</t>
        </is>
      </c>
      <c r="B2853" s="1" t="n">
        <v>44993</v>
      </c>
      <c r="C2853" s="1" t="n">
        <v>45724</v>
      </c>
      <c r="D2853" t="inlineStr">
        <is>
          <t>VÄSTMANLANDS LÄN</t>
        </is>
      </c>
      <c r="E2853" t="inlineStr">
        <is>
          <t>SURAHAMMAR</t>
        </is>
      </c>
      <c r="F2853" t="inlineStr">
        <is>
          <t>Bergvik skog väst AB</t>
        </is>
      </c>
      <c r="G2853" t="n">
        <v>0.4</v>
      </c>
      <c r="H2853" t="n">
        <v>0</v>
      </c>
      <c r="I2853" t="n">
        <v>0</v>
      </c>
      <c r="J2853" t="n">
        <v>0</v>
      </c>
      <c r="K2853" t="n">
        <v>0</v>
      </c>
      <c r="L2853" t="n">
        <v>0</v>
      </c>
      <c r="M2853" t="n">
        <v>0</v>
      </c>
      <c r="N2853" t="n">
        <v>0</v>
      </c>
      <c r="O2853" t="n">
        <v>0</v>
      </c>
      <c r="P2853" t="n">
        <v>0</v>
      </c>
      <c r="Q2853" t="n">
        <v>0</v>
      </c>
      <c r="R2853" s="2" t="inlineStr"/>
    </row>
    <row r="2854" ht="15" customHeight="1">
      <c r="A2854" t="inlineStr">
        <is>
          <t>A 11631-2023</t>
        </is>
      </c>
      <c r="B2854" s="1" t="n">
        <v>44994</v>
      </c>
      <c r="C2854" s="1" t="n">
        <v>45724</v>
      </c>
      <c r="D2854" t="inlineStr">
        <is>
          <t>VÄSTMANLANDS LÄN</t>
        </is>
      </c>
      <c r="E2854" t="inlineStr">
        <is>
          <t>SALA</t>
        </is>
      </c>
      <c r="F2854" t="inlineStr">
        <is>
          <t>Kommuner</t>
        </is>
      </c>
      <c r="G2854" t="n">
        <v>1.9</v>
      </c>
      <c r="H2854" t="n">
        <v>0</v>
      </c>
      <c r="I2854" t="n">
        <v>0</v>
      </c>
      <c r="J2854" t="n">
        <v>0</v>
      </c>
      <c r="K2854" t="n">
        <v>0</v>
      </c>
      <c r="L2854" t="n">
        <v>0</v>
      </c>
      <c r="M2854" t="n">
        <v>0</v>
      </c>
      <c r="N2854" t="n">
        <v>0</v>
      </c>
      <c r="O2854" t="n">
        <v>0</v>
      </c>
      <c r="P2854" t="n">
        <v>0</v>
      </c>
      <c r="Q2854" t="n">
        <v>0</v>
      </c>
      <c r="R2854" s="2" t="inlineStr"/>
    </row>
    <row r="2855" ht="15" customHeight="1">
      <c r="A2855" t="inlineStr">
        <is>
          <t>A 11694-2023</t>
        </is>
      </c>
      <c r="B2855" s="1" t="n">
        <v>44994</v>
      </c>
      <c r="C2855" s="1" t="n">
        <v>45724</v>
      </c>
      <c r="D2855" t="inlineStr">
        <is>
          <t>VÄSTMANLANDS LÄN</t>
        </is>
      </c>
      <c r="E2855" t="inlineStr">
        <is>
          <t>ARBOGA</t>
        </is>
      </c>
      <c r="G2855" t="n">
        <v>5.8</v>
      </c>
      <c r="H2855" t="n">
        <v>0</v>
      </c>
      <c r="I2855" t="n">
        <v>0</v>
      </c>
      <c r="J2855" t="n">
        <v>0</v>
      </c>
      <c r="K2855" t="n">
        <v>0</v>
      </c>
      <c r="L2855" t="n">
        <v>0</v>
      </c>
      <c r="M2855" t="n">
        <v>0</v>
      </c>
      <c r="N2855" t="n">
        <v>0</v>
      </c>
      <c r="O2855" t="n">
        <v>0</v>
      </c>
      <c r="P2855" t="n">
        <v>0</v>
      </c>
      <c r="Q2855" t="n">
        <v>0</v>
      </c>
      <c r="R2855" s="2" t="inlineStr"/>
    </row>
    <row r="2856" ht="15" customHeight="1">
      <c r="A2856" t="inlineStr">
        <is>
          <t>A 11691-2023</t>
        </is>
      </c>
      <c r="B2856" s="1" t="n">
        <v>44994</v>
      </c>
      <c r="C2856" s="1" t="n">
        <v>45724</v>
      </c>
      <c r="D2856" t="inlineStr">
        <is>
          <t>VÄSTMANLANDS LÄN</t>
        </is>
      </c>
      <c r="E2856" t="inlineStr">
        <is>
          <t>VÄSTERÅS</t>
        </is>
      </c>
      <c r="G2856" t="n">
        <v>0.7</v>
      </c>
      <c r="H2856" t="n">
        <v>0</v>
      </c>
      <c r="I2856" t="n">
        <v>0</v>
      </c>
      <c r="J2856" t="n">
        <v>0</v>
      </c>
      <c r="K2856" t="n">
        <v>0</v>
      </c>
      <c r="L2856" t="n">
        <v>0</v>
      </c>
      <c r="M2856" t="n">
        <v>0</v>
      </c>
      <c r="N2856" t="n">
        <v>0</v>
      </c>
      <c r="O2856" t="n">
        <v>0</v>
      </c>
      <c r="P2856" t="n">
        <v>0</v>
      </c>
      <c r="Q2856" t="n">
        <v>0</v>
      </c>
      <c r="R2856" s="2" t="inlineStr"/>
    </row>
    <row r="2857" ht="15" customHeight="1">
      <c r="A2857" t="inlineStr">
        <is>
          <t>A 11748-2023</t>
        </is>
      </c>
      <c r="B2857" s="1" t="n">
        <v>44994</v>
      </c>
      <c r="C2857" s="1" t="n">
        <v>45724</v>
      </c>
      <c r="D2857" t="inlineStr">
        <is>
          <t>VÄSTMANLANDS LÄN</t>
        </is>
      </c>
      <c r="E2857" t="inlineStr">
        <is>
          <t>FAGERSTA</t>
        </is>
      </c>
      <c r="G2857" t="n">
        <v>3.2</v>
      </c>
      <c r="H2857" t="n">
        <v>0</v>
      </c>
      <c r="I2857" t="n">
        <v>0</v>
      </c>
      <c r="J2857" t="n">
        <v>0</v>
      </c>
      <c r="K2857" t="n">
        <v>0</v>
      </c>
      <c r="L2857" t="n">
        <v>0</v>
      </c>
      <c r="M2857" t="n">
        <v>0</v>
      </c>
      <c r="N2857" t="n">
        <v>0</v>
      </c>
      <c r="O2857" t="n">
        <v>0</v>
      </c>
      <c r="P2857" t="n">
        <v>0</v>
      </c>
      <c r="Q2857" t="n">
        <v>0</v>
      </c>
      <c r="R2857" s="2" t="inlineStr"/>
    </row>
    <row r="2858" ht="15" customHeight="1">
      <c r="A2858" t="inlineStr">
        <is>
          <t>A 11660-2023</t>
        </is>
      </c>
      <c r="B2858" s="1" t="n">
        <v>44994</v>
      </c>
      <c r="C2858" s="1" t="n">
        <v>45724</v>
      </c>
      <c r="D2858" t="inlineStr">
        <is>
          <t>VÄSTMANLANDS LÄN</t>
        </is>
      </c>
      <c r="E2858" t="inlineStr">
        <is>
          <t>FAGERSTA</t>
        </is>
      </c>
      <c r="F2858" t="inlineStr">
        <is>
          <t>Kommuner</t>
        </is>
      </c>
      <c r="G2858" t="n">
        <v>2.6</v>
      </c>
      <c r="H2858" t="n">
        <v>0</v>
      </c>
      <c r="I2858" t="n">
        <v>0</v>
      </c>
      <c r="J2858" t="n">
        <v>0</v>
      </c>
      <c r="K2858" t="n">
        <v>0</v>
      </c>
      <c r="L2858" t="n">
        <v>0</v>
      </c>
      <c r="M2858" t="n">
        <v>0</v>
      </c>
      <c r="N2858" t="n">
        <v>0</v>
      </c>
      <c r="O2858" t="n">
        <v>0</v>
      </c>
      <c r="P2858" t="n">
        <v>0</v>
      </c>
      <c r="Q2858" t="n">
        <v>0</v>
      </c>
      <c r="R2858" s="2" t="inlineStr"/>
    </row>
    <row r="2859" ht="15" customHeight="1">
      <c r="A2859" t="inlineStr">
        <is>
          <t>A 11696-2023</t>
        </is>
      </c>
      <c r="B2859" s="1" t="n">
        <v>44994</v>
      </c>
      <c r="C2859" s="1" t="n">
        <v>45724</v>
      </c>
      <c r="D2859" t="inlineStr">
        <is>
          <t>VÄSTMANLANDS LÄN</t>
        </is>
      </c>
      <c r="E2859" t="inlineStr">
        <is>
          <t>ARBOGA</t>
        </is>
      </c>
      <c r="G2859" t="n">
        <v>3.4</v>
      </c>
      <c r="H2859" t="n">
        <v>0</v>
      </c>
      <c r="I2859" t="n">
        <v>0</v>
      </c>
      <c r="J2859" t="n">
        <v>0</v>
      </c>
      <c r="K2859" t="n">
        <v>0</v>
      </c>
      <c r="L2859" t="n">
        <v>0</v>
      </c>
      <c r="M2859" t="n">
        <v>0</v>
      </c>
      <c r="N2859" t="n">
        <v>0</v>
      </c>
      <c r="O2859" t="n">
        <v>0</v>
      </c>
      <c r="P2859" t="n">
        <v>0</v>
      </c>
      <c r="Q2859" t="n">
        <v>0</v>
      </c>
      <c r="R2859" s="2" t="inlineStr"/>
    </row>
    <row r="2860" ht="15" customHeight="1">
      <c r="A2860" t="inlineStr">
        <is>
          <t>A 11757-2023</t>
        </is>
      </c>
      <c r="B2860" s="1" t="n">
        <v>44994</v>
      </c>
      <c r="C2860" s="1" t="n">
        <v>45724</v>
      </c>
      <c r="D2860" t="inlineStr">
        <is>
          <t>VÄSTMANLANDS LÄN</t>
        </is>
      </c>
      <c r="E2860" t="inlineStr">
        <is>
          <t>FAGERSTA</t>
        </is>
      </c>
      <c r="G2860" t="n">
        <v>2.7</v>
      </c>
      <c r="H2860" t="n">
        <v>0</v>
      </c>
      <c r="I2860" t="n">
        <v>0</v>
      </c>
      <c r="J2860" t="n">
        <v>0</v>
      </c>
      <c r="K2860" t="n">
        <v>0</v>
      </c>
      <c r="L2860" t="n">
        <v>0</v>
      </c>
      <c r="M2860" t="n">
        <v>0</v>
      </c>
      <c r="N2860" t="n">
        <v>0</v>
      </c>
      <c r="O2860" t="n">
        <v>0</v>
      </c>
      <c r="P2860" t="n">
        <v>0</v>
      </c>
      <c r="Q2860" t="n">
        <v>0</v>
      </c>
      <c r="R2860" s="2" t="inlineStr"/>
    </row>
    <row r="2861" ht="15" customHeight="1">
      <c r="A2861" t="inlineStr">
        <is>
          <t>A 12025-2023</t>
        </is>
      </c>
      <c r="B2861" s="1" t="n">
        <v>44995</v>
      </c>
      <c r="C2861" s="1" t="n">
        <v>45724</v>
      </c>
      <c r="D2861" t="inlineStr">
        <is>
          <t>VÄSTMANLANDS LÄN</t>
        </is>
      </c>
      <c r="E2861" t="inlineStr">
        <is>
          <t>SKINNSKATTEBERG</t>
        </is>
      </c>
      <c r="F2861" t="inlineStr">
        <is>
          <t>Sveaskog</t>
        </is>
      </c>
      <c r="G2861" t="n">
        <v>0.7</v>
      </c>
      <c r="H2861" t="n">
        <v>0</v>
      </c>
      <c r="I2861" t="n">
        <v>0</v>
      </c>
      <c r="J2861" t="n">
        <v>0</v>
      </c>
      <c r="K2861" t="n">
        <v>0</v>
      </c>
      <c r="L2861" t="n">
        <v>0</v>
      </c>
      <c r="M2861" t="n">
        <v>0</v>
      </c>
      <c r="N2861" t="n">
        <v>0</v>
      </c>
      <c r="O2861" t="n">
        <v>0</v>
      </c>
      <c r="P2861" t="n">
        <v>0</v>
      </c>
      <c r="Q2861" t="n">
        <v>0</v>
      </c>
      <c r="R2861" s="2" t="inlineStr"/>
    </row>
    <row r="2862" ht="15" customHeight="1">
      <c r="A2862" t="inlineStr">
        <is>
          <t>A 12231-2023</t>
        </is>
      </c>
      <c r="B2862" s="1" t="n">
        <v>44995</v>
      </c>
      <c r="C2862" s="1" t="n">
        <v>45724</v>
      </c>
      <c r="D2862" t="inlineStr">
        <is>
          <t>VÄSTMANLANDS LÄN</t>
        </is>
      </c>
      <c r="E2862" t="inlineStr">
        <is>
          <t>SALA</t>
        </is>
      </c>
      <c r="G2862" t="n">
        <v>1.1</v>
      </c>
      <c r="H2862" t="n">
        <v>0</v>
      </c>
      <c r="I2862" t="n">
        <v>0</v>
      </c>
      <c r="J2862" t="n">
        <v>0</v>
      </c>
      <c r="K2862" t="n">
        <v>0</v>
      </c>
      <c r="L2862" t="n">
        <v>0</v>
      </c>
      <c r="M2862" t="n">
        <v>0</v>
      </c>
      <c r="N2862" t="n">
        <v>0</v>
      </c>
      <c r="O2862" t="n">
        <v>0</v>
      </c>
      <c r="P2862" t="n">
        <v>0</v>
      </c>
      <c r="Q2862" t="n">
        <v>0</v>
      </c>
      <c r="R2862" s="2" t="inlineStr"/>
    </row>
    <row r="2863" ht="15" customHeight="1">
      <c r="A2863" t="inlineStr">
        <is>
          <t>A 12246-2023</t>
        </is>
      </c>
      <c r="B2863" s="1" t="n">
        <v>44995</v>
      </c>
      <c r="C2863" s="1" t="n">
        <v>45724</v>
      </c>
      <c r="D2863" t="inlineStr">
        <is>
          <t>VÄSTMANLANDS LÄN</t>
        </is>
      </c>
      <c r="E2863" t="inlineStr">
        <is>
          <t>SALA</t>
        </is>
      </c>
      <c r="G2863" t="n">
        <v>2.4</v>
      </c>
      <c r="H2863" t="n">
        <v>0</v>
      </c>
      <c r="I2863" t="n">
        <v>0</v>
      </c>
      <c r="J2863" t="n">
        <v>0</v>
      </c>
      <c r="K2863" t="n">
        <v>0</v>
      </c>
      <c r="L2863" t="n">
        <v>0</v>
      </c>
      <c r="M2863" t="n">
        <v>0</v>
      </c>
      <c r="N2863" t="n">
        <v>0</v>
      </c>
      <c r="O2863" t="n">
        <v>0</v>
      </c>
      <c r="P2863" t="n">
        <v>0</v>
      </c>
      <c r="Q2863" t="n">
        <v>0</v>
      </c>
      <c r="R2863" s="2" t="inlineStr"/>
    </row>
    <row r="2864" ht="15" customHeight="1">
      <c r="A2864" t="inlineStr">
        <is>
          <t>A 12272-2023</t>
        </is>
      </c>
      <c r="B2864" s="1" t="n">
        <v>44995</v>
      </c>
      <c r="C2864" s="1" t="n">
        <v>45724</v>
      </c>
      <c r="D2864" t="inlineStr">
        <is>
          <t>VÄSTMANLANDS LÄN</t>
        </is>
      </c>
      <c r="E2864" t="inlineStr">
        <is>
          <t>SALA</t>
        </is>
      </c>
      <c r="G2864" t="n">
        <v>5.2</v>
      </c>
      <c r="H2864" t="n">
        <v>0</v>
      </c>
      <c r="I2864" t="n">
        <v>0</v>
      </c>
      <c r="J2864" t="n">
        <v>0</v>
      </c>
      <c r="K2864" t="n">
        <v>0</v>
      </c>
      <c r="L2864" t="n">
        <v>0</v>
      </c>
      <c r="M2864" t="n">
        <v>0</v>
      </c>
      <c r="N2864" t="n">
        <v>0</v>
      </c>
      <c r="O2864" t="n">
        <v>0</v>
      </c>
      <c r="P2864" t="n">
        <v>0</v>
      </c>
      <c r="Q2864" t="n">
        <v>0</v>
      </c>
      <c r="R2864" s="2" t="inlineStr"/>
    </row>
    <row r="2865" ht="15" customHeight="1">
      <c r="A2865" t="inlineStr">
        <is>
          <t>A 11992-2023</t>
        </is>
      </c>
      <c r="B2865" s="1" t="n">
        <v>44995</v>
      </c>
      <c r="C2865" s="1" t="n">
        <v>45724</v>
      </c>
      <c r="D2865" t="inlineStr">
        <is>
          <t>VÄSTMANLANDS LÄN</t>
        </is>
      </c>
      <c r="E2865" t="inlineStr">
        <is>
          <t>SKINNSKATTEBERG</t>
        </is>
      </c>
      <c r="F2865" t="inlineStr">
        <is>
          <t>Sveaskog</t>
        </is>
      </c>
      <c r="G2865" t="n">
        <v>1.3</v>
      </c>
      <c r="H2865" t="n">
        <v>0</v>
      </c>
      <c r="I2865" t="n">
        <v>0</v>
      </c>
      <c r="J2865" t="n">
        <v>0</v>
      </c>
      <c r="K2865" t="n">
        <v>0</v>
      </c>
      <c r="L2865" t="n">
        <v>0</v>
      </c>
      <c r="M2865" t="n">
        <v>0</v>
      </c>
      <c r="N2865" t="n">
        <v>0</v>
      </c>
      <c r="O2865" t="n">
        <v>0</v>
      </c>
      <c r="P2865" t="n">
        <v>0</v>
      </c>
      <c r="Q2865" t="n">
        <v>0</v>
      </c>
      <c r="R2865" s="2" t="inlineStr"/>
    </row>
    <row r="2866" ht="15" customHeight="1">
      <c r="A2866" t="inlineStr">
        <is>
          <t>A 12024-2023</t>
        </is>
      </c>
      <c r="B2866" s="1" t="n">
        <v>44995</v>
      </c>
      <c r="C2866" s="1" t="n">
        <v>45724</v>
      </c>
      <c r="D2866" t="inlineStr">
        <is>
          <t>VÄSTMANLANDS LÄN</t>
        </is>
      </c>
      <c r="E2866" t="inlineStr">
        <is>
          <t>SKINNSKATTEBERG</t>
        </is>
      </c>
      <c r="F2866" t="inlineStr">
        <is>
          <t>Sveaskog</t>
        </is>
      </c>
      <c r="G2866" t="n">
        <v>1.4</v>
      </c>
      <c r="H2866" t="n">
        <v>0</v>
      </c>
      <c r="I2866" t="n">
        <v>0</v>
      </c>
      <c r="J2866" t="n">
        <v>0</v>
      </c>
      <c r="K2866" t="n">
        <v>0</v>
      </c>
      <c r="L2866" t="n">
        <v>0</v>
      </c>
      <c r="M2866" t="n">
        <v>0</v>
      </c>
      <c r="N2866" t="n">
        <v>0</v>
      </c>
      <c r="O2866" t="n">
        <v>0</v>
      </c>
      <c r="P2866" t="n">
        <v>0</v>
      </c>
      <c r="Q2866" t="n">
        <v>0</v>
      </c>
      <c r="R2866" s="2" t="inlineStr"/>
    </row>
    <row r="2867" ht="15" customHeight="1">
      <c r="A2867" t="inlineStr">
        <is>
          <t>A 12242-2023</t>
        </is>
      </c>
      <c r="B2867" s="1" t="n">
        <v>44995</v>
      </c>
      <c r="C2867" s="1" t="n">
        <v>45724</v>
      </c>
      <c r="D2867" t="inlineStr">
        <is>
          <t>VÄSTMANLANDS LÄN</t>
        </is>
      </c>
      <c r="E2867" t="inlineStr">
        <is>
          <t>SALA</t>
        </is>
      </c>
      <c r="G2867" t="n">
        <v>2</v>
      </c>
      <c r="H2867" t="n">
        <v>0</v>
      </c>
      <c r="I2867" t="n">
        <v>0</v>
      </c>
      <c r="J2867" t="n">
        <v>0</v>
      </c>
      <c r="K2867" t="n">
        <v>0</v>
      </c>
      <c r="L2867" t="n">
        <v>0</v>
      </c>
      <c r="M2867" t="n">
        <v>0</v>
      </c>
      <c r="N2867" t="n">
        <v>0</v>
      </c>
      <c r="O2867" t="n">
        <v>0</v>
      </c>
      <c r="P2867" t="n">
        <v>0</v>
      </c>
      <c r="Q2867" t="n">
        <v>0</v>
      </c>
      <c r="R2867" s="2" t="inlineStr"/>
    </row>
    <row r="2868" ht="15" customHeight="1">
      <c r="A2868" t="inlineStr">
        <is>
          <t>A 12252-2023</t>
        </is>
      </c>
      <c r="B2868" s="1" t="n">
        <v>44995</v>
      </c>
      <c r="C2868" s="1" t="n">
        <v>45724</v>
      </c>
      <c r="D2868" t="inlineStr">
        <is>
          <t>VÄSTMANLANDS LÄN</t>
        </is>
      </c>
      <c r="E2868" t="inlineStr">
        <is>
          <t>SALA</t>
        </is>
      </c>
      <c r="G2868" t="n">
        <v>2.6</v>
      </c>
      <c r="H2868" t="n">
        <v>0</v>
      </c>
      <c r="I2868" t="n">
        <v>0</v>
      </c>
      <c r="J2868" t="n">
        <v>0</v>
      </c>
      <c r="K2868" t="n">
        <v>0</v>
      </c>
      <c r="L2868" t="n">
        <v>0</v>
      </c>
      <c r="M2868" t="n">
        <v>0</v>
      </c>
      <c r="N2868" t="n">
        <v>0</v>
      </c>
      <c r="O2868" t="n">
        <v>0</v>
      </c>
      <c r="P2868" t="n">
        <v>0</v>
      </c>
      <c r="Q2868" t="n">
        <v>0</v>
      </c>
      <c r="R2868" s="2" t="inlineStr"/>
    </row>
    <row r="2869" ht="15" customHeight="1">
      <c r="A2869" t="inlineStr">
        <is>
          <t>A 12225-2023</t>
        </is>
      </c>
      <c r="B2869" s="1" t="n">
        <v>44995</v>
      </c>
      <c r="C2869" s="1" t="n">
        <v>45724</v>
      </c>
      <c r="D2869" t="inlineStr">
        <is>
          <t>VÄSTMANLANDS LÄN</t>
        </is>
      </c>
      <c r="E2869" t="inlineStr">
        <is>
          <t>SALA</t>
        </is>
      </c>
      <c r="G2869" t="n">
        <v>0.9</v>
      </c>
      <c r="H2869" t="n">
        <v>0</v>
      </c>
      <c r="I2869" t="n">
        <v>0</v>
      </c>
      <c r="J2869" t="n">
        <v>0</v>
      </c>
      <c r="K2869" t="n">
        <v>0</v>
      </c>
      <c r="L2869" t="n">
        <v>0</v>
      </c>
      <c r="M2869" t="n">
        <v>0</v>
      </c>
      <c r="N2869" t="n">
        <v>0</v>
      </c>
      <c r="O2869" t="n">
        <v>0</v>
      </c>
      <c r="P2869" t="n">
        <v>0</v>
      </c>
      <c r="Q2869" t="n">
        <v>0</v>
      </c>
      <c r="R2869" s="2" t="inlineStr"/>
    </row>
    <row r="2870" ht="15" customHeight="1">
      <c r="A2870" t="inlineStr">
        <is>
          <t>A 12170-2023</t>
        </is>
      </c>
      <c r="B2870" s="1" t="n">
        <v>44998</v>
      </c>
      <c r="C2870" s="1" t="n">
        <v>45724</v>
      </c>
      <c r="D2870" t="inlineStr">
        <is>
          <t>VÄSTMANLANDS LÄN</t>
        </is>
      </c>
      <c r="E2870" t="inlineStr">
        <is>
          <t>NORBERG</t>
        </is>
      </c>
      <c r="F2870" t="inlineStr">
        <is>
          <t>Övriga Aktiebolag</t>
        </is>
      </c>
      <c r="G2870" t="n">
        <v>19.6</v>
      </c>
      <c r="H2870" t="n">
        <v>0</v>
      </c>
      <c r="I2870" t="n">
        <v>0</v>
      </c>
      <c r="J2870" t="n">
        <v>0</v>
      </c>
      <c r="K2870" t="n">
        <v>0</v>
      </c>
      <c r="L2870" t="n">
        <v>0</v>
      </c>
      <c r="M2870" t="n">
        <v>0</v>
      </c>
      <c r="N2870" t="n">
        <v>0</v>
      </c>
      <c r="O2870" t="n">
        <v>0</v>
      </c>
      <c r="P2870" t="n">
        <v>0</v>
      </c>
      <c r="Q2870" t="n">
        <v>0</v>
      </c>
      <c r="R2870" s="2" t="inlineStr"/>
    </row>
    <row r="2871" ht="15" customHeight="1">
      <c r="A2871" t="inlineStr">
        <is>
          <t>A 12130-2023</t>
        </is>
      </c>
      <c r="B2871" s="1" t="n">
        <v>44998</v>
      </c>
      <c r="C2871" s="1" t="n">
        <v>45724</v>
      </c>
      <c r="D2871" t="inlineStr">
        <is>
          <t>VÄSTMANLANDS LÄN</t>
        </is>
      </c>
      <c r="E2871" t="inlineStr">
        <is>
          <t>NORBERG</t>
        </is>
      </c>
      <c r="F2871" t="inlineStr">
        <is>
          <t>Övriga Aktiebolag</t>
        </is>
      </c>
      <c r="G2871" t="n">
        <v>14.6</v>
      </c>
      <c r="H2871" t="n">
        <v>0</v>
      </c>
      <c r="I2871" t="n">
        <v>0</v>
      </c>
      <c r="J2871" t="n">
        <v>0</v>
      </c>
      <c r="K2871" t="n">
        <v>0</v>
      </c>
      <c r="L2871" t="n">
        <v>0</v>
      </c>
      <c r="M2871" t="n">
        <v>0</v>
      </c>
      <c r="N2871" t="n">
        <v>0</v>
      </c>
      <c r="O2871" t="n">
        <v>0</v>
      </c>
      <c r="P2871" t="n">
        <v>0</v>
      </c>
      <c r="Q2871" t="n">
        <v>0</v>
      </c>
      <c r="R2871" s="2" t="inlineStr"/>
    </row>
    <row r="2872" ht="15" customHeight="1">
      <c r="A2872" t="inlineStr">
        <is>
          <t>A 12121-2023</t>
        </is>
      </c>
      <c r="B2872" s="1" t="n">
        <v>44998</v>
      </c>
      <c r="C2872" s="1" t="n">
        <v>45724</v>
      </c>
      <c r="D2872" t="inlineStr">
        <is>
          <t>VÄSTMANLANDS LÄN</t>
        </is>
      </c>
      <c r="E2872" t="inlineStr">
        <is>
          <t>FAGERSTA</t>
        </is>
      </c>
      <c r="F2872" t="inlineStr">
        <is>
          <t>Övriga Aktiebolag</t>
        </is>
      </c>
      <c r="G2872" t="n">
        <v>6.9</v>
      </c>
      <c r="H2872" t="n">
        <v>0</v>
      </c>
      <c r="I2872" t="n">
        <v>0</v>
      </c>
      <c r="J2872" t="n">
        <v>0</v>
      </c>
      <c r="K2872" t="n">
        <v>0</v>
      </c>
      <c r="L2872" t="n">
        <v>0</v>
      </c>
      <c r="M2872" t="n">
        <v>0</v>
      </c>
      <c r="N2872" t="n">
        <v>0</v>
      </c>
      <c r="O2872" t="n">
        <v>0</v>
      </c>
      <c r="P2872" t="n">
        <v>0</v>
      </c>
      <c r="Q2872" t="n">
        <v>0</v>
      </c>
      <c r="R2872" s="2" t="inlineStr"/>
    </row>
    <row r="2873" ht="15" customHeight="1">
      <c r="A2873" t="inlineStr">
        <is>
          <t>A 12125-2023</t>
        </is>
      </c>
      <c r="B2873" s="1" t="n">
        <v>44998</v>
      </c>
      <c r="C2873" s="1" t="n">
        <v>45724</v>
      </c>
      <c r="D2873" t="inlineStr">
        <is>
          <t>VÄSTMANLANDS LÄN</t>
        </is>
      </c>
      <c r="E2873" t="inlineStr">
        <is>
          <t>FAGERSTA</t>
        </is>
      </c>
      <c r="F2873" t="inlineStr">
        <is>
          <t>Övriga Aktiebolag</t>
        </is>
      </c>
      <c r="G2873" t="n">
        <v>3.7</v>
      </c>
      <c r="H2873" t="n">
        <v>0</v>
      </c>
      <c r="I2873" t="n">
        <v>0</v>
      </c>
      <c r="J2873" t="n">
        <v>0</v>
      </c>
      <c r="K2873" t="n">
        <v>0</v>
      </c>
      <c r="L2873" t="n">
        <v>0</v>
      </c>
      <c r="M2873" t="n">
        <v>0</v>
      </c>
      <c r="N2873" t="n">
        <v>0</v>
      </c>
      <c r="O2873" t="n">
        <v>0</v>
      </c>
      <c r="P2873" t="n">
        <v>0</v>
      </c>
      <c r="Q2873" t="n">
        <v>0</v>
      </c>
      <c r="R2873" s="2" t="inlineStr"/>
    </row>
    <row r="2874" ht="15" customHeight="1">
      <c r="A2874" t="inlineStr">
        <is>
          <t>A 12171-2023</t>
        </is>
      </c>
      <c r="B2874" s="1" t="n">
        <v>44998</v>
      </c>
      <c r="C2874" s="1" t="n">
        <v>45724</v>
      </c>
      <c r="D2874" t="inlineStr">
        <is>
          <t>VÄSTMANLANDS LÄN</t>
        </is>
      </c>
      <c r="E2874" t="inlineStr">
        <is>
          <t>NORBERG</t>
        </is>
      </c>
      <c r="F2874" t="inlineStr">
        <is>
          <t>Övriga Aktiebolag</t>
        </is>
      </c>
      <c r="G2874" t="n">
        <v>7.2</v>
      </c>
      <c r="H2874" t="n">
        <v>0</v>
      </c>
      <c r="I2874" t="n">
        <v>0</v>
      </c>
      <c r="J2874" t="n">
        <v>0</v>
      </c>
      <c r="K2874" t="n">
        <v>0</v>
      </c>
      <c r="L2874" t="n">
        <v>0</v>
      </c>
      <c r="M2874" t="n">
        <v>0</v>
      </c>
      <c r="N2874" t="n">
        <v>0</v>
      </c>
      <c r="O2874" t="n">
        <v>0</v>
      </c>
      <c r="P2874" t="n">
        <v>0</v>
      </c>
      <c r="Q2874" t="n">
        <v>0</v>
      </c>
      <c r="R2874" s="2" t="inlineStr"/>
    </row>
    <row r="2875" ht="15" customHeight="1">
      <c r="A2875" t="inlineStr">
        <is>
          <t>A 12480-2023</t>
        </is>
      </c>
      <c r="B2875" s="1" t="n">
        <v>44999</v>
      </c>
      <c r="C2875" s="1" t="n">
        <v>45724</v>
      </c>
      <c r="D2875" t="inlineStr">
        <is>
          <t>VÄSTMANLANDS LÄN</t>
        </is>
      </c>
      <c r="E2875" t="inlineStr">
        <is>
          <t>VÄSTERÅS</t>
        </is>
      </c>
      <c r="G2875" t="n">
        <v>2.5</v>
      </c>
      <c r="H2875" t="n">
        <v>0</v>
      </c>
      <c r="I2875" t="n">
        <v>0</v>
      </c>
      <c r="J2875" t="n">
        <v>0</v>
      </c>
      <c r="K2875" t="n">
        <v>0</v>
      </c>
      <c r="L2875" t="n">
        <v>0</v>
      </c>
      <c r="M2875" t="n">
        <v>0</v>
      </c>
      <c r="N2875" t="n">
        <v>0</v>
      </c>
      <c r="O2875" t="n">
        <v>0</v>
      </c>
      <c r="P2875" t="n">
        <v>0</v>
      </c>
      <c r="Q2875" t="n">
        <v>0</v>
      </c>
      <c r="R2875" s="2" t="inlineStr"/>
    </row>
    <row r="2876" ht="15" customHeight="1">
      <c r="A2876" t="inlineStr">
        <is>
          <t>A 12503-2023</t>
        </is>
      </c>
      <c r="B2876" s="1" t="n">
        <v>44999</v>
      </c>
      <c r="C2876" s="1" t="n">
        <v>45724</v>
      </c>
      <c r="D2876" t="inlineStr">
        <is>
          <t>VÄSTMANLANDS LÄN</t>
        </is>
      </c>
      <c r="E2876" t="inlineStr">
        <is>
          <t>KÖPING</t>
        </is>
      </c>
      <c r="G2876" t="n">
        <v>6.2</v>
      </c>
      <c r="H2876" t="n">
        <v>0</v>
      </c>
      <c r="I2876" t="n">
        <v>0</v>
      </c>
      <c r="J2876" t="n">
        <v>0</v>
      </c>
      <c r="K2876" t="n">
        <v>0</v>
      </c>
      <c r="L2876" t="n">
        <v>0</v>
      </c>
      <c r="M2876" t="n">
        <v>0</v>
      </c>
      <c r="N2876" t="n">
        <v>0</v>
      </c>
      <c r="O2876" t="n">
        <v>0</v>
      </c>
      <c r="P2876" t="n">
        <v>0</v>
      </c>
      <c r="Q2876" t="n">
        <v>0</v>
      </c>
      <c r="R2876" s="2" t="inlineStr"/>
    </row>
    <row r="2877" ht="15" customHeight="1">
      <c r="A2877" t="inlineStr">
        <is>
          <t>A 12509-2023</t>
        </is>
      </c>
      <c r="B2877" s="1" t="n">
        <v>45000</v>
      </c>
      <c r="C2877" s="1" t="n">
        <v>45724</v>
      </c>
      <c r="D2877" t="inlineStr">
        <is>
          <t>VÄSTMANLANDS LÄN</t>
        </is>
      </c>
      <c r="E2877" t="inlineStr">
        <is>
          <t>SALA</t>
        </is>
      </c>
      <c r="G2877" t="n">
        <v>13.9</v>
      </c>
      <c r="H2877" t="n">
        <v>0</v>
      </c>
      <c r="I2877" t="n">
        <v>0</v>
      </c>
      <c r="J2877" t="n">
        <v>0</v>
      </c>
      <c r="K2877" t="n">
        <v>0</v>
      </c>
      <c r="L2877" t="n">
        <v>0</v>
      </c>
      <c r="M2877" t="n">
        <v>0</v>
      </c>
      <c r="N2877" t="n">
        <v>0</v>
      </c>
      <c r="O2877" t="n">
        <v>0</v>
      </c>
      <c r="P2877" t="n">
        <v>0</v>
      </c>
      <c r="Q2877" t="n">
        <v>0</v>
      </c>
      <c r="R2877" s="2" t="inlineStr"/>
    </row>
    <row r="2878" ht="15" customHeight="1">
      <c r="A2878" t="inlineStr">
        <is>
          <t>A 12618-2023</t>
        </is>
      </c>
      <c r="B2878" s="1" t="n">
        <v>44999</v>
      </c>
      <c r="C2878" s="1" t="n">
        <v>45724</v>
      </c>
      <c r="D2878" t="inlineStr">
        <is>
          <t>VÄSTMANLANDS LÄN</t>
        </is>
      </c>
      <c r="E2878" t="inlineStr">
        <is>
          <t>VÄSTERÅS</t>
        </is>
      </c>
      <c r="G2878" t="n">
        <v>2.4</v>
      </c>
      <c r="H2878" t="n">
        <v>0</v>
      </c>
      <c r="I2878" t="n">
        <v>0</v>
      </c>
      <c r="J2878" t="n">
        <v>0</v>
      </c>
      <c r="K2878" t="n">
        <v>0</v>
      </c>
      <c r="L2878" t="n">
        <v>0</v>
      </c>
      <c r="M2878" t="n">
        <v>0</v>
      </c>
      <c r="N2878" t="n">
        <v>0</v>
      </c>
      <c r="O2878" t="n">
        <v>0</v>
      </c>
      <c r="P2878" t="n">
        <v>0</v>
      </c>
      <c r="Q2878" t="n">
        <v>0</v>
      </c>
      <c r="R2878" s="2" t="inlineStr"/>
    </row>
    <row r="2879" ht="15" customHeight="1">
      <c r="A2879" t="inlineStr">
        <is>
          <t>A 12510-2023</t>
        </is>
      </c>
      <c r="B2879" s="1" t="n">
        <v>45000</v>
      </c>
      <c r="C2879" s="1" t="n">
        <v>45724</v>
      </c>
      <c r="D2879" t="inlineStr">
        <is>
          <t>VÄSTMANLANDS LÄN</t>
        </is>
      </c>
      <c r="E2879" t="inlineStr">
        <is>
          <t>SALA</t>
        </is>
      </c>
      <c r="G2879" t="n">
        <v>3.1</v>
      </c>
      <c r="H2879" t="n">
        <v>0</v>
      </c>
      <c r="I2879" t="n">
        <v>0</v>
      </c>
      <c r="J2879" t="n">
        <v>0</v>
      </c>
      <c r="K2879" t="n">
        <v>0</v>
      </c>
      <c r="L2879" t="n">
        <v>0</v>
      </c>
      <c r="M2879" t="n">
        <v>0</v>
      </c>
      <c r="N2879" t="n">
        <v>0</v>
      </c>
      <c r="O2879" t="n">
        <v>0</v>
      </c>
      <c r="P2879" t="n">
        <v>0</v>
      </c>
      <c r="Q2879" t="n">
        <v>0</v>
      </c>
      <c r="R2879" s="2" t="inlineStr"/>
    </row>
    <row r="2880" ht="15" customHeight="1">
      <c r="A2880" t="inlineStr">
        <is>
          <t>A 12612-2023</t>
        </is>
      </c>
      <c r="B2880" s="1" t="n">
        <v>44999</v>
      </c>
      <c r="C2880" s="1" t="n">
        <v>45724</v>
      </c>
      <c r="D2880" t="inlineStr">
        <is>
          <t>VÄSTMANLANDS LÄN</t>
        </is>
      </c>
      <c r="E2880" t="inlineStr">
        <is>
          <t>VÄSTERÅS</t>
        </is>
      </c>
      <c r="G2880" t="n">
        <v>0.7</v>
      </c>
      <c r="H2880" t="n">
        <v>0</v>
      </c>
      <c r="I2880" t="n">
        <v>0</v>
      </c>
      <c r="J2880" t="n">
        <v>0</v>
      </c>
      <c r="K2880" t="n">
        <v>0</v>
      </c>
      <c r="L2880" t="n">
        <v>0</v>
      </c>
      <c r="M2880" t="n">
        <v>0</v>
      </c>
      <c r="N2880" t="n">
        <v>0</v>
      </c>
      <c r="O2880" t="n">
        <v>0</v>
      </c>
      <c r="P2880" t="n">
        <v>0</v>
      </c>
      <c r="Q2880" t="n">
        <v>0</v>
      </c>
      <c r="R2880" s="2" t="inlineStr"/>
    </row>
    <row r="2881" ht="15" customHeight="1">
      <c r="A2881" t="inlineStr">
        <is>
          <t>A 12649-2023</t>
        </is>
      </c>
      <c r="B2881" s="1" t="n">
        <v>44999</v>
      </c>
      <c r="C2881" s="1" t="n">
        <v>45724</v>
      </c>
      <c r="D2881" t="inlineStr">
        <is>
          <t>VÄSTMANLANDS LÄN</t>
        </is>
      </c>
      <c r="E2881" t="inlineStr">
        <is>
          <t>VÄSTERÅS</t>
        </is>
      </c>
      <c r="G2881" t="n">
        <v>0.3</v>
      </c>
      <c r="H2881" t="n">
        <v>0</v>
      </c>
      <c r="I2881" t="n">
        <v>0</v>
      </c>
      <c r="J2881" t="n">
        <v>0</v>
      </c>
      <c r="K2881" t="n">
        <v>0</v>
      </c>
      <c r="L2881" t="n">
        <v>0</v>
      </c>
      <c r="M2881" t="n">
        <v>0</v>
      </c>
      <c r="N2881" t="n">
        <v>0</v>
      </c>
      <c r="O2881" t="n">
        <v>0</v>
      </c>
      <c r="P2881" t="n">
        <v>0</v>
      </c>
      <c r="Q2881" t="n">
        <v>0</v>
      </c>
      <c r="R2881" s="2" t="inlineStr"/>
    </row>
    <row r="2882" ht="15" customHeight="1">
      <c r="A2882" t="inlineStr">
        <is>
          <t>A 12650-2023</t>
        </is>
      </c>
      <c r="B2882" s="1" t="n">
        <v>45000</v>
      </c>
      <c r="C2882" s="1" t="n">
        <v>45724</v>
      </c>
      <c r="D2882" t="inlineStr">
        <is>
          <t>VÄSTMANLANDS LÄN</t>
        </is>
      </c>
      <c r="E2882" t="inlineStr">
        <is>
          <t>ARBOGA</t>
        </is>
      </c>
      <c r="G2882" t="n">
        <v>1.2</v>
      </c>
      <c r="H2882" t="n">
        <v>0</v>
      </c>
      <c r="I2882" t="n">
        <v>0</v>
      </c>
      <c r="J2882" t="n">
        <v>0</v>
      </c>
      <c r="K2882" t="n">
        <v>0</v>
      </c>
      <c r="L2882" t="n">
        <v>0</v>
      </c>
      <c r="M2882" t="n">
        <v>0</v>
      </c>
      <c r="N2882" t="n">
        <v>0</v>
      </c>
      <c r="O2882" t="n">
        <v>0</v>
      </c>
      <c r="P2882" t="n">
        <v>0</v>
      </c>
      <c r="Q2882" t="n">
        <v>0</v>
      </c>
      <c r="R2882" s="2" t="inlineStr"/>
    </row>
    <row r="2883" ht="15" customHeight="1">
      <c r="A2883" t="inlineStr">
        <is>
          <t>A 12796-2023</t>
        </is>
      </c>
      <c r="B2883" s="1" t="n">
        <v>45001</v>
      </c>
      <c r="C2883" s="1" t="n">
        <v>45724</v>
      </c>
      <c r="D2883" t="inlineStr">
        <is>
          <t>VÄSTMANLANDS LÄN</t>
        </is>
      </c>
      <c r="E2883" t="inlineStr">
        <is>
          <t>NORBERG</t>
        </is>
      </c>
      <c r="G2883" t="n">
        <v>22.4</v>
      </c>
      <c r="H2883" t="n">
        <v>0</v>
      </c>
      <c r="I2883" t="n">
        <v>0</v>
      </c>
      <c r="J2883" t="n">
        <v>0</v>
      </c>
      <c r="K2883" t="n">
        <v>0</v>
      </c>
      <c r="L2883" t="n">
        <v>0</v>
      </c>
      <c r="M2883" t="n">
        <v>0</v>
      </c>
      <c r="N2883" t="n">
        <v>0</v>
      </c>
      <c r="O2883" t="n">
        <v>0</v>
      </c>
      <c r="P2883" t="n">
        <v>0</v>
      </c>
      <c r="Q2883" t="n">
        <v>0</v>
      </c>
      <c r="R2883" s="2" t="inlineStr"/>
    </row>
    <row r="2884" ht="15" customHeight="1">
      <c r="A2884" t="inlineStr">
        <is>
          <t>A 12950-2023</t>
        </is>
      </c>
      <c r="B2884" s="1" t="n">
        <v>45001</v>
      </c>
      <c r="C2884" s="1" t="n">
        <v>45724</v>
      </c>
      <c r="D2884" t="inlineStr">
        <is>
          <t>VÄSTMANLANDS LÄN</t>
        </is>
      </c>
      <c r="E2884" t="inlineStr">
        <is>
          <t>VÄSTERÅS</t>
        </is>
      </c>
      <c r="G2884" t="n">
        <v>2.1</v>
      </c>
      <c r="H2884" t="n">
        <v>0</v>
      </c>
      <c r="I2884" t="n">
        <v>0</v>
      </c>
      <c r="J2884" t="n">
        <v>0</v>
      </c>
      <c r="K2884" t="n">
        <v>0</v>
      </c>
      <c r="L2884" t="n">
        <v>0</v>
      </c>
      <c r="M2884" t="n">
        <v>0</v>
      </c>
      <c r="N2884" t="n">
        <v>0</v>
      </c>
      <c r="O2884" t="n">
        <v>0</v>
      </c>
      <c r="P2884" t="n">
        <v>0</v>
      </c>
      <c r="Q2884" t="n">
        <v>0</v>
      </c>
      <c r="R2884" s="2" t="inlineStr"/>
    </row>
    <row r="2885" ht="15" customHeight="1">
      <c r="A2885" t="inlineStr">
        <is>
          <t>A 13146-2023</t>
        </is>
      </c>
      <c r="B2885" s="1" t="n">
        <v>45002</v>
      </c>
      <c r="C2885" s="1" t="n">
        <v>45724</v>
      </c>
      <c r="D2885" t="inlineStr">
        <is>
          <t>VÄSTMANLANDS LÄN</t>
        </is>
      </c>
      <c r="E2885" t="inlineStr">
        <is>
          <t>SALA</t>
        </is>
      </c>
      <c r="G2885" t="n">
        <v>2.5</v>
      </c>
      <c r="H2885" t="n">
        <v>0</v>
      </c>
      <c r="I2885" t="n">
        <v>0</v>
      </c>
      <c r="J2885" t="n">
        <v>0</v>
      </c>
      <c r="K2885" t="n">
        <v>0</v>
      </c>
      <c r="L2885" t="n">
        <v>0</v>
      </c>
      <c r="M2885" t="n">
        <v>0</v>
      </c>
      <c r="N2885" t="n">
        <v>0</v>
      </c>
      <c r="O2885" t="n">
        <v>0</v>
      </c>
      <c r="P2885" t="n">
        <v>0</v>
      </c>
      <c r="Q2885" t="n">
        <v>0</v>
      </c>
      <c r="R2885" s="2" t="inlineStr"/>
    </row>
    <row r="2886" ht="15" customHeight="1">
      <c r="A2886" t="inlineStr">
        <is>
          <t>A 13022-2023</t>
        </is>
      </c>
      <c r="B2886" s="1" t="n">
        <v>45002</v>
      </c>
      <c r="C2886" s="1" t="n">
        <v>45724</v>
      </c>
      <c r="D2886" t="inlineStr">
        <is>
          <t>VÄSTMANLANDS LÄN</t>
        </is>
      </c>
      <c r="E2886" t="inlineStr">
        <is>
          <t>SALA</t>
        </is>
      </c>
      <c r="G2886" t="n">
        <v>1.5</v>
      </c>
      <c r="H2886" t="n">
        <v>0</v>
      </c>
      <c r="I2886" t="n">
        <v>0</v>
      </c>
      <c r="J2886" t="n">
        <v>0</v>
      </c>
      <c r="K2886" t="n">
        <v>0</v>
      </c>
      <c r="L2886" t="n">
        <v>0</v>
      </c>
      <c r="M2886" t="n">
        <v>0</v>
      </c>
      <c r="N2886" t="n">
        <v>0</v>
      </c>
      <c r="O2886" t="n">
        <v>0</v>
      </c>
      <c r="P2886" t="n">
        <v>0</v>
      </c>
      <c r="Q2886" t="n">
        <v>0</v>
      </c>
      <c r="R2886" s="2" t="inlineStr"/>
    </row>
    <row r="2887" ht="15" customHeight="1">
      <c r="A2887" t="inlineStr">
        <is>
          <t>A 13151-2023</t>
        </is>
      </c>
      <c r="B2887" s="1" t="n">
        <v>45002</v>
      </c>
      <c r="C2887" s="1" t="n">
        <v>45724</v>
      </c>
      <c r="D2887" t="inlineStr">
        <is>
          <t>VÄSTMANLANDS LÄN</t>
        </is>
      </c>
      <c r="E2887" t="inlineStr">
        <is>
          <t>SALA</t>
        </is>
      </c>
      <c r="G2887" t="n">
        <v>1.4</v>
      </c>
      <c r="H2887" t="n">
        <v>0</v>
      </c>
      <c r="I2887" t="n">
        <v>0</v>
      </c>
      <c r="J2887" t="n">
        <v>0</v>
      </c>
      <c r="K2887" t="n">
        <v>0</v>
      </c>
      <c r="L2887" t="n">
        <v>0</v>
      </c>
      <c r="M2887" t="n">
        <v>0</v>
      </c>
      <c r="N2887" t="n">
        <v>0</v>
      </c>
      <c r="O2887" t="n">
        <v>0</v>
      </c>
      <c r="P2887" t="n">
        <v>0</v>
      </c>
      <c r="Q2887" t="n">
        <v>0</v>
      </c>
      <c r="R2887" s="2" t="inlineStr"/>
    </row>
    <row r="2888" ht="15" customHeight="1">
      <c r="A2888" t="inlineStr">
        <is>
          <t>A 13128-2023</t>
        </is>
      </c>
      <c r="B2888" s="1" t="n">
        <v>45002</v>
      </c>
      <c r="C2888" s="1" t="n">
        <v>45724</v>
      </c>
      <c r="D2888" t="inlineStr">
        <is>
          <t>VÄSTMANLANDS LÄN</t>
        </is>
      </c>
      <c r="E2888" t="inlineStr">
        <is>
          <t>SALA</t>
        </is>
      </c>
      <c r="G2888" t="n">
        <v>7.9</v>
      </c>
      <c r="H2888" t="n">
        <v>0</v>
      </c>
      <c r="I2888" t="n">
        <v>0</v>
      </c>
      <c r="J2888" t="n">
        <v>0</v>
      </c>
      <c r="K2888" t="n">
        <v>0</v>
      </c>
      <c r="L2888" t="n">
        <v>0</v>
      </c>
      <c r="M2888" t="n">
        <v>0</v>
      </c>
      <c r="N2888" t="n">
        <v>0</v>
      </c>
      <c r="O2888" t="n">
        <v>0</v>
      </c>
      <c r="P2888" t="n">
        <v>0</v>
      </c>
      <c r="Q2888" t="n">
        <v>0</v>
      </c>
      <c r="R2888" s="2" t="inlineStr"/>
    </row>
    <row r="2889" ht="15" customHeight="1">
      <c r="A2889" t="inlineStr">
        <is>
          <t>A 13153-2023</t>
        </is>
      </c>
      <c r="B2889" s="1" t="n">
        <v>45002</v>
      </c>
      <c r="C2889" s="1" t="n">
        <v>45724</v>
      </c>
      <c r="D2889" t="inlineStr">
        <is>
          <t>VÄSTMANLANDS LÄN</t>
        </is>
      </c>
      <c r="E2889" t="inlineStr">
        <is>
          <t>SALA</t>
        </is>
      </c>
      <c r="G2889" t="n">
        <v>0.9</v>
      </c>
      <c r="H2889" t="n">
        <v>0</v>
      </c>
      <c r="I2889" t="n">
        <v>0</v>
      </c>
      <c r="J2889" t="n">
        <v>0</v>
      </c>
      <c r="K2889" t="n">
        <v>0</v>
      </c>
      <c r="L2889" t="n">
        <v>0</v>
      </c>
      <c r="M2889" t="n">
        <v>0</v>
      </c>
      <c r="N2889" t="n">
        <v>0</v>
      </c>
      <c r="O2889" t="n">
        <v>0</v>
      </c>
      <c r="P2889" t="n">
        <v>0</v>
      </c>
      <c r="Q2889" t="n">
        <v>0</v>
      </c>
      <c r="R2889" s="2" t="inlineStr"/>
    </row>
    <row r="2890" ht="15" customHeight="1">
      <c r="A2890" t="inlineStr">
        <is>
          <t>A 13059-2023</t>
        </is>
      </c>
      <c r="B2890" s="1" t="n">
        <v>45002</v>
      </c>
      <c r="C2890" s="1" t="n">
        <v>45724</v>
      </c>
      <c r="D2890" t="inlineStr">
        <is>
          <t>VÄSTMANLANDS LÄN</t>
        </is>
      </c>
      <c r="E2890" t="inlineStr">
        <is>
          <t>SALA</t>
        </is>
      </c>
      <c r="G2890" t="n">
        <v>0.8</v>
      </c>
      <c r="H2890" t="n">
        <v>0</v>
      </c>
      <c r="I2890" t="n">
        <v>0</v>
      </c>
      <c r="J2890" t="n">
        <v>0</v>
      </c>
      <c r="K2890" t="n">
        <v>0</v>
      </c>
      <c r="L2890" t="n">
        <v>0</v>
      </c>
      <c r="M2890" t="n">
        <v>0</v>
      </c>
      <c r="N2890" t="n">
        <v>0</v>
      </c>
      <c r="O2890" t="n">
        <v>0</v>
      </c>
      <c r="P2890" t="n">
        <v>0</v>
      </c>
      <c r="Q2890" t="n">
        <v>0</v>
      </c>
      <c r="R2890" s="2" t="inlineStr"/>
    </row>
    <row r="2891" ht="15" customHeight="1">
      <c r="A2891" t="inlineStr">
        <is>
          <t>A 13136-2023</t>
        </is>
      </c>
      <c r="B2891" s="1" t="n">
        <v>45002</v>
      </c>
      <c r="C2891" s="1" t="n">
        <v>45724</v>
      </c>
      <c r="D2891" t="inlineStr">
        <is>
          <t>VÄSTMANLANDS LÄN</t>
        </is>
      </c>
      <c r="E2891" t="inlineStr">
        <is>
          <t>ARBOGA</t>
        </is>
      </c>
      <c r="G2891" t="n">
        <v>7.5</v>
      </c>
      <c r="H2891" t="n">
        <v>0</v>
      </c>
      <c r="I2891" t="n">
        <v>0</v>
      </c>
      <c r="J2891" t="n">
        <v>0</v>
      </c>
      <c r="K2891" t="n">
        <v>0</v>
      </c>
      <c r="L2891" t="n">
        <v>0</v>
      </c>
      <c r="M2891" t="n">
        <v>0</v>
      </c>
      <c r="N2891" t="n">
        <v>0</v>
      </c>
      <c r="O2891" t="n">
        <v>0</v>
      </c>
      <c r="P2891" t="n">
        <v>0</v>
      </c>
      <c r="Q2891" t="n">
        <v>0</v>
      </c>
      <c r="R2891" s="2" t="inlineStr"/>
    </row>
    <row r="2892" ht="15" customHeight="1">
      <c r="A2892" t="inlineStr">
        <is>
          <t>A 13414-2023</t>
        </is>
      </c>
      <c r="B2892" s="1" t="n">
        <v>45005</v>
      </c>
      <c r="C2892" s="1" t="n">
        <v>45724</v>
      </c>
      <c r="D2892" t="inlineStr">
        <is>
          <t>VÄSTMANLANDS LÄN</t>
        </is>
      </c>
      <c r="E2892" t="inlineStr">
        <is>
          <t>KÖPING</t>
        </is>
      </c>
      <c r="G2892" t="n">
        <v>12.4</v>
      </c>
      <c r="H2892" t="n">
        <v>0</v>
      </c>
      <c r="I2892" t="n">
        <v>0</v>
      </c>
      <c r="J2892" t="n">
        <v>0</v>
      </c>
      <c r="K2892" t="n">
        <v>0</v>
      </c>
      <c r="L2892" t="n">
        <v>0</v>
      </c>
      <c r="M2892" t="n">
        <v>0</v>
      </c>
      <c r="N2892" t="n">
        <v>0</v>
      </c>
      <c r="O2892" t="n">
        <v>0</v>
      </c>
      <c r="P2892" t="n">
        <v>0</v>
      </c>
      <c r="Q2892" t="n">
        <v>0</v>
      </c>
      <c r="R2892" s="2" t="inlineStr"/>
    </row>
    <row r="2893" ht="15" customHeight="1">
      <c r="A2893" t="inlineStr">
        <is>
          <t>A 13454-2023</t>
        </is>
      </c>
      <c r="B2893" s="1" t="n">
        <v>45005</v>
      </c>
      <c r="C2893" s="1" t="n">
        <v>45724</v>
      </c>
      <c r="D2893" t="inlineStr">
        <is>
          <t>VÄSTMANLANDS LÄN</t>
        </is>
      </c>
      <c r="E2893" t="inlineStr">
        <is>
          <t>NORBERG</t>
        </is>
      </c>
      <c r="G2893" t="n">
        <v>1.1</v>
      </c>
      <c r="H2893" t="n">
        <v>0</v>
      </c>
      <c r="I2893" t="n">
        <v>0</v>
      </c>
      <c r="J2893" t="n">
        <v>0</v>
      </c>
      <c r="K2893" t="n">
        <v>0</v>
      </c>
      <c r="L2893" t="n">
        <v>0</v>
      </c>
      <c r="M2893" t="n">
        <v>0</v>
      </c>
      <c r="N2893" t="n">
        <v>0</v>
      </c>
      <c r="O2893" t="n">
        <v>0</v>
      </c>
      <c r="P2893" t="n">
        <v>0</v>
      </c>
      <c r="Q2893" t="n">
        <v>0</v>
      </c>
      <c r="R2893" s="2" t="inlineStr"/>
    </row>
    <row r="2894" ht="15" customHeight="1">
      <c r="A2894" t="inlineStr">
        <is>
          <t>A 13453-2023</t>
        </is>
      </c>
      <c r="B2894" s="1" t="n">
        <v>45005</v>
      </c>
      <c r="C2894" s="1" t="n">
        <v>45724</v>
      </c>
      <c r="D2894" t="inlineStr">
        <is>
          <t>VÄSTMANLANDS LÄN</t>
        </is>
      </c>
      <c r="E2894" t="inlineStr">
        <is>
          <t>NORBERG</t>
        </is>
      </c>
      <c r="G2894" t="n">
        <v>3.7</v>
      </c>
      <c r="H2894" t="n">
        <v>0</v>
      </c>
      <c r="I2894" t="n">
        <v>0</v>
      </c>
      <c r="J2894" t="n">
        <v>0</v>
      </c>
      <c r="K2894" t="n">
        <v>0</v>
      </c>
      <c r="L2894" t="n">
        <v>0</v>
      </c>
      <c r="M2894" t="n">
        <v>0</v>
      </c>
      <c r="N2894" t="n">
        <v>0</v>
      </c>
      <c r="O2894" t="n">
        <v>0</v>
      </c>
      <c r="P2894" t="n">
        <v>0</v>
      </c>
      <c r="Q2894" t="n">
        <v>0</v>
      </c>
      <c r="R2894" s="2" t="inlineStr"/>
    </row>
    <row r="2895" ht="15" customHeight="1">
      <c r="A2895" t="inlineStr">
        <is>
          <t>A 13479-2023</t>
        </is>
      </c>
      <c r="B2895" s="1" t="n">
        <v>45005</v>
      </c>
      <c r="C2895" s="1" t="n">
        <v>45724</v>
      </c>
      <c r="D2895" t="inlineStr">
        <is>
          <t>VÄSTMANLANDS LÄN</t>
        </is>
      </c>
      <c r="E2895" t="inlineStr">
        <is>
          <t>SURAHAMMAR</t>
        </is>
      </c>
      <c r="F2895" t="inlineStr">
        <is>
          <t>Bergvik skog väst AB</t>
        </is>
      </c>
      <c r="G2895" t="n">
        <v>2.8</v>
      </c>
      <c r="H2895" t="n">
        <v>0</v>
      </c>
      <c r="I2895" t="n">
        <v>0</v>
      </c>
      <c r="J2895" t="n">
        <v>0</v>
      </c>
      <c r="K2895" t="n">
        <v>0</v>
      </c>
      <c r="L2895" t="n">
        <v>0</v>
      </c>
      <c r="M2895" t="n">
        <v>0</v>
      </c>
      <c r="N2895" t="n">
        <v>0</v>
      </c>
      <c r="O2895" t="n">
        <v>0</v>
      </c>
      <c r="P2895" t="n">
        <v>0</v>
      </c>
      <c r="Q2895" t="n">
        <v>0</v>
      </c>
      <c r="R2895" s="2" t="inlineStr"/>
    </row>
    <row r="2896" ht="15" customHeight="1">
      <c r="A2896" t="inlineStr">
        <is>
          <t>A 13405-2023</t>
        </is>
      </c>
      <c r="B2896" s="1" t="n">
        <v>45005</v>
      </c>
      <c r="C2896" s="1" t="n">
        <v>45724</v>
      </c>
      <c r="D2896" t="inlineStr">
        <is>
          <t>VÄSTMANLANDS LÄN</t>
        </is>
      </c>
      <c r="E2896" t="inlineStr">
        <is>
          <t>VÄSTERÅS</t>
        </is>
      </c>
      <c r="G2896" t="n">
        <v>4.6</v>
      </c>
      <c r="H2896" t="n">
        <v>0</v>
      </c>
      <c r="I2896" t="n">
        <v>0</v>
      </c>
      <c r="J2896" t="n">
        <v>0</v>
      </c>
      <c r="K2896" t="n">
        <v>0</v>
      </c>
      <c r="L2896" t="n">
        <v>0</v>
      </c>
      <c r="M2896" t="n">
        <v>0</v>
      </c>
      <c r="N2896" t="n">
        <v>0</v>
      </c>
      <c r="O2896" t="n">
        <v>0</v>
      </c>
      <c r="P2896" t="n">
        <v>0</v>
      </c>
      <c r="Q2896" t="n">
        <v>0</v>
      </c>
      <c r="R2896" s="2" t="inlineStr"/>
    </row>
    <row r="2897" ht="15" customHeight="1">
      <c r="A2897" t="inlineStr">
        <is>
          <t>A 13553-2023</t>
        </is>
      </c>
      <c r="B2897" s="1" t="n">
        <v>45006</v>
      </c>
      <c r="C2897" s="1" t="n">
        <v>45724</v>
      </c>
      <c r="D2897" t="inlineStr">
        <is>
          <t>VÄSTMANLANDS LÄN</t>
        </is>
      </c>
      <c r="E2897" t="inlineStr">
        <is>
          <t>SKINNSKATTEBERG</t>
        </is>
      </c>
      <c r="F2897" t="inlineStr">
        <is>
          <t>Allmännings- och besparingsskogar</t>
        </is>
      </c>
      <c r="G2897" t="n">
        <v>3.3</v>
      </c>
      <c r="H2897" t="n">
        <v>0</v>
      </c>
      <c r="I2897" t="n">
        <v>0</v>
      </c>
      <c r="J2897" t="n">
        <v>0</v>
      </c>
      <c r="K2897" t="n">
        <v>0</v>
      </c>
      <c r="L2897" t="n">
        <v>0</v>
      </c>
      <c r="M2897" t="n">
        <v>0</v>
      </c>
      <c r="N2897" t="n">
        <v>0</v>
      </c>
      <c r="O2897" t="n">
        <v>0</v>
      </c>
      <c r="P2897" t="n">
        <v>0</v>
      </c>
      <c r="Q2897" t="n">
        <v>0</v>
      </c>
      <c r="R2897" s="2" t="inlineStr"/>
    </row>
    <row r="2898" ht="15" customHeight="1">
      <c r="A2898" t="inlineStr">
        <is>
          <t>A 13544-2023</t>
        </is>
      </c>
      <c r="B2898" s="1" t="n">
        <v>45006</v>
      </c>
      <c r="C2898" s="1" t="n">
        <v>45724</v>
      </c>
      <c r="D2898" t="inlineStr">
        <is>
          <t>VÄSTMANLANDS LÄN</t>
        </is>
      </c>
      <c r="E2898" t="inlineStr">
        <is>
          <t>KÖPING</t>
        </is>
      </c>
      <c r="G2898" t="n">
        <v>1.4</v>
      </c>
      <c r="H2898" t="n">
        <v>0</v>
      </c>
      <c r="I2898" t="n">
        <v>0</v>
      </c>
      <c r="J2898" t="n">
        <v>0</v>
      </c>
      <c r="K2898" t="n">
        <v>0</v>
      </c>
      <c r="L2898" t="n">
        <v>0</v>
      </c>
      <c r="M2898" t="n">
        <v>0</v>
      </c>
      <c r="N2898" t="n">
        <v>0</v>
      </c>
      <c r="O2898" t="n">
        <v>0</v>
      </c>
      <c r="P2898" t="n">
        <v>0</v>
      </c>
      <c r="Q2898" t="n">
        <v>0</v>
      </c>
      <c r="R2898" s="2" t="inlineStr"/>
    </row>
    <row r="2899" ht="15" customHeight="1">
      <c r="A2899" t="inlineStr">
        <is>
          <t>A 13595-2023</t>
        </is>
      </c>
      <c r="B2899" s="1" t="n">
        <v>45006</v>
      </c>
      <c r="C2899" s="1" t="n">
        <v>45724</v>
      </c>
      <c r="D2899" t="inlineStr">
        <is>
          <t>VÄSTMANLANDS LÄN</t>
        </is>
      </c>
      <c r="E2899" t="inlineStr">
        <is>
          <t>ARBOGA</t>
        </is>
      </c>
      <c r="G2899" t="n">
        <v>1.3</v>
      </c>
      <c r="H2899" t="n">
        <v>0</v>
      </c>
      <c r="I2899" t="n">
        <v>0</v>
      </c>
      <c r="J2899" t="n">
        <v>0</v>
      </c>
      <c r="K2899" t="n">
        <v>0</v>
      </c>
      <c r="L2899" t="n">
        <v>0</v>
      </c>
      <c r="M2899" t="n">
        <v>0</v>
      </c>
      <c r="N2899" t="n">
        <v>0</v>
      </c>
      <c r="O2899" t="n">
        <v>0</v>
      </c>
      <c r="P2899" t="n">
        <v>0</v>
      </c>
      <c r="Q2899" t="n">
        <v>0</v>
      </c>
      <c r="R2899" s="2" t="inlineStr"/>
    </row>
    <row r="2900" ht="15" customHeight="1">
      <c r="A2900" t="inlineStr">
        <is>
          <t>A 13607-2023</t>
        </is>
      </c>
      <c r="B2900" s="1" t="n">
        <v>45006</v>
      </c>
      <c r="C2900" s="1" t="n">
        <v>45724</v>
      </c>
      <c r="D2900" t="inlineStr">
        <is>
          <t>VÄSTMANLANDS LÄN</t>
        </is>
      </c>
      <c r="E2900" t="inlineStr">
        <is>
          <t>VÄSTERÅS</t>
        </is>
      </c>
      <c r="G2900" t="n">
        <v>1.3</v>
      </c>
      <c r="H2900" t="n">
        <v>0</v>
      </c>
      <c r="I2900" t="n">
        <v>0</v>
      </c>
      <c r="J2900" t="n">
        <v>0</v>
      </c>
      <c r="K2900" t="n">
        <v>0</v>
      </c>
      <c r="L2900" t="n">
        <v>0</v>
      </c>
      <c r="M2900" t="n">
        <v>0</v>
      </c>
      <c r="N2900" t="n">
        <v>0</v>
      </c>
      <c r="O2900" t="n">
        <v>0</v>
      </c>
      <c r="P2900" t="n">
        <v>0</v>
      </c>
      <c r="Q2900" t="n">
        <v>0</v>
      </c>
      <c r="R2900" s="2" t="inlineStr"/>
    </row>
    <row r="2901" ht="15" customHeight="1">
      <c r="A2901" t="inlineStr">
        <is>
          <t>A 13737-2023</t>
        </is>
      </c>
      <c r="B2901" s="1" t="n">
        <v>45007</v>
      </c>
      <c r="C2901" s="1" t="n">
        <v>45724</v>
      </c>
      <c r="D2901" t="inlineStr">
        <is>
          <t>VÄSTMANLANDS LÄN</t>
        </is>
      </c>
      <c r="E2901" t="inlineStr">
        <is>
          <t>ARBOGA</t>
        </is>
      </c>
      <c r="F2901" t="inlineStr">
        <is>
          <t>Sveaskog</t>
        </is>
      </c>
      <c r="G2901" t="n">
        <v>1.4</v>
      </c>
      <c r="H2901" t="n">
        <v>0</v>
      </c>
      <c r="I2901" t="n">
        <v>0</v>
      </c>
      <c r="J2901" t="n">
        <v>0</v>
      </c>
      <c r="K2901" t="n">
        <v>0</v>
      </c>
      <c r="L2901" t="n">
        <v>0</v>
      </c>
      <c r="M2901" t="n">
        <v>0</v>
      </c>
      <c r="N2901" t="n">
        <v>0</v>
      </c>
      <c r="O2901" t="n">
        <v>0</v>
      </c>
      <c r="P2901" t="n">
        <v>0</v>
      </c>
      <c r="Q2901" t="n">
        <v>0</v>
      </c>
      <c r="R2901" s="2" t="inlineStr"/>
    </row>
    <row r="2902" ht="15" customHeight="1">
      <c r="A2902" t="inlineStr">
        <is>
          <t>A 13857-2023</t>
        </is>
      </c>
      <c r="B2902" s="1" t="n">
        <v>45007</v>
      </c>
      <c r="C2902" s="1" t="n">
        <v>45724</v>
      </c>
      <c r="D2902" t="inlineStr">
        <is>
          <t>VÄSTMANLANDS LÄN</t>
        </is>
      </c>
      <c r="E2902" t="inlineStr">
        <is>
          <t>SALA</t>
        </is>
      </c>
      <c r="G2902" t="n">
        <v>5.7</v>
      </c>
      <c r="H2902" t="n">
        <v>0</v>
      </c>
      <c r="I2902" t="n">
        <v>0</v>
      </c>
      <c r="J2902" t="n">
        <v>0</v>
      </c>
      <c r="K2902" t="n">
        <v>0</v>
      </c>
      <c r="L2902" t="n">
        <v>0</v>
      </c>
      <c r="M2902" t="n">
        <v>0</v>
      </c>
      <c r="N2902" t="n">
        <v>0</v>
      </c>
      <c r="O2902" t="n">
        <v>0</v>
      </c>
      <c r="P2902" t="n">
        <v>0</v>
      </c>
      <c r="Q2902" t="n">
        <v>0</v>
      </c>
      <c r="R2902" s="2" t="inlineStr"/>
    </row>
    <row r="2903" ht="15" customHeight="1">
      <c r="A2903" t="inlineStr">
        <is>
          <t>A 13833-2023</t>
        </is>
      </c>
      <c r="B2903" s="1" t="n">
        <v>45007</v>
      </c>
      <c r="C2903" s="1" t="n">
        <v>45724</v>
      </c>
      <c r="D2903" t="inlineStr">
        <is>
          <t>VÄSTMANLANDS LÄN</t>
        </is>
      </c>
      <c r="E2903" t="inlineStr">
        <is>
          <t>SALA</t>
        </is>
      </c>
      <c r="G2903" t="n">
        <v>4.3</v>
      </c>
      <c r="H2903" t="n">
        <v>0</v>
      </c>
      <c r="I2903" t="n">
        <v>0</v>
      </c>
      <c r="J2903" t="n">
        <v>0</v>
      </c>
      <c r="K2903" t="n">
        <v>0</v>
      </c>
      <c r="L2903" t="n">
        <v>0</v>
      </c>
      <c r="M2903" t="n">
        <v>0</v>
      </c>
      <c r="N2903" t="n">
        <v>0</v>
      </c>
      <c r="O2903" t="n">
        <v>0</v>
      </c>
      <c r="P2903" t="n">
        <v>0</v>
      </c>
      <c r="Q2903" t="n">
        <v>0</v>
      </c>
      <c r="R2903" s="2" t="inlineStr"/>
    </row>
    <row r="2904" ht="15" customHeight="1">
      <c r="A2904" t="inlineStr">
        <is>
          <t>A 13855-2023</t>
        </is>
      </c>
      <c r="B2904" s="1" t="n">
        <v>45007</v>
      </c>
      <c r="C2904" s="1" t="n">
        <v>45724</v>
      </c>
      <c r="D2904" t="inlineStr">
        <is>
          <t>VÄSTMANLANDS LÄN</t>
        </is>
      </c>
      <c r="E2904" t="inlineStr">
        <is>
          <t>SALA</t>
        </is>
      </c>
      <c r="G2904" t="n">
        <v>2.9</v>
      </c>
      <c r="H2904" t="n">
        <v>0</v>
      </c>
      <c r="I2904" t="n">
        <v>0</v>
      </c>
      <c r="J2904" t="n">
        <v>0</v>
      </c>
      <c r="K2904" t="n">
        <v>0</v>
      </c>
      <c r="L2904" t="n">
        <v>0</v>
      </c>
      <c r="M2904" t="n">
        <v>0</v>
      </c>
      <c r="N2904" t="n">
        <v>0</v>
      </c>
      <c r="O2904" t="n">
        <v>0</v>
      </c>
      <c r="P2904" t="n">
        <v>0</v>
      </c>
      <c r="Q2904" t="n">
        <v>0</v>
      </c>
      <c r="R2904" s="2" t="inlineStr"/>
    </row>
    <row r="2905" ht="15" customHeight="1">
      <c r="A2905" t="inlineStr">
        <is>
          <t>A 14033-2023</t>
        </is>
      </c>
      <c r="B2905" s="1" t="n">
        <v>45007</v>
      </c>
      <c r="C2905" s="1" t="n">
        <v>45724</v>
      </c>
      <c r="D2905" t="inlineStr">
        <is>
          <t>VÄSTMANLANDS LÄN</t>
        </is>
      </c>
      <c r="E2905" t="inlineStr">
        <is>
          <t>NORBERG</t>
        </is>
      </c>
      <c r="G2905" t="n">
        <v>6.3</v>
      </c>
      <c r="H2905" t="n">
        <v>0</v>
      </c>
      <c r="I2905" t="n">
        <v>0</v>
      </c>
      <c r="J2905" t="n">
        <v>0</v>
      </c>
      <c r="K2905" t="n">
        <v>0</v>
      </c>
      <c r="L2905" t="n">
        <v>0</v>
      </c>
      <c r="M2905" t="n">
        <v>0</v>
      </c>
      <c r="N2905" t="n">
        <v>0</v>
      </c>
      <c r="O2905" t="n">
        <v>0</v>
      </c>
      <c r="P2905" t="n">
        <v>0</v>
      </c>
      <c r="Q2905" t="n">
        <v>0</v>
      </c>
      <c r="R2905" s="2" t="inlineStr"/>
    </row>
    <row r="2906" ht="15" customHeight="1">
      <c r="A2906" t="inlineStr">
        <is>
          <t>A 13990-2023</t>
        </is>
      </c>
      <c r="B2906" s="1" t="n">
        <v>45007</v>
      </c>
      <c r="C2906" s="1" t="n">
        <v>45724</v>
      </c>
      <c r="D2906" t="inlineStr">
        <is>
          <t>VÄSTMANLANDS LÄN</t>
        </is>
      </c>
      <c r="E2906" t="inlineStr">
        <is>
          <t>SALA</t>
        </is>
      </c>
      <c r="G2906" t="n">
        <v>2.6</v>
      </c>
      <c r="H2906" t="n">
        <v>0</v>
      </c>
      <c r="I2906" t="n">
        <v>0</v>
      </c>
      <c r="J2906" t="n">
        <v>0</v>
      </c>
      <c r="K2906" t="n">
        <v>0</v>
      </c>
      <c r="L2906" t="n">
        <v>0</v>
      </c>
      <c r="M2906" t="n">
        <v>0</v>
      </c>
      <c r="N2906" t="n">
        <v>0</v>
      </c>
      <c r="O2906" t="n">
        <v>0</v>
      </c>
      <c r="P2906" t="n">
        <v>0</v>
      </c>
      <c r="Q2906" t="n">
        <v>0</v>
      </c>
      <c r="R2906" s="2" t="inlineStr"/>
    </row>
    <row r="2907" ht="15" customHeight="1">
      <c r="A2907" t="inlineStr">
        <is>
          <t>A 13987-2023</t>
        </is>
      </c>
      <c r="B2907" s="1" t="n">
        <v>45007</v>
      </c>
      <c r="C2907" s="1" t="n">
        <v>45724</v>
      </c>
      <c r="D2907" t="inlineStr">
        <is>
          <t>VÄSTMANLANDS LÄN</t>
        </is>
      </c>
      <c r="E2907" t="inlineStr">
        <is>
          <t>SALA</t>
        </is>
      </c>
      <c r="G2907" t="n">
        <v>3.2</v>
      </c>
      <c r="H2907" t="n">
        <v>0</v>
      </c>
      <c r="I2907" t="n">
        <v>0</v>
      </c>
      <c r="J2907" t="n">
        <v>0</v>
      </c>
      <c r="K2907" t="n">
        <v>0</v>
      </c>
      <c r="L2907" t="n">
        <v>0</v>
      </c>
      <c r="M2907" t="n">
        <v>0</v>
      </c>
      <c r="N2907" t="n">
        <v>0</v>
      </c>
      <c r="O2907" t="n">
        <v>0</v>
      </c>
      <c r="P2907" t="n">
        <v>0</v>
      </c>
      <c r="Q2907" t="n">
        <v>0</v>
      </c>
      <c r="R2907" s="2" t="inlineStr"/>
    </row>
    <row r="2908" ht="15" customHeight="1">
      <c r="A2908" t="inlineStr">
        <is>
          <t>A 13904-2023</t>
        </is>
      </c>
      <c r="B2908" s="1" t="n">
        <v>45008</v>
      </c>
      <c r="C2908" s="1" t="n">
        <v>45724</v>
      </c>
      <c r="D2908" t="inlineStr">
        <is>
          <t>VÄSTMANLANDS LÄN</t>
        </is>
      </c>
      <c r="E2908" t="inlineStr">
        <is>
          <t>NORBERG</t>
        </is>
      </c>
      <c r="F2908" t="inlineStr">
        <is>
          <t>Sveaskog</t>
        </is>
      </c>
      <c r="G2908" t="n">
        <v>1.6</v>
      </c>
      <c r="H2908" t="n">
        <v>0</v>
      </c>
      <c r="I2908" t="n">
        <v>0</v>
      </c>
      <c r="J2908" t="n">
        <v>0</v>
      </c>
      <c r="K2908" t="n">
        <v>0</v>
      </c>
      <c r="L2908" t="n">
        <v>0</v>
      </c>
      <c r="M2908" t="n">
        <v>0</v>
      </c>
      <c r="N2908" t="n">
        <v>0</v>
      </c>
      <c r="O2908" t="n">
        <v>0</v>
      </c>
      <c r="P2908" t="n">
        <v>0</v>
      </c>
      <c r="Q2908" t="n">
        <v>0</v>
      </c>
      <c r="R2908" s="2" t="inlineStr"/>
    </row>
    <row r="2909" ht="15" customHeight="1">
      <c r="A2909" t="inlineStr">
        <is>
          <t>A 13935-2023</t>
        </is>
      </c>
      <c r="B2909" s="1" t="n">
        <v>45008</v>
      </c>
      <c r="C2909" s="1" t="n">
        <v>45724</v>
      </c>
      <c r="D2909" t="inlineStr">
        <is>
          <t>VÄSTMANLANDS LÄN</t>
        </is>
      </c>
      <c r="E2909" t="inlineStr">
        <is>
          <t>SALA</t>
        </is>
      </c>
      <c r="G2909" t="n">
        <v>0.7</v>
      </c>
      <c r="H2909" t="n">
        <v>0</v>
      </c>
      <c r="I2909" t="n">
        <v>0</v>
      </c>
      <c r="J2909" t="n">
        <v>0</v>
      </c>
      <c r="K2909" t="n">
        <v>0</v>
      </c>
      <c r="L2909" t="n">
        <v>0</v>
      </c>
      <c r="M2909" t="n">
        <v>0</v>
      </c>
      <c r="N2909" t="n">
        <v>0</v>
      </c>
      <c r="O2909" t="n">
        <v>0</v>
      </c>
      <c r="P2909" t="n">
        <v>0</v>
      </c>
      <c r="Q2909" t="n">
        <v>0</v>
      </c>
      <c r="R2909" s="2" t="inlineStr"/>
    </row>
    <row r="2910" ht="15" customHeight="1">
      <c r="A2910" t="inlineStr">
        <is>
          <t>A 14034-2023</t>
        </is>
      </c>
      <c r="B2910" s="1" t="n">
        <v>45008</v>
      </c>
      <c r="C2910" s="1" t="n">
        <v>45724</v>
      </c>
      <c r="D2910" t="inlineStr">
        <is>
          <t>VÄSTMANLANDS LÄN</t>
        </is>
      </c>
      <c r="E2910" t="inlineStr">
        <is>
          <t>VÄSTERÅS</t>
        </is>
      </c>
      <c r="G2910" t="n">
        <v>1.2</v>
      </c>
      <c r="H2910" t="n">
        <v>0</v>
      </c>
      <c r="I2910" t="n">
        <v>0</v>
      </c>
      <c r="J2910" t="n">
        <v>0</v>
      </c>
      <c r="K2910" t="n">
        <v>0</v>
      </c>
      <c r="L2910" t="n">
        <v>0</v>
      </c>
      <c r="M2910" t="n">
        <v>0</v>
      </c>
      <c r="N2910" t="n">
        <v>0</v>
      </c>
      <c r="O2910" t="n">
        <v>0</v>
      </c>
      <c r="P2910" t="n">
        <v>0</v>
      </c>
      <c r="Q2910" t="n">
        <v>0</v>
      </c>
      <c r="R2910" s="2" t="inlineStr"/>
    </row>
    <row r="2911" ht="15" customHeight="1">
      <c r="A2911" t="inlineStr">
        <is>
          <t>A 14172-2023</t>
        </is>
      </c>
      <c r="B2911" s="1" t="n">
        <v>45009</v>
      </c>
      <c r="C2911" s="1" t="n">
        <v>45724</v>
      </c>
      <c r="D2911" t="inlineStr">
        <is>
          <t>VÄSTMANLANDS LÄN</t>
        </is>
      </c>
      <c r="E2911" t="inlineStr">
        <is>
          <t>SKINNSKATTEBERG</t>
        </is>
      </c>
      <c r="F2911" t="inlineStr">
        <is>
          <t>Sveaskog</t>
        </is>
      </c>
      <c r="G2911" t="n">
        <v>1.8</v>
      </c>
      <c r="H2911" t="n">
        <v>0</v>
      </c>
      <c r="I2911" t="n">
        <v>0</v>
      </c>
      <c r="J2911" t="n">
        <v>0</v>
      </c>
      <c r="K2911" t="n">
        <v>0</v>
      </c>
      <c r="L2911" t="n">
        <v>0</v>
      </c>
      <c r="M2911" t="n">
        <v>0</v>
      </c>
      <c r="N2911" t="n">
        <v>0</v>
      </c>
      <c r="O2911" t="n">
        <v>0</v>
      </c>
      <c r="P2911" t="n">
        <v>0</v>
      </c>
      <c r="Q2911" t="n">
        <v>0</v>
      </c>
      <c r="R2911" s="2" t="inlineStr"/>
    </row>
    <row r="2912" ht="15" customHeight="1">
      <c r="A2912" t="inlineStr">
        <is>
          <t>A 14230-2023</t>
        </is>
      </c>
      <c r="B2912" s="1" t="n">
        <v>45009</v>
      </c>
      <c r="C2912" s="1" t="n">
        <v>45724</v>
      </c>
      <c r="D2912" t="inlineStr">
        <is>
          <t>VÄSTMANLANDS LÄN</t>
        </is>
      </c>
      <c r="E2912" t="inlineStr">
        <is>
          <t>KÖPING</t>
        </is>
      </c>
      <c r="G2912" t="n">
        <v>2.6</v>
      </c>
      <c r="H2912" t="n">
        <v>0</v>
      </c>
      <c r="I2912" t="n">
        <v>0</v>
      </c>
      <c r="J2912" t="n">
        <v>0</v>
      </c>
      <c r="K2912" t="n">
        <v>0</v>
      </c>
      <c r="L2912" t="n">
        <v>0</v>
      </c>
      <c r="M2912" t="n">
        <v>0</v>
      </c>
      <c r="N2912" t="n">
        <v>0</v>
      </c>
      <c r="O2912" t="n">
        <v>0</v>
      </c>
      <c r="P2912" t="n">
        <v>0</v>
      </c>
      <c r="Q2912" t="n">
        <v>0</v>
      </c>
      <c r="R2912" s="2" t="inlineStr"/>
    </row>
    <row r="2913" ht="15" customHeight="1">
      <c r="A2913" t="inlineStr">
        <is>
          <t>A 14414-2023</t>
        </is>
      </c>
      <c r="B2913" s="1" t="n">
        <v>45012</v>
      </c>
      <c r="C2913" s="1" t="n">
        <v>45724</v>
      </c>
      <c r="D2913" t="inlineStr">
        <is>
          <t>VÄSTMANLANDS LÄN</t>
        </is>
      </c>
      <c r="E2913" t="inlineStr">
        <is>
          <t>ARBOGA</t>
        </is>
      </c>
      <c r="G2913" t="n">
        <v>0.7</v>
      </c>
      <c r="H2913" t="n">
        <v>0</v>
      </c>
      <c r="I2913" t="n">
        <v>0</v>
      </c>
      <c r="J2913" t="n">
        <v>0</v>
      </c>
      <c r="K2913" t="n">
        <v>0</v>
      </c>
      <c r="L2913" t="n">
        <v>0</v>
      </c>
      <c r="M2913" t="n">
        <v>0</v>
      </c>
      <c r="N2913" t="n">
        <v>0</v>
      </c>
      <c r="O2913" t="n">
        <v>0</v>
      </c>
      <c r="P2913" t="n">
        <v>0</v>
      </c>
      <c r="Q2913" t="n">
        <v>0</v>
      </c>
      <c r="R2913" s="2" t="inlineStr"/>
    </row>
    <row r="2914" ht="15" customHeight="1">
      <c r="A2914" t="inlineStr">
        <is>
          <t>A 14413-2023</t>
        </is>
      </c>
      <c r="B2914" s="1" t="n">
        <v>45012</v>
      </c>
      <c r="C2914" s="1" t="n">
        <v>45724</v>
      </c>
      <c r="D2914" t="inlineStr">
        <is>
          <t>VÄSTMANLANDS LÄN</t>
        </is>
      </c>
      <c r="E2914" t="inlineStr">
        <is>
          <t>ARBOGA</t>
        </is>
      </c>
      <c r="G2914" t="n">
        <v>0.9</v>
      </c>
      <c r="H2914" t="n">
        <v>0</v>
      </c>
      <c r="I2914" t="n">
        <v>0</v>
      </c>
      <c r="J2914" t="n">
        <v>0</v>
      </c>
      <c r="K2914" t="n">
        <v>0</v>
      </c>
      <c r="L2914" t="n">
        <v>0</v>
      </c>
      <c r="M2914" t="n">
        <v>0</v>
      </c>
      <c r="N2914" t="n">
        <v>0</v>
      </c>
      <c r="O2914" t="n">
        <v>0</v>
      </c>
      <c r="P2914" t="n">
        <v>0</v>
      </c>
      <c r="Q2914" t="n">
        <v>0</v>
      </c>
      <c r="R2914" s="2" t="inlineStr"/>
    </row>
    <row r="2915" ht="15" customHeight="1">
      <c r="A2915" t="inlineStr">
        <is>
          <t>A 14420-2023</t>
        </is>
      </c>
      <c r="B2915" s="1" t="n">
        <v>45012</v>
      </c>
      <c r="C2915" s="1" t="n">
        <v>45724</v>
      </c>
      <c r="D2915" t="inlineStr">
        <is>
          <t>VÄSTMANLANDS LÄN</t>
        </is>
      </c>
      <c r="E2915" t="inlineStr">
        <is>
          <t>ARBOGA</t>
        </is>
      </c>
      <c r="G2915" t="n">
        <v>2.1</v>
      </c>
      <c r="H2915" t="n">
        <v>0</v>
      </c>
      <c r="I2915" t="n">
        <v>0</v>
      </c>
      <c r="J2915" t="n">
        <v>0</v>
      </c>
      <c r="K2915" t="n">
        <v>0</v>
      </c>
      <c r="L2915" t="n">
        <v>0</v>
      </c>
      <c r="M2915" t="n">
        <v>0</v>
      </c>
      <c r="N2915" t="n">
        <v>0</v>
      </c>
      <c r="O2915" t="n">
        <v>0</v>
      </c>
      <c r="P2915" t="n">
        <v>0</v>
      </c>
      <c r="Q2915" t="n">
        <v>0</v>
      </c>
      <c r="R2915" s="2" t="inlineStr"/>
    </row>
    <row r="2916" ht="15" customHeight="1">
      <c r="A2916" t="inlineStr">
        <is>
          <t>A 14626-2023</t>
        </is>
      </c>
      <c r="B2916" s="1" t="n">
        <v>45012</v>
      </c>
      <c r="C2916" s="1" t="n">
        <v>45724</v>
      </c>
      <c r="D2916" t="inlineStr">
        <is>
          <t>VÄSTMANLANDS LÄN</t>
        </is>
      </c>
      <c r="E2916" t="inlineStr">
        <is>
          <t>SURAHAMMAR</t>
        </is>
      </c>
      <c r="F2916" t="inlineStr">
        <is>
          <t>Bergvik skog väst AB</t>
        </is>
      </c>
      <c r="G2916" t="n">
        <v>5</v>
      </c>
      <c r="H2916" t="n">
        <v>0</v>
      </c>
      <c r="I2916" t="n">
        <v>0</v>
      </c>
      <c r="J2916" t="n">
        <v>0</v>
      </c>
      <c r="K2916" t="n">
        <v>0</v>
      </c>
      <c r="L2916" t="n">
        <v>0</v>
      </c>
      <c r="M2916" t="n">
        <v>0</v>
      </c>
      <c r="N2916" t="n">
        <v>0</v>
      </c>
      <c r="O2916" t="n">
        <v>0</v>
      </c>
      <c r="P2916" t="n">
        <v>0</v>
      </c>
      <c r="Q2916" t="n">
        <v>0</v>
      </c>
      <c r="R2916" s="2" t="inlineStr"/>
    </row>
    <row r="2917" ht="15" customHeight="1">
      <c r="A2917" t="inlineStr">
        <is>
          <t>A 14578-2023</t>
        </is>
      </c>
      <c r="B2917" s="1" t="n">
        <v>45013</v>
      </c>
      <c r="C2917" s="1" t="n">
        <v>45724</v>
      </c>
      <c r="D2917" t="inlineStr">
        <is>
          <t>VÄSTMANLANDS LÄN</t>
        </is>
      </c>
      <c r="E2917" t="inlineStr">
        <is>
          <t>SALA</t>
        </is>
      </c>
      <c r="G2917" t="n">
        <v>5.2</v>
      </c>
      <c r="H2917" t="n">
        <v>0</v>
      </c>
      <c r="I2917" t="n">
        <v>0</v>
      </c>
      <c r="J2917" t="n">
        <v>0</v>
      </c>
      <c r="K2917" t="n">
        <v>0</v>
      </c>
      <c r="L2917" t="n">
        <v>0</v>
      </c>
      <c r="M2917" t="n">
        <v>0</v>
      </c>
      <c r="N2917" t="n">
        <v>0</v>
      </c>
      <c r="O2917" t="n">
        <v>0</v>
      </c>
      <c r="P2917" t="n">
        <v>0</v>
      </c>
      <c r="Q2917" t="n">
        <v>0</v>
      </c>
      <c r="R2917" s="2" t="inlineStr"/>
    </row>
    <row r="2918" ht="15" customHeight="1">
      <c r="A2918" t="inlineStr">
        <is>
          <t>A 14583-2023</t>
        </is>
      </c>
      <c r="B2918" s="1" t="n">
        <v>45013</v>
      </c>
      <c r="C2918" s="1" t="n">
        <v>45724</v>
      </c>
      <c r="D2918" t="inlineStr">
        <is>
          <t>VÄSTMANLANDS LÄN</t>
        </is>
      </c>
      <c r="E2918" t="inlineStr">
        <is>
          <t>SURAHAMMAR</t>
        </is>
      </c>
      <c r="G2918" t="n">
        <v>0.9</v>
      </c>
      <c r="H2918" t="n">
        <v>0</v>
      </c>
      <c r="I2918" t="n">
        <v>0</v>
      </c>
      <c r="J2918" t="n">
        <v>0</v>
      </c>
      <c r="K2918" t="n">
        <v>0</v>
      </c>
      <c r="L2918" t="n">
        <v>0</v>
      </c>
      <c r="M2918" t="n">
        <v>0</v>
      </c>
      <c r="N2918" t="n">
        <v>0</v>
      </c>
      <c r="O2918" t="n">
        <v>0</v>
      </c>
      <c r="P2918" t="n">
        <v>0</v>
      </c>
      <c r="Q2918" t="n">
        <v>0</v>
      </c>
      <c r="R2918" s="2" t="inlineStr"/>
    </row>
    <row r="2919" ht="15" customHeight="1">
      <c r="A2919" t="inlineStr">
        <is>
          <t>A 14617-2023</t>
        </is>
      </c>
      <c r="B2919" s="1" t="n">
        <v>45013</v>
      </c>
      <c r="C2919" s="1" t="n">
        <v>45724</v>
      </c>
      <c r="D2919" t="inlineStr">
        <is>
          <t>VÄSTMANLANDS LÄN</t>
        </is>
      </c>
      <c r="E2919" t="inlineStr">
        <is>
          <t>NORBERG</t>
        </is>
      </c>
      <c r="G2919" t="n">
        <v>2.1</v>
      </c>
      <c r="H2919" t="n">
        <v>0</v>
      </c>
      <c r="I2919" t="n">
        <v>0</v>
      </c>
      <c r="J2919" t="n">
        <v>0</v>
      </c>
      <c r="K2919" t="n">
        <v>0</v>
      </c>
      <c r="L2919" t="n">
        <v>0</v>
      </c>
      <c r="M2919" t="n">
        <v>0</v>
      </c>
      <c r="N2919" t="n">
        <v>0</v>
      </c>
      <c r="O2919" t="n">
        <v>0</v>
      </c>
      <c r="P2919" t="n">
        <v>0</v>
      </c>
      <c r="Q2919" t="n">
        <v>0</v>
      </c>
      <c r="R2919" s="2" t="inlineStr"/>
    </row>
    <row r="2920" ht="15" customHeight="1">
      <c r="A2920" t="inlineStr">
        <is>
          <t>A 14566-2023</t>
        </is>
      </c>
      <c r="B2920" s="1" t="n">
        <v>45013</v>
      </c>
      <c r="C2920" s="1" t="n">
        <v>45724</v>
      </c>
      <c r="D2920" t="inlineStr">
        <is>
          <t>VÄSTMANLANDS LÄN</t>
        </is>
      </c>
      <c r="E2920" t="inlineStr">
        <is>
          <t>SKINNSKATTEBERG</t>
        </is>
      </c>
      <c r="F2920" t="inlineStr">
        <is>
          <t>Sveaskog</t>
        </is>
      </c>
      <c r="G2920" t="n">
        <v>1.8</v>
      </c>
      <c r="H2920" t="n">
        <v>0</v>
      </c>
      <c r="I2920" t="n">
        <v>0</v>
      </c>
      <c r="J2920" t="n">
        <v>0</v>
      </c>
      <c r="K2920" t="n">
        <v>0</v>
      </c>
      <c r="L2920" t="n">
        <v>0</v>
      </c>
      <c r="M2920" t="n">
        <v>0</v>
      </c>
      <c r="N2920" t="n">
        <v>0</v>
      </c>
      <c r="O2920" t="n">
        <v>0</v>
      </c>
      <c r="P2920" t="n">
        <v>0</v>
      </c>
      <c r="Q2920" t="n">
        <v>0</v>
      </c>
      <c r="R2920" s="2" t="inlineStr"/>
    </row>
    <row r="2921" ht="15" customHeight="1">
      <c r="A2921" t="inlineStr">
        <is>
          <t>A 14616-2023</t>
        </is>
      </c>
      <c r="B2921" s="1" t="n">
        <v>45013</v>
      </c>
      <c r="C2921" s="1" t="n">
        <v>45724</v>
      </c>
      <c r="D2921" t="inlineStr">
        <is>
          <t>VÄSTMANLANDS LÄN</t>
        </is>
      </c>
      <c r="E2921" t="inlineStr">
        <is>
          <t>NORBERG</t>
        </is>
      </c>
      <c r="G2921" t="n">
        <v>2.7</v>
      </c>
      <c r="H2921" t="n">
        <v>0</v>
      </c>
      <c r="I2921" t="n">
        <v>0</v>
      </c>
      <c r="J2921" t="n">
        <v>0</v>
      </c>
      <c r="K2921" t="n">
        <v>0</v>
      </c>
      <c r="L2921" t="n">
        <v>0</v>
      </c>
      <c r="M2921" t="n">
        <v>0</v>
      </c>
      <c r="N2921" t="n">
        <v>0</v>
      </c>
      <c r="O2921" t="n">
        <v>0</v>
      </c>
      <c r="P2921" t="n">
        <v>0</v>
      </c>
      <c r="Q2921" t="n">
        <v>0</v>
      </c>
      <c r="R2921" s="2" t="inlineStr"/>
    </row>
    <row r="2922" ht="15" customHeight="1">
      <c r="A2922" t="inlineStr">
        <is>
          <t>A 14827-2023</t>
        </is>
      </c>
      <c r="B2922" s="1" t="n">
        <v>45013</v>
      </c>
      <c r="C2922" s="1" t="n">
        <v>45724</v>
      </c>
      <c r="D2922" t="inlineStr">
        <is>
          <t>VÄSTMANLANDS LÄN</t>
        </is>
      </c>
      <c r="E2922" t="inlineStr">
        <is>
          <t>NORBERG</t>
        </is>
      </c>
      <c r="G2922" t="n">
        <v>17.9</v>
      </c>
      <c r="H2922" t="n">
        <v>0</v>
      </c>
      <c r="I2922" t="n">
        <v>0</v>
      </c>
      <c r="J2922" t="n">
        <v>0</v>
      </c>
      <c r="K2922" t="n">
        <v>0</v>
      </c>
      <c r="L2922" t="n">
        <v>0</v>
      </c>
      <c r="M2922" t="n">
        <v>0</v>
      </c>
      <c r="N2922" t="n">
        <v>0</v>
      </c>
      <c r="O2922" t="n">
        <v>0</v>
      </c>
      <c r="P2922" t="n">
        <v>0</v>
      </c>
      <c r="Q2922" t="n">
        <v>0</v>
      </c>
      <c r="R2922" s="2" t="inlineStr"/>
    </row>
    <row r="2923" ht="15" customHeight="1">
      <c r="A2923" t="inlineStr">
        <is>
          <t>A 14711-2023</t>
        </is>
      </c>
      <c r="B2923" s="1" t="n">
        <v>45014</v>
      </c>
      <c r="C2923" s="1" t="n">
        <v>45724</v>
      </c>
      <c r="D2923" t="inlineStr">
        <is>
          <t>VÄSTMANLANDS LÄN</t>
        </is>
      </c>
      <c r="E2923" t="inlineStr">
        <is>
          <t>SKINNSKATTEBERG</t>
        </is>
      </c>
      <c r="G2923" t="n">
        <v>4.1</v>
      </c>
      <c r="H2923" t="n">
        <v>0</v>
      </c>
      <c r="I2923" t="n">
        <v>0</v>
      </c>
      <c r="J2923" t="n">
        <v>0</v>
      </c>
      <c r="K2923" t="n">
        <v>0</v>
      </c>
      <c r="L2923" t="n">
        <v>0</v>
      </c>
      <c r="M2923" t="n">
        <v>0</v>
      </c>
      <c r="N2923" t="n">
        <v>0</v>
      </c>
      <c r="O2923" t="n">
        <v>0</v>
      </c>
      <c r="P2923" t="n">
        <v>0</v>
      </c>
      <c r="Q2923" t="n">
        <v>0</v>
      </c>
      <c r="R2923" s="2" t="inlineStr"/>
    </row>
    <row r="2924" ht="15" customHeight="1">
      <c r="A2924" t="inlineStr">
        <is>
          <t>A 14717-2023</t>
        </is>
      </c>
      <c r="B2924" s="1" t="n">
        <v>45014</v>
      </c>
      <c r="C2924" s="1" t="n">
        <v>45724</v>
      </c>
      <c r="D2924" t="inlineStr">
        <is>
          <t>VÄSTMANLANDS LÄN</t>
        </is>
      </c>
      <c r="E2924" t="inlineStr">
        <is>
          <t>SKINNSKATTEBERG</t>
        </is>
      </c>
      <c r="G2924" t="n">
        <v>3.4</v>
      </c>
      <c r="H2924" t="n">
        <v>0</v>
      </c>
      <c r="I2924" t="n">
        <v>0</v>
      </c>
      <c r="J2924" t="n">
        <v>0</v>
      </c>
      <c r="K2924" t="n">
        <v>0</v>
      </c>
      <c r="L2924" t="n">
        <v>0</v>
      </c>
      <c r="M2924" t="n">
        <v>0</v>
      </c>
      <c r="N2924" t="n">
        <v>0</v>
      </c>
      <c r="O2924" t="n">
        <v>0</v>
      </c>
      <c r="P2924" t="n">
        <v>0</v>
      </c>
      <c r="Q2924" t="n">
        <v>0</v>
      </c>
      <c r="R2924" s="2" t="inlineStr"/>
    </row>
    <row r="2925" ht="15" customHeight="1">
      <c r="A2925" t="inlineStr">
        <is>
          <t>A 14733-2023</t>
        </is>
      </c>
      <c r="B2925" s="1" t="n">
        <v>45014</v>
      </c>
      <c r="C2925" s="1" t="n">
        <v>45724</v>
      </c>
      <c r="D2925" t="inlineStr">
        <is>
          <t>VÄSTMANLANDS LÄN</t>
        </is>
      </c>
      <c r="E2925" t="inlineStr">
        <is>
          <t>SKINNSKATTEBERG</t>
        </is>
      </c>
      <c r="G2925" t="n">
        <v>2.4</v>
      </c>
      <c r="H2925" t="n">
        <v>0</v>
      </c>
      <c r="I2925" t="n">
        <v>0</v>
      </c>
      <c r="J2925" t="n">
        <v>0</v>
      </c>
      <c r="K2925" t="n">
        <v>0</v>
      </c>
      <c r="L2925" t="n">
        <v>0</v>
      </c>
      <c r="M2925" t="n">
        <v>0</v>
      </c>
      <c r="N2925" t="n">
        <v>0</v>
      </c>
      <c r="O2925" t="n">
        <v>0</v>
      </c>
      <c r="P2925" t="n">
        <v>0</v>
      </c>
      <c r="Q2925" t="n">
        <v>0</v>
      </c>
      <c r="R2925" s="2" t="inlineStr"/>
    </row>
    <row r="2926" ht="15" customHeight="1">
      <c r="A2926" t="inlineStr">
        <is>
          <t>A 14719-2023</t>
        </is>
      </c>
      <c r="B2926" s="1" t="n">
        <v>45014</v>
      </c>
      <c r="C2926" s="1" t="n">
        <v>45724</v>
      </c>
      <c r="D2926" t="inlineStr">
        <is>
          <t>VÄSTMANLANDS LÄN</t>
        </is>
      </c>
      <c r="E2926" t="inlineStr">
        <is>
          <t>SKINNSKATTEBERG</t>
        </is>
      </c>
      <c r="G2926" t="n">
        <v>1.7</v>
      </c>
      <c r="H2926" t="n">
        <v>0</v>
      </c>
      <c r="I2926" t="n">
        <v>0</v>
      </c>
      <c r="J2926" t="n">
        <v>0</v>
      </c>
      <c r="K2926" t="n">
        <v>0</v>
      </c>
      <c r="L2926" t="n">
        <v>0</v>
      </c>
      <c r="M2926" t="n">
        <v>0</v>
      </c>
      <c r="N2926" t="n">
        <v>0</v>
      </c>
      <c r="O2926" t="n">
        <v>0</v>
      </c>
      <c r="P2926" t="n">
        <v>0</v>
      </c>
      <c r="Q2926" t="n">
        <v>0</v>
      </c>
      <c r="R2926" s="2" t="inlineStr"/>
    </row>
    <row r="2927" ht="15" customHeight="1">
      <c r="A2927" t="inlineStr">
        <is>
          <t>A 14736-2023</t>
        </is>
      </c>
      <c r="B2927" s="1" t="n">
        <v>45014</v>
      </c>
      <c r="C2927" s="1" t="n">
        <v>45724</v>
      </c>
      <c r="D2927" t="inlineStr">
        <is>
          <t>VÄSTMANLANDS LÄN</t>
        </is>
      </c>
      <c r="E2927" t="inlineStr">
        <is>
          <t>SKINNSKATTEBERG</t>
        </is>
      </c>
      <c r="F2927" t="inlineStr">
        <is>
          <t>Sveaskog</t>
        </is>
      </c>
      <c r="G2927" t="n">
        <v>0.5</v>
      </c>
      <c r="H2927" t="n">
        <v>0</v>
      </c>
      <c r="I2927" t="n">
        <v>0</v>
      </c>
      <c r="J2927" t="n">
        <v>0</v>
      </c>
      <c r="K2927" t="n">
        <v>0</v>
      </c>
      <c r="L2927" t="n">
        <v>0</v>
      </c>
      <c r="M2927" t="n">
        <v>0</v>
      </c>
      <c r="N2927" t="n">
        <v>0</v>
      </c>
      <c r="O2927" t="n">
        <v>0</v>
      </c>
      <c r="P2927" t="n">
        <v>0</v>
      </c>
      <c r="Q2927" t="n">
        <v>0</v>
      </c>
      <c r="R2927" s="2" t="inlineStr"/>
    </row>
    <row r="2928" ht="15" customHeight="1">
      <c r="A2928" t="inlineStr">
        <is>
          <t>A 14823-2023</t>
        </is>
      </c>
      <c r="B2928" s="1" t="n">
        <v>45014</v>
      </c>
      <c r="C2928" s="1" t="n">
        <v>45724</v>
      </c>
      <c r="D2928" t="inlineStr">
        <is>
          <t>VÄSTMANLANDS LÄN</t>
        </is>
      </c>
      <c r="E2928" t="inlineStr">
        <is>
          <t>SALA</t>
        </is>
      </c>
      <c r="F2928" t="inlineStr">
        <is>
          <t>Kyrkan</t>
        </is>
      </c>
      <c r="G2928" t="n">
        <v>3.1</v>
      </c>
      <c r="H2928" t="n">
        <v>0</v>
      </c>
      <c r="I2928" t="n">
        <v>0</v>
      </c>
      <c r="J2928" t="n">
        <v>0</v>
      </c>
      <c r="K2928" t="n">
        <v>0</v>
      </c>
      <c r="L2928" t="n">
        <v>0</v>
      </c>
      <c r="M2928" t="n">
        <v>0</v>
      </c>
      <c r="N2928" t="n">
        <v>0</v>
      </c>
      <c r="O2928" t="n">
        <v>0</v>
      </c>
      <c r="P2928" t="n">
        <v>0</v>
      </c>
      <c r="Q2928" t="n">
        <v>0</v>
      </c>
      <c r="R2928" s="2" t="inlineStr"/>
    </row>
    <row r="2929" ht="15" customHeight="1">
      <c r="A2929" t="inlineStr">
        <is>
          <t>A 14790-2023</t>
        </is>
      </c>
      <c r="B2929" s="1" t="n">
        <v>45014</v>
      </c>
      <c r="C2929" s="1" t="n">
        <v>45724</v>
      </c>
      <c r="D2929" t="inlineStr">
        <is>
          <t>VÄSTMANLANDS LÄN</t>
        </is>
      </c>
      <c r="E2929" t="inlineStr">
        <is>
          <t>SALA</t>
        </is>
      </c>
      <c r="G2929" t="n">
        <v>0.8</v>
      </c>
      <c r="H2929" t="n">
        <v>0</v>
      </c>
      <c r="I2929" t="n">
        <v>0</v>
      </c>
      <c r="J2929" t="n">
        <v>0</v>
      </c>
      <c r="K2929" t="n">
        <v>0</v>
      </c>
      <c r="L2929" t="n">
        <v>0</v>
      </c>
      <c r="M2929" t="n">
        <v>0</v>
      </c>
      <c r="N2929" t="n">
        <v>0</v>
      </c>
      <c r="O2929" t="n">
        <v>0</v>
      </c>
      <c r="P2929" t="n">
        <v>0</v>
      </c>
      <c r="Q2929" t="n">
        <v>0</v>
      </c>
      <c r="R2929" s="2" t="inlineStr"/>
    </row>
    <row r="2930" ht="15" customHeight="1">
      <c r="A2930" t="inlineStr">
        <is>
          <t>A 14903-2023</t>
        </is>
      </c>
      <c r="B2930" s="1" t="n">
        <v>45014</v>
      </c>
      <c r="C2930" s="1" t="n">
        <v>45724</v>
      </c>
      <c r="D2930" t="inlineStr">
        <is>
          <t>VÄSTMANLANDS LÄN</t>
        </is>
      </c>
      <c r="E2930" t="inlineStr">
        <is>
          <t>NORBERG</t>
        </is>
      </c>
      <c r="G2930" t="n">
        <v>2.6</v>
      </c>
      <c r="H2930" t="n">
        <v>0</v>
      </c>
      <c r="I2930" t="n">
        <v>0</v>
      </c>
      <c r="J2930" t="n">
        <v>0</v>
      </c>
      <c r="K2930" t="n">
        <v>0</v>
      </c>
      <c r="L2930" t="n">
        <v>0</v>
      </c>
      <c r="M2930" t="n">
        <v>0</v>
      </c>
      <c r="N2930" t="n">
        <v>0</v>
      </c>
      <c r="O2930" t="n">
        <v>0</v>
      </c>
      <c r="P2930" t="n">
        <v>0</v>
      </c>
      <c r="Q2930" t="n">
        <v>0</v>
      </c>
      <c r="R2930" s="2" t="inlineStr"/>
    </row>
    <row r="2931" ht="15" customHeight="1">
      <c r="A2931" t="inlineStr">
        <is>
          <t>A 14904-2023</t>
        </is>
      </c>
      <c r="B2931" s="1" t="n">
        <v>45014</v>
      </c>
      <c r="C2931" s="1" t="n">
        <v>45724</v>
      </c>
      <c r="D2931" t="inlineStr">
        <is>
          <t>VÄSTMANLANDS LÄN</t>
        </is>
      </c>
      <c r="E2931" t="inlineStr">
        <is>
          <t>NORBERG</t>
        </is>
      </c>
      <c r="G2931" t="n">
        <v>3.5</v>
      </c>
      <c r="H2931" t="n">
        <v>0</v>
      </c>
      <c r="I2931" t="n">
        <v>0</v>
      </c>
      <c r="J2931" t="n">
        <v>0</v>
      </c>
      <c r="K2931" t="n">
        <v>0</v>
      </c>
      <c r="L2931" t="n">
        <v>0</v>
      </c>
      <c r="M2931" t="n">
        <v>0</v>
      </c>
      <c r="N2931" t="n">
        <v>0</v>
      </c>
      <c r="O2931" t="n">
        <v>0</v>
      </c>
      <c r="P2931" t="n">
        <v>0</v>
      </c>
      <c r="Q2931" t="n">
        <v>0</v>
      </c>
      <c r="R2931" s="2" t="inlineStr"/>
    </row>
    <row r="2932" ht="15" customHeight="1">
      <c r="A2932" t="inlineStr">
        <is>
          <t>A 15042-2023</t>
        </is>
      </c>
      <c r="B2932" s="1" t="n">
        <v>45015</v>
      </c>
      <c r="C2932" s="1" t="n">
        <v>45724</v>
      </c>
      <c r="D2932" t="inlineStr">
        <is>
          <t>VÄSTMANLANDS LÄN</t>
        </is>
      </c>
      <c r="E2932" t="inlineStr">
        <is>
          <t>VÄSTERÅS</t>
        </is>
      </c>
      <c r="G2932" t="n">
        <v>4.6</v>
      </c>
      <c r="H2932" t="n">
        <v>0</v>
      </c>
      <c r="I2932" t="n">
        <v>0</v>
      </c>
      <c r="J2932" t="n">
        <v>0</v>
      </c>
      <c r="K2932" t="n">
        <v>0</v>
      </c>
      <c r="L2932" t="n">
        <v>0</v>
      </c>
      <c r="M2932" t="n">
        <v>0</v>
      </c>
      <c r="N2932" t="n">
        <v>0</v>
      </c>
      <c r="O2932" t="n">
        <v>0</v>
      </c>
      <c r="P2932" t="n">
        <v>0</v>
      </c>
      <c r="Q2932" t="n">
        <v>0</v>
      </c>
      <c r="R2932" s="2" t="inlineStr"/>
    </row>
    <row r="2933" ht="15" customHeight="1">
      <c r="A2933" t="inlineStr">
        <is>
          <t>A 15083-2023</t>
        </is>
      </c>
      <c r="B2933" s="1" t="n">
        <v>45016</v>
      </c>
      <c r="C2933" s="1" t="n">
        <v>45724</v>
      </c>
      <c r="D2933" t="inlineStr">
        <is>
          <t>VÄSTMANLANDS LÄN</t>
        </is>
      </c>
      <c r="E2933" t="inlineStr">
        <is>
          <t>NORBERG</t>
        </is>
      </c>
      <c r="F2933" t="inlineStr">
        <is>
          <t>Bergvik skog väst AB</t>
        </is>
      </c>
      <c r="G2933" t="n">
        <v>3.2</v>
      </c>
      <c r="H2933" t="n">
        <v>0</v>
      </c>
      <c r="I2933" t="n">
        <v>0</v>
      </c>
      <c r="J2933" t="n">
        <v>0</v>
      </c>
      <c r="K2933" t="n">
        <v>0</v>
      </c>
      <c r="L2933" t="n">
        <v>0</v>
      </c>
      <c r="M2933" t="n">
        <v>0</v>
      </c>
      <c r="N2933" t="n">
        <v>0</v>
      </c>
      <c r="O2933" t="n">
        <v>0</v>
      </c>
      <c r="P2933" t="n">
        <v>0</v>
      </c>
      <c r="Q2933" t="n">
        <v>0</v>
      </c>
      <c r="R2933" s="2" t="inlineStr"/>
    </row>
    <row r="2934" ht="15" customHeight="1">
      <c r="A2934" t="inlineStr">
        <is>
          <t>A 15084-2023</t>
        </is>
      </c>
      <c r="B2934" s="1" t="n">
        <v>45016</v>
      </c>
      <c r="C2934" s="1" t="n">
        <v>45724</v>
      </c>
      <c r="D2934" t="inlineStr">
        <is>
          <t>VÄSTMANLANDS LÄN</t>
        </is>
      </c>
      <c r="E2934" t="inlineStr">
        <is>
          <t>NORBERG</t>
        </is>
      </c>
      <c r="F2934" t="inlineStr">
        <is>
          <t>Bergvik skog väst AB</t>
        </is>
      </c>
      <c r="G2934" t="n">
        <v>3.8</v>
      </c>
      <c r="H2934" t="n">
        <v>0</v>
      </c>
      <c r="I2934" t="n">
        <v>0</v>
      </c>
      <c r="J2934" t="n">
        <v>0</v>
      </c>
      <c r="K2934" t="n">
        <v>0</v>
      </c>
      <c r="L2934" t="n">
        <v>0</v>
      </c>
      <c r="M2934" t="n">
        <v>0</v>
      </c>
      <c r="N2934" t="n">
        <v>0</v>
      </c>
      <c r="O2934" t="n">
        <v>0</v>
      </c>
      <c r="P2934" t="n">
        <v>0</v>
      </c>
      <c r="Q2934" t="n">
        <v>0</v>
      </c>
      <c r="R2934" s="2" t="inlineStr"/>
    </row>
    <row r="2935" ht="15" customHeight="1">
      <c r="A2935" t="inlineStr">
        <is>
          <t>A 15098-2023</t>
        </is>
      </c>
      <c r="B2935" s="1" t="n">
        <v>45016</v>
      </c>
      <c r="C2935" s="1" t="n">
        <v>45724</v>
      </c>
      <c r="D2935" t="inlineStr">
        <is>
          <t>VÄSTMANLANDS LÄN</t>
        </is>
      </c>
      <c r="E2935" t="inlineStr">
        <is>
          <t>NORBERG</t>
        </is>
      </c>
      <c r="F2935" t="inlineStr">
        <is>
          <t>Övriga Aktiebolag</t>
        </is>
      </c>
      <c r="G2935" t="n">
        <v>5.6</v>
      </c>
      <c r="H2935" t="n">
        <v>0</v>
      </c>
      <c r="I2935" t="n">
        <v>0</v>
      </c>
      <c r="J2935" t="n">
        <v>0</v>
      </c>
      <c r="K2935" t="n">
        <v>0</v>
      </c>
      <c r="L2935" t="n">
        <v>0</v>
      </c>
      <c r="M2935" t="n">
        <v>0</v>
      </c>
      <c r="N2935" t="n">
        <v>0</v>
      </c>
      <c r="O2935" t="n">
        <v>0</v>
      </c>
      <c r="P2935" t="n">
        <v>0</v>
      </c>
      <c r="Q2935" t="n">
        <v>0</v>
      </c>
      <c r="R2935" s="2" t="inlineStr"/>
    </row>
    <row r="2936" ht="15" customHeight="1">
      <c r="A2936" t="inlineStr">
        <is>
          <t>A 15350-2023</t>
        </is>
      </c>
      <c r="B2936" s="1" t="n">
        <v>45019</v>
      </c>
      <c r="C2936" s="1" t="n">
        <v>45724</v>
      </c>
      <c r="D2936" t="inlineStr">
        <is>
          <t>VÄSTMANLANDS LÄN</t>
        </is>
      </c>
      <c r="E2936" t="inlineStr">
        <is>
          <t>VÄSTERÅS</t>
        </is>
      </c>
      <c r="G2936" t="n">
        <v>1.2</v>
      </c>
      <c r="H2936" t="n">
        <v>0</v>
      </c>
      <c r="I2936" t="n">
        <v>0</v>
      </c>
      <c r="J2936" t="n">
        <v>0</v>
      </c>
      <c r="K2936" t="n">
        <v>0</v>
      </c>
      <c r="L2936" t="n">
        <v>0</v>
      </c>
      <c r="M2936" t="n">
        <v>0</v>
      </c>
      <c r="N2936" t="n">
        <v>0</v>
      </c>
      <c r="O2936" t="n">
        <v>0</v>
      </c>
      <c r="P2936" t="n">
        <v>0</v>
      </c>
      <c r="Q2936" t="n">
        <v>0</v>
      </c>
      <c r="R2936" s="2" t="inlineStr"/>
    </row>
    <row r="2937" ht="15" customHeight="1">
      <c r="A2937" t="inlineStr">
        <is>
          <t>A 15329-2023</t>
        </is>
      </c>
      <c r="B2937" s="1" t="n">
        <v>45019</v>
      </c>
      <c r="C2937" s="1" t="n">
        <v>45724</v>
      </c>
      <c r="D2937" t="inlineStr">
        <is>
          <t>VÄSTMANLANDS LÄN</t>
        </is>
      </c>
      <c r="E2937" t="inlineStr">
        <is>
          <t>VÄSTERÅS</t>
        </is>
      </c>
      <c r="G2937" t="n">
        <v>2.5</v>
      </c>
      <c r="H2937" t="n">
        <v>0</v>
      </c>
      <c r="I2937" t="n">
        <v>0</v>
      </c>
      <c r="J2937" t="n">
        <v>0</v>
      </c>
      <c r="K2937" t="n">
        <v>0</v>
      </c>
      <c r="L2937" t="n">
        <v>0</v>
      </c>
      <c r="M2937" t="n">
        <v>0</v>
      </c>
      <c r="N2937" t="n">
        <v>0</v>
      </c>
      <c r="O2937" t="n">
        <v>0</v>
      </c>
      <c r="P2937" t="n">
        <v>0</v>
      </c>
      <c r="Q2937" t="n">
        <v>0</v>
      </c>
      <c r="R2937" s="2" t="inlineStr"/>
    </row>
    <row r="2938" ht="15" customHeight="1">
      <c r="A2938" t="inlineStr">
        <is>
          <t>A 15348-2023</t>
        </is>
      </c>
      <c r="B2938" s="1" t="n">
        <v>45019</v>
      </c>
      <c r="C2938" s="1" t="n">
        <v>45724</v>
      </c>
      <c r="D2938" t="inlineStr">
        <is>
          <t>VÄSTMANLANDS LÄN</t>
        </is>
      </c>
      <c r="E2938" t="inlineStr">
        <is>
          <t>VÄSTERÅS</t>
        </is>
      </c>
      <c r="G2938" t="n">
        <v>2.8</v>
      </c>
      <c r="H2938" t="n">
        <v>0</v>
      </c>
      <c r="I2938" t="n">
        <v>0</v>
      </c>
      <c r="J2938" t="n">
        <v>0</v>
      </c>
      <c r="K2938" t="n">
        <v>0</v>
      </c>
      <c r="L2938" t="n">
        <v>0</v>
      </c>
      <c r="M2938" t="n">
        <v>0</v>
      </c>
      <c r="N2938" t="n">
        <v>0</v>
      </c>
      <c r="O2938" t="n">
        <v>0</v>
      </c>
      <c r="P2938" t="n">
        <v>0</v>
      </c>
      <c r="Q2938" t="n">
        <v>0</v>
      </c>
      <c r="R2938" s="2" t="inlineStr"/>
    </row>
    <row r="2939" ht="15" customHeight="1">
      <c r="A2939" t="inlineStr">
        <is>
          <t>A 15297-2023</t>
        </is>
      </c>
      <c r="B2939" s="1" t="n">
        <v>45019</v>
      </c>
      <c r="C2939" s="1" t="n">
        <v>45724</v>
      </c>
      <c r="D2939" t="inlineStr">
        <is>
          <t>VÄSTMANLANDS LÄN</t>
        </is>
      </c>
      <c r="E2939" t="inlineStr">
        <is>
          <t>FAGERSTA</t>
        </is>
      </c>
      <c r="F2939" t="inlineStr">
        <is>
          <t>Övriga Aktiebolag</t>
        </is>
      </c>
      <c r="G2939" t="n">
        <v>26.3</v>
      </c>
      <c r="H2939" t="n">
        <v>0</v>
      </c>
      <c r="I2939" t="n">
        <v>0</v>
      </c>
      <c r="J2939" t="n">
        <v>0</v>
      </c>
      <c r="K2939" t="n">
        <v>0</v>
      </c>
      <c r="L2939" t="n">
        <v>0</v>
      </c>
      <c r="M2939" t="n">
        <v>0</v>
      </c>
      <c r="N2939" t="n">
        <v>0</v>
      </c>
      <c r="O2939" t="n">
        <v>0</v>
      </c>
      <c r="P2939" t="n">
        <v>0</v>
      </c>
      <c r="Q2939" t="n">
        <v>0</v>
      </c>
      <c r="R2939" s="2" t="inlineStr"/>
    </row>
    <row r="2940" ht="15" customHeight="1">
      <c r="A2940" t="inlineStr">
        <is>
          <t>A 15330-2023</t>
        </is>
      </c>
      <c r="B2940" s="1" t="n">
        <v>45019</v>
      </c>
      <c r="C2940" s="1" t="n">
        <v>45724</v>
      </c>
      <c r="D2940" t="inlineStr">
        <is>
          <t>VÄSTMANLANDS LÄN</t>
        </is>
      </c>
      <c r="E2940" t="inlineStr">
        <is>
          <t>VÄSTERÅS</t>
        </is>
      </c>
      <c r="G2940" t="n">
        <v>0.4</v>
      </c>
      <c r="H2940" t="n">
        <v>0</v>
      </c>
      <c r="I2940" t="n">
        <v>0</v>
      </c>
      <c r="J2940" t="n">
        <v>0</v>
      </c>
      <c r="K2940" t="n">
        <v>0</v>
      </c>
      <c r="L2940" t="n">
        <v>0</v>
      </c>
      <c r="M2940" t="n">
        <v>0</v>
      </c>
      <c r="N2940" t="n">
        <v>0</v>
      </c>
      <c r="O2940" t="n">
        <v>0</v>
      </c>
      <c r="P2940" t="n">
        <v>0</v>
      </c>
      <c r="Q2940" t="n">
        <v>0</v>
      </c>
      <c r="R2940" s="2" t="inlineStr"/>
    </row>
    <row r="2941" ht="15" customHeight="1">
      <c r="A2941" t="inlineStr">
        <is>
          <t>A 15355-2023</t>
        </is>
      </c>
      <c r="B2941" s="1" t="n">
        <v>45019</v>
      </c>
      <c r="C2941" s="1" t="n">
        <v>45724</v>
      </c>
      <c r="D2941" t="inlineStr">
        <is>
          <t>VÄSTMANLANDS LÄN</t>
        </is>
      </c>
      <c r="E2941" t="inlineStr">
        <is>
          <t>VÄSTERÅS</t>
        </is>
      </c>
      <c r="G2941" t="n">
        <v>0.6</v>
      </c>
      <c r="H2941" t="n">
        <v>0</v>
      </c>
      <c r="I2941" t="n">
        <v>0</v>
      </c>
      <c r="J2941" t="n">
        <v>0</v>
      </c>
      <c r="K2941" t="n">
        <v>0</v>
      </c>
      <c r="L2941" t="n">
        <v>0</v>
      </c>
      <c r="M2941" t="n">
        <v>0</v>
      </c>
      <c r="N2941" t="n">
        <v>0</v>
      </c>
      <c r="O2941" t="n">
        <v>0</v>
      </c>
      <c r="P2941" t="n">
        <v>0</v>
      </c>
      <c r="Q2941" t="n">
        <v>0</v>
      </c>
      <c r="R2941" s="2" t="inlineStr"/>
    </row>
    <row r="2942" ht="15" customHeight="1">
      <c r="A2942" t="inlineStr">
        <is>
          <t>A 15431-2023</t>
        </is>
      </c>
      <c r="B2942" s="1" t="n">
        <v>45020</v>
      </c>
      <c r="C2942" s="1" t="n">
        <v>45724</v>
      </c>
      <c r="D2942" t="inlineStr">
        <is>
          <t>VÄSTMANLANDS LÄN</t>
        </is>
      </c>
      <c r="E2942" t="inlineStr">
        <is>
          <t>NORBERG</t>
        </is>
      </c>
      <c r="F2942" t="inlineStr">
        <is>
          <t>Övriga Aktiebolag</t>
        </is>
      </c>
      <c r="G2942" t="n">
        <v>2</v>
      </c>
      <c r="H2942" t="n">
        <v>0</v>
      </c>
      <c r="I2942" t="n">
        <v>0</v>
      </c>
      <c r="J2942" t="n">
        <v>0</v>
      </c>
      <c r="K2942" t="n">
        <v>0</v>
      </c>
      <c r="L2942" t="n">
        <v>0</v>
      </c>
      <c r="M2942" t="n">
        <v>0</v>
      </c>
      <c r="N2942" t="n">
        <v>0</v>
      </c>
      <c r="O2942" t="n">
        <v>0</v>
      </c>
      <c r="P2942" t="n">
        <v>0</v>
      </c>
      <c r="Q2942" t="n">
        <v>0</v>
      </c>
      <c r="R2942" s="2" t="inlineStr"/>
    </row>
    <row r="2943" ht="15" customHeight="1">
      <c r="A2943" t="inlineStr">
        <is>
          <t>A 15589-2023</t>
        </is>
      </c>
      <c r="B2943" s="1" t="n">
        <v>45020</v>
      </c>
      <c r="C2943" s="1" t="n">
        <v>45724</v>
      </c>
      <c r="D2943" t="inlineStr">
        <is>
          <t>VÄSTMANLANDS LÄN</t>
        </is>
      </c>
      <c r="E2943" t="inlineStr">
        <is>
          <t>SALA</t>
        </is>
      </c>
      <c r="G2943" t="n">
        <v>7.5</v>
      </c>
      <c r="H2943" t="n">
        <v>0</v>
      </c>
      <c r="I2943" t="n">
        <v>0</v>
      </c>
      <c r="J2943" t="n">
        <v>0</v>
      </c>
      <c r="K2943" t="n">
        <v>0</v>
      </c>
      <c r="L2943" t="n">
        <v>0</v>
      </c>
      <c r="M2943" t="n">
        <v>0</v>
      </c>
      <c r="N2943" t="n">
        <v>0</v>
      </c>
      <c r="O2943" t="n">
        <v>0</v>
      </c>
      <c r="P2943" t="n">
        <v>0</v>
      </c>
      <c r="Q2943" t="n">
        <v>0</v>
      </c>
      <c r="R2943" s="2" t="inlineStr"/>
    </row>
    <row r="2944" ht="15" customHeight="1">
      <c r="A2944" t="inlineStr">
        <is>
          <t>A 15429-2023</t>
        </is>
      </c>
      <c r="B2944" s="1" t="n">
        <v>45020</v>
      </c>
      <c r="C2944" s="1" t="n">
        <v>45724</v>
      </c>
      <c r="D2944" t="inlineStr">
        <is>
          <t>VÄSTMANLANDS LÄN</t>
        </is>
      </c>
      <c r="E2944" t="inlineStr">
        <is>
          <t>NORBERG</t>
        </is>
      </c>
      <c r="F2944" t="inlineStr">
        <is>
          <t>Övriga Aktiebolag</t>
        </is>
      </c>
      <c r="G2944" t="n">
        <v>3</v>
      </c>
      <c r="H2944" t="n">
        <v>0</v>
      </c>
      <c r="I2944" t="n">
        <v>0</v>
      </c>
      <c r="J2944" t="n">
        <v>0</v>
      </c>
      <c r="K2944" t="n">
        <v>0</v>
      </c>
      <c r="L2944" t="n">
        <v>0</v>
      </c>
      <c r="M2944" t="n">
        <v>0</v>
      </c>
      <c r="N2944" t="n">
        <v>0</v>
      </c>
      <c r="O2944" t="n">
        <v>0</v>
      </c>
      <c r="P2944" t="n">
        <v>0</v>
      </c>
      <c r="Q2944" t="n">
        <v>0</v>
      </c>
      <c r="R2944" s="2" t="inlineStr"/>
    </row>
    <row r="2945" ht="15" customHeight="1">
      <c r="A2945" t="inlineStr">
        <is>
          <t>A 15584-2023</t>
        </is>
      </c>
      <c r="B2945" s="1" t="n">
        <v>45020</v>
      </c>
      <c r="C2945" s="1" t="n">
        <v>45724</v>
      </c>
      <c r="D2945" t="inlineStr">
        <is>
          <t>VÄSTMANLANDS LÄN</t>
        </is>
      </c>
      <c r="E2945" t="inlineStr">
        <is>
          <t>SALA</t>
        </is>
      </c>
      <c r="G2945" t="n">
        <v>4.2</v>
      </c>
      <c r="H2945" t="n">
        <v>0</v>
      </c>
      <c r="I2945" t="n">
        <v>0</v>
      </c>
      <c r="J2945" t="n">
        <v>0</v>
      </c>
      <c r="K2945" t="n">
        <v>0</v>
      </c>
      <c r="L2945" t="n">
        <v>0</v>
      </c>
      <c r="M2945" t="n">
        <v>0</v>
      </c>
      <c r="N2945" t="n">
        <v>0</v>
      </c>
      <c r="O2945" t="n">
        <v>0</v>
      </c>
      <c r="P2945" t="n">
        <v>0</v>
      </c>
      <c r="Q2945" t="n">
        <v>0</v>
      </c>
      <c r="R2945" s="2" t="inlineStr"/>
    </row>
    <row r="2946" ht="15" customHeight="1">
      <c r="A2946" t="inlineStr">
        <is>
          <t>A 15743-2023</t>
        </is>
      </c>
      <c r="B2946" s="1" t="n">
        <v>45021</v>
      </c>
      <c r="C2946" s="1" t="n">
        <v>45724</v>
      </c>
      <c r="D2946" t="inlineStr">
        <is>
          <t>VÄSTMANLANDS LÄN</t>
        </is>
      </c>
      <c r="E2946" t="inlineStr">
        <is>
          <t>SURAHAMMAR</t>
        </is>
      </c>
      <c r="G2946" t="n">
        <v>0.5</v>
      </c>
      <c r="H2946" t="n">
        <v>0</v>
      </c>
      <c r="I2946" t="n">
        <v>0</v>
      </c>
      <c r="J2946" t="n">
        <v>0</v>
      </c>
      <c r="K2946" t="n">
        <v>0</v>
      </c>
      <c r="L2946" t="n">
        <v>0</v>
      </c>
      <c r="M2946" t="n">
        <v>0</v>
      </c>
      <c r="N2946" t="n">
        <v>0</v>
      </c>
      <c r="O2946" t="n">
        <v>0</v>
      </c>
      <c r="P2946" t="n">
        <v>0</v>
      </c>
      <c r="Q2946" t="n">
        <v>0</v>
      </c>
      <c r="R2946" s="2" t="inlineStr"/>
    </row>
    <row r="2947" ht="15" customHeight="1">
      <c r="A2947" t="inlineStr">
        <is>
          <t>A 15739-2023</t>
        </is>
      </c>
      <c r="B2947" s="1" t="n">
        <v>45021</v>
      </c>
      <c r="C2947" s="1" t="n">
        <v>45724</v>
      </c>
      <c r="D2947" t="inlineStr">
        <is>
          <t>VÄSTMANLANDS LÄN</t>
        </is>
      </c>
      <c r="E2947" t="inlineStr">
        <is>
          <t>SURAHAMMAR</t>
        </is>
      </c>
      <c r="G2947" t="n">
        <v>1.3</v>
      </c>
      <c r="H2947" t="n">
        <v>0</v>
      </c>
      <c r="I2947" t="n">
        <v>0</v>
      </c>
      <c r="J2947" t="n">
        <v>0</v>
      </c>
      <c r="K2947" t="n">
        <v>0</v>
      </c>
      <c r="L2947" t="n">
        <v>0</v>
      </c>
      <c r="M2947" t="n">
        <v>0</v>
      </c>
      <c r="N2947" t="n">
        <v>0</v>
      </c>
      <c r="O2947" t="n">
        <v>0</v>
      </c>
      <c r="P2947" t="n">
        <v>0</v>
      </c>
      <c r="Q2947" t="n">
        <v>0</v>
      </c>
      <c r="R2947" s="2" t="inlineStr"/>
    </row>
    <row r="2948" ht="15" customHeight="1">
      <c r="A2948" t="inlineStr">
        <is>
          <t>A 15772-2023</t>
        </is>
      </c>
      <c r="B2948" s="1" t="n">
        <v>45021</v>
      </c>
      <c r="C2948" s="1" t="n">
        <v>45724</v>
      </c>
      <c r="D2948" t="inlineStr">
        <is>
          <t>VÄSTMANLANDS LÄN</t>
        </is>
      </c>
      <c r="E2948" t="inlineStr">
        <is>
          <t>VÄSTERÅS</t>
        </is>
      </c>
      <c r="G2948" t="n">
        <v>4.8</v>
      </c>
      <c r="H2948" t="n">
        <v>0</v>
      </c>
      <c r="I2948" t="n">
        <v>0</v>
      </c>
      <c r="J2948" t="n">
        <v>0</v>
      </c>
      <c r="K2948" t="n">
        <v>0</v>
      </c>
      <c r="L2948" t="n">
        <v>0</v>
      </c>
      <c r="M2948" t="n">
        <v>0</v>
      </c>
      <c r="N2948" t="n">
        <v>0</v>
      </c>
      <c r="O2948" t="n">
        <v>0</v>
      </c>
      <c r="P2948" t="n">
        <v>0</v>
      </c>
      <c r="Q2948" t="n">
        <v>0</v>
      </c>
      <c r="R2948" s="2" t="inlineStr"/>
    </row>
    <row r="2949" ht="15" customHeight="1">
      <c r="A2949" t="inlineStr">
        <is>
          <t>A 15768-2023</t>
        </is>
      </c>
      <c r="B2949" s="1" t="n">
        <v>45021</v>
      </c>
      <c r="C2949" s="1" t="n">
        <v>45724</v>
      </c>
      <c r="D2949" t="inlineStr">
        <is>
          <t>VÄSTMANLANDS LÄN</t>
        </is>
      </c>
      <c r="E2949" t="inlineStr">
        <is>
          <t>KÖPING</t>
        </is>
      </c>
      <c r="G2949" t="n">
        <v>0.8</v>
      </c>
      <c r="H2949" t="n">
        <v>0</v>
      </c>
      <c r="I2949" t="n">
        <v>0</v>
      </c>
      <c r="J2949" t="n">
        <v>0</v>
      </c>
      <c r="K2949" t="n">
        <v>0</v>
      </c>
      <c r="L2949" t="n">
        <v>0</v>
      </c>
      <c r="M2949" t="n">
        <v>0</v>
      </c>
      <c r="N2949" t="n">
        <v>0</v>
      </c>
      <c r="O2949" t="n">
        <v>0</v>
      </c>
      <c r="P2949" t="n">
        <v>0</v>
      </c>
      <c r="Q2949" t="n">
        <v>0</v>
      </c>
      <c r="R2949" s="2" t="inlineStr"/>
    </row>
    <row r="2950" ht="15" customHeight="1">
      <c r="A2950" t="inlineStr">
        <is>
          <t>A 15811-2023</t>
        </is>
      </c>
      <c r="B2950" s="1" t="n">
        <v>45021</v>
      </c>
      <c r="C2950" s="1" t="n">
        <v>45724</v>
      </c>
      <c r="D2950" t="inlineStr">
        <is>
          <t>VÄSTMANLANDS LÄN</t>
        </is>
      </c>
      <c r="E2950" t="inlineStr">
        <is>
          <t>KÖPING</t>
        </is>
      </c>
      <c r="G2950" t="n">
        <v>1.5</v>
      </c>
      <c r="H2950" t="n">
        <v>0</v>
      </c>
      <c r="I2950" t="n">
        <v>0</v>
      </c>
      <c r="J2950" t="n">
        <v>0</v>
      </c>
      <c r="K2950" t="n">
        <v>0</v>
      </c>
      <c r="L2950" t="n">
        <v>0</v>
      </c>
      <c r="M2950" t="n">
        <v>0</v>
      </c>
      <c r="N2950" t="n">
        <v>0</v>
      </c>
      <c r="O2950" t="n">
        <v>0</v>
      </c>
      <c r="P2950" t="n">
        <v>0</v>
      </c>
      <c r="Q2950" t="n">
        <v>0</v>
      </c>
      <c r="R2950" s="2" t="inlineStr"/>
    </row>
    <row r="2951" ht="15" customHeight="1">
      <c r="A2951" t="inlineStr">
        <is>
          <t>A 15657-2023</t>
        </is>
      </c>
      <c r="B2951" s="1" t="n">
        <v>45021</v>
      </c>
      <c r="C2951" s="1" t="n">
        <v>45724</v>
      </c>
      <c r="D2951" t="inlineStr">
        <is>
          <t>VÄSTMANLANDS LÄN</t>
        </is>
      </c>
      <c r="E2951" t="inlineStr">
        <is>
          <t>KÖPING</t>
        </is>
      </c>
      <c r="G2951" t="n">
        <v>0.5</v>
      </c>
      <c r="H2951" t="n">
        <v>0</v>
      </c>
      <c r="I2951" t="n">
        <v>0</v>
      </c>
      <c r="J2951" t="n">
        <v>0</v>
      </c>
      <c r="K2951" t="n">
        <v>0</v>
      </c>
      <c r="L2951" t="n">
        <v>0</v>
      </c>
      <c r="M2951" t="n">
        <v>0</v>
      </c>
      <c r="N2951" t="n">
        <v>0</v>
      </c>
      <c r="O2951" t="n">
        <v>0</v>
      </c>
      <c r="P2951" t="n">
        <v>0</v>
      </c>
      <c r="Q2951" t="n">
        <v>0</v>
      </c>
      <c r="R2951" s="2" t="inlineStr"/>
    </row>
    <row r="2952" ht="15" customHeight="1">
      <c r="A2952" t="inlineStr">
        <is>
          <t>A 15766-2023</t>
        </is>
      </c>
      <c r="B2952" s="1" t="n">
        <v>45021</v>
      </c>
      <c r="C2952" s="1" t="n">
        <v>45724</v>
      </c>
      <c r="D2952" t="inlineStr">
        <is>
          <t>VÄSTMANLANDS LÄN</t>
        </is>
      </c>
      <c r="E2952" t="inlineStr">
        <is>
          <t>VÄSTERÅS</t>
        </is>
      </c>
      <c r="G2952" t="n">
        <v>8.4</v>
      </c>
      <c r="H2952" t="n">
        <v>0</v>
      </c>
      <c r="I2952" t="n">
        <v>0</v>
      </c>
      <c r="J2952" t="n">
        <v>0</v>
      </c>
      <c r="K2952" t="n">
        <v>0</v>
      </c>
      <c r="L2952" t="n">
        <v>0</v>
      </c>
      <c r="M2952" t="n">
        <v>0</v>
      </c>
      <c r="N2952" t="n">
        <v>0</v>
      </c>
      <c r="O2952" t="n">
        <v>0</v>
      </c>
      <c r="P2952" t="n">
        <v>0</v>
      </c>
      <c r="Q2952" t="n">
        <v>0</v>
      </c>
      <c r="R2952" s="2" t="inlineStr"/>
    </row>
    <row r="2953" ht="15" customHeight="1">
      <c r="A2953" t="inlineStr">
        <is>
          <t>A 16103-2023</t>
        </is>
      </c>
      <c r="B2953" s="1" t="n">
        <v>45021</v>
      </c>
      <c r="C2953" s="1" t="n">
        <v>45724</v>
      </c>
      <c r="D2953" t="inlineStr">
        <is>
          <t>VÄSTMANLANDS LÄN</t>
        </is>
      </c>
      <c r="E2953" t="inlineStr">
        <is>
          <t>NORBERG</t>
        </is>
      </c>
      <c r="G2953" t="n">
        <v>4.7</v>
      </c>
      <c r="H2953" t="n">
        <v>0</v>
      </c>
      <c r="I2953" t="n">
        <v>0</v>
      </c>
      <c r="J2953" t="n">
        <v>0</v>
      </c>
      <c r="K2953" t="n">
        <v>0</v>
      </c>
      <c r="L2953" t="n">
        <v>0</v>
      </c>
      <c r="M2953" t="n">
        <v>0</v>
      </c>
      <c r="N2953" t="n">
        <v>0</v>
      </c>
      <c r="O2953" t="n">
        <v>0</v>
      </c>
      <c r="P2953" t="n">
        <v>0</v>
      </c>
      <c r="Q2953" t="n">
        <v>0</v>
      </c>
      <c r="R2953" s="2" t="inlineStr"/>
    </row>
    <row r="2954" ht="15" customHeight="1">
      <c r="A2954" t="inlineStr">
        <is>
          <t>A 16105-2023</t>
        </is>
      </c>
      <c r="B2954" s="1" t="n">
        <v>45021</v>
      </c>
      <c r="C2954" s="1" t="n">
        <v>45724</v>
      </c>
      <c r="D2954" t="inlineStr">
        <is>
          <t>VÄSTMANLANDS LÄN</t>
        </is>
      </c>
      <c r="E2954" t="inlineStr">
        <is>
          <t>NORBERG</t>
        </is>
      </c>
      <c r="G2954" t="n">
        <v>5.6</v>
      </c>
      <c r="H2954" t="n">
        <v>0</v>
      </c>
      <c r="I2954" t="n">
        <v>0</v>
      </c>
      <c r="J2954" t="n">
        <v>0</v>
      </c>
      <c r="K2954" t="n">
        <v>0</v>
      </c>
      <c r="L2954" t="n">
        <v>0</v>
      </c>
      <c r="M2954" t="n">
        <v>0</v>
      </c>
      <c r="N2954" t="n">
        <v>0</v>
      </c>
      <c r="O2954" t="n">
        <v>0</v>
      </c>
      <c r="P2954" t="n">
        <v>0</v>
      </c>
      <c r="Q2954" t="n">
        <v>0</v>
      </c>
      <c r="R2954" s="2" t="inlineStr"/>
    </row>
    <row r="2955" ht="15" customHeight="1">
      <c r="A2955" t="inlineStr">
        <is>
          <t>A 15945-2023</t>
        </is>
      </c>
      <c r="B2955" s="1" t="n">
        <v>45022</v>
      </c>
      <c r="C2955" s="1" t="n">
        <v>45724</v>
      </c>
      <c r="D2955" t="inlineStr">
        <is>
          <t>VÄSTMANLANDS LÄN</t>
        </is>
      </c>
      <c r="E2955" t="inlineStr">
        <is>
          <t>SKINNSKATTEBERG</t>
        </is>
      </c>
      <c r="F2955" t="inlineStr">
        <is>
          <t>Sveaskog</t>
        </is>
      </c>
      <c r="G2955" t="n">
        <v>2.4</v>
      </c>
      <c r="H2955" t="n">
        <v>0</v>
      </c>
      <c r="I2955" t="n">
        <v>0</v>
      </c>
      <c r="J2955" t="n">
        <v>0</v>
      </c>
      <c r="K2955" t="n">
        <v>0</v>
      </c>
      <c r="L2955" t="n">
        <v>0</v>
      </c>
      <c r="M2955" t="n">
        <v>0</v>
      </c>
      <c r="N2955" t="n">
        <v>0</v>
      </c>
      <c r="O2955" t="n">
        <v>0</v>
      </c>
      <c r="P2955" t="n">
        <v>0</v>
      </c>
      <c r="Q2955" t="n">
        <v>0</v>
      </c>
      <c r="R2955" s="2" t="inlineStr"/>
    </row>
    <row r="2956" ht="15" customHeight="1">
      <c r="A2956" t="inlineStr">
        <is>
          <t>A 16003-2023</t>
        </is>
      </c>
      <c r="B2956" s="1" t="n">
        <v>45024</v>
      </c>
      <c r="C2956" s="1" t="n">
        <v>45724</v>
      </c>
      <c r="D2956" t="inlineStr">
        <is>
          <t>VÄSTMANLANDS LÄN</t>
        </is>
      </c>
      <c r="E2956" t="inlineStr">
        <is>
          <t>SALA</t>
        </is>
      </c>
      <c r="G2956" t="n">
        <v>6.6</v>
      </c>
      <c r="H2956" t="n">
        <v>0</v>
      </c>
      <c r="I2956" t="n">
        <v>0</v>
      </c>
      <c r="J2956" t="n">
        <v>0</v>
      </c>
      <c r="K2956" t="n">
        <v>0</v>
      </c>
      <c r="L2956" t="n">
        <v>0</v>
      </c>
      <c r="M2956" t="n">
        <v>0</v>
      </c>
      <c r="N2956" t="n">
        <v>0</v>
      </c>
      <c r="O2956" t="n">
        <v>0</v>
      </c>
      <c r="P2956" t="n">
        <v>0</v>
      </c>
      <c r="Q2956" t="n">
        <v>0</v>
      </c>
      <c r="R2956" s="2" t="inlineStr"/>
    </row>
    <row r="2957" ht="15" customHeight="1">
      <c r="A2957" t="inlineStr">
        <is>
          <t>A 16002-2023</t>
        </is>
      </c>
      <c r="B2957" s="1" t="n">
        <v>45024</v>
      </c>
      <c r="C2957" s="1" t="n">
        <v>45724</v>
      </c>
      <c r="D2957" t="inlineStr">
        <is>
          <t>VÄSTMANLANDS LÄN</t>
        </is>
      </c>
      <c r="E2957" t="inlineStr">
        <is>
          <t>SALA</t>
        </is>
      </c>
      <c r="G2957" t="n">
        <v>1</v>
      </c>
      <c r="H2957" t="n">
        <v>0</v>
      </c>
      <c r="I2957" t="n">
        <v>0</v>
      </c>
      <c r="J2957" t="n">
        <v>0</v>
      </c>
      <c r="K2957" t="n">
        <v>0</v>
      </c>
      <c r="L2957" t="n">
        <v>0</v>
      </c>
      <c r="M2957" t="n">
        <v>0</v>
      </c>
      <c r="N2957" t="n">
        <v>0</v>
      </c>
      <c r="O2957" t="n">
        <v>0</v>
      </c>
      <c r="P2957" t="n">
        <v>0</v>
      </c>
      <c r="Q2957" t="n">
        <v>0</v>
      </c>
      <c r="R2957" s="2" t="inlineStr"/>
    </row>
    <row r="2958" ht="15" customHeight="1">
      <c r="A2958" t="inlineStr">
        <is>
          <t>A 16013-2023</t>
        </is>
      </c>
      <c r="B2958" s="1" t="n">
        <v>45026</v>
      </c>
      <c r="C2958" s="1" t="n">
        <v>45724</v>
      </c>
      <c r="D2958" t="inlineStr">
        <is>
          <t>VÄSTMANLANDS LÄN</t>
        </is>
      </c>
      <c r="E2958" t="inlineStr">
        <is>
          <t>SURAHAMMAR</t>
        </is>
      </c>
      <c r="G2958" t="n">
        <v>3.9</v>
      </c>
      <c r="H2958" t="n">
        <v>0</v>
      </c>
      <c r="I2958" t="n">
        <v>0</v>
      </c>
      <c r="J2958" t="n">
        <v>0</v>
      </c>
      <c r="K2958" t="n">
        <v>0</v>
      </c>
      <c r="L2958" t="n">
        <v>0</v>
      </c>
      <c r="M2958" t="n">
        <v>0</v>
      </c>
      <c r="N2958" t="n">
        <v>0</v>
      </c>
      <c r="O2958" t="n">
        <v>0</v>
      </c>
      <c r="P2958" t="n">
        <v>0</v>
      </c>
      <c r="Q2958" t="n">
        <v>0</v>
      </c>
      <c r="R2958" s="2" t="inlineStr"/>
    </row>
    <row r="2959" ht="15" customHeight="1">
      <c r="A2959" t="inlineStr">
        <is>
          <t>A 16039-2023</t>
        </is>
      </c>
      <c r="B2959" s="1" t="n">
        <v>45027</v>
      </c>
      <c r="C2959" s="1" t="n">
        <v>45724</v>
      </c>
      <c r="D2959" t="inlineStr">
        <is>
          <t>VÄSTMANLANDS LÄN</t>
        </is>
      </c>
      <c r="E2959" t="inlineStr">
        <is>
          <t>VÄSTERÅS</t>
        </is>
      </c>
      <c r="G2959" t="n">
        <v>1.3</v>
      </c>
      <c r="H2959" t="n">
        <v>0</v>
      </c>
      <c r="I2959" t="n">
        <v>0</v>
      </c>
      <c r="J2959" t="n">
        <v>0</v>
      </c>
      <c r="K2959" t="n">
        <v>0</v>
      </c>
      <c r="L2959" t="n">
        <v>0</v>
      </c>
      <c r="M2959" t="n">
        <v>0</v>
      </c>
      <c r="N2959" t="n">
        <v>0</v>
      </c>
      <c r="O2959" t="n">
        <v>0</v>
      </c>
      <c r="P2959" t="n">
        <v>0</v>
      </c>
      <c r="Q2959" t="n">
        <v>0</v>
      </c>
      <c r="R2959" s="2" t="inlineStr"/>
    </row>
    <row r="2960" ht="15" customHeight="1">
      <c r="A2960" t="inlineStr">
        <is>
          <t>A 16035-2023</t>
        </is>
      </c>
      <c r="B2960" s="1" t="n">
        <v>45027</v>
      </c>
      <c r="C2960" s="1" t="n">
        <v>45724</v>
      </c>
      <c r="D2960" t="inlineStr">
        <is>
          <t>VÄSTMANLANDS LÄN</t>
        </is>
      </c>
      <c r="E2960" t="inlineStr">
        <is>
          <t>VÄSTERÅS</t>
        </is>
      </c>
      <c r="G2960" t="n">
        <v>0.4</v>
      </c>
      <c r="H2960" t="n">
        <v>0</v>
      </c>
      <c r="I2960" t="n">
        <v>0</v>
      </c>
      <c r="J2960" t="n">
        <v>0</v>
      </c>
      <c r="K2960" t="n">
        <v>0</v>
      </c>
      <c r="L2960" t="n">
        <v>0</v>
      </c>
      <c r="M2960" t="n">
        <v>0</v>
      </c>
      <c r="N2960" t="n">
        <v>0</v>
      </c>
      <c r="O2960" t="n">
        <v>0</v>
      </c>
      <c r="P2960" t="n">
        <v>0</v>
      </c>
      <c r="Q2960" t="n">
        <v>0</v>
      </c>
      <c r="R2960" s="2" t="inlineStr"/>
    </row>
    <row r="2961" ht="15" customHeight="1">
      <c r="A2961" t="inlineStr">
        <is>
          <t>A 16037-2023</t>
        </is>
      </c>
      <c r="B2961" s="1" t="n">
        <v>45027</v>
      </c>
      <c r="C2961" s="1" t="n">
        <v>45724</v>
      </c>
      <c r="D2961" t="inlineStr">
        <is>
          <t>VÄSTMANLANDS LÄN</t>
        </is>
      </c>
      <c r="E2961" t="inlineStr">
        <is>
          <t>VÄSTERÅS</t>
        </is>
      </c>
      <c r="G2961" t="n">
        <v>0.5</v>
      </c>
      <c r="H2961" t="n">
        <v>0</v>
      </c>
      <c r="I2961" t="n">
        <v>0</v>
      </c>
      <c r="J2961" t="n">
        <v>0</v>
      </c>
      <c r="K2961" t="n">
        <v>0</v>
      </c>
      <c r="L2961" t="n">
        <v>0</v>
      </c>
      <c r="M2961" t="n">
        <v>0</v>
      </c>
      <c r="N2961" t="n">
        <v>0</v>
      </c>
      <c r="O2961" t="n">
        <v>0</v>
      </c>
      <c r="P2961" t="n">
        <v>0</v>
      </c>
      <c r="Q2961" t="n">
        <v>0</v>
      </c>
      <c r="R2961" s="2" t="inlineStr"/>
    </row>
    <row r="2962" ht="15" customHeight="1">
      <c r="A2962" t="inlineStr">
        <is>
          <t>A 16041-2023</t>
        </is>
      </c>
      <c r="B2962" s="1" t="n">
        <v>45027</v>
      </c>
      <c r="C2962" s="1" t="n">
        <v>45724</v>
      </c>
      <c r="D2962" t="inlineStr">
        <is>
          <t>VÄSTMANLANDS LÄN</t>
        </is>
      </c>
      <c r="E2962" t="inlineStr">
        <is>
          <t>SALA</t>
        </is>
      </c>
      <c r="G2962" t="n">
        <v>3.1</v>
      </c>
      <c r="H2962" t="n">
        <v>0</v>
      </c>
      <c r="I2962" t="n">
        <v>0</v>
      </c>
      <c r="J2962" t="n">
        <v>0</v>
      </c>
      <c r="K2962" t="n">
        <v>0</v>
      </c>
      <c r="L2962" t="n">
        <v>0</v>
      </c>
      <c r="M2962" t="n">
        <v>0</v>
      </c>
      <c r="N2962" t="n">
        <v>0</v>
      </c>
      <c r="O2962" t="n">
        <v>0</v>
      </c>
      <c r="P2962" t="n">
        <v>0</v>
      </c>
      <c r="Q2962" t="n">
        <v>0</v>
      </c>
      <c r="R2962" s="2" t="inlineStr"/>
    </row>
    <row r="2963" ht="15" customHeight="1">
      <c r="A2963" t="inlineStr">
        <is>
          <t>A 16033-2023</t>
        </is>
      </c>
      <c r="B2963" s="1" t="n">
        <v>45027</v>
      </c>
      <c r="C2963" s="1" t="n">
        <v>45724</v>
      </c>
      <c r="D2963" t="inlineStr">
        <is>
          <t>VÄSTMANLANDS LÄN</t>
        </is>
      </c>
      <c r="E2963" t="inlineStr">
        <is>
          <t>VÄSTERÅS</t>
        </is>
      </c>
      <c r="G2963" t="n">
        <v>1.1</v>
      </c>
      <c r="H2963" t="n">
        <v>0</v>
      </c>
      <c r="I2963" t="n">
        <v>0</v>
      </c>
      <c r="J2963" t="n">
        <v>0</v>
      </c>
      <c r="K2963" t="n">
        <v>0</v>
      </c>
      <c r="L2963" t="n">
        <v>0</v>
      </c>
      <c r="M2963" t="n">
        <v>0</v>
      </c>
      <c r="N2963" t="n">
        <v>0</v>
      </c>
      <c r="O2963" t="n">
        <v>0</v>
      </c>
      <c r="P2963" t="n">
        <v>0</v>
      </c>
      <c r="Q2963" t="n">
        <v>0</v>
      </c>
      <c r="R2963" s="2" t="inlineStr"/>
    </row>
    <row r="2964" ht="15" customHeight="1">
      <c r="A2964" t="inlineStr">
        <is>
          <t>A 16142-2023</t>
        </is>
      </c>
      <c r="B2964" s="1" t="n">
        <v>45027</v>
      </c>
      <c r="C2964" s="1" t="n">
        <v>45724</v>
      </c>
      <c r="D2964" t="inlineStr">
        <is>
          <t>VÄSTMANLANDS LÄN</t>
        </is>
      </c>
      <c r="E2964" t="inlineStr">
        <is>
          <t>SALA</t>
        </is>
      </c>
      <c r="G2964" t="n">
        <v>6.3</v>
      </c>
      <c r="H2964" t="n">
        <v>0</v>
      </c>
      <c r="I2964" t="n">
        <v>0</v>
      </c>
      <c r="J2964" t="n">
        <v>0</v>
      </c>
      <c r="K2964" t="n">
        <v>0</v>
      </c>
      <c r="L2964" t="n">
        <v>0</v>
      </c>
      <c r="M2964" t="n">
        <v>0</v>
      </c>
      <c r="N2964" t="n">
        <v>0</v>
      </c>
      <c r="O2964" t="n">
        <v>0</v>
      </c>
      <c r="P2964" t="n">
        <v>0</v>
      </c>
      <c r="Q2964" t="n">
        <v>0</v>
      </c>
      <c r="R2964" s="2" t="inlineStr"/>
    </row>
    <row r="2965" ht="15" customHeight="1">
      <c r="A2965" t="inlineStr">
        <is>
          <t>A 16083-2023</t>
        </is>
      </c>
      <c r="B2965" s="1" t="n">
        <v>45027</v>
      </c>
      <c r="C2965" s="1" t="n">
        <v>45724</v>
      </c>
      <c r="D2965" t="inlineStr">
        <is>
          <t>VÄSTMANLANDS LÄN</t>
        </is>
      </c>
      <c r="E2965" t="inlineStr">
        <is>
          <t>SALA</t>
        </is>
      </c>
      <c r="G2965" t="n">
        <v>4.4</v>
      </c>
      <c r="H2965" t="n">
        <v>0</v>
      </c>
      <c r="I2965" t="n">
        <v>0</v>
      </c>
      <c r="J2965" t="n">
        <v>0</v>
      </c>
      <c r="K2965" t="n">
        <v>0</v>
      </c>
      <c r="L2965" t="n">
        <v>0</v>
      </c>
      <c r="M2965" t="n">
        <v>0</v>
      </c>
      <c r="N2965" t="n">
        <v>0</v>
      </c>
      <c r="O2965" t="n">
        <v>0</v>
      </c>
      <c r="P2965" t="n">
        <v>0</v>
      </c>
      <c r="Q2965" t="n">
        <v>0</v>
      </c>
      <c r="R2965" s="2" t="inlineStr"/>
    </row>
    <row r="2966" ht="15" customHeight="1">
      <c r="A2966" t="inlineStr">
        <is>
          <t>A 16172-2023</t>
        </is>
      </c>
      <c r="B2966" s="1" t="n">
        <v>45027</v>
      </c>
      <c r="C2966" s="1" t="n">
        <v>45724</v>
      </c>
      <c r="D2966" t="inlineStr">
        <is>
          <t>VÄSTMANLANDS LÄN</t>
        </is>
      </c>
      <c r="E2966" t="inlineStr">
        <is>
          <t>VÄSTERÅS</t>
        </is>
      </c>
      <c r="F2966" t="inlineStr">
        <is>
          <t>Kommuner</t>
        </is>
      </c>
      <c r="G2966" t="n">
        <v>3.3</v>
      </c>
      <c r="H2966" t="n">
        <v>0</v>
      </c>
      <c r="I2966" t="n">
        <v>0</v>
      </c>
      <c r="J2966" t="n">
        <v>0</v>
      </c>
      <c r="K2966" t="n">
        <v>0</v>
      </c>
      <c r="L2966" t="n">
        <v>0</v>
      </c>
      <c r="M2966" t="n">
        <v>0</v>
      </c>
      <c r="N2966" t="n">
        <v>0</v>
      </c>
      <c r="O2966" t="n">
        <v>0</v>
      </c>
      <c r="P2966" t="n">
        <v>0</v>
      </c>
      <c r="Q2966" t="n">
        <v>0</v>
      </c>
      <c r="R2966" s="2" t="inlineStr"/>
    </row>
    <row r="2967" ht="15" customHeight="1">
      <c r="A2967" t="inlineStr">
        <is>
          <t>A 16638-2023</t>
        </is>
      </c>
      <c r="B2967" s="1" t="n">
        <v>45027</v>
      </c>
      <c r="C2967" s="1" t="n">
        <v>45724</v>
      </c>
      <c r="D2967" t="inlineStr">
        <is>
          <t>VÄSTMANLANDS LÄN</t>
        </is>
      </c>
      <c r="E2967" t="inlineStr">
        <is>
          <t>SALA</t>
        </is>
      </c>
      <c r="G2967" t="n">
        <v>14.8</v>
      </c>
      <c r="H2967" t="n">
        <v>0</v>
      </c>
      <c r="I2967" t="n">
        <v>0</v>
      </c>
      <c r="J2967" t="n">
        <v>0</v>
      </c>
      <c r="K2967" t="n">
        <v>0</v>
      </c>
      <c r="L2967" t="n">
        <v>0</v>
      </c>
      <c r="M2967" t="n">
        <v>0</v>
      </c>
      <c r="N2967" t="n">
        <v>0</v>
      </c>
      <c r="O2967" t="n">
        <v>0</v>
      </c>
      <c r="P2967" t="n">
        <v>0</v>
      </c>
      <c r="Q2967" t="n">
        <v>0</v>
      </c>
      <c r="R2967" s="2" t="inlineStr"/>
    </row>
    <row r="2968" ht="15" customHeight="1">
      <c r="A2968" t="inlineStr">
        <is>
          <t>A 16355-2023</t>
        </is>
      </c>
      <c r="B2968" s="1" t="n">
        <v>45028</v>
      </c>
      <c r="C2968" s="1" t="n">
        <v>45724</v>
      </c>
      <c r="D2968" t="inlineStr">
        <is>
          <t>VÄSTMANLANDS LÄN</t>
        </is>
      </c>
      <c r="E2968" t="inlineStr">
        <is>
          <t>VÄSTERÅS</t>
        </is>
      </c>
      <c r="G2968" t="n">
        <v>1</v>
      </c>
      <c r="H2968" t="n">
        <v>0</v>
      </c>
      <c r="I2968" t="n">
        <v>0</v>
      </c>
      <c r="J2968" t="n">
        <v>0</v>
      </c>
      <c r="K2968" t="n">
        <v>0</v>
      </c>
      <c r="L2968" t="n">
        <v>0</v>
      </c>
      <c r="M2968" t="n">
        <v>0</v>
      </c>
      <c r="N2968" t="n">
        <v>0</v>
      </c>
      <c r="O2968" t="n">
        <v>0</v>
      </c>
      <c r="P2968" t="n">
        <v>0</v>
      </c>
      <c r="Q2968" t="n">
        <v>0</v>
      </c>
      <c r="R2968" s="2" t="inlineStr"/>
    </row>
    <row r="2969" ht="15" customHeight="1">
      <c r="A2969" t="inlineStr">
        <is>
          <t>A 16225-2023</t>
        </is>
      </c>
      <c r="B2969" s="1" t="n">
        <v>45028</v>
      </c>
      <c r="C2969" s="1" t="n">
        <v>45724</v>
      </c>
      <c r="D2969" t="inlineStr">
        <is>
          <t>VÄSTMANLANDS LÄN</t>
        </is>
      </c>
      <c r="E2969" t="inlineStr">
        <is>
          <t>NORBERG</t>
        </is>
      </c>
      <c r="G2969" t="n">
        <v>1.2</v>
      </c>
      <c r="H2969" t="n">
        <v>0</v>
      </c>
      <c r="I2969" t="n">
        <v>0</v>
      </c>
      <c r="J2969" t="n">
        <v>0</v>
      </c>
      <c r="K2969" t="n">
        <v>0</v>
      </c>
      <c r="L2969" t="n">
        <v>0</v>
      </c>
      <c r="M2969" t="n">
        <v>0</v>
      </c>
      <c r="N2969" t="n">
        <v>0</v>
      </c>
      <c r="O2969" t="n">
        <v>0</v>
      </c>
      <c r="P2969" t="n">
        <v>0</v>
      </c>
      <c r="Q2969" t="n">
        <v>0</v>
      </c>
      <c r="R2969" s="2" t="inlineStr"/>
    </row>
    <row r="2970" ht="15" customHeight="1">
      <c r="A2970" t="inlineStr">
        <is>
          <t>A 16214-2023</t>
        </is>
      </c>
      <c r="B2970" s="1" t="n">
        <v>45028</v>
      </c>
      <c r="C2970" s="1" t="n">
        <v>45724</v>
      </c>
      <c r="D2970" t="inlineStr">
        <is>
          <t>VÄSTMANLANDS LÄN</t>
        </is>
      </c>
      <c r="E2970" t="inlineStr">
        <is>
          <t>VÄSTERÅS</t>
        </is>
      </c>
      <c r="G2970" t="n">
        <v>0.9</v>
      </c>
      <c r="H2970" t="n">
        <v>0</v>
      </c>
      <c r="I2970" t="n">
        <v>0</v>
      </c>
      <c r="J2970" t="n">
        <v>0</v>
      </c>
      <c r="K2970" t="n">
        <v>0</v>
      </c>
      <c r="L2970" t="n">
        <v>0</v>
      </c>
      <c r="M2970" t="n">
        <v>0</v>
      </c>
      <c r="N2970" t="n">
        <v>0</v>
      </c>
      <c r="O2970" t="n">
        <v>0</v>
      </c>
      <c r="P2970" t="n">
        <v>0</v>
      </c>
      <c r="Q2970" t="n">
        <v>0</v>
      </c>
      <c r="R2970" s="2" t="inlineStr"/>
    </row>
    <row r="2971" ht="15" customHeight="1">
      <c r="A2971" t="inlineStr">
        <is>
          <t>A 16262-2023</t>
        </is>
      </c>
      <c r="B2971" s="1" t="n">
        <v>45028</v>
      </c>
      <c r="C2971" s="1" t="n">
        <v>45724</v>
      </c>
      <c r="D2971" t="inlineStr">
        <is>
          <t>VÄSTMANLANDS LÄN</t>
        </is>
      </c>
      <c r="E2971" t="inlineStr">
        <is>
          <t>VÄSTERÅS</t>
        </is>
      </c>
      <c r="G2971" t="n">
        <v>5.6</v>
      </c>
      <c r="H2971" t="n">
        <v>0</v>
      </c>
      <c r="I2971" t="n">
        <v>0</v>
      </c>
      <c r="J2971" t="n">
        <v>0</v>
      </c>
      <c r="K2971" t="n">
        <v>0</v>
      </c>
      <c r="L2971" t="n">
        <v>0</v>
      </c>
      <c r="M2971" t="n">
        <v>0</v>
      </c>
      <c r="N2971" t="n">
        <v>0</v>
      </c>
      <c r="O2971" t="n">
        <v>0</v>
      </c>
      <c r="P2971" t="n">
        <v>0</v>
      </c>
      <c r="Q2971" t="n">
        <v>0</v>
      </c>
      <c r="R2971" s="2" t="inlineStr"/>
    </row>
    <row r="2972" ht="15" customHeight="1">
      <c r="A2972" t="inlineStr">
        <is>
          <t>A 16351-2023</t>
        </is>
      </c>
      <c r="B2972" s="1" t="n">
        <v>45028</v>
      </c>
      <c r="C2972" s="1" t="n">
        <v>45724</v>
      </c>
      <c r="D2972" t="inlineStr">
        <is>
          <t>VÄSTMANLANDS LÄN</t>
        </is>
      </c>
      <c r="E2972" t="inlineStr">
        <is>
          <t>KUNGSÖR</t>
        </is>
      </c>
      <c r="G2972" t="n">
        <v>2</v>
      </c>
      <c r="H2972" t="n">
        <v>0</v>
      </c>
      <c r="I2972" t="n">
        <v>0</v>
      </c>
      <c r="J2972" t="n">
        <v>0</v>
      </c>
      <c r="K2972" t="n">
        <v>0</v>
      </c>
      <c r="L2972" t="n">
        <v>0</v>
      </c>
      <c r="M2972" t="n">
        <v>0</v>
      </c>
      <c r="N2972" t="n">
        <v>0</v>
      </c>
      <c r="O2972" t="n">
        <v>0</v>
      </c>
      <c r="P2972" t="n">
        <v>0</v>
      </c>
      <c r="Q2972" t="n">
        <v>0</v>
      </c>
      <c r="R2972" s="2" t="inlineStr"/>
    </row>
    <row r="2973" ht="15" customHeight="1">
      <c r="A2973" t="inlineStr">
        <is>
          <t>A 16356-2023</t>
        </is>
      </c>
      <c r="B2973" s="1" t="n">
        <v>45028</v>
      </c>
      <c r="C2973" s="1" t="n">
        <v>45724</v>
      </c>
      <c r="D2973" t="inlineStr">
        <is>
          <t>VÄSTMANLANDS LÄN</t>
        </is>
      </c>
      <c r="E2973" t="inlineStr">
        <is>
          <t>VÄSTERÅS</t>
        </is>
      </c>
      <c r="G2973" t="n">
        <v>2.8</v>
      </c>
      <c r="H2973" t="n">
        <v>0</v>
      </c>
      <c r="I2973" t="n">
        <v>0</v>
      </c>
      <c r="J2973" t="n">
        <v>0</v>
      </c>
      <c r="K2973" t="n">
        <v>0</v>
      </c>
      <c r="L2973" t="n">
        <v>0</v>
      </c>
      <c r="M2973" t="n">
        <v>0</v>
      </c>
      <c r="N2973" t="n">
        <v>0</v>
      </c>
      <c r="O2973" t="n">
        <v>0</v>
      </c>
      <c r="P2973" t="n">
        <v>0</v>
      </c>
      <c r="Q2973" t="n">
        <v>0</v>
      </c>
      <c r="R2973" s="2" t="inlineStr"/>
    </row>
    <row r="2974" ht="15" customHeight="1">
      <c r="A2974" t="inlineStr">
        <is>
          <t>A 16693-2023</t>
        </is>
      </c>
      <c r="B2974" s="1" t="n">
        <v>45028</v>
      </c>
      <c r="C2974" s="1" t="n">
        <v>45724</v>
      </c>
      <c r="D2974" t="inlineStr">
        <is>
          <t>VÄSTMANLANDS LÄN</t>
        </is>
      </c>
      <c r="E2974" t="inlineStr">
        <is>
          <t>SALA</t>
        </is>
      </c>
      <c r="G2974" t="n">
        <v>1.5</v>
      </c>
      <c r="H2974" t="n">
        <v>0</v>
      </c>
      <c r="I2974" t="n">
        <v>0</v>
      </c>
      <c r="J2974" t="n">
        <v>0</v>
      </c>
      <c r="K2974" t="n">
        <v>0</v>
      </c>
      <c r="L2974" t="n">
        <v>0</v>
      </c>
      <c r="M2974" t="n">
        <v>0</v>
      </c>
      <c r="N2974" t="n">
        <v>0</v>
      </c>
      <c r="O2974" t="n">
        <v>0</v>
      </c>
      <c r="P2974" t="n">
        <v>0</v>
      </c>
      <c r="Q2974" t="n">
        <v>0</v>
      </c>
      <c r="R2974" s="2" t="inlineStr"/>
    </row>
    <row r="2975" ht="15" customHeight="1">
      <c r="A2975" t="inlineStr">
        <is>
          <t>A 16396-2023</t>
        </is>
      </c>
      <c r="B2975" s="1" t="n">
        <v>45029</v>
      </c>
      <c r="C2975" s="1" t="n">
        <v>45724</v>
      </c>
      <c r="D2975" t="inlineStr">
        <is>
          <t>VÄSTMANLANDS LÄN</t>
        </is>
      </c>
      <c r="E2975" t="inlineStr">
        <is>
          <t>NORBERG</t>
        </is>
      </c>
      <c r="G2975" t="n">
        <v>6.3</v>
      </c>
      <c r="H2975" t="n">
        <v>0</v>
      </c>
      <c r="I2975" t="n">
        <v>0</v>
      </c>
      <c r="J2975" t="n">
        <v>0</v>
      </c>
      <c r="K2975" t="n">
        <v>0</v>
      </c>
      <c r="L2975" t="n">
        <v>0</v>
      </c>
      <c r="M2975" t="n">
        <v>0</v>
      </c>
      <c r="N2975" t="n">
        <v>0</v>
      </c>
      <c r="O2975" t="n">
        <v>0</v>
      </c>
      <c r="P2975" t="n">
        <v>0</v>
      </c>
      <c r="Q2975" t="n">
        <v>0</v>
      </c>
      <c r="R2975" s="2" t="inlineStr"/>
    </row>
    <row r="2976" ht="15" customHeight="1">
      <c r="A2976" t="inlineStr">
        <is>
          <t>A 16546-2023</t>
        </is>
      </c>
      <c r="B2976" s="1" t="n">
        <v>45029</v>
      </c>
      <c r="C2976" s="1" t="n">
        <v>45724</v>
      </c>
      <c r="D2976" t="inlineStr">
        <is>
          <t>VÄSTMANLANDS LÄN</t>
        </is>
      </c>
      <c r="E2976" t="inlineStr">
        <is>
          <t>SALA</t>
        </is>
      </c>
      <c r="F2976" t="inlineStr">
        <is>
          <t>Sveaskog</t>
        </is>
      </c>
      <c r="G2976" t="n">
        <v>0.5</v>
      </c>
      <c r="H2976" t="n">
        <v>0</v>
      </c>
      <c r="I2976" t="n">
        <v>0</v>
      </c>
      <c r="J2976" t="n">
        <v>0</v>
      </c>
      <c r="K2976" t="n">
        <v>0</v>
      </c>
      <c r="L2976" t="n">
        <v>0</v>
      </c>
      <c r="M2976" t="n">
        <v>0</v>
      </c>
      <c r="N2976" t="n">
        <v>0</v>
      </c>
      <c r="O2976" t="n">
        <v>0</v>
      </c>
      <c r="P2976" t="n">
        <v>0</v>
      </c>
      <c r="Q2976" t="n">
        <v>0</v>
      </c>
      <c r="R2976" s="2" t="inlineStr"/>
    </row>
    <row r="2977" ht="15" customHeight="1">
      <c r="A2977" t="inlineStr">
        <is>
          <t>A 16543-2023</t>
        </is>
      </c>
      <c r="B2977" s="1" t="n">
        <v>45029</v>
      </c>
      <c r="C2977" s="1" t="n">
        <v>45724</v>
      </c>
      <c r="D2977" t="inlineStr">
        <is>
          <t>VÄSTMANLANDS LÄN</t>
        </is>
      </c>
      <c r="E2977" t="inlineStr">
        <is>
          <t>SALA</t>
        </is>
      </c>
      <c r="F2977" t="inlineStr">
        <is>
          <t>Sveaskog</t>
        </is>
      </c>
      <c r="G2977" t="n">
        <v>1.9</v>
      </c>
      <c r="H2977" t="n">
        <v>0</v>
      </c>
      <c r="I2977" t="n">
        <v>0</v>
      </c>
      <c r="J2977" t="n">
        <v>0</v>
      </c>
      <c r="K2977" t="n">
        <v>0</v>
      </c>
      <c r="L2977" t="n">
        <v>0</v>
      </c>
      <c r="M2977" t="n">
        <v>0</v>
      </c>
      <c r="N2977" t="n">
        <v>0</v>
      </c>
      <c r="O2977" t="n">
        <v>0</v>
      </c>
      <c r="P2977" t="n">
        <v>0</v>
      </c>
      <c r="Q2977" t="n">
        <v>0</v>
      </c>
      <c r="R2977" s="2" t="inlineStr"/>
    </row>
    <row r="2978" ht="15" customHeight="1">
      <c r="A2978" t="inlineStr">
        <is>
          <t>A 16953-2023</t>
        </is>
      </c>
      <c r="B2978" s="1" t="n">
        <v>45029</v>
      </c>
      <c r="C2978" s="1" t="n">
        <v>45724</v>
      </c>
      <c r="D2978" t="inlineStr">
        <is>
          <t>VÄSTMANLANDS LÄN</t>
        </is>
      </c>
      <c r="E2978" t="inlineStr">
        <is>
          <t>NORBERG</t>
        </is>
      </c>
      <c r="G2978" t="n">
        <v>3.6</v>
      </c>
      <c r="H2978" t="n">
        <v>0</v>
      </c>
      <c r="I2978" t="n">
        <v>0</v>
      </c>
      <c r="J2978" t="n">
        <v>0</v>
      </c>
      <c r="K2978" t="n">
        <v>0</v>
      </c>
      <c r="L2978" t="n">
        <v>0</v>
      </c>
      <c r="M2978" t="n">
        <v>0</v>
      </c>
      <c r="N2978" t="n">
        <v>0</v>
      </c>
      <c r="O2978" t="n">
        <v>0</v>
      </c>
      <c r="P2978" t="n">
        <v>0</v>
      </c>
      <c r="Q2978" t="n">
        <v>0</v>
      </c>
      <c r="R2978" s="2" t="inlineStr"/>
    </row>
    <row r="2979" ht="15" customHeight="1">
      <c r="A2979" t="inlineStr">
        <is>
          <t>A 16544-2023</t>
        </is>
      </c>
      <c r="B2979" s="1" t="n">
        <v>45029</v>
      </c>
      <c r="C2979" s="1" t="n">
        <v>45724</v>
      </c>
      <c r="D2979" t="inlineStr">
        <is>
          <t>VÄSTMANLANDS LÄN</t>
        </is>
      </c>
      <c r="E2979" t="inlineStr">
        <is>
          <t>SALA</t>
        </is>
      </c>
      <c r="F2979" t="inlineStr">
        <is>
          <t>Sveaskog</t>
        </is>
      </c>
      <c r="G2979" t="n">
        <v>1</v>
      </c>
      <c r="H2979" t="n">
        <v>0</v>
      </c>
      <c r="I2979" t="n">
        <v>0</v>
      </c>
      <c r="J2979" t="n">
        <v>0</v>
      </c>
      <c r="K2979" t="n">
        <v>0</v>
      </c>
      <c r="L2979" t="n">
        <v>0</v>
      </c>
      <c r="M2979" t="n">
        <v>0</v>
      </c>
      <c r="N2979" t="n">
        <v>0</v>
      </c>
      <c r="O2979" t="n">
        <v>0</v>
      </c>
      <c r="P2979" t="n">
        <v>0</v>
      </c>
      <c r="Q2979" t="n">
        <v>0</v>
      </c>
      <c r="R2979" s="2" t="inlineStr"/>
    </row>
    <row r="2980" ht="15" customHeight="1">
      <c r="A2980" t="inlineStr">
        <is>
          <t>A 16547-2023</t>
        </is>
      </c>
      <c r="B2980" s="1" t="n">
        <v>45029</v>
      </c>
      <c r="C2980" s="1" t="n">
        <v>45724</v>
      </c>
      <c r="D2980" t="inlineStr">
        <is>
          <t>VÄSTMANLANDS LÄN</t>
        </is>
      </c>
      <c r="E2980" t="inlineStr">
        <is>
          <t>SALA</t>
        </is>
      </c>
      <c r="F2980" t="inlineStr">
        <is>
          <t>Sveaskog</t>
        </is>
      </c>
      <c r="G2980" t="n">
        <v>11.2</v>
      </c>
      <c r="H2980" t="n">
        <v>0</v>
      </c>
      <c r="I2980" t="n">
        <v>0</v>
      </c>
      <c r="J2980" t="n">
        <v>0</v>
      </c>
      <c r="K2980" t="n">
        <v>0</v>
      </c>
      <c r="L2980" t="n">
        <v>0</v>
      </c>
      <c r="M2980" t="n">
        <v>0</v>
      </c>
      <c r="N2980" t="n">
        <v>0</v>
      </c>
      <c r="O2980" t="n">
        <v>0</v>
      </c>
      <c r="P2980" t="n">
        <v>0</v>
      </c>
      <c r="Q2980" t="n">
        <v>0</v>
      </c>
      <c r="R2980" s="2" t="inlineStr"/>
    </row>
    <row r="2981" ht="15" customHeight="1">
      <c r="A2981" t="inlineStr">
        <is>
          <t>A 16955-2023</t>
        </is>
      </c>
      <c r="B2981" s="1" t="n">
        <v>45029</v>
      </c>
      <c r="C2981" s="1" t="n">
        <v>45724</v>
      </c>
      <c r="D2981" t="inlineStr">
        <is>
          <t>VÄSTMANLANDS LÄN</t>
        </is>
      </c>
      <c r="E2981" t="inlineStr">
        <is>
          <t>NORBERG</t>
        </is>
      </c>
      <c r="G2981" t="n">
        <v>4.4</v>
      </c>
      <c r="H2981" t="n">
        <v>0</v>
      </c>
      <c r="I2981" t="n">
        <v>0</v>
      </c>
      <c r="J2981" t="n">
        <v>0</v>
      </c>
      <c r="K2981" t="n">
        <v>0</v>
      </c>
      <c r="L2981" t="n">
        <v>0</v>
      </c>
      <c r="M2981" t="n">
        <v>0</v>
      </c>
      <c r="N2981" t="n">
        <v>0</v>
      </c>
      <c r="O2981" t="n">
        <v>0</v>
      </c>
      <c r="P2981" t="n">
        <v>0</v>
      </c>
      <c r="Q2981" t="n">
        <v>0</v>
      </c>
      <c r="R2981" s="2" t="inlineStr"/>
    </row>
    <row r="2982" ht="15" customHeight="1">
      <c r="A2982" t="inlineStr">
        <is>
          <t>A 16545-2023</t>
        </is>
      </c>
      <c r="B2982" s="1" t="n">
        <v>45029</v>
      </c>
      <c r="C2982" s="1" t="n">
        <v>45724</v>
      </c>
      <c r="D2982" t="inlineStr">
        <is>
          <t>VÄSTMANLANDS LÄN</t>
        </is>
      </c>
      <c r="E2982" t="inlineStr">
        <is>
          <t>SALA</t>
        </is>
      </c>
      <c r="F2982" t="inlineStr">
        <is>
          <t>Sveaskog</t>
        </is>
      </c>
      <c r="G2982" t="n">
        <v>1</v>
      </c>
      <c r="H2982" t="n">
        <v>0</v>
      </c>
      <c r="I2982" t="n">
        <v>0</v>
      </c>
      <c r="J2982" t="n">
        <v>0</v>
      </c>
      <c r="K2982" t="n">
        <v>0</v>
      </c>
      <c r="L2982" t="n">
        <v>0</v>
      </c>
      <c r="M2982" t="n">
        <v>0</v>
      </c>
      <c r="N2982" t="n">
        <v>0</v>
      </c>
      <c r="O2982" t="n">
        <v>0</v>
      </c>
      <c r="P2982" t="n">
        <v>0</v>
      </c>
      <c r="Q2982" t="n">
        <v>0</v>
      </c>
      <c r="R2982" s="2" t="inlineStr"/>
    </row>
    <row r="2983" ht="15" customHeight="1">
      <c r="A2983" t="inlineStr">
        <is>
          <t>A 16735-2023</t>
        </is>
      </c>
      <c r="B2983" s="1" t="n">
        <v>45030</v>
      </c>
      <c r="C2983" s="1" t="n">
        <v>45724</v>
      </c>
      <c r="D2983" t="inlineStr">
        <is>
          <t>VÄSTMANLANDS LÄN</t>
        </is>
      </c>
      <c r="E2983" t="inlineStr">
        <is>
          <t>KUNGSÖR</t>
        </is>
      </c>
      <c r="G2983" t="n">
        <v>8.699999999999999</v>
      </c>
      <c r="H2983" t="n">
        <v>0</v>
      </c>
      <c r="I2983" t="n">
        <v>0</v>
      </c>
      <c r="J2983" t="n">
        <v>0</v>
      </c>
      <c r="K2983" t="n">
        <v>0</v>
      </c>
      <c r="L2983" t="n">
        <v>0</v>
      </c>
      <c r="M2983" t="n">
        <v>0</v>
      </c>
      <c r="N2983" t="n">
        <v>0</v>
      </c>
      <c r="O2983" t="n">
        <v>0</v>
      </c>
      <c r="P2983" t="n">
        <v>0</v>
      </c>
      <c r="Q2983" t="n">
        <v>0</v>
      </c>
      <c r="R2983" s="2" t="inlineStr"/>
    </row>
    <row r="2984" ht="15" customHeight="1">
      <c r="A2984" t="inlineStr">
        <is>
          <t>A 16603-2023</t>
        </is>
      </c>
      <c r="B2984" s="1" t="n">
        <v>45030</v>
      </c>
      <c r="C2984" s="1" t="n">
        <v>45724</v>
      </c>
      <c r="D2984" t="inlineStr">
        <is>
          <t>VÄSTMANLANDS LÄN</t>
        </is>
      </c>
      <c r="E2984" t="inlineStr">
        <is>
          <t>ARBOGA</t>
        </is>
      </c>
      <c r="F2984" t="inlineStr">
        <is>
          <t>Sveaskog</t>
        </is>
      </c>
      <c r="G2984" t="n">
        <v>6.7</v>
      </c>
      <c r="H2984" t="n">
        <v>0</v>
      </c>
      <c r="I2984" t="n">
        <v>0</v>
      </c>
      <c r="J2984" t="n">
        <v>0</v>
      </c>
      <c r="K2984" t="n">
        <v>0</v>
      </c>
      <c r="L2984" t="n">
        <v>0</v>
      </c>
      <c r="M2984" t="n">
        <v>0</v>
      </c>
      <c r="N2984" t="n">
        <v>0</v>
      </c>
      <c r="O2984" t="n">
        <v>0</v>
      </c>
      <c r="P2984" t="n">
        <v>0</v>
      </c>
      <c r="Q2984" t="n">
        <v>0</v>
      </c>
      <c r="R2984" s="2" t="inlineStr"/>
    </row>
    <row r="2985" ht="15" customHeight="1">
      <c r="A2985" t="inlineStr">
        <is>
          <t>A 16801-2023</t>
        </is>
      </c>
      <c r="B2985" s="1" t="n">
        <v>45033</v>
      </c>
      <c r="C2985" s="1" t="n">
        <v>45724</v>
      </c>
      <c r="D2985" t="inlineStr">
        <is>
          <t>VÄSTMANLANDS LÄN</t>
        </is>
      </c>
      <c r="E2985" t="inlineStr">
        <is>
          <t>SKINNSKATTEBERG</t>
        </is>
      </c>
      <c r="F2985" t="inlineStr">
        <is>
          <t>Sveaskog</t>
        </is>
      </c>
      <c r="G2985" t="n">
        <v>0.8</v>
      </c>
      <c r="H2985" t="n">
        <v>0</v>
      </c>
      <c r="I2985" t="n">
        <v>0</v>
      </c>
      <c r="J2985" t="n">
        <v>0</v>
      </c>
      <c r="K2985" t="n">
        <v>0</v>
      </c>
      <c r="L2985" t="n">
        <v>0</v>
      </c>
      <c r="M2985" t="n">
        <v>0</v>
      </c>
      <c r="N2985" t="n">
        <v>0</v>
      </c>
      <c r="O2985" t="n">
        <v>0</v>
      </c>
      <c r="P2985" t="n">
        <v>0</v>
      </c>
      <c r="Q2985" t="n">
        <v>0</v>
      </c>
      <c r="R2985" s="2" t="inlineStr"/>
    </row>
    <row r="2986" ht="15" customHeight="1">
      <c r="A2986" t="inlineStr">
        <is>
          <t>A 16844-2023</t>
        </is>
      </c>
      <c r="B2986" s="1" t="n">
        <v>45033</v>
      </c>
      <c r="C2986" s="1" t="n">
        <v>45724</v>
      </c>
      <c r="D2986" t="inlineStr">
        <is>
          <t>VÄSTMANLANDS LÄN</t>
        </is>
      </c>
      <c r="E2986" t="inlineStr">
        <is>
          <t>VÄSTERÅS</t>
        </is>
      </c>
      <c r="G2986" t="n">
        <v>2.2</v>
      </c>
      <c r="H2986" t="n">
        <v>0</v>
      </c>
      <c r="I2986" t="n">
        <v>0</v>
      </c>
      <c r="J2986" t="n">
        <v>0</v>
      </c>
      <c r="K2986" t="n">
        <v>0</v>
      </c>
      <c r="L2986" t="n">
        <v>0</v>
      </c>
      <c r="M2986" t="n">
        <v>0</v>
      </c>
      <c r="N2986" t="n">
        <v>0</v>
      </c>
      <c r="O2986" t="n">
        <v>0</v>
      </c>
      <c r="P2986" t="n">
        <v>0</v>
      </c>
      <c r="Q2986" t="n">
        <v>0</v>
      </c>
      <c r="R2986" s="2" t="inlineStr"/>
    </row>
    <row r="2987" ht="15" customHeight="1">
      <c r="A2987" t="inlineStr">
        <is>
          <t>A 16794-2023</t>
        </is>
      </c>
      <c r="B2987" s="1" t="n">
        <v>45033</v>
      </c>
      <c r="C2987" s="1" t="n">
        <v>45724</v>
      </c>
      <c r="D2987" t="inlineStr">
        <is>
          <t>VÄSTMANLANDS LÄN</t>
        </is>
      </c>
      <c r="E2987" t="inlineStr">
        <is>
          <t>SKINNSKATTEBERG</t>
        </is>
      </c>
      <c r="F2987" t="inlineStr">
        <is>
          <t>Sveaskog</t>
        </is>
      </c>
      <c r="G2987" t="n">
        <v>2</v>
      </c>
      <c r="H2987" t="n">
        <v>0</v>
      </c>
      <c r="I2987" t="n">
        <v>0</v>
      </c>
      <c r="J2987" t="n">
        <v>0</v>
      </c>
      <c r="K2987" t="n">
        <v>0</v>
      </c>
      <c r="L2987" t="n">
        <v>0</v>
      </c>
      <c r="M2987" t="n">
        <v>0</v>
      </c>
      <c r="N2987" t="n">
        <v>0</v>
      </c>
      <c r="O2987" t="n">
        <v>0</v>
      </c>
      <c r="P2987" t="n">
        <v>0</v>
      </c>
      <c r="Q2987" t="n">
        <v>0</v>
      </c>
      <c r="R2987" s="2" t="inlineStr"/>
    </row>
    <row r="2988" ht="15" customHeight="1">
      <c r="A2988" t="inlineStr">
        <is>
          <t>A 16798-2023</t>
        </is>
      </c>
      <c r="B2988" s="1" t="n">
        <v>45033</v>
      </c>
      <c r="C2988" s="1" t="n">
        <v>45724</v>
      </c>
      <c r="D2988" t="inlineStr">
        <is>
          <t>VÄSTMANLANDS LÄN</t>
        </is>
      </c>
      <c r="E2988" t="inlineStr">
        <is>
          <t>SKINNSKATTEBERG</t>
        </is>
      </c>
      <c r="F2988" t="inlineStr">
        <is>
          <t>Sveaskog</t>
        </is>
      </c>
      <c r="G2988" t="n">
        <v>3.3</v>
      </c>
      <c r="H2988" t="n">
        <v>0</v>
      </c>
      <c r="I2988" t="n">
        <v>0</v>
      </c>
      <c r="J2988" t="n">
        <v>0</v>
      </c>
      <c r="K2988" t="n">
        <v>0</v>
      </c>
      <c r="L2988" t="n">
        <v>0</v>
      </c>
      <c r="M2988" t="n">
        <v>0</v>
      </c>
      <c r="N2988" t="n">
        <v>0</v>
      </c>
      <c r="O2988" t="n">
        <v>0</v>
      </c>
      <c r="P2988" t="n">
        <v>0</v>
      </c>
      <c r="Q2988" t="n">
        <v>0</v>
      </c>
      <c r="R2988" s="2" t="inlineStr"/>
    </row>
    <row r="2989" ht="15" customHeight="1">
      <c r="A2989" t="inlineStr">
        <is>
          <t>A 16894-2023</t>
        </is>
      </c>
      <c r="B2989" s="1" t="n">
        <v>45033</v>
      </c>
      <c r="C2989" s="1" t="n">
        <v>45724</v>
      </c>
      <c r="D2989" t="inlineStr">
        <is>
          <t>VÄSTMANLANDS LÄN</t>
        </is>
      </c>
      <c r="E2989" t="inlineStr">
        <is>
          <t>VÄSTERÅS</t>
        </is>
      </c>
      <c r="G2989" t="n">
        <v>2.6</v>
      </c>
      <c r="H2989" t="n">
        <v>0</v>
      </c>
      <c r="I2989" t="n">
        <v>0</v>
      </c>
      <c r="J2989" t="n">
        <v>0</v>
      </c>
      <c r="K2989" t="n">
        <v>0</v>
      </c>
      <c r="L2989" t="n">
        <v>0</v>
      </c>
      <c r="M2989" t="n">
        <v>0</v>
      </c>
      <c r="N2989" t="n">
        <v>0</v>
      </c>
      <c r="O2989" t="n">
        <v>0</v>
      </c>
      <c r="P2989" t="n">
        <v>0</v>
      </c>
      <c r="Q2989" t="n">
        <v>0</v>
      </c>
      <c r="R2989" s="2" t="inlineStr"/>
    </row>
    <row r="2990" ht="15" customHeight="1">
      <c r="A2990" t="inlineStr">
        <is>
          <t>A 16795-2023</t>
        </is>
      </c>
      <c r="B2990" s="1" t="n">
        <v>45033</v>
      </c>
      <c r="C2990" s="1" t="n">
        <v>45724</v>
      </c>
      <c r="D2990" t="inlineStr">
        <is>
          <t>VÄSTMANLANDS LÄN</t>
        </is>
      </c>
      <c r="E2990" t="inlineStr">
        <is>
          <t>SKINNSKATTEBERG</t>
        </is>
      </c>
      <c r="F2990" t="inlineStr">
        <is>
          <t>Sveaskog</t>
        </is>
      </c>
      <c r="G2990" t="n">
        <v>1.1</v>
      </c>
      <c r="H2990" t="n">
        <v>0</v>
      </c>
      <c r="I2990" t="n">
        <v>0</v>
      </c>
      <c r="J2990" t="n">
        <v>0</v>
      </c>
      <c r="K2990" t="n">
        <v>0</v>
      </c>
      <c r="L2990" t="n">
        <v>0</v>
      </c>
      <c r="M2990" t="n">
        <v>0</v>
      </c>
      <c r="N2990" t="n">
        <v>0</v>
      </c>
      <c r="O2990" t="n">
        <v>0</v>
      </c>
      <c r="P2990" t="n">
        <v>0</v>
      </c>
      <c r="Q2990" t="n">
        <v>0</v>
      </c>
      <c r="R2990" s="2" t="inlineStr"/>
    </row>
    <row r="2991" ht="15" customHeight="1">
      <c r="A2991" t="inlineStr">
        <is>
          <t>A 16800-2023</t>
        </is>
      </c>
      <c r="B2991" s="1" t="n">
        <v>45033</v>
      </c>
      <c r="C2991" s="1" t="n">
        <v>45724</v>
      </c>
      <c r="D2991" t="inlineStr">
        <is>
          <t>VÄSTMANLANDS LÄN</t>
        </is>
      </c>
      <c r="E2991" t="inlineStr">
        <is>
          <t>SKINNSKATTEBERG</t>
        </is>
      </c>
      <c r="F2991" t="inlineStr">
        <is>
          <t>Sveaskog</t>
        </is>
      </c>
      <c r="G2991" t="n">
        <v>0.9</v>
      </c>
      <c r="H2991" t="n">
        <v>0</v>
      </c>
      <c r="I2991" t="n">
        <v>0</v>
      </c>
      <c r="J2991" t="n">
        <v>0</v>
      </c>
      <c r="K2991" t="n">
        <v>0</v>
      </c>
      <c r="L2991" t="n">
        <v>0</v>
      </c>
      <c r="M2991" t="n">
        <v>0</v>
      </c>
      <c r="N2991" t="n">
        <v>0</v>
      </c>
      <c r="O2991" t="n">
        <v>0</v>
      </c>
      <c r="P2991" t="n">
        <v>0</v>
      </c>
      <c r="Q2991" t="n">
        <v>0</v>
      </c>
      <c r="R2991" s="2" t="inlineStr"/>
    </row>
    <row r="2992" ht="15" customHeight="1">
      <c r="A2992" t="inlineStr">
        <is>
          <t>A 16806-2023</t>
        </is>
      </c>
      <c r="B2992" s="1" t="n">
        <v>45033</v>
      </c>
      <c r="C2992" s="1" t="n">
        <v>45724</v>
      </c>
      <c r="D2992" t="inlineStr">
        <is>
          <t>VÄSTMANLANDS LÄN</t>
        </is>
      </c>
      <c r="E2992" t="inlineStr">
        <is>
          <t>SKINNSKATTEBERG</t>
        </is>
      </c>
      <c r="F2992" t="inlineStr">
        <is>
          <t>Sveaskog</t>
        </is>
      </c>
      <c r="G2992" t="n">
        <v>1.2</v>
      </c>
      <c r="H2992" t="n">
        <v>0</v>
      </c>
      <c r="I2992" t="n">
        <v>0</v>
      </c>
      <c r="J2992" t="n">
        <v>0</v>
      </c>
      <c r="K2992" t="n">
        <v>0</v>
      </c>
      <c r="L2992" t="n">
        <v>0</v>
      </c>
      <c r="M2992" t="n">
        <v>0</v>
      </c>
      <c r="N2992" t="n">
        <v>0</v>
      </c>
      <c r="O2992" t="n">
        <v>0</v>
      </c>
      <c r="P2992" t="n">
        <v>0</v>
      </c>
      <c r="Q2992" t="n">
        <v>0</v>
      </c>
      <c r="R2992" s="2" t="inlineStr"/>
    </row>
    <row r="2993" ht="15" customHeight="1">
      <c r="A2993" t="inlineStr">
        <is>
          <t>A 16984-2023</t>
        </is>
      </c>
      <c r="B2993" s="1" t="n">
        <v>45033</v>
      </c>
      <c r="C2993" s="1" t="n">
        <v>45724</v>
      </c>
      <c r="D2993" t="inlineStr">
        <is>
          <t>VÄSTMANLANDS LÄN</t>
        </is>
      </c>
      <c r="E2993" t="inlineStr">
        <is>
          <t>SALA</t>
        </is>
      </c>
      <c r="G2993" t="n">
        <v>0.8</v>
      </c>
      <c r="H2993" t="n">
        <v>0</v>
      </c>
      <c r="I2993" t="n">
        <v>0</v>
      </c>
      <c r="J2993" t="n">
        <v>0</v>
      </c>
      <c r="K2993" t="n">
        <v>0</v>
      </c>
      <c r="L2993" t="n">
        <v>0</v>
      </c>
      <c r="M2993" t="n">
        <v>0</v>
      </c>
      <c r="N2993" t="n">
        <v>0</v>
      </c>
      <c r="O2993" t="n">
        <v>0</v>
      </c>
      <c r="P2993" t="n">
        <v>0</v>
      </c>
      <c r="Q2993" t="n">
        <v>0</v>
      </c>
      <c r="R2993" s="2" t="inlineStr"/>
    </row>
    <row r="2994" ht="15" customHeight="1">
      <c r="A2994" t="inlineStr">
        <is>
          <t>A 16855-2023</t>
        </is>
      </c>
      <c r="B2994" s="1" t="n">
        <v>45033</v>
      </c>
      <c r="C2994" s="1" t="n">
        <v>45724</v>
      </c>
      <c r="D2994" t="inlineStr">
        <is>
          <t>VÄSTMANLANDS LÄN</t>
        </is>
      </c>
      <c r="E2994" t="inlineStr">
        <is>
          <t>VÄSTERÅS</t>
        </is>
      </c>
      <c r="G2994" t="n">
        <v>0.9</v>
      </c>
      <c r="H2994" t="n">
        <v>0</v>
      </c>
      <c r="I2994" t="n">
        <v>0</v>
      </c>
      <c r="J2994" t="n">
        <v>0</v>
      </c>
      <c r="K2994" t="n">
        <v>0</v>
      </c>
      <c r="L2994" t="n">
        <v>0</v>
      </c>
      <c r="M2994" t="n">
        <v>0</v>
      </c>
      <c r="N2994" t="n">
        <v>0</v>
      </c>
      <c r="O2994" t="n">
        <v>0</v>
      </c>
      <c r="P2994" t="n">
        <v>0</v>
      </c>
      <c r="Q2994" t="n">
        <v>0</v>
      </c>
      <c r="R2994" s="2" t="inlineStr"/>
    </row>
    <row r="2995" ht="15" customHeight="1">
      <c r="A2995" t="inlineStr">
        <is>
          <t>A 16859-2023</t>
        </is>
      </c>
      <c r="B2995" s="1" t="n">
        <v>45033</v>
      </c>
      <c r="C2995" s="1" t="n">
        <v>45724</v>
      </c>
      <c r="D2995" t="inlineStr">
        <is>
          <t>VÄSTMANLANDS LÄN</t>
        </is>
      </c>
      <c r="E2995" t="inlineStr">
        <is>
          <t>VÄSTERÅS</t>
        </is>
      </c>
      <c r="G2995" t="n">
        <v>0.7</v>
      </c>
      <c r="H2995" t="n">
        <v>0</v>
      </c>
      <c r="I2995" t="n">
        <v>0</v>
      </c>
      <c r="J2995" t="n">
        <v>0</v>
      </c>
      <c r="K2995" t="n">
        <v>0</v>
      </c>
      <c r="L2995" t="n">
        <v>0</v>
      </c>
      <c r="M2995" t="n">
        <v>0</v>
      </c>
      <c r="N2995" t="n">
        <v>0</v>
      </c>
      <c r="O2995" t="n">
        <v>0</v>
      </c>
      <c r="P2995" t="n">
        <v>0</v>
      </c>
      <c r="Q2995" t="n">
        <v>0</v>
      </c>
      <c r="R2995" s="2" t="inlineStr"/>
    </row>
    <row r="2996" ht="15" customHeight="1">
      <c r="A2996" t="inlineStr">
        <is>
          <t>A 17038-2023</t>
        </is>
      </c>
      <c r="B2996" s="1" t="n">
        <v>45034</v>
      </c>
      <c r="C2996" s="1" t="n">
        <v>45724</v>
      </c>
      <c r="D2996" t="inlineStr">
        <is>
          <t>VÄSTMANLANDS LÄN</t>
        </is>
      </c>
      <c r="E2996" t="inlineStr">
        <is>
          <t>NORBERG</t>
        </is>
      </c>
      <c r="F2996" t="inlineStr">
        <is>
          <t>Bergvik skog väst AB</t>
        </is>
      </c>
      <c r="G2996" t="n">
        <v>3.5</v>
      </c>
      <c r="H2996" t="n">
        <v>0</v>
      </c>
      <c r="I2996" t="n">
        <v>0</v>
      </c>
      <c r="J2996" t="n">
        <v>0</v>
      </c>
      <c r="K2996" t="n">
        <v>0</v>
      </c>
      <c r="L2996" t="n">
        <v>0</v>
      </c>
      <c r="M2996" t="n">
        <v>0</v>
      </c>
      <c r="N2996" t="n">
        <v>0</v>
      </c>
      <c r="O2996" t="n">
        <v>0</v>
      </c>
      <c r="P2996" t="n">
        <v>0</v>
      </c>
      <c r="Q2996" t="n">
        <v>0</v>
      </c>
      <c r="R2996" s="2" t="inlineStr"/>
    </row>
    <row r="2997" ht="15" customHeight="1">
      <c r="A2997" t="inlineStr">
        <is>
          <t>A 17075-2023</t>
        </is>
      </c>
      <c r="B2997" s="1" t="n">
        <v>45034</v>
      </c>
      <c r="C2997" s="1" t="n">
        <v>45724</v>
      </c>
      <c r="D2997" t="inlineStr">
        <is>
          <t>VÄSTMANLANDS LÄN</t>
        </is>
      </c>
      <c r="E2997" t="inlineStr">
        <is>
          <t>NORBERG</t>
        </is>
      </c>
      <c r="F2997" t="inlineStr">
        <is>
          <t>Bergvik skog väst AB</t>
        </is>
      </c>
      <c r="G2997" t="n">
        <v>8.1</v>
      </c>
      <c r="H2997" t="n">
        <v>0</v>
      </c>
      <c r="I2997" t="n">
        <v>0</v>
      </c>
      <c r="J2997" t="n">
        <v>0</v>
      </c>
      <c r="K2997" t="n">
        <v>0</v>
      </c>
      <c r="L2997" t="n">
        <v>0</v>
      </c>
      <c r="M2997" t="n">
        <v>0</v>
      </c>
      <c r="N2997" t="n">
        <v>0</v>
      </c>
      <c r="O2997" t="n">
        <v>0</v>
      </c>
      <c r="P2997" t="n">
        <v>0</v>
      </c>
      <c r="Q2997" t="n">
        <v>0</v>
      </c>
      <c r="R2997" s="2" t="inlineStr"/>
    </row>
    <row r="2998" ht="15" customHeight="1">
      <c r="A2998" t="inlineStr">
        <is>
          <t>A 17079-2023</t>
        </is>
      </c>
      <c r="B2998" s="1" t="n">
        <v>45034</v>
      </c>
      <c r="C2998" s="1" t="n">
        <v>45724</v>
      </c>
      <c r="D2998" t="inlineStr">
        <is>
          <t>VÄSTMANLANDS LÄN</t>
        </is>
      </c>
      <c r="E2998" t="inlineStr">
        <is>
          <t>SALA</t>
        </is>
      </c>
      <c r="G2998" t="n">
        <v>1.1</v>
      </c>
      <c r="H2998" t="n">
        <v>0</v>
      </c>
      <c r="I2998" t="n">
        <v>0</v>
      </c>
      <c r="J2998" t="n">
        <v>0</v>
      </c>
      <c r="K2998" t="n">
        <v>0</v>
      </c>
      <c r="L2998" t="n">
        <v>0</v>
      </c>
      <c r="M2998" t="n">
        <v>0</v>
      </c>
      <c r="N2998" t="n">
        <v>0</v>
      </c>
      <c r="O2998" t="n">
        <v>0</v>
      </c>
      <c r="P2998" t="n">
        <v>0</v>
      </c>
      <c r="Q2998" t="n">
        <v>0</v>
      </c>
      <c r="R2998" s="2" t="inlineStr"/>
    </row>
    <row r="2999" ht="15" customHeight="1">
      <c r="A2999" t="inlineStr">
        <is>
          <t>A 17117-2023</t>
        </is>
      </c>
      <c r="B2999" s="1" t="n">
        <v>45034</v>
      </c>
      <c r="C2999" s="1" t="n">
        <v>45724</v>
      </c>
      <c r="D2999" t="inlineStr">
        <is>
          <t>VÄSTMANLANDS LÄN</t>
        </is>
      </c>
      <c r="E2999" t="inlineStr">
        <is>
          <t>SALA</t>
        </is>
      </c>
      <c r="G2999" t="n">
        <v>0.4</v>
      </c>
      <c r="H2999" t="n">
        <v>0</v>
      </c>
      <c r="I2999" t="n">
        <v>0</v>
      </c>
      <c r="J2999" t="n">
        <v>0</v>
      </c>
      <c r="K2999" t="n">
        <v>0</v>
      </c>
      <c r="L2999" t="n">
        <v>0</v>
      </c>
      <c r="M2999" t="n">
        <v>0</v>
      </c>
      <c r="N2999" t="n">
        <v>0</v>
      </c>
      <c r="O2999" t="n">
        <v>0</v>
      </c>
      <c r="P2999" t="n">
        <v>0</v>
      </c>
      <c r="Q2999" t="n">
        <v>0</v>
      </c>
      <c r="R2999" s="2" t="inlineStr"/>
    </row>
    <row r="3000" ht="15" customHeight="1">
      <c r="A3000" t="inlineStr">
        <is>
          <t>A 17011-2023</t>
        </is>
      </c>
      <c r="B3000" s="1" t="n">
        <v>45034</v>
      </c>
      <c r="C3000" s="1" t="n">
        <v>45724</v>
      </c>
      <c r="D3000" t="inlineStr">
        <is>
          <t>VÄSTMANLANDS LÄN</t>
        </is>
      </c>
      <c r="E3000" t="inlineStr">
        <is>
          <t>ARBOGA</t>
        </is>
      </c>
      <c r="G3000" t="n">
        <v>2.1</v>
      </c>
      <c r="H3000" t="n">
        <v>0</v>
      </c>
      <c r="I3000" t="n">
        <v>0</v>
      </c>
      <c r="J3000" t="n">
        <v>0</v>
      </c>
      <c r="K3000" t="n">
        <v>0</v>
      </c>
      <c r="L3000" t="n">
        <v>0</v>
      </c>
      <c r="M3000" t="n">
        <v>0</v>
      </c>
      <c r="N3000" t="n">
        <v>0</v>
      </c>
      <c r="O3000" t="n">
        <v>0</v>
      </c>
      <c r="P3000" t="n">
        <v>0</v>
      </c>
      <c r="Q3000" t="n">
        <v>0</v>
      </c>
      <c r="R3000" s="2" t="inlineStr"/>
    </row>
    <row r="3001" ht="15" customHeight="1">
      <c r="A3001" t="inlineStr">
        <is>
          <t>A 17109-2023</t>
        </is>
      </c>
      <c r="B3001" s="1" t="n">
        <v>45034</v>
      </c>
      <c r="C3001" s="1" t="n">
        <v>45724</v>
      </c>
      <c r="D3001" t="inlineStr">
        <is>
          <t>VÄSTMANLANDS LÄN</t>
        </is>
      </c>
      <c r="E3001" t="inlineStr">
        <is>
          <t>SALA</t>
        </is>
      </c>
      <c r="G3001" t="n">
        <v>5.8</v>
      </c>
      <c r="H3001" t="n">
        <v>0</v>
      </c>
      <c r="I3001" t="n">
        <v>0</v>
      </c>
      <c r="J3001" t="n">
        <v>0</v>
      </c>
      <c r="K3001" t="n">
        <v>0</v>
      </c>
      <c r="L3001" t="n">
        <v>0</v>
      </c>
      <c r="M3001" t="n">
        <v>0</v>
      </c>
      <c r="N3001" t="n">
        <v>0</v>
      </c>
      <c r="O3001" t="n">
        <v>0</v>
      </c>
      <c r="P3001" t="n">
        <v>0</v>
      </c>
      <c r="Q3001" t="n">
        <v>0</v>
      </c>
      <c r="R3001" s="2" t="inlineStr"/>
    </row>
    <row r="3002" ht="15" customHeight="1">
      <c r="A3002" t="inlineStr">
        <is>
          <t>A 17120-2023</t>
        </is>
      </c>
      <c r="B3002" s="1" t="n">
        <v>45034</v>
      </c>
      <c r="C3002" s="1" t="n">
        <v>45724</v>
      </c>
      <c r="D3002" t="inlineStr">
        <is>
          <t>VÄSTMANLANDS LÄN</t>
        </is>
      </c>
      <c r="E3002" t="inlineStr">
        <is>
          <t>SALA</t>
        </is>
      </c>
      <c r="G3002" t="n">
        <v>0.1</v>
      </c>
      <c r="H3002" t="n">
        <v>0</v>
      </c>
      <c r="I3002" t="n">
        <v>0</v>
      </c>
      <c r="J3002" t="n">
        <v>0</v>
      </c>
      <c r="K3002" t="n">
        <v>0</v>
      </c>
      <c r="L3002" t="n">
        <v>0</v>
      </c>
      <c r="M3002" t="n">
        <v>0</v>
      </c>
      <c r="N3002" t="n">
        <v>0</v>
      </c>
      <c r="O3002" t="n">
        <v>0</v>
      </c>
      <c r="P3002" t="n">
        <v>0</v>
      </c>
      <c r="Q3002" t="n">
        <v>0</v>
      </c>
      <c r="R3002" s="2" t="inlineStr"/>
    </row>
    <row r="3003" ht="15" customHeight="1">
      <c r="A3003" t="inlineStr">
        <is>
          <t>A 17204-2023</t>
        </is>
      </c>
      <c r="B3003" s="1" t="n">
        <v>45034</v>
      </c>
      <c r="C3003" s="1" t="n">
        <v>45724</v>
      </c>
      <c r="D3003" t="inlineStr">
        <is>
          <t>VÄSTMANLANDS LÄN</t>
        </is>
      </c>
      <c r="E3003" t="inlineStr">
        <is>
          <t>KÖPING</t>
        </is>
      </c>
      <c r="G3003" t="n">
        <v>1.8</v>
      </c>
      <c r="H3003" t="n">
        <v>0</v>
      </c>
      <c r="I3003" t="n">
        <v>0</v>
      </c>
      <c r="J3003" t="n">
        <v>0</v>
      </c>
      <c r="K3003" t="n">
        <v>0</v>
      </c>
      <c r="L3003" t="n">
        <v>0</v>
      </c>
      <c r="M3003" t="n">
        <v>0</v>
      </c>
      <c r="N3003" t="n">
        <v>0</v>
      </c>
      <c r="O3003" t="n">
        <v>0</v>
      </c>
      <c r="P3003" t="n">
        <v>0</v>
      </c>
      <c r="Q3003" t="n">
        <v>0</v>
      </c>
      <c r="R3003" s="2" t="inlineStr"/>
    </row>
    <row r="3004" ht="15" customHeight="1">
      <c r="A3004" t="inlineStr">
        <is>
          <t>A 17189-2023</t>
        </is>
      </c>
      <c r="B3004" s="1" t="n">
        <v>45034</v>
      </c>
      <c r="C3004" s="1" t="n">
        <v>45724</v>
      </c>
      <c r="D3004" t="inlineStr">
        <is>
          <t>VÄSTMANLANDS LÄN</t>
        </is>
      </c>
      <c r="E3004" t="inlineStr">
        <is>
          <t>VÄSTERÅS</t>
        </is>
      </c>
      <c r="F3004" t="inlineStr">
        <is>
          <t>Sveaskog</t>
        </is>
      </c>
      <c r="G3004" t="n">
        <v>2.6</v>
      </c>
      <c r="H3004" t="n">
        <v>0</v>
      </c>
      <c r="I3004" t="n">
        <v>0</v>
      </c>
      <c r="J3004" t="n">
        <v>0</v>
      </c>
      <c r="K3004" t="n">
        <v>0</v>
      </c>
      <c r="L3004" t="n">
        <v>0</v>
      </c>
      <c r="M3004" t="n">
        <v>0</v>
      </c>
      <c r="N3004" t="n">
        <v>0</v>
      </c>
      <c r="O3004" t="n">
        <v>0</v>
      </c>
      <c r="P3004" t="n">
        <v>0</v>
      </c>
      <c r="Q3004" t="n">
        <v>0</v>
      </c>
      <c r="R3004" s="2" t="inlineStr"/>
    </row>
    <row r="3005" ht="15" customHeight="1">
      <c r="A3005" t="inlineStr">
        <is>
          <t>A 17302-2023</t>
        </is>
      </c>
      <c r="B3005" s="1" t="n">
        <v>45035</v>
      </c>
      <c r="C3005" s="1" t="n">
        <v>45724</v>
      </c>
      <c r="D3005" t="inlineStr">
        <is>
          <t>VÄSTMANLANDS LÄN</t>
        </is>
      </c>
      <c r="E3005" t="inlineStr">
        <is>
          <t>KÖPING</t>
        </is>
      </c>
      <c r="G3005" t="n">
        <v>3</v>
      </c>
      <c r="H3005" t="n">
        <v>0</v>
      </c>
      <c r="I3005" t="n">
        <v>0</v>
      </c>
      <c r="J3005" t="n">
        <v>0</v>
      </c>
      <c r="K3005" t="n">
        <v>0</v>
      </c>
      <c r="L3005" t="n">
        <v>0</v>
      </c>
      <c r="M3005" t="n">
        <v>0</v>
      </c>
      <c r="N3005" t="n">
        <v>0</v>
      </c>
      <c r="O3005" t="n">
        <v>0</v>
      </c>
      <c r="P3005" t="n">
        <v>0</v>
      </c>
      <c r="Q3005" t="n">
        <v>0</v>
      </c>
      <c r="R3005" s="2" t="inlineStr"/>
    </row>
    <row r="3006" ht="15" customHeight="1">
      <c r="A3006" t="inlineStr">
        <is>
          <t>A 17264-2023</t>
        </is>
      </c>
      <c r="B3006" s="1" t="n">
        <v>45035</v>
      </c>
      <c r="C3006" s="1" t="n">
        <v>45724</v>
      </c>
      <c r="D3006" t="inlineStr">
        <is>
          <t>VÄSTMANLANDS LÄN</t>
        </is>
      </c>
      <c r="E3006" t="inlineStr">
        <is>
          <t>SKINNSKATTEBERG</t>
        </is>
      </c>
      <c r="F3006" t="inlineStr">
        <is>
          <t>Sveaskog</t>
        </is>
      </c>
      <c r="G3006" t="n">
        <v>2.4</v>
      </c>
      <c r="H3006" t="n">
        <v>0</v>
      </c>
      <c r="I3006" t="n">
        <v>0</v>
      </c>
      <c r="J3006" t="n">
        <v>0</v>
      </c>
      <c r="K3006" t="n">
        <v>0</v>
      </c>
      <c r="L3006" t="n">
        <v>0</v>
      </c>
      <c r="M3006" t="n">
        <v>0</v>
      </c>
      <c r="N3006" t="n">
        <v>0</v>
      </c>
      <c r="O3006" t="n">
        <v>0</v>
      </c>
      <c r="P3006" t="n">
        <v>0</v>
      </c>
      <c r="Q3006" t="n">
        <v>0</v>
      </c>
      <c r="R3006" s="2" t="inlineStr"/>
    </row>
    <row r="3007" ht="15" customHeight="1">
      <c r="A3007" t="inlineStr">
        <is>
          <t>A 17295-2023</t>
        </is>
      </c>
      <c r="B3007" s="1" t="n">
        <v>45035</v>
      </c>
      <c r="C3007" s="1" t="n">
        <v>45724</v>
      </c>
      <c r="D3007" t="inlineStr">
        <is>
          <t>VÄSTMANLANDS LÄN</t>
        </is>
      </c>
      <c r="E3007" t="inlineStr">
        <is>
          <t>KÖPING</t>
        </is>
      </c>
      <c r="G3007" t="n">
        <v>1.2</v>
      </c>
      <c r="H3007" t="n">
        <v>0</v>
      </c>
      <c r="I3007" t="n">
        <v>0</v>
      </c>
      <c r="J3007" t="n">
        <v>0</v>
      </c>
      <c r="K3007" t="n">
        <v>0</v>
      </c>
      <c r="L3007" t="n">
        <v>0</v>
      </c>
      <c r="M3007" t="n">
        <v>0</v>
      </c>
      <c r="N3007" t="n">
        <v>0</v>
      </c>
      <c r="O3007" t="n">
        <v>0</v>
      </c>
      <c r="P3007" t="n">
        <v>0</v>
      </c>
      <c r="Q3007" t="n">
        <v>0</v>
      </c>
      <c r="R3007" s="2" t="inlineStr"/>
    </row>
    <row r="3008" ht="15" customHeight="1">
      <c r="A3008" t="inlineStr">
        <is>
          <t>A 17402-2023</t>
        </is>
      </c>
      <c r="B3008" s="1" t="n">
        <v>45035</v>
      </c>
      <c r="C3008" s="1" t="n">
        <v>45724</v>
      </c>
      <c r="D3008" t="inlineStr">
        <is>
          <t>VÄSTMANLANDS LÄN</t>
        </is>
      </c>
      <c r="E3008" t="inlineStr">
        <is>
          <t>KÖPING</t>
        </is>
      </c>
      <c r="G3008" t="n">
        <v>3</v>
      </c>
      <c r="H3008" t="n">
        <v>0</v>
      </c>
      <c r="I3008" t="n">
        <v>0</v>
      </c>
      <c r="J3008" t="n">
        <v>0</v>
      </c>
      <c r="K3008" t="n">
        <v>0</v>
      </c>
      <c r="L3008" t="n">
        <v>0</v>
      </c>
      <c r="M3008" t="n">
        <v>0</v>
      </c>
      <c r="N3008" t="n">
        <v>0</v>
      </c>
      <c r="O3008" t="n">
        <v>0</v>
      </c>
      <c r="P3008" t="n">
        <v>0</v>
      </c>
      <c r="Q3008" t="n">
        <v>0</v>
      </c>
      <c r="R3008" s="2" t="inlineStr"/>
    </row>
    <row r="3009" ht="15" customHeight="1">
      <c r="A3009" t="inlineStr">
        <is>
          <t>A 17239-2023</t>
        </is>
      </c>
      <c r="B3009" s="1" t="n">
        <v>45035</v>
      </c>
      <c r="C3009" s="1" t="n">
        <v>45724</v>
      </c>
      <c r="D3009" t="inlineStr">
        <is>
          <t>VÄSTMANLANDS LÄN</t>
        </is>
      </c>
      <c r="E3009" t="inlineStr">
        <is>
          <t>SKINNSKATTEBERG</t>
        </is>
      </c>
      <c r="F3009" t="inlineStr">
        <is>
          <t>Sveaskog</t>
        </is>
      </c>
      <c r="G3009" t="n">
        <v>1.7</v>
      </c>
      <c r="H3009" t="n">
        <v>0</v>
      </c>
      <c r="I3009" t="n">
        <v>0</v>
      </c>
      <c r="J3009" t="n">
        <v>0</v>
      </c>
      <c r="K3009" t="n">
        <v>0</v>
      </c>
      <c r="L3009" t="n">
        <v>0</v>
      </c>
      <c r="M3009" t="n">
        <v>0</v>
      </c>
      <c r="N3009" t="n">
        <v>0</v>
      </c>
      <c r="O3009" t="n">
        <v>0</v>
      </c>
      <c r="P3009" t="n">
        <v>0</v>
      </c>
      <c r="Q3009" t="n">
        <v>0</v>
      </c>
      <c r="R3009" s="2" t="inlineStr"/>
    </row>
    <row r="3010" ht="15" customHeight="1">
      <c r="A3010" t="inlineStr">
        <is>
          <t>A 17263-2023</t>
        </is>
      </c>
      <c r="B3010" s="1" t="n">
        <v>45035</v>
      </c>
      <c r="C3010" s="1" t="n">
        <v>45724</v>
      </c>
      <c r="D3010" t="inlineStr">
        <is>
          <t>VÄSTMANLANDS LÄN</t>
        </is>
      </c>
      <c r="E3010" t="inlineStr">
        <is>
          <t>SKINNSKATTEBERG</t>
        </is>
      </c>
      <c r="F3010" t="inlineStr">
        <is>
          <t>Sveaskog</t>
        </is>
      </c>
      <c r="G3010" t="n">
        <v>3.2</v>
      </c>
      <c r="H3010" t="n">
        <v>0</v>
      </c>
      <c r="I3010" t="n">
        <v>0</v>
      </c>
      <c r="J3010" t="n">
        <v>0</v>
      </c>
      <c r="K3010" t="n">
        <v>0</v>
      </c>
      <c r="L3010" t="n">
        <v>0</v>
      </c>
      <c r="M3010" t="n">
        <v>0</v>
      </c>
      <c r="N3010" t="n">
        <v>0</v>
      </c>
      <c r="O3010" t="n">
        <v>0</v>
      </c>
      <c r="P3010" t="n">
        <v>0</v>
      </c>
      <c r="Q3010" t="n">
        <v>0</v>
      </c>
      <c r="R3010" s="2" t="inlineStr"/>
    </row>
    <row r="3011" ht="15" customHeight="1">
      <c r="A3011" t="inlineStr">
        <is>
          <t>A 17265-2023</t>
        </is>
      </c>
      <c r="B3011" s="1" t="n">
        <v>45035</v>
      </c>
      <c r="C3011" s="1" t="n">
        <v>45724</v>
      </c>
      <c r="D3011" t="inlineStr">
        <is>
          <t>VÄSTMANLANDS LÄN</t>
        </is>
      </c>
      <c r="E3011" t="inlineStr">
        <is>
          <t>SKINNSKATTEBERG</t>
        </is>
      </c>
      <c r="F3011" t="inlineStr">
        <is>
          <t>Sveaskog</t>
        </is>
      </c>
      <c r="G3011" t="n">
        <v>4.1</v>
      </c>
      <c r="H3011" t="n">
        <v>0</v>
      </c>
      <c r="I3011" t="n">
        <v>0</v>
      </c>
      <c r="J3011" t="n">
        <v>0</v>
      </c>
      <c r="K3011" t="n">
        <v>0</v>
      </c>
      <c r="L3011" t="n">
        <v>0</v>
      </c>
      <c r="M3011" t="n">
        <v>0</v>
      </c>
      <c r="N3011" t="n">
        <v>0</v>
      </c>
      <c r="O3011" t="n">
        <v>0</v>
      </c>
      <c r="P3011" t="n">
        <v>0</v>
      </c>
      <c r="Q3011" t="n">
        <v>0</v>
      </c>
      <c r="R3011" s="2" t="inlineStr"/>
    </row>
    <row r="3012" ht="15" customHeight="1">
      <c r="A3012" t="inlineStr">
        <is>
          <t>A 17380-2023</t>
        </is>
      </c>
      <c r="B3012" s="1" t="n">
        <v>45035</v>
      </c>
      <c r="C3012" s="1" t="n">
        <v>45724</v>
      </c>
      <c r="D3012" t="inlineStr">
        <is>
          <t>VÄSTMANLANDS LÄN</t>
        </is>
      </c>
      <c r="E3012" t="inlineStr">
        <is>
          <t>KÖPING</t>
        </is>
      </c>
      <c r="G3012" t="n">
        <v>1.5</v>
      </c>
      <c r="H3012" t="n">
        <v>0</v>
      </c>
      <c r="I3012" t="n">
        <v>0</v>
      </c>
      <c r="J3012" t="n">
        <v>0</v>
      </c>
      <c r="K3012" t="n">
        <v>0</v>
      </c>
      <c r="L3012" t="n">
        <v>0</v>
      </c>
      <c r="M3012" t="n">
        <v>0</v>
      </c>
      <c r="N3012" t="n">
        <v>0</v>
      </c>
      <c r="O3012" t="n">
        <v>0</v>
      </c>
      <c r="P3012" t="n">
        <v>0</v>
      </c>
      <c r="Q3012" t="n">
        <v>0</v>
      </c>
      <c r="R3012" s="2" t="inlineStr"/>
    </row>
    <row r="3013" ht="15" customHeight="1">
      <c r="A3013" t="inlineStr">
        <is>
          <t>A 17738-2023</t>
        </is>
      </c>
      <c r="B3013" s="1" t="n">
        <v>45037</v>
      </c>
      <c r="C3013" s="1" t="n">
        <v>45724</v>
      </c>
      <c r="D3013" t="inlineStr">
        <is>
          <t>VÄSTMANLANDS LÄN</t>
        </is>
      </c>
      <c r="E3013" t="inlineStr">
        <is>
          <t>SKINNSKATTEBERG</t>
        </is>
      </c>
      <c r="G3013" t="n">
        <v>4.9</v>
      </c>
      <c r="H3013" t="n">
        <v>0</v>
      </c>
      <c r="I3013" t="n">
        <v>0</v>
      </c>
      <c r="J3013" t="n">
        <v>0</v>
      </c>
      <c r="K3013" t="n">
        <v>0</v>
      </c>
      <c r="L3013" t="n">
        <v>0</v>
      </c>
      <c r="M3013" t="n">
        <v>0</v>
      </c>
      <c r="N3013" t="n">
        <v>0</v>
      </c>
      <c r="O3013" t="n">
        <v>0</v>
      </c>
      <c r="P3013" t="n">
        <v>0</v>
      </c>
      <c r="Q3013" t="n">
        <v>0</v>
      </c>
      <c r="R3013" s="2" t="inlineStr"/>
    </row>
    <row r="3014" ht="15" customHeight="1">
      <c r="A3014" t="inlineStr">
        <is>
          <t>A 17752-2023</t>
        </is>
      </c>
      <c r="B3014" s="1" t="n">
        <v>45037</v>
      </c>
      <c r="C3014" s="1" t="n">
        <v>45724</v>
      </c>
      <c r="D3014" t="inlineStr">
        <is>
          <t>VÄSTMANLANDS LÄN</t>
        </is>
      </c>
      <c r="E3014" t="inlineStr">
        <is>
          <t>SKINNSKATTEBERG</t>
        </is>
      </c>
      <c r="G3014" t="n">
        <v>5.5</v>
      </c>
      <c r="H3014" t="n">
        <v>0</v>
      </c>
      <c r="I3014" t="n">
        <v>0</v>
      </c>
      <c r="J3014" t="n">
        <v>0</v>
      </c>
      <c r="K3014" t="n">
        <v>0</v>
      </c>
      <c r="L3014" t="n">
        <v>0</v>
      </c>
      <c r="M3014" t="n">
        <v>0</v>
      </c>
      <c r="N3014" t="n">
        <v>0</v>
      </c>
      <c r="O3014" t="n">
        <v>0</v>
      </c>
      <c r="P3014" t="n">
        <v>0</v>
      </c>
      <c r="Q3014" t="n">
        <v>0</v>
      </c>
      <c r="R3014" s="2" t="inlineStr"/>
    </row>
    <row r="3015" ht="15" customHeight="1">
      <c r="A3015" t="inlineStr">
        <is>
          <t>A 17808-2023</t>
        </is>
      </c>
      <c r="B3015" s="1" t="n">
        <v>45037</v>
      </c>
      <c r="C3015" s="1" t="n">
        <v>45724</v>
      </c>
      <c r="D3015" t="inlineStr">
        <is>
          <t>VÄSTMANLANDS LÄN</t>
        </is>
      </c>
      <c r="E3015" t="inlineStr">
        <is>
          <t>VÄSTERÅS</t>
        </is>
      </c>
      <c r="F3015" t="inlineStr">
        <is>
          <t>Sveaskog</t>
        </is>
      </c>
      <c r="G3015" t="n">
        <v>1.8</v>
      </c>
      <c r="H3015" t="n">
        <v>0</v>
      </c>
      <c r="I3015" t="n">
        <v>0</v>
      </c>
      <c r="J3015" t="n">
        <v>0</v>
      </c>
      <c r="K3015" t="n">
        <v>0</v>
      </c>
      <c r="L3015" t="n">
        <v>0</v>
      </c>
      <c r="M3015" t="n">
        <v>0</v>
      </c>
      <c r="N3015" t="n">
        <v>0</v>
      </c>
      <c r="O3015" t="n">
        <v>0</v>
      </c>
      <c r="P3015" t="n">
        <v>0</v>
      </c>
      <c r="Q3015" t="n">
        <v>0</v>
      </c>
      <c r="R3015" s="2" t="inlineStr"/>
    </row>
    <row r="3016" ht="15" customHeight="1">
      <c r="A3016" t="inlineStr">
        <is>
          <t>A 17809-2023</t>
        </is>
      </c>
      <c r="B3016" s="1" t="n">
        <v>45037</v>
      </c>
      <c r="C3016" s="1" t="n">
        <v>45724</v>
      </c>
      <c r="D3016" t="inlineStr">
        <is>
          <t>VÄSTMANLANDS LÄN</t>
        </is>
      </c>
      <c r="E3016" t="inlineStr">
        <is>
          <t>VÄSTERÅS</t>
        </is>
      </c>
      <c r="F3016" t="inlineStr">
        <is>
          <t>Sveaskog</t>
        </is>
      </c>
      <c r="G3016" t="n">
        <v>3.3</v>
      </c>
      <c r="H3016" t="n">
        <v>0</v>
      </c>
      <c r="I3016" t="n">
        <v>0</v>
      </c>
      <c r="J3016" t="n">
        <v>0</v>
      </c>
      <c r="K3016" t="n">
        <v>0</v>
      </c>
      <c r="L3016" t="n">
        <v>0</v>
      </c>
      <c r="M3016" t="n">
        <v>0</v>
      </c>
      <c r="N3016" t="n">
        <v>0</v>
      </c>
      <c r="O3016" t="n">
        <v>0</v>
      </c>
      <c r="P3016" t="n">
        <v>0</v>
      </c>
      <c r="Q3016" t="n">
        <v>0</v>
      </c>
      <c r="R3016" s="2" t="inlineStr"/>
    </row>
    <row r="3017" ht="15" customHeight="1">
      <c r="A3017" t="inlineStr">
        <is>
          <t>A 18077-2023</t>
        </is>
      </c>
      <c r="B3017" s="1" t="n">
        <v>45040</v>
      </c>
      <c r="C3017" s="1" t="n">
        <v>45724</v>
      </c>
      <c r="D3017" t="inlineStr">
        <is>
          <t>VÄSTMANLANDS LÄN</t>
        </is>
      </c>
      <c r="E3017" t="inlineStr">
        <is>
          <t>KÖPING</t>
        </is>
      </c>
      <c r="G3017" t="n">
        <v>4.2</v>
      </c>
      <c r="H3017" t="n">
        <v>0</v>
      </c>
      <c r="I3017" t="n">
        <v>0</v>
      </c>
      <c r="J3017" t="n">
        <v>0</v>
      </c>
      <c r="K3017" t="n">
        <v>0</v>
      </c>
      <c r="L3017" t="n">
        <v>0</v>
      </c>
      <c r="M3017" t="n">
        <v>0</v>
      </c>
      <c r="N3017" t="n">
        <v>0</v>
      </c>
      <c r="O3017" t="n">
        <v>0</v>
      </c>
      <c r="P3017" t="n">
        <v>0</v>
      </c>
      <c r="Q3017" t="n">
        <v>0</v>
      </c>
      <c r="R3017" s="2" t="inlineStr"/>
    </row>
    <row r="3018" ht="15" customHeight="1">
      <c r="A3018" t="inlineStr">
        <is>
          <t>A 18100-2023</t>
        </is>
      </c>
      <c r="B3018" s="1" t="n">
        <v>45040</v>
      </c>
      <c r="C3018" s="1" t="n">
        <v>45724</v>
      </c>
      <c r="D3018" t="inlineStr">
        <is>
          <t>VÄSTMANLANDS LÄN</t>
        </is>
      </c>
      <c r="E3018" t="inlineStr">
        <is>
          <t>SALA</t>
        </is>
      </c>
      <c r="G3018" t="n">
        <v>1.8</v>
      </c>
      <c r="H3018" t="n">
        <v>0</v>
      </c>
      <c r="I3018" t="n">
        <v>0</v>
      </c>
      <c r="J3018" t="n">
        <v>0</v>
      </c>
      <c r="K3018" t="n">
        <v>0</v>
      </c>
      <c r="L3018" t="n">
        <v>0</v>
      </c>
      <c r="M3018" t="n">
        <v>0</v>
      </c>
      <c r="N3018" t="n">
        <v>0</v>
      </c>
      <c r="O3018" t="n">
        <v>0</v>
      </c>
      <c r="P3018" t="n">
        <v>0</v>
      </c>
      <c r="Q3018" t="n">
        <v>0</v>
      </c>
      <c r="R3018" s="2" t="inlineStr"/>
    </row>
    <row r="3019" ht="15" customHeight="1">
      <c r="A3019" t="inlineStr">
        <is>
          <t>A 18109-2023</t>
        </is>
      </c>
      <c r="B3019" s="1" t="n">
        <v>45040</v>
      </c>
      <c r="C3019" s="1" t="n">
        <v>45724</v>
      </c>
      <c r="D3019" t="inlineStr">
        <is>
          <t>VÄSTMANLANDS LÄN</t>
        </is>
      </c>
      <c r="E3019" t="inlineStr">
        <is>
          <t>SKINNSKATTEBERG</t>
        </is>
      </c>
      <c r="F3019" t="inlineStr">
        <is>
          <t>Sveaskog</t>
        </is>
      </c>
      <c r="G3019" t="n">
        <v>1.2</v>
      </c>
      <c r="H3019" t="n">
        <v>0</v>
      </c>
      <c r="I3019" t="n">
        <v>0</v>
      </c>
      <c r="J3019" t="n">
        <v>0</v>
      </c>
      <c r="K3019" t="n">
        <v>0</v>
      </c>
      <c r="L3019" t="n">
        <v>0</v>
      </c>
      <c r="M3019" t="n">
        <v>0</v>
      </c>
      <c r="N3019" t="n">
        <v>0</v>
      </c>
      <c r="O3019" t="n">
        <v>0</v>
      </c>
      <c r="P3019" t="n">
        <v>0</v>
      </c>
      <c r="Q3019" t="n">
        <v>0</v>
      </c>
      <c r="R3019" s="2" t="inlineStr"/>
    </row>
    <row r="3020" ht="15" customHeight="1">
      <c r="A3020" t="inlineStr">
        <is>
          <t>A 17990-2023</t>
        </is>
      </c>
      <c r="B3020" s="1" t="n">
        <v>45040</v>
      </c>
      <c r="C3020" s="1" t="n">
        <v>45724</v>
      </c>
      <c r="D3020" t="inlineStr">
        <is>
          <t>VÄSTMANLANDS LÄN</t>
        </is>
      </c>
      <c r="E3020" t="inlineStr">
        <is>
          <t>NORBERG</t>
        </is>
      </c>
      <c r="G3020" t="n">
        <v>11.9</v>
      </c>
      <c r="H3020" t="n">
        <v>0</v>
      </c>
      <c r="I3020" t="n">
        <v>0</v>
      </c>
      <c r="J3020" t="n">
        <v>0</v>
      </c>
      <c r="K3020" t="n">
        <v>0</v>
      </c>
      <c r="L3020" t="n">
        <v>0</v>
      </c>
      <c r="M3020" t="n">
        <v>0</v>
      </c>
      <c r="N3020" t="n">
        <v>0</v>
      </c>
      <c r="O3020" t="n">
        <v>0</v>
      </c>
      <c r="P3020" t="n">
        <v>0</v>
      </c>
      <c r="Q3020" t="n">
        <v>0</v>
      </c>
      <c r="R3020" s="2" t="inlineStr"/>
    </row>
    <row r="3021" ht="15" customHeight="1">
      <c r="A3021" t="inlineStr">
        <is>
          <t>A 18065-2023</t>
        </is>
      </c>
      <c r="B3021" s="1" t="n">
        <v>45040</v>
      </c>
      <c r="C3021" s="1" t="n">
        <v>45724</v>
      </c>
      <c r="D3021" t="inlineStr">
        <is>
          <t>VÄSTMANLANDS LÄN</t>
        </is>
      </c>
      <c r="E3021" t="inlineStr">
        <is>
          <t>VÄSTERÅS</t>
        </is>
      </c>
      <c r="F3021" t="inlineStr">
        <is>
          <t>Sveaskog</t>
        </is>
      </c>
      <c r="G3021" t="n">
        <v>1.3</v>
      </c>
      <c r="H3021" t="n">
        <v>0</v>
      </c>
      <c r="I3021" t="n">
        <v>0</v>
      </c>
      <c r="J3021" t="n">
        <v>0</v>
      </c>
      <c r="K3021" t="n">
        <v>0</v>
      </c>
      <c r="L3021" t="n">
        <v>0</v>
      </c>
      <c r="M3021" t="n">
        <v>0</v>
      </c>
      <c r="N3021" t="n">
        <v>0</v>
      </c>
      <c r="O3021" t="n">
        <v>0</v>
      </c>
      <c r="P3021" t="n">
        <v>0</v>
      </c>
      <c r="Q3021" t="n">
        <v>0</v>
      </c>
      <c r="R3021" s="2" t="inlineStr"/>
    </row>
    <row r="3022" ht="15" customHeight="1">
      <c r="A3022" t="inlineStr">
        <is>
          <t>A 18187-2023</t>
        </is>
      </c>
      <c r="B3022" s="1" t="n">
        <v>45041</v>
      </c>
      <c r="C3022" s="1" t="n">
        <v>45724</v>
      </c>
      <c r="D3022" t="inlineStr">
        <is>
          <t>VÄSTMANLANDS LÄN</t>
        </is>
      </c>
      <c r="E3022" t="inlineStr">
        <is>
          <t>FAGERSTA</t>
        </is>
      </c>
      <c r="F3022" t="inlineStr">
        <is>
          <t>Sveaskog</t>
        </is>
      </c>
      <c r="G3022" t="n">
        <v>2.6</v>
      </c>
      <c r="H3022" t="n">
        <v>0</v>
      </c>
      <c r="I3022" t="n">
        <v>0</v>
      </c>
      <c r="J3022" t="n">
        <v>0</v>
      </c>
      <c r="K3022" t="n">
        <v>0</v>
      </c>
      <c r="L3022" t="n">
        <v>0</v>
      </c>
      <c r="M3022" t="n">
        <v>0</v>
      </c>
      <c r="N3022" t="n">
        <v>0</v>
      </c>
      <c r="O3022" t="n">
        <v>0</v>
      </c>
      <c r="P3022" t="n">
        <v>0</v>
      </c>
      <c r="Q3022" t="n">
        <v>0</v>
      </c>
      <c r="R3022" s="2" t="inlineStr"/>
    </row>
    <row r="3023" ht="15" customHeight="1">
      <c r="A3023" t="inlineStr">
        <is>
          <t>A 18223-2023</t>
        </is>
      </c>
      <c r="B3023" s="1" t="n">
        <v>45041</v>
      </c>
      <c r="C3023" s="1" t="n">
        <v>45724</v>
      </c>
      <c r="D3023" t="inlineStr">
        <is>
          <t>VÄSTMANLANDS LÄN</t>
        </is>
      </c>
      <c r="E3023" t="inlineStr">
        <is>
          <t>SURAHAMMAR</t>
        </is>
      </c>
      <c r="F3023" t="inlineStr">
        <is>
          <t>Övriga Aktiebolag</t>
        </is>
      </c>
      <c r="G3023" t="n">
        <v>3.1</v>
      </c>
      <c r="H3023" t="n">
        <v>0</v>
      </c>
      <c r="I3023" t="n">
        <v>0</v>
      </c>
      <c r="J3023" t="n">
        <v>0</v>
      </c>
      <c r="K3023" t="n">
        <v>0</v>
      </c>
      <c r="L3023" t="n">
        <v>0</v>
      </c>
      <c r="M3023" t="n">
        <v>0</v>
      </c>
      <c r="N3023" t="n">
        <v>0</v>
      </c>
      <c r="O3023" t="n">
        <v>0</v>
      </c>
      <c r="P3023" t="n">
        <v>0</v>
      </c>
      <c r="Q3023" t="n">
        <v>0</v>
      </c>
      <c r="R3023" s="2" t="inlineStr"/>
    </row>
    <row r="3024" ht="15" customHeight="1">
      <c r="A3024" t="inlineStr">
        <is>
          <t>A 18186-2023</t>
        </is>
      </c>
      <c r="B3024" s="1" t="n">
        <v>45041</v>
      </c>
      <c r="C3024" s="1" t="n">
        <v>45724</v>
      </c>
      <c r="D3024" t="inlineStr">
        <is>
          <t>VÄSTMANLANDS LÄN</t>
        </is>
      </c>
      <c r="E3024" t="inlineStr">
        <is>
          <t>FAGERSTA</t>
        </is>
      </c>
      <c r="F3024" t="inlineStr">
        <is>
          <t>Sveaskog</t>
        </is>
      </c>
      <c r="G3024" t="n">
        <v>0.6</v>
      </c>
      <c r="H3024" t="n">
        <v>0</v>
      </c>
      <c r="I3024" t="n">
        <v>0</v>
      </c>
      <c r="J3024" t="n">
        <v>0</v>
      </c>
      <c r="K3024" t="n">
        <v>0</v>
      </c>
      <c r="L3024" t="n">
        <v>0</v>
      </c>
      <c r="M3024" t="n">
        <v>0</v>
      </c>
      <c r="N3024" t="n">
        <v>0</v>
      </c>
      <c r="O3024" t="n">
        <v>0</v>
      </c>
      <c r="P3024" t="n">
        <v>0</v>
      </c>
      <c r="Q3024" t="n">
        <v>0</v>
      </c>
      <c r="R3024" s="2" t="inlineStr"/>
    </row>
    <row r="3025" ht="15" customHeight="1">
      <c r="A3025" t="inlineStr">
        <is>
          <t>A 18194-2023</t>
        </is>
      </c>
      <c r="B3025" s="1" t="n">
        <v>45041</v>
      </c>
      <c r="C3025" s="1" t="n">
        <v>45724</v>
      </c>
      <c r="D3025" t="inlineStr">
        <is>
          <t>VÄSTMANLANDS LÄN</t>
        </is>
      </c>
      <c r="E3025" t="inlineStr">
        <is>
          <t>NORBERG</t>
        </is>
      </c>
      <c r="G3025" t="n">
        <v>4</v>
      </c>
      <c r="H3025" t="n">
        <v>0</v>
      </c>
      <c r="I3025" t="n">
        <v>0</v>
      </c>
      <c r="J3025" t="n">
        <v>0</v>
      </c>
      <c r="K3025" t="n">
        <v>0</v>
      </c>
      <c r="L3025" t="n">
        <v>0</v>
      </c>
      <c r="M3025" t="n">
        <v>0</v>
      </c>
      <c r="N3025" t="n">
        <v>0</v>
      </c>
      <c r="O3025" t="n">
        <v>0</v>
      </c>
      <c r="P3025" t="n">
        <v>0</v>
      </c>
      <c r="Q3025" t="n">
        <v>0</v>
      </c>
      <c r="R3025" s="2" t="inlineStr"/>
    </row>
    <row r="3026" ht="15" customHeight="1">
      <c r="A3026" t="inlineStr">
        <is>
          <t>A 18184-2023</t>
        </is>
      </c>
      <c r="B3026" s="1" t="n">
        <v>45041</v>
      </c>
      <c r="C3026" s="1" t="n">
        <v>45724</v>
      </c>
      <c r="D3026" t="inlineStr">
        <is>
          <t>VÄSTMANLANDS LÄN</t>
        </is>
      </c>
      <c r="E3026" t="inlineStr">
        <is>
          <t>FAGERSTA</t>
        </is>
      </c>
      <c r="F3026" t="inlineStr">
        <is>
          <t>Sveaskog</t>
        </is>
      </c>
      <c r="G3026" t="n">
        <v>1.2</v>
      </c>
      <c r="H3026" t="n">
        <v>0</v>
      </c>
      <c r="I3026" t="n">
        <v>0</v>
      </c>
      <c r="J3026" t="n">
        <v>0</v>
      </c>
      <c r="K3026" t="n">
        <v>0</v>
      </c>
      <c r="L3026" t="n">
        <v>0</v>
      </c>
      <c r="M3026" t="n">
        <v>0</v>
      </c>
      <c r="N3026" t="n">
        <v>0</v>
      </c>
      <c r="O3026" t="n">
        <v>0</v>
      </c>
      <c r="P3026" t="n">
        <v>0</v>
      </c>
      <c r="Q3026" t="n">
        <v>0</v>
      </c>
      <c r="R3026" s="2" t="inlineStr"/>
    </row>
    <row r="3027" ht="15" customHeight="1">
      <c r="A3027" t="inlineStr">
        <is>
          <t>A 18188-2023</t>
        </is>
      </c>
      <c r="B3027" s="1" t="n">
        <v>45041</v>
      </c>
      <c r="C3027" s="1" t="n">
        <v>45724</v>
      </c>
      <c r="D3027" t="inlineStr">
        <is>
          <t>VÄSTMANLANDS LÄN</t>
        </is>
      </c>
      <c r="E3027" t="inlineStr">
        <is>
          <t>FAGERSTA</t>
        </is>
      </c>
      <c r="F3027" t="inlineStr">
        <is>
          <t>Sveaskog</t>
        </is>
      </c>
      <c r="G3027" t="n">
        <v>13.2</v>
      </c>
      <c r="H3027" t="n">
        <v>0</v>
      </c>
      <c r="I3027" t="n">
        <v>0</v>
      </c>
      <c r="J3027" t="n">
        <v>0</v>
      </c>
      <c r="K3027" t="n">
        <v>0</v>
      </c>
      <c r="L3027" t="n">
        <v>0</v>
      </c>
      <c r="M3027" t="n">
        <v>0</v>
      </c>
      <c r="N3027" t="n">
        <v>0</v>
      </c>
      <c r="O3027" t="n">
        <v>0</v>
      </c>
      <c r="P3027" t="n">
        <v>0</v>
      </c>
      <c r="Q3027" t="n">
        <v>0</v>
      </c>
      <c r="R3027" s="2" t="inlineStr"/>
    </row>
    <row r="3028" ht="15" customHeight="1">
      <c r="A3028" t="inlineStr">
        <is>
          <t>A 18454-2023</t>
        </is>
      </c>
      <c r="B3028" s="1" t="n">
        <v>45042</v>
      </c>
      <c r="C3028" s="1" t="n">
        <v>45724</v>
      </c>
      <c r="D3028" t="inlineStr">
        <is>
          <t>VÄSTMANLANDS LÄN</t>
        </is>
      </c>
      <c r="E3028" t="inlineStr">
        <is>
          <t>VÄSTERÅS</t>
        </is>
      </c>
      <c r="G3028" t="n">
        <v>1.8</v>
      </c>
      <c r="H3028" t="n">
        <v>0</v>
      </c>
      <c r="I3028" t="n">
        <v>0</v>
      </c>
      <c r="J3028" t="n">
        <v>0</v>
      </c>
      <c r="K3028" t="n">
        <v>0</v>
      </c>
      <c r="L3028" t="n">
        <v>0</v>
      </c>
      <c r="M3028" t="n">
        <v>0</v>
      </c>
      <c r="N3028" t="n">
        <v>0</v>
      </c>
      <c r="O3028" t="n">
        <v>0</v>
      </c>
      <c r="P3028" t="n">
        <v>0</v>
      </c>
      <c r="Q3028" t="n">
        <v>0</v>
      </c>
      <c r="R3028" s="2" t="inlineStr"/>
    </row>
    <row r="3029" ht="15" customHeight="1">
      <c r="A3029" t="inlineStr">
        <is>
          <t>A 18467-2023</t>
        </is>
      </c>
      <c r="B3029" s="1" t="n">
        <v>45042</v>
      </c>
      <c r="C3029" s="1" t="n">
        <v>45724</v>
      </c>
      <c r="D3029" t="inlineStr">
        <is>
          <t>VÄSTMANLANDS LÄN</t>
        </is>
      </c>
      <c r="E3029" t="inlineStr">
        <is>
          <t>VÄSTERÅS</t>
        </is>
      </c>
      <c r="G3029" t="n">
        <v>1</v>
      </c>
      <c r="H3029" t="n">
        <v>0</v>
      </c>
      <c r="I3029" t="n">
        <v>0</v>
      </c>
      <c r="J3029" t="n">
        <v>0</v>
      </c>
      <c r="K3029" t="n">
        <v>0</v>
      </c>
      <c r="L3029" t="n">
        <v>0</v>
      </c>
      <c r="M3029" t="n">
        <v>0</v>
      </c>
      <c r="N3029" t="n">
        <v>0</v>
      </c>
      <c r="O3029" t="n">
        <v>0</v>
      </c>
      <c r="P3029" t="n">
        <v>0</v>
      </c>
      <c r="Q3029" t="n">
        <v>0</v>
      </c>
      <c r="R3029" s="2" t="inlineStr"/>
    </row>
    <row r="3030" ht="15" customHeight="1">
      <c r="A3030" t="inlineStr">
        <is>
          <t>A 18431-2023</t>
        </is>
      </c>
      <c r="B3030" s="1" t="n">
        <v>45042</v>
      </c>
      <c r="C3030" s="1" t="n">
        <v>45724</v>
      </c>
      <c r="D3030" t="inlineStr">
        <is>
          <t>VÄSTMANLANDS LÄN</t>
        </is>
      </c>
      <c r="E3030" t="inlineStr">
        <is>
          <t>SALA</t>
        </is>
      </c>
      <c r="G3030" t="n">
        <v>1.9</v>
      </c>
      <c r="H3030" t="n">
        <v>0</v>
      </c>
      <c r="I3030" t="n">
        <v>0</v>
      </c>
      <c r="J3030" t="n">
        <v>0</v>
      </c>
      <c r="K3030" t="n">
        <v>0</v>
      </c>
      <c r="L3030" t="n">
        <v>0</v>
      </c>
      <c r="M3030" t="n">
        <v>0</v>
      </c>
      <c r="N3030" t="n">
        <v>0</v>
      </c>
      <c r="O3030" t="n">
        <v>0</v>
      </c>
      <c r="P3030" t="n">
        <v>0</v>
      </c>
      <c r="Q3030" t="n">
        <v>0</v>
      </c>
      <c r="R3030" s="2" t="inlineStr"/>
    </row>
    <row r="3031" ht="15" customHeight="1">
      <c r="A3031" t="inlineStr">
        <is>
          <t>A 18452-2023</t>
        </is>
      </c>
      <c r="B3031" s="1" t="n">
        <v>45042</v>
      </c>
      <c r="C3031" s="1" t="n">
        <v>45724</v>
      </c>
      <c r="D3031" t="inlineStr">
        <is>
          <t>VÄSTMANLANDS LÄN</t>
        </is>
      </c>
      <c r="E3031" t="inlineStr">
        <is>
          <t>VÄSTERÅS</t>
        </is>
      </c>
      <c r="G3031" t="n">
        <v>0.8</v>
      </c>
      <c r="H3031" t="n">
        <v>0</v>
      </c>
      <c r="I3031" t="n">
        <v>0</v>
      </c>
      <c r="J3031" t="n">
        <v>0</v>
      </c>
      <c r="K3031" t="n">
        <v>0</v>
      </c>
      <c r="L3031" t="n">
        <v>0</v>
      </c>
      <c r="M3031" t="n">
        <v>0</v>
      </c>
      <c r="N3031" t="n">
        <v>0</v>
      </c>
      <c r="O3031" t="n">
        <v>0</v>
      </c>
      <c r="P3031" t="n">
        <v>0</v>
      </c>
      <c r="Q3031" t="n">
        <v>0</v>
      </c>
      <c r="R3031" s="2" t="inlineStr"/>
    </row>
    <row r="3032" ht="15" customHeight="1">
      <c r="A3032" t="inlineStr">
        <is>
          <t>A 18465-2023</t>
        </is>
      </c>
      <c r="B3032" s="1" t="n">
        <v>45042</v>
      </c>
      <c r="C3032" s="1" t="n">
        <v>45724</v>
      </c>
      <c r="D3032" t="inlineStr">
        <is>
          <t>VÄSTMANLANDS LÄN</t>
        </is>
      </c>
      <c r="E3032" t="inlineStr">
        <is>
          <t>VÄSTERÅS</t>
        </is>
      </c>
      <c r="G3032" t="n">
        <v>0.8</v>
      </c>
      <c r="H3032" t="n">
        <v>0</v>
      </c>
      <c r="I3032" t="n">
        <v>0</v>
      </c>
      <c r="J3032" t="n">
        <v>0</v>
      </c>
      <c r="K3032" t="n">
        <v>0</v>
      </c>
      <c r="L3032" t="n">
        <v>0</v>
      </c>
      <c r="M3032" t="n">
        <v>0</v>
      </c>
      <c r="N3032" t="n">
        <v>0</v>
      </c>
      <c r="O3032" t="n">
        <v>0</v>
      </c>
      <c r="P3032" t="n">
        <v>0</v>
      </c>
      <c r="Q3032" t="n">
        <v>0</v>
      </c>
      <c r="R3032" s="2" t="inlineStr"/>
    </row>
    <row r="3033" ht="15" customHeight="1">
      <c r="A3033" t="inlineStr">
        <is>
          <t>A 18483-2023</t>
        </is>
      </c>
      <c r="B3033" s="1" t="n">
        <v>45042</v>
      </c>
      <c r="C3033" s="1" t="n">
        <v>45724</v>
      </c>
      <c r="D3033" t="inlineStr">
        <is>
          <t>VÄSTMANLANDS LÄN</t>
        </is>
      </c>
      <c r="E3033" t="inlineStr">
        <is>
          <t>VÄSTERÅS</t>
        </is>
      </c>
      <c r="G3033" t="n">
        <v>2.2</v>
      </c>
      <c r="H3033" t="n">
        <v>0</v>
      </c>
      <c r="I3033" t="n">
        <v>0</v>
      </c>
      <c r="J3033" t="n">
        <v>0</v>
      </c>
      <c r="K3033" t="n">
        <v>0</v>
      </c>
      <c r="L3033" t="n">
        <v>0</v>
      </c>
      <c r="M3033" t="n">
        <v>0</v>
      </c>
      <c r="N3033" t="n">
        <v>0</v>
      </c>
      <c r="O3033" t="n">
        <v>0</v>
      </c>
      <c r="P3033" t="n">
        <v>0</v>
      </c>
      <c r="Q3033" t="n">
        <v>0</v>
      </c>
      <c r="R3033" s="2" t="inlineStr"/>
    </row>
    <row r="3034" ht="15" customHeight="1">
      <c r="A3034" t="inlineStr">
        <is>
          <t>A 18384-2023</t>
        </is>
      </c>
      <c r="B3034" s="1" t="n">
        <v>45042</v>
      </c>
      <c r="C3034" s="1" t="n">
        <v>45724</v>
      </c>
      <c r="D3034" t="inlineStr">
        <is>
          <t>VÄSTMANLANDS LÄN</t>
        </is>
      </c>
      <c r="E3034" t="inlineStr">
        <is>
          <t>NORBERG</t>
        </is>
      </c>
      <c r="F3034" t="inlineStr">
        <is>
          <t>Övriga Aktiebolag</t>
        </is>
      </c>
      <c r="G3034" t="n">
        <v>14.8</v>
      </c>
      <c r="H3034" t="n">
        <v>0</v>
      </c>
      <c r="I3034" t="n">
        <v>0</v>
      </c>
      <c r="J3034" t="n">
        <v>0</v>
      </c>
      <c r="K3034" t="n">
        <v>0</v>
      </c>
      <c r="L3034" t="n">
        <v>0</v>
      </c>
      <c r="M3034" t="n">
        <v>0</v>
      </c>
      <c r="N3034" t="n">
        <v>0</v>
      </c>
      <c r="O3034" t="n">
        <v>0</v>
      </c>
      <c r="P3034" t="n">
        <v>0</v>
      </c>
      <c r="Q3034" t="n">
        <v>0</v>
      </c>
      <c r="R3034" s="2" t="inlineStr"/>
    </row>
    <row r="3035" ht="15" customHeight="1">
      <c r="A3035" t="inlineStr">
        <is>
          <t>A 18451-2023</t>
        </is>
      </c>
      <c r="B3035" s="1" t="n">
        <v>45042</v>
      </c>
      <c r="C3035" s="1" t="n">
        <v>45724</v>
      </c>
      <c r="D3035" t="inlineStr">
        <is>
          <t>VÄSTMANLANDS LÄN</t>
        </is>
      </c>
      <c r="E3035" t="inlineStr">
        <is>
          <t>VÄSTERÅS</t>
        </is>
      </c>
      <c r="G3035" t="n">
        <v>1.3</v>
      </c>
      <c r="H3035" t="n">
        <v>0</v>
      </c>
      <c r="I3035" t="n">
        <v>0</v>
      </c>
      <c r="J3035" t="n">
        <v>0</v>
      </c>
      <c r="K3035" t="n">
        <v>0</v>
      </c>
      <c r="L3035" t="n">
        <v>0</v>
      </c>
      <c r="M3035" t="n">
        <v>0</v>
      </c>
      <c r="N3035" t="n">
        <v>0</v>
      </c>
      <c r="O3035" t="n">
        <v>0</v>
      </c>
      <c r="P3035" t="n">
        <v>0</v>
      </c>
      <c r="Q3035" t="n">
        <v>0</v>
      </c>
      <c r="R3035" s="2" t="inlineStr"/>
    </row>
    <row r="3036" ht="15" customHeight="1">
      <c r="A3036" t="inlineStr">
        <is>
          <t>A 18482-2023</t>
        </is>
      </c>
      <c r="B3036" s="1" t="n">
        <v>45042</v>
      </c>
      <c r="C3036" s="1" t="n">
        <v>45724</v>
      </c>
      <c r="D3036" t="inlineStr">
        <is>
          <t>VÄSTMANLANDS LÄN</t>
        </is>
      </c>
      <c r="E3036" t="inlineStr">
        <is>
          <t>VÄSTERÅS</t>
        </is>
      </c>
      <c r="G3036" t="n">
        <v>2.3</v>
      </c>
      <c r="H3036" t="n">
        <v>0</v>
      </c>
      <c r="I3036" t="n">
        <v>0</v>
      </c>
      <c r="J3036" t="n">
        <v>0</v>
      </c>
      <c r="K3036" t="n">
        <v>0</v>
      </c>
      <c r="L3036" t="n">
        <v>0</v>
      </c>
      <c r="M3036" t="n">
        <v>0</v>
      </c>
      <c r="N3036" t="n">
        <v>0</v>
      </c>
      <c r="O3036" t="n">
        <v>0</v>
      </c>
      <c r="P3036" t="n">
        <v>0</v>
      </c>
      <c r="Q3036" t="n">
        <v>0</v>
      </c>
      <c r="R3036" s="2" t="inlineStr"/>
    </row>
    <row r="3037" ht="15" customHeight="1">
      <c r="A3037" t="inlineStr">
        <is>
          <t>A 18457-2023</t>
        </is>
      </c>
      <c r="B3037" s="1" t="n">
        <v>45042</v>
      </c>
      <c r="C3037" s="1" t="n">
        <v>45724</v>
      </c>
      <c r="D3037" t="inlineStr">
        <is>
          <t>VÄSTMANLANDS LÄN</t>
        </is>
      </c>
      <c r="E3037" t="inlineStr">
        <is>
          <t>VÄSTERÅS</t>
        </is>
      </c>
      <c r="G3037" t="n">
        <v>1.8</v>
      </c>
      <c r="H3037" t="n">
        <v>0</v>
      </c>
      <c r="I3037" t="n">
        <v>0</v>
      </c>
      <c r="J3037" t="n">
        <v>0</v>
      </c>
      <c r="K3037" t="n">
        <v>0</v>
      </c>
      <c r="L3037" t="n">
        <v>0</v>
      </c>
      <c r="M3037" t="n">
        <v>0</v>
      </c>
      <c r="N3037" t="n">
        <v>0</v>
      </c>
      <c r="O3037" t="n">
        <v>0</v>
      </c>
      <c r="P3037" t="n">
        <v>0</v>
      </c>
      <c r="Q3037" t="n">
        <v>0</v>
      </c>
      <c r="R3037" s="2" t="inlineStr"/>
    </row>
    <row r="3038" ht="15" customHeight="1">
      <c r="A3038" t="inlineStr">
        <is>
          <t>A 18468-2023</t>
        </is>
      </c>
      <c r="B3038" s="1" t="n">
        <v>45042</v>
      </c>
      <c r="C3038" s="1" t="n">
        <v>45724</v>
      </c>
      <c r="D3038" t="inlineStr">
        <is>
          <t>VÄSTMANLANDS LÄN</t>
        </is>
      </c>
      <c r="E3038" t="inlineStr">
        <is>
          <t>VÄSTERÅS</t>
        </is>
      </c>
      <c r="G3038" t="n">
        <v>2.4</v>
      </c>
      <c r="H3038" t="n">
        <v>0</v>
      </c>
      <c r="I3038" t="n">
        <v>0</v>
      </c>
      <c r="J3038" t="n">
        <v>0</v>
      </c>
      <c r="K3038" t="n">
        <v>0</v>
      </c>
      <c r="L3038" t="n">
        <v>0</v>
      </c>
      <c r="M3038" t="n">
        <v>0</v>
      </c>
      <c r="N3038" t="n">
        <v>0</v>
      </c>
      <c r="O3038" t="n">
        <v>0</v>
      </c>
      <c r="P3038" t="n">
        <v>0</v>
      </c>
      <c r="Q3038" t="n">
        <v>0</v>
      </c>
      <c r="R3038" s="2" t="inlineStr"/>
    </row>
    <row r="3039" ht="15" customHeight="1">
      <c r="A3039" t="inlineStr">
        <is>
          <t>A 18721-2023</t>
        </is>
      </c>
      <c r="B3039" s="1" t="n">
        <v>45043</v>
      </c>
      <c r="C3039" s="1" t="n">
        <v>45724</v>
      </c>
      <c r="D3039" t="inlineStr">
        <is>
          <t>VÄSTMANLANDS LÄN</t>
        </is>
      </c>
      <c r="E3039" t="inlineStr">
        <is>
          <t>KUNGSÖR</t>
        </is>
      </c>
      <c r="G3039" t="n">
        <v>2.5</v>
      </c>
      <c r="H3039" t="n">
        <v>0</v>
      </c>
      <c r="I3039" t="n">
        <v>0</v>
      </c>
      <c r="J3039" t="n">
        <v>0</v>
      </c>
      <c r="K3039" t="n">
        <v>0</v>
      </c>
      <c r="L3039" t="n">
        <v>0</v>
      </c>
      <c r="M3039" t="n">
        <v>0</v>
      </c>
      <c r="N3039" t="n">
        <v>0</v>
      </c>
      <c r="O3039" t="n">
        <v>0</v>
      </c>
      <c r="P3039" t="n">
        <v>0</v>
      </c>
      <c r="Q3039" t="n">
        <v>0</v>
      </c>
      <c r="R3039" s="2" t="inlineStr"/>
    </row>
    <row r="3040" ht="15" customHeight="1">
      <c r="A3040" t="inlineStr">
        <is>
          <t>A 18745-2023</t>
        </is>
      </c>
      <c r="B3040" s="1" t="n">
        <v>45043</v>
      </c>
      <c r="C3040" s="1" t="n">
        <v>45724</v>
      </c>
      <c r="D3040" t="inlineStr">
        <is>
          <t>VÄSTMANLANDS LÄN</t>
        </is>
      </c>
      <c r="E3040" t="inlineStr">
        <is>
          <t>NORBERG</t>
        </is>
      </c>
      <c r="G3040" t="n">
        <v>7.7</v>
      </c>
      <c r="H3040" t="n">
        <v>0</v>
      </c>
      <c r="I3040" t="n">
        <v>0</v>
      </c>
      <c r="J3040" t="n">
        <v>0</v>
      </c>
      <c r="K3040" t="n">
        <v>0</v>
      </c>
      <c r="L3040" t="n">
        <v>0</v>
      </c>
      <c r="M3040" t="n">
        <v>0</v>
      </c>
      <c r="N3040" t="n">
        <v>0</v>
      </c>
      <c r="O3040" t="n">
        <v>0</v>
      </c>
      <c r="P3040" t="n">
        <v>0</v>
      </c>
      <c r="Q3040" t="n">
        <v>0</v>
      </c>
      <c r="R3040" s="2" t="inlineStr"/>
    </row>
    <row r="3041" ht="15" customHeight="1">
      <c r="A3041" t="inlineStr">
        <is>
          <t>A 18744-2023</t>
        </is>
      </c>
      <c r="B3041" s="1" t="n">
        <v>45043</v>
      </c>
      <c r="C3041" s="1" t="n">
        <v>45724</v>
      </c>
      <c r="D3041" t="inlineStr">
        <is>
          <t>VÄSTMANLANDS LÄN</t>
        </is>
      </c>
      <c r="E3041" t="inlineStr">
        <is>
          <t>NORBERG</t>
        </is>
      </c>
      <c r="G3041" t="n">
        <v>4.1</v>
      </c>
      <c r="H3041" t="n">
        <v>0</v>
      </c>
      <c r="I3041" t="n">
        <v>0</v>
      </c>
      <c r="J3041" t="n">
        <v>0</v>
      </c>
      <c r="K3041" t="n">
        <v>0</v>
      </c>
      <c r="L3041" t="n">
        <v>0</v>
      </c>
      <c r="M3041" t="n">
        <v>0</v>
      </c>
      <c r="N3041" t="n">
        <v>0</v>
      </c>
      <c r="O3041" t="n">
        <v>0</v>
      </c>
      <c r="P3041" t="n">
        <v>0</v>
      </c>
      <c r="Q3041" t="n">
        <v>0</v>
      </c>
      <c r="R3041" s="2" t="inlineStr"/>
    </row>
    <row r="3042" ht="15" customHeight="1">
      <c r="A3042" t="inlineStr">
        <is>
          <t>A 18649-2023</t>
        </is>
      </c>
      <c r="B3042" s="1" t="n">
        <v>45043</v>
      </c>
      <c r="C3042" s="1" t="n">
        <v>45724</v>
      </c>
      <c r="D3042" t="inlineStr">
        <is>
          <t>VÄSTMANLANDS LÄN</t>
        </is>
      </c>
      <c r="E3042" t="inlineStr">
        <is>
          <t>SKINNSKATTEBERG</t>
        </is>
      </c>
      <c r="F3042" t="inlineStr">
        <is>
          <t>Sveaskog</t>
        </is>
      </c>
      <c r="G3042" t="n">
        <v>4</v>
      </c>
      <c r="H3042" t="n">
        <v>0</v>
      </c>
      <c r="I3042" t="n">
        <v>0</v>
      </c>
      <c r="J3042" t="n">
        <v>0</v>
      </c>
      <c r="K3042" t="n">
        <v>0</v>
      </c>
      <c r="L3042" t="n">
        <v>0</v>
      </c>
      <c r="M3042" t="n">
        <v>0</v>
      </c>
      <c r="N3042" t="n">
        <v>0</v>
      </c>
      <c r="O3042" t="n">
        <v>0</v>
      </c>
      <c r="P3042" t="n">
        <v>0</v>
      </c>
      <c r="Q3042" t="n">
        <v>0</v>
      </c>
      <c r="R3042" s="2" t="inlineStr"/>
    </row>
    <row r="3043" ht="15" customHeight="1">
      <c r="A3043" t="inlineStr">
        <is>
          <t>A 18877-2023</t>
        </is>
      </c>
      <c r="B3043" s="1" t="n">
        <v>45044</v>
      </c>
      <c r="C3043" s="1" t="n">
        <v>45724</v>
      </c>
      <c r="D3043" t="inlineStr">
        <is>
          <t>VÄSTMANLANDS LÄN</t>
        </is>
      </c>
      <c r="E3043" t="inlineStr">
        <is>
          <t>SALA</t>
        </is>
      </c>
      <c r="F3043" t="inlineStr">
        <is>
          <t>Kommuner</t>
        </is>
      </c>
      <c r="G3043" t="n">
        <v>4.4</v>
      </c>
      <c r="H3043" t="n">
        <v>0</v>
      </c>
      <c r="I3043" t="n">
        <v>0</v>
      </c>
      <c r="J3043" t="n">
        <v>0</v>
      </c>
      <c r="K3043" t="n">
        <v>0</v>
      </c>
      <c r="L3043" t="n">
        <v>0</v>
      </c>
      <c r="M3043" t="n">
        <v>0</v>
      </c>
      <c r="N3043" t="n">
        <v>0</v>
      </c>
      <c r="O3043" t="n">
        <v>0</v>
      </c>
      <c r="P3043" t="n">
        <v>0</v>
      </c>
      <c r="Q3043" t="n">
        <v>0</v>
      </c>
      <c r="R3043" s="2" t="inlineStr"/>
    </row>
    <row r="3044" ht="15" customHeight="1">
      <c r="A3044" t="inlineStr">
        <is>
          <t>A 19019-2023</t>
        </is>
      </c>
      <c r="B3044" s="1" t="n">
        <v>45047</v>
      </c>
      <c r="C3044" s="1" t="n">
        <v>45724</v>
      </c>
      <c r="D3044" t="inlineStr">
        <is>
          <t>VÄSTMANLANDS LÄN</t>
        </is>
      </c>
      <c r="E3044" t="inlineStr">
        <is>
          <t>NORBERG</t>
        </is>
      </c>
      <c r="G3044" t="n">
        <v>2.4</v>
      </c>
      <c r="H3044" t="n">
        <v>0</v>
      </c>
      <c r="I3044" t="n">
        <v>0</v>
      </c>
      <c r="J3044" t="n">
        <v>0</v>
      </c>
      <c r="K3044" t="n">
        <v>0</v>
      </c>
      <c r="L3044" t="n">
        <v>0</v>
      </c>
      <c r="M3044" t="n">
        <v>0</v>
      </c>
      <c r="N3044" t="n">
        <v>0</v>
      </c>
      <c r="O3044" t="n">
        <v>0</v>
      </c>
      <c r="P3044" t="n">
        <v>0</v>
      </c>
      <c r="Q3044" t="n">
        <v>0</v>
      </c>
      <c r="R3044" s="2" t="inlineStr"/>
    </row>
    <row r="3045" ht="15" customHeight="1">
      <c r="A3045" t="inlineStr">
        <is>
          <t>A 19020-2023</t>
        </is>
      </c>
      <c r="B3045" s="1" t="n">
        <v>45047</v>
      </c>
      <c r="C3045" s="1" t="n">
        <v>45724</v>
      </c>
      <c r="D3045" t="inlineStr">
        <is>
          <t>VÄSTMANLANDS LÄN</t>
        </is>
      </c>
      <c r="E3045" t="inlineStr">
        <is>
          <t>NORBERG</t>
        </is>
      </c>
      <c r="G3045" t="n">
        <v>0.8</v>
      </c>
      <c r="H3045" t="n">
        <v>0</v>
      </c>
      <c r="I3045" t="n">
        <v>0</v>
      </c>
      <c r="J3045" t="n">
        <v>0</v>
      </c>
      <c r="K3045" t="n">
        <v>0</v>
      </c>
      <c r="L3045" t="n">
        <v>0</v>
      </c>
      <c r="M3045" t="n">
        <v>0</v>
      </c>
      <c r="N3045" t="n">
        <v>0</v>
      </c>
      <c r="O3045" t="n">
        <v>0</v>
      </c>
      <c r="P3045" t="n">
        <v>0</v>
      </c>
      <c r="Q3045" t="n">
        <v>0</v>
      </c>
      <c r="R3045" s="2" t="inlineStr"/>
    </row>
    <row r="3046" ht="15" customHeight="1">
      <c r="A3046" t="inlineStr">
        <is>
          <t>A 19081-2023</t>
        </is>
      </c>
      <c r="B3046" s="1" t="n">
        <v>45048</v>
      </c>
      <c r="C3046" s="1" t="n">
        <v>45724</v>
      </c>
      <c r="D3046" t="inlineStr">
        <is>
          <t>VÄSTMANLANDS LÄN</t>
        </is>
      </c>
      <c r="E3046" t="inlineStr">
        <is>
          <t>SKINNSKATTEBERG</t>
        </is>
      </c>
      <c r="F3046" t="inlineStr">
        <is>
          <t>Sveaskog</t>
        </is>
      </c>
      <c r="G3046" t="n">
        <v>2.6</v>
      </c>
      <c r="H3046" t="n">
        <v>0</v>
      </c>
      <c r="I3046" t="n">
        <v>0</v>
      </c>
      <c r="J3046" t="n">
        <v>0</v>
      </c>
      <c r="K3046" t="n">
        <v>0</v>
      </c>
      <c r="L3046" t="n">
        <v>0</v>
      </c>
      <c r="M3046" t="n">
        <v>0</v>
      </c>
      <c r="N3046" t="n">
        <v>0</v>
      </c>
      <c r="O3046" t="n">
        <v>0</v>
      </c>
      <c r="P3046" t="n">
        <v>0</v>
      </c>
      <c r="Q3046" t="n">
        <v>0</v>
      </c>
      <c r="R3046" s="2" t="inlineStr"/>
    </row>
    <row r="3047" ht="15" customHeight="1">
      <c r="A3047" t="inlineStr">
        <is>
          <t>A 19086-2023</t>
        </is>
      </c>
      <c r="B3047" s="1" t="n">
        <v>45048</v>
      </c>
      <c r="C3047" s="1" t="n">
        <v>45724</v>
      </c>
      <c r="D3047" t="inlineStr">
        <is>
          <t>VÄSTMANLANDS LÄN</t>
        </is>
      </c>
      <c r="E3047" t="inlineStr">
        <is>
          <t>SKINNSKATTEBERG</t>
        </is>
      </c>
      <c r="F3047" t="inlineStr">
        <is>
          <t>Sveaskog</t>
        </is>
      </c>
      <c r="G3047" t="n">
        <v>1.7</v>
      </c>
      <c r="H3047" t="n">
        <v>0</v>
      </c>
      <c r="I3047" t="n">
        <v>0</v>
      </c>
      <c r="J3047" t="n">
        <v>0</v>
      </c>
      <c r="K3047" t="n">
        <v>0</v>
      </c>
      <c r="L3047" t="n">
        <v>0</v>
      </c>
      <c r="M3047" t="n">
        <v>0</v>
      </c>
      <c r="N3047" t="n">
        <v>0</v>
      </c>
      <c r="O3047" t="n">
        <v>0</v>
      </c>
      <c r="P3047" t="n">
        <v>0</v>
      </c>
      <c r="Q3047" t="n">
        <v>0</v>
      </c>
      <c r="R3047" s="2" t="inlineStr"/>
    </row>
    <row r="3048" ht="15" customHeight="1">
      <c r="A3048" t="inlineStr">
        <is>
          <t>A 19082-2023</t>
        </is>
      </c>
      <c r="B3048" s="1" t="n">
        <v>45048</v>
      </c>
      <c r="C3048" s="1" t="n">
        <v>45724</v>
      </c>
      <c r="D3048" t="inlineStr">
        <is>
          <t>VÄSTMANLANDS LÄN</t>
        </is>
      </c>
      <c r="E3048" t="inlineStr">
        <is>
          <t>KUNGSÖR</t>
        </is>
      </c>
      <c r="F3048" t="inlineStr">
        <is>
          <t>Allmännings- och besparingsskogar</t>
        </is>
      </c>
      <c r="G3048" t="n">
        <v>6.5</v>
      </c>
      <c r="H3048" t="n">
        <v>0</v>
      </c>
      <c r="I3048" t="n">
        <v>0</v>
      </c>
      <c r="J3048" t="n">
        <v>0</v>
      </c>
      <c r="K3048" t="n">
        <v>0</v>
      </c>
      <c r="L3048" t="n">
        <v>0</v>
      </c>
      <c r="M3048" t="n">
        <v>0</v>
      </c>
      <c r="N3048" t="n">
        <v>0</v>
      </c>
      <c r="O3048" t="n">
        <v>0</v>
      </c>
      <c r="P3048" t="n">
        <v>0</v>
      </c>
      <c r="Q3048" t="n">
        <v>0</v>
      </c>
      <c r="R3048" s="2" t="inlineStr"/>
    </row>
    <row r="3049" ht="15" customHeight="1">
      <c r="A3049" t="inlineStr">
        <is>
          <t>A 19093-2023</t>
        </is>
      </c>
      <c r="B3049" s="1" t="n">
        <v>45048</v>
      </c>
      <c r="C3049" s="1" t="n">
        <v>45724</v>
      </c>
      <c r="D3049" t="inlineStr">
        <is>
          <t>VÄSTMANLANDS LÄN</t>
        </is>
      </c>
      <c r="E3049" t="inlineStr">
        <is>
          <t>SKINNSKATTEBERG</t>
        </is>
      </c>
      <c r="F3049" t="inlineStr">
        <is>
          <t>Sveaskog</t>
        </is>
      </c>
      <c r="G3049" t="n">
        <v>1</v>
      </c>
      <c r="H3049" t="n">
        <v>0</v>
      </c>
      <c r="I3049" t="n">
        <v>0</v>
      </c>
      <c r="J3049" t="n">
        <v>0</v>
      </c>
      <c r="K3049" t="n">
        <v>0</v>
      </c>
      <c r="L3049" t="n">
        <v>0</v>
      </c>
      <c r="M3049" t="n">
        <v>0</v>
      </c>
      <c r="N3049" t="n">
        <v>0</v>
      </c>
      <c r="O3049" t="n">
        <v>0</v>
      </c>
      <c r="P3049" t="n">
        <v>0</v>
      </c>
      <c r="Q3049" t="n">
        <v>0</v>
      </c>
      <c r="R3049" s="2" t="inlineStr"/>
    </row>
    <row r="3050" ht="15" customHeight="1">
      <c r="A3050" t="inlineStr">
        <is>
          <t>A 19254-2023</t>
        </is>
      </c>
      <c r="B3050" s="1" t="n">
        <v>45049</v>
      </c>
      <c r="C3050" s="1" t="n">
        <v>45724</v>
      </c>
      <c r="D3050" t="inlineStr">
        <is>
          <t>VÄSTMANLANDS LÄN</t>
        </is>
      </c>
      <c r="E3050" t="inlineStr">
        <is>
          <t>NORBERG</t>
        </is>
      </c>
      <c r="G3050" t="n">
        <v>2.7</v>
      </c>
      <c r="H3050" t="n">
        <v>0</v>
      </c>
      <c r="I3050" t="n">
        <v>0</v>
      </c>
      <c r="J3050" t="n">
        <v>0</v>
      </c>
      <c r="K3050" t="n">
        <v>0</v>
      </c>
      <c r="L3050" t="n">
        <v>0</v>
      </c>
      <c r="M3050" t="n">
        <v>0</v>
      </c>
      <c r="N3050" t="n">
        <v>0</v>
      </c>
      <c r="O3050" t="n">
        <v>0</v>
      </c>
      <c r="P3050" t="n">
        <v>0</v>
      </c>
      <c r="Q3050" t="n">
        <v>0</v>
      </c>
      <c r="R3050" s="2" t="inlineStr"/>
    </row>
    <row r="3051" ht="15" customHeight="1">
      <c r="A3051" t="inlineStr">
        <is>
          <t>A 19253-2023</t>
        </is>
      </c>
      <c r="B3051" s="1" t="n">
        <v>45049</v>
      </c>
      <c r="C3051" s="1" t="n">
        <v>45724</v>
      </c>
      <c r="D3051" t="inlineStr">
        <is>
          <t>VÄSTMANLANDS LÄN</t>
        </is>
      </c>
      <c r="E3051" t="inlineStr">
        <is>
          <t>NORBERG</t>
        </is>
      </c>
      <c r="G3051" t="n">
        <v>0.8</v>
      </c>
      <c r="H3051" t="n">
        <v>0</v>
      </c>
      <c r="I3051" t="n">
        <v>0</v>
      </c>
      <c r="J3051" t="n">
        <v>0</v>
      </c>
      <c r="K3051" t="n">
        <v>0</v>
      </c>
      <c r="L3051" t="n">
        <v>0</v>
      </c>
      <c r="M3051" t="n">
        <v>0</v>
      </c>
      <c r="N3051" t="n">
        <v>0</v>
      </c>
      <c r="O3051" t="n">
        <v>0</v>
      </c>
      <c r="P3051" t="n">
        <v>0</v>
      </c>
      <c r="Q3051" t="n">
        <v>0</v>
      </c>
      <c r="R3051" s="2" t="inlineStr"/>
    </row>
    <row r="3052" ht="15" customHeight="1">
      <c r="A3052" t="inlineStr">
        <is>
          <t>A 19576-2023</t>
        </is>
      </c>
      <c r="B3052" s="1" t="n">
        <v>45050</v>
      </c>
      <c r="C3052" s="1" t="n">
        <v>45724</v>
      </c>
      <c r="D3052" t="inlineStr">
        <is>
          <t>VÄSTMANLANDS LÄN</t>
        </is>
      </c>
      <c r="E3052" t="inlineStr">
        <is>
          <t>KÖPING</t>
        </is>
      </c>
      <c r="G3052" t="n">
        <v>2</v>
      </c>
      <c r="H3052" t="n">
        <v>0</v>
      </c>
      <c r="I3052" t="n">
        <v>0</v>
      </c>
      <c r="J3052" t="n">
        <v>0</v>
      </c>
      <c r="K3052" t="n">
        <v>0</v>
      </c>
      <c r="L3052" t="n">
        <v>0</v>
      </c>
      <c r="M3052" t="n">
        <v>0</v>
      </c>
      <c r="N3052" t="n">
        <v>0</v>
      </c>
      <c r="O3052" t="n">
        <v>0</v>
      </c>
      <c r="P3052" t="n">
        <v>0</v>
      </c>
      <c r="Q3052" t="n">
        <v>0</v>
      </c>
      <c r="R3052" s="2" t="inlineStr"/>
    </row>
    <row r="3053" ht="15" customHeight="1">
      <c r="A3053" t="inlineStr">
        <is>
          <t>A 19543-2023</t>
        </is>
      </c>
      <c r="B3053" s="1" t="n">
        <v>45050</v>
      </c>
      <c r="C3053" s="1" t="n">
        <v>45724</v>
      </c>
      <c r="D3053" t="inlineStr">
        <is>
          <t>VÄSTMANLANDS LÄN</t>
        </is>
      </c>
      <c r="E3053" t="inlineStr">
        <is>
          <t>ARBOGA</t>
        </is>
      </c>
      <c r="F3053" t="inlineStr">
        <is>
          <t>Sveaskog</t>
        </is>
      </c>
      <c r="G3053" t="n">
        <v>1.5</v>
      </c>
      <c r="H3053" t="n">
        <v>0</v>
      </c>
      <c r="I3053" t="n">
        <v>0</v>
      </c>
      <c r="J3053" t="n">
        <v>0</v>
      </c>
      <c r="K3053" t="n">
        <v>0</v>
      </c>
      <c r="L3053" t="n">
        <v>0</v>
      </c>
      <c r="M3053" t="n">
        <v>0</v>
      </c>
      <c r="N3053" t="n">
        <v>0</v>
      </c>
      <c r="O3053" t="n">
        <v>0</v>
      </c>
      <c r="P3053" t="n">
        <v>0</v>
      </c>
      <c r="Q3053" t="n">
        <v>0</v>
      </c>
      <c r="R3053" s="2" t="inlineStr"/>
    </row>
    <row r="3054" ht="15" customHeight="1">
      <c r="A3054" t="inlineStr">
        <is>
          <t>A 19563-2023</t>
        </is>
      </c>
      <c r="B3054" s="1" t="n">
        <v>45050</v>
      </c>
      <c r="C3054" s="1" t="n">
        <v>45724</v>
      </c>
      <c r="D3054" t="inlineStr">
        <is>
          <t>VÄSTMANLANDS LÄN</t>
        </is>
      </c>
      <c r="E3054" t="inlineStr">
        <is>
          <t>KÖPING</t>
        </is>
      </c>
      <c r="G3054" t="n">
        <v>2.8</v>
      </c>
      <c r="H3054" t="n">
        <v>0</v>
      </c>
      <c r="I3054" t="n">
        <v>0</v>
      </c>
      <c r="J3054" t="n">
        <v>0</v>
      </c>
      <c r="K3054" t="n">
        <v>0</v>
      </c>
      <c r="L3054" t="n">
        <v>0</v>
      </c>
      <c r="M3054" t="n">
        <v>0</v>
      </c>
      <c r="N3054" t="n">
        <v>0</v>
      </c>
      <c r="O3054" t="n">
        <v>0</v>
      </c>
      <c r="P3054" t="n">
        <v>0</v>
      </c>
      <c r="Q3054" t="n">
        <v>0</v>
      </c>
      <c r="R3054" s="2" t="inlineStr"/>
    </row>
    <row r="3055" ht="15" customHeight="1">
      <c r="A3055" t="inlineStr">
        <is>
          <t>A 19568-2023</t>
        </is>
      </c>
      <c r="B3055" s="1" t="n">
        <v>45050</v>
      </c>
      <c r="C3055" s="1" t="n">
        <v>45724</v>
      </c>
      <c r="D3055" t="inlineStr">
        <is>
          <t>VÄSTMANLANDS LÄN</t>
        </is>
      </c>
      <c r="E3055" t="inlineStr">
        <is>
          <t>KÖPING</t>
        </is>
      </c>
      <c r="G3055" t="n">
        <v>1.2</v>
      </c>
      <c r="H3055" t="n">
        <v>0</v>
      </c>
      <c r="I3055" t="n">
        <v>0</v>
      </c>
      <c r="J3055" t="n">
        <v>0</v>
      </c>
      <c r="K3055" t="n">
        <v>0</v>
      </c>
      <c r="L3055" t="n">
        <v>0</v>
      </c>
      <c r="M3055" t="n">
        <v>0</v>
      </c>
      <c r="N3055" t="n">
        <v>0</v>
      </c>
      <c r="O3055" t="n">
        <v>0</v>
      </c>
      <c r="P3055" t="n">
        <v>0</v>
      </c>
      <c r="Q3055" t="n">
        <v>0</v>
      </c>
      <c r="R3055" s="2" t="inlineStr"/>
    </row>
    <row r="3056" ht="15" customHeight="1">
      <c r="A3056" t="inlineStr">
        <is>
          <t>A 19575-2023</t>
        </is>
      </c>
      <c r="B3056" s="1" t="n">
        <v>45050</v>
      </c>
      <c r="C3056" s="1" t="n">
        <v>45724</v>
      </c>
      <c r="D3056" t="inlineStr">
        <is>
          <t>VÄSTMANLANDS LÄN</t>
        </is>
      </c>
      <c r="E3056" t="inlineStr">
        <is>
          <t>KÖPING</t>
        </is>
      </c>
      <c r="G3056" t="n">
        <v>3.9</v>
      </c>
      <c r="H3056" t="n">
        <v>0</v>
      </c>
      <c r="I3056" t="n">
        <v>0</v>
      </c>
      <c r="J3056" t="n">
        <v>0</v>
      </c>
      <c r="K3056" t="n">
        <v>0</v>
      </c>
      <c r="L3056" t="n">
        <v>0</v>
      </c>
      <c r="M3056" t="n">
        <v>0</v>
      </c>
      <c r="N3056" t="n">
        <v>0</v>
      </c>
      <c r="O3056" t="n">
        <v>0</v>
      </c>
      <c r="P3056" t="n">
        <v>0</v>
      </c>
      <c r="Q3056" t="n">
        <v>0</v>
      </c>
      <c r="R3056" s="2" t="inlineStr"/>
    </row>
    <row r="3057" ht="15" customHeight="1">
      <c r="A3057" t="inlineStr">
        <is>
          <t>A 19477-2023</t>
        </is>
      </c>
      <c r="B3057" s="1" t="n">
        <v>45050</v>
      </c>
      <c r="C3057" s="1" t="n">
        <v>45724</v>
      </c>
      <c r="D3057" t="inlineStr">
        <is>
          <t>VÄSTMANLANDS LÄN</t>
        </is>
      </c>
      <c r="E3057" t="inlineStr">
        <is>
          <t>KÖPING</t>
        </is>
      </c>
      <c r="G3057" t="n">
        <v>5.1</v>
      </c>
      <c r="H3057" t="n">
        <v>0</v>
      </c>
      <c r="I3057" t="n">
        <v>0</v>
      </c>
      <c r="J3057" t="n">
        <v>0</v>
      </c>
      <c r="K3057" t="n">
        <v>0</v>
      </c>
      <c r="L3057" t="n">
        <v>0</v>
      </c>
      <c r="M3057" t="n">
        <v>0</v>
      </c>
      <c r="N3057" t="n">
        <v>0</v>
      </c>
      <c r="O3057" t="n">
        <v>0</v>
      </c>
      <c r="P3057" t="n">
        <v>0</v>
      </c>
      <c r="Q3057" t="n">
        <v>0</v>
      </c>
      <c r="R3057" s="2" t="inlineStr"/>
    </row>
    <row r="3058" ht="15" customHeight="1">
      <c r="A3058" t="inlineStr">
        <is>
          <t>A 19778-2023</t>
        </is>
      </c>
      <c r="B3058" s="1" t="n">
        <v>45050</v>
      </c>
      <c r="C3058" s="1" t="n">
        <v>45724</v>
      </c>
      <c r="D3058" t="inlineStr">
        <is>
          <t>VÄSTMANLANDS LÄN</t>
        </is>
      </c>
      <c r="E3058" t="inlineStr">
        <is>
          <t>SURAHAMMAR</t>
        </is>
      </c>
      <c r="F3058" t="inlineStr">
        <is>
          <t>Bergvik skog väst AB</t>
        </is>
      </c>
      <c r="G3058" t="n">
        <v>6</v>
      </c>
      <c r="H3058" t="n">
        <v>0</v>
      </c>
      <c r="I3058" t="n">
        <v>0</v>
      </c>
      <c r="J3058" t="n">
        <v>0</v>
      </c>
      <c r="K3058" t="n">
        <v>0</v>
      </c>
      <c r="L3058" t="n">
        <v>0</v>
      </c>
      <c r="M3058" t="n">
        <v>0</v>
      </c>
      <c r="N3058" t="n">
        <v>0</v>
      </c>
      <c r="O3058" t="n">
        <v>0</v>
      </c>
      <c r="P3058" t="n">
        <v>0</v>
      </c>
      <c r="Q3058" t="n">
        <v>0</v>
      </c>
      <c r="R3058" s="2" t="inlineStr"/>
    </row>
    <row r="3059" ht="15" customHeight="1">
      <c r="A3059" t="inlineStr">
        <is>
          <t>A 19779-2023</t>
        </is>
      </c>
      <c r="B3059" s="1" t="n">
        <v>45050</v>
      </c>
      <c r="C3059" s="1" t="n">
        <v>45724</v>
      </c>
      <c r="D3059" t="inlineStr">
        <is>
          <t>VÄSTMANLANDS LÄN</t>
        </is>
      </c>
      <c r="E3059" t="inlineStr">
        <is>
          <t>SURAHAMMAR</t>
        </is>
      </c>
      <c r="F3059" t="inlineStr">
        <is>
          <t>Bergvik skog väst AB</t>
        </is>
      </c>
      <c r="G3059" t="n">
        <v>11.1</v>
      </c>
      <c r="H3059" t="n">
        <v>0</v>
      </c>
      <c r="I3059" t="n">
        <v>0</v>
      </c>
      <c r="J3059" t="n">
        <v>0</v>
      </c>
      <c r="K3059" t="n">
        <v>0</v>
      </c>
      <c r="L3059" t="n">
        <v>0</v>
      </c>
      <c r="M3059" t="n">
        <v>0</v>
      </c>
      <c r="N3059" t="n">
        <v>0</v>
      </c>
      <c r="O3059" t="n">
        <v>0</v>
      </c>
      <c r="P3059" t="n">
        <v>0</v>
      </c>
      <c r="Q3059" t="n">
        <v>0</v>
      </c>
      <c r="R3059" s="2" t="inlineStr"/>
    </row>
    <row r="3060" ht="15" customHeight="1">
      <c r="A3060" t="inlineStr">
        <is>
          <t>A 19786-2023</t>
        </is>
      </c>
      <c r="B3060" s="1" t="n">
        <v>45050</v>
      </c>
      <c r="C3060" s="1" t="n">
        <v>45724</v>
      </c>
      <c r="D3060" t="inlineStr">
        <is>
          <t>VÄSTMANLANDS LÄN</t>
        </is>
      </c>
      <c r="E3060" t="inlineStr">
        <is>
          <t>SURAHAMMAR</t>
        </is>
      </c>
      <c r="F3060" t="inlineStr">
        <is>
          <t>Bergvik skog väst AB</t>
        </is>
      </c>
      <c r="G3060" t="n">
        <v>8.1</v>
      </c>
      <c r="H3060" t="n">
        <v>0</v>
      </c>
      <c r="I3060" t="n">
        <v>0</v>
      </c>
      <c r="J3060" t="n">
        <v>0</v>
      </c>
      <c r="K3060" t="n">
        <v>0</v>
      </c>
      <c r="L3060" t="n">
        <v>0</v>
      </c>
      <c r="M3060" t="n">
        <v>0</v>
      </c>
      <c r="N3060" t="n">
        <v>0</v>
      </c>
      <c r="O3060" t="n">
        <v>0</v>
      </c>
      <c r="P3060" t="n">
        <v>0</v>
      </c>
      <c r="Q3060" t="n">
        <v>0</v>
      </c>
      <c r="R3060" s="2" t="inlineStr"/>
    </row>
    <row r="3061" ht="15" customHeight="1">
      <c r="A3061" t="inlineStr">
        <is>
          <t>A 19782-2023</t>
        </is>
      </c>
      <c r="B3061" s="1" t="n">
        <v>45050</v>
      </c>
      <c r="C3061" s="1" t="n">
        <v>45724</v>
      </c>
      <c r="D3061" t="inlineStr">
        <is>
          <t>VÄSTMANLANDS LÄN</t>
        </is>
      </c>
      <c r="E3061" t="inlineStr">
        <is>
          <t>SURAHAMMAR</t>
        </is>
      </c>
      <c r="F3061" t="inlineStr">
        <is>
          <t>Bergvik skog väst AB</t>
        </is>
      </c>
      <c r="G3061" t="n">
        <v>5.2</v>
      </c>
      <c r="H3061" t="n">
        <v>0</v>
      </c>
      <c r="I3061" t="n">
        <v>0</v>
      </c>
      <c r="J3061" t="n">
        <v>0</v>
      </c>
      <c r="K3061" t="n">
        <v>0</v>
      </c>
      <c r="L3061" t="n">
        <v>0</v>
      </c>
      <c r="M3061" t="n">
        <v>0</v>
      </c>
      <c r="N3061" t="n">
        <v>0</v>
      </c>
      <c r="O3061" t="n">
        <v>0</v>
      </c>
      <c r="P3061" t="n">
        <v>0</v>
      </c>
      <c r="Q3061" t="n">
        <v>0</v>
      </c>
      <c r="R3061" s="2" t="inlineStr"/>
    </row>
    <row r="3062" ht="15" customHeight="1">
      <c r="A3062" t="inlineStr">
        <is>
          <t>A 19740-2023</t>
        </is>
      </c>
      <c r="B3062" s="1" t="n">
        <v>45051</v>
      </c>
      <c r="C3062" s="1" t="n">
        <v>45724</v>
      </c>
      <c r="D3062" t="inlineStr">
        <is>
          <t>VÄSTMANLANDS LÄN</t>
        </is>
      </c>
      <c r="E3062" t="inlineStr">
        <is>
          <t>VÄSTERÅS</t>
        </is>
      </c>
      <c r="F3062" t="inlineStr">
        <is>
          <t>Sveaskog</t>
        </is>
      </c>
      <c r="G3062" t="n">
        <v>1.3</v>
      </c>
      <c r="H3062" t="n">
        <v>0</v>
      </c>
      <c r="I3062" t="n">
        <v>0</v>
      </c>
      <c r="J3062" t="n">
        <v>0</v>
      </c>
      <c r="K3062" t="n">
        <v>0</v>
      </c>
      <c r="L3062" t="n">
        <v>0</v>
      </c>
      <c r="M3062" t="n">
        <v>0</v>
      </c>
      <c r="N3062" t="n">
        <v>0</v>
      </c>
      <c r="O3062" t="n">
        <v>0</v>
      </c>
      <c r="P3062" t="n">
        <v>0</v>
      </c>
      <c r="Q3062" t="n">
        <v>0</v>
      </c>
      <c r="R3062" s="2" t="inlineStr"/>
    </row>
    <row r="3063" ht="15" customHeight="1">
      <c r="A3063" t="inlineStr">
        <is>
          <t>A 20148-2023</t>
        </is>
      </c>
      <c r="B3063" s="1" t="n">
        <v>45051</v>
      </c>
      <c r="C3063" s="1" t="n">
        <v>45724</v>
      </c>
      <c r="D3063" t="inlineStr">
        <is>
          <t>VÄSTMANLANDS LÄN</t>
        </is>
      </c>
      <c r="E3063" t="inlineStr">
        <is>
          <t>KÖPING</t>
        </is>
      </c>
      <c r="G3063" t="n">
        <v>1.3</v>
      </c>
      <c r="H3063" t="n">
        <v>0</v>
      </c>
      <c r="I3063" t="n">
        <v>0</v>
      </c>
      <c r="J3063" t="n">
        <v>0</v>
      </c>
      <c r="K3063" t="n">
        <v>0</v>
      </c>
      <c r="L3063" t="n">
        <v>0</v>
      </c>
      <c r="M3063" t="n">
        <v>0</v>
      </c>
      <c r="N3063" t="n">
        <v>0</v>
      </c>
      <c r="O3063" t="n">
        <v>0</v>
      </c>
      <c r="P3063" t="n">
        <v>0</v>
      </c>
      <c r="Q3063" t="n">
        <v>0</v>
      </c>
      <c r="R3063" s="2" t="inlineStr"/>
    </row>
    <row r="3064" ht="15" customHeight="1">
      <c r="A3064" t="inlineStr">
        <is>
          <t>A 20158-2023</t>
        </is>
      </c>
      <c r="B3064" s="1" t="n">
        <v>45051</v>
      </c>
      <c r="C3064" s="1" t="n">
        <v>45724</v>
      </c>
      <c r="D3064" t="inlineStr">
        <is>
          <t>VÄSTMANLANDS LÄN</t>
        </is>
      </c>
      <c r="E3064" t="inlineStr">
        <is>
          <t>KÖPING</t>
        </is>
      </c>
      <c r="G3064" t="n">
        <v>3.1</v>
      </c>
      <c r="H3064" t="n">
        <v>0</v>
      </c>
      <c r="I3064" t="n">
        <v>0</v>
      </c>
      <c r="J3064" t="n">
        <v>0</v>
      </c>
      <c r="K3064" t="n">
        <v>0</v>
      </c>
      <c r="L3064" t="n">
        <v>0</v>
      </c>
      <c r="M3064" t="n">
        <v>0</v>
      </c>
      <c r="N3064" t="n">
        <v>0</v>
      </c>
      <c r="O3064" t="n">
        <v>0</v>
      </c>
      <c r="P3064" t="n">
        <v>0</v>
      </c>
      <c r="Q3064" t="n">
        <v>0</v>
      </c>
      <c r="R3064" s="2" t="inlineStr"/>
    </row>
    <row r="3065" ht="15" customHeight="1">
      <c r="A3065" t="inlineStr">
        <is>
          <t>A 20151-2023</t>
        </is>
      </c>
      <c r="B3065" s="1" t="n">
        <v>45051</v>
      </c>
      <c r="C3065" s="1" t="n">
        <v>45724</v>
      </c>
      <c r="D3065" t="inlineStr">
        <is>
          <t>VÄSTMANLANDS LÄN</t>
        </is>
      </c>
      <c r="E3065" t="inlineStr">
        <is>
          <t>KÖPING</t>
        </is>
      </c>
      <c r="G3065" t="n">
        <v>4.7</v>
      </c>
      <c r="H3065" t="n">
        <v>0</v>
      </c>
      <c r="I3065" t="n">
        <v>0</v>
      </c>
      <c r="J3065" t="n">
        <v>0</v>
      </c>
      <c r="K3065" t="n">
        <v>0</v>
      </c>
      <c r="L3065" t="n">
        <v>0</v>
      </c>
      <c r="M3065" t="n">
        <v>0</v>
      </c>
      <c r="N3065" t="n">
        <v>0</v>
      </c>
      <c r="O3065" t="n">
        <v>0</v>
      </c>
      <c r="P3065" t="n">
        <v>0</v>
      </c>
      <c r="Q3065" t="n">
        <v>0</v>
      </c>
      <c r="R3065" s="2" t="inlineStr"/>
    </row>
    <row r="3066" ht="15" customHeight="1">
      <c r="A3066" t="inlineStr">
        <is>
          <t>A 20155-2023</t>
        </is>
      </c>
      <c r="B3066" s="1" t="n">
        <v>45051</v>
      </c>
      <c r="C3066" s="1" t="n">
        <v>45724</v>
      </c>
      <c r="D3066" t="inlineStr">
        <is>
          <t>VÄSTMANLANDS LÄN</t>
        </is>
      </c>
      <c r="E3066" t="inlineStr">
        <is>
          <t>KÖPING</t>
        </is>
      </c>
      <c r="G3066" t="n">
        <v>1.6</v>
      </c>
      <c r="H3066" t="n">
        <v>0</v>
      </c>
      <c r="I3066" t="n">
        <v>0</v>
      </c>
      <c r="J3066" t="n">
        <v>0</v>
      </c>
      <c r="K3066" t="n">
        <v>0</v>
      </c>
      <c r="L3066" t="n">
        <v>0</v>
      </c>
      <c r="M3066" t="n">
        <v>0</v>
      </c>
      <c r="N3066" t="n">
        <v>0</v>
      </c>
      <c r="O3066" t="n">
        <v>0</v>
      </c>
      <c r="P3066" t="n">
        <v>0</v>
      </c>
      <c r="Q3066" t="n">
        <v>0</v>
      </c>
      <c r="R3066" s="2" t="inlineStr"/>
    </row>
    <row r="3067" ht="15" customHeight="1">
      <c r="A3067" t="inlineStr">
        <is>
          <t>A 19916-2023</t>
        </is>
      </c>
      <c r="B3067" s="1" t="n">
        <v>45054</v>
      </c>
      <c r="C3067" s="1" t="n">
        <v>45724</v>
      </c>
      <c r="D3067" t="inlineStr">
        <is>
          <t>VÄSTMANLANDS LÄN</t>
        </is>
      </c>
      <c r="E3067" t="inlineStr">
        <is>
          <t>SALA</t>
        </is>
      </c>
      <c r="G3067" t="n">
        <v>9.9</v>
      </c>
      <c r="H3067" t="n">
        <v>0</v>
      </c>
      <c r="I3067" t="n">
        <v>0</v>
      </c>
      <c r="J3067" t="n">
        <v>0</v>
      </c>
      <c r="K3067" t="n">
        <v>0</v>
      </c>
      <c r="L3067" t="n">
        <v>0</v>
      </c>
      <c r="M3067" t="n">
        <v>0</v>
      </c>
      <c r="N3067" t="n">
        <v>0</v>
      </c>
      <c r="O3067" t="n">
        <v>0</v>
      </c>
      <c r="P3067" t="n">
        <v>0</v>
      </c>
      <c r="Q3067" t="n">
        <v>0</v>
      </c>
      <c r="R3067" s="2" t="inlineStr"/>
    </row>
    <row r="3068" ht="15" customHeight="1">
      <c r="A3068" t="inlineStr">
        <is>
          <t>A 19991-2023</t>
        </is>
      </c>
      <c r="B3068" s="1" t="n">
        <v>45054</v>
      </c>
      <c r="C3068" s="1" t="n">
        <v>45724</v>
      </c>
      <c r="D3068" t="inlineStr">
        <is>
          <t>VÄSTMANLANDS LÄN</t>
        </is>
      </c>
      <c r="E3068" t="inlineStr">
        <is>
          <t>FAGERSTA</t>
        </is>
      </c>
      <c r="G3068" t="n">
        <v>4.3</v>
      </c>
      <c r="H3068" t="n">
        <v>0</v>
      </c>
      <c r="I3068" t="n">
        <v>0</v>
      </c>
      <c r="J3068" t="n">
        <v>0</v>
      </c>
      <c r="K3068" t="n">
        <v>0</v>
      </c>
      <c r="L3068" t="n">
        <v>0</v>
      </c>
      <c r="M3068" t="n">
        <v>0</v>
      </c>
      <c r="N3068" t="n">
        <v>0</v>
      </c>
      <c r="O3068" t="n">
        <v>0</v>
      </c>
      <c r="P3068" t="n">
        <v>0</v>
      </c>
      <c r="Q3068" t="n">
        <v>0</v>
      </c>
      <c r="R3068" s="2" t="inlineStr"/>
    </row>
    <row r="3069" ht="15" customHeight="1">
      <c r="A3069" t="inlineStr">
        <is>
          <t>A 20020-2023</t>
        </is>
      </c>
      <c r="B3069" s="1" t="n">
        <v>45054</v>
      </c>
      <c r="C3069" s="1" t="n">
        <v>45724</v>
      </c>
      <c r="D3069" t="inlineStr">
        <is>
          <t>VÄSTMANLANDS LÄN</t>
        </is>
      </c>
      <c r="E3069" t="inlineStr">
        <is>
          <t>SURAHAMMAR</t>
        </is>
      </c>
      <c r="F3069" t="inlineStr">
        <is>
          <t>Sveaskog</t>
        </is>
      </c>
      <c r="G3069" t="n">
        <v>1.8</v>
      </c>
      <c r="H3069" t="n">
        <v>0</v>
      </c>
      <c r="I3069" t="n">
        <v>0</v>
      </c>
      <c r="J3069" t="n">
        <v>0</v>
      </c>
      <c r="K3069" t="n">
        <v>0</v>
      </c>
      <c r="L3069" t="n">
        <v>0</v>
      </c>
      <c r="M3069" t="n">
        <v>0</v>
      </c>
      <c r="N3069" t="n">
        <v>0</v>
      </c>
      <c r="O3069" t="n">
        <v>0</v>
      </c>
      <c r="P3069" t="n">
        <v>0</v>
      </c>
      <c r="Q3069" t="n">
        <v>0</v>
      </c>
      <c r="R3069" s="2" t="inlineStr"/>
    </row>
    <row r="3070" ht="15" customHeight="1">
      <c r="A3070" t="inlineStr">
        <is>
          <t>A 20018-2023</t>
        </is>
      </c>
      <c r="B3070" s="1" t="n">
        <v>45054</v>
      </c>
      <c r="C3070" s="1" t="n">
        <v>45724</v>
      </c>
      <c r="D3070" t="inlineStr">
        <is>
          <t>VÄSTMANLANDS LÄN</t>
        </is>
      </c>
      <c r="E3070" t="inlineStr">
        <is>
          <t>SURAHAMMAR</t>
        </is>
      </c>
      <c r="F3070" t="inlineStr">
        <is>
          <t>Sveaskog</t>
        </is>
      </c>
      <c r="G3070" t="n">
        <v>3.8</v>
      </c>
      <c r="H3070" t="n">
        <v>0</v>
      </c>
      <c r="I3070" t="n">
        <v>0</v>
      </c>
      <c r="J3070" t="n">
        <v>0</v>
      </c>
      <c r="K3070" t="n">
        <v>0</v>
      </c>
      <c r="L3070" t="n">
        <v>0</v>
      </c>
      <c r="M3070" t="n">
        <v>0</v>
      </c>
      <c r="N3070" t="n">
        <v>0</v>
      </c>
      <c r="O3070" t="n">
        <v>0</v>
      </c>
      <c r="P3070" t="n">
        <v>0</v>
      </c>
      <c r="Q3070" t="n">
        <v>0</v>
      </c>
      <c r="R3070" s="2" t="inlineStr"/>
    </row>
    <row r="3071" ht="15" customHeight="1">
      <c r="A3071" t="inlineStr">
        <is>
          <t>A 20073-2023</t>
        </is>
      </c>
      <c r="B3071" s="1" t="n">
        <v>45054</v>
      </c>
      <c r="C3071" s="1" t="n">
        <v>45724</v>
      </c>
      <c r="D3071" t="inlineStr">
        <is>
          <t>VÄSTMANLANDS LÄN</t>
        </is>
      </c>
      <c r="E3071" t="inlineStr">
        <is>
          <t>SKINNSKATTEBERG</t>
        </is>
      </c>
      <c r="F3071" t="inlineStr">
        <is>
          <t>Sveaskog</t>
        </is>
      </c>
      <c r="G3071" t="n">
        <v>2.4</v>
      </c>
      <c r="H3071" t="n">
        <v>0</v>
      </c>
      <c r="I3071" t="n">
        <v>0</v>
      </c>
      <c r="J3071" t="n">
        <v>0</v>
      </c>
      <c r="K3071" t="n">
        <v>0</v>
      </c>
      <c r="L3071" t="n">
        <v>0</v>
      </c>
      <c r="M3071" t="n">
        <v>0</v>
      </c>
      <c r="N3071" t="n">
        <v>0</v>
      </c>
      <c r="O3071" t="n">
        <v>0</v>
      </c>
      <c r="P3071" t="n">
        <v>0</v>
      </c>
      <c r="Q3071" t="n">
        <v>0</v>
      </c>
      <c r="R3071" s="2" t="inlineStr"/>
    </row>
    <row r="3072" ht="15" customHeight="1">
      <c r="A3072" t="inlineStr">
        <is>
          <t>A 20071-2023</t>
        </is>
      </c>
      <c r="B3072" s="1" t="n">
        <v>45054</v>
      </c>
      <c r="C3072" s="1" t="n">
        <v>45724</v>
      </c>
      <c r="D3072" t="inlineStr">
        <is>
          <t>VÄSTMANLANDS LÄN</t>
        </is>
      </c>
      <c r="E3072" t="inlineStr">
        <is>
          <t>FAGERSTA</t>
        </is>
      </c>
      <c r="F3072" t="inlineStr">
        <is>
          <t>Sveaskog</t>
        </is>
      </c>
      <c r="G3072" t="n">
        <v>2.2</v>
      </c>
      <c r="H3072" t="n">
        <v>0</v>
      </c>
      <c r="I3072" t="n">
        <v>0</v>
      </c>
      <c r="J3072" t="n">
        <v>0</v>
      </c>
      <c r="K3072" t="n">
        <v>0</v>
      </c>
      <c r="L3072" t="n">
        <v>0</v>
      </c>
      <c r="M3072" t="n">
        <v>0</v>
      </c>
      <c r="N3072" t="n">
        <v>0</v>
      </c>
      <c r="O3072" t="n">
        <v>0</v>
      </c>
      <c r="P3072" t="n">
        <v>0</v>
      </c>
      <c r="Q3072" t="n">
        <v>0</v>
      </c>
      <c r="R3072" s="2" t="inlineStr"/>
    </row>
    <row r="3073" ht="15" customHeight="1">
      <c r="A3073" t="inlineStr">
        <is>
          <t>A 20072-2023</t>
        </is>
      </c>
      <c r="B3073" s="1" t="n">
        <v>45054</v>
      </c>
      <c r="C3073" s="1" t="n">
        <v>45724</v>
      </c>
      <c r="D3073" t="inlineStr">
        <is>
          <t>VÄSTMANLANDS LÄN</t>
        </is>
      </c>
      <c r="E3073" t="inlineStr">
        <is>
          <t>SKINNSKATTEBERG</t>
        </is>
      </c>
      <c r="F3073" t="inlineStr">
        <is>
          <t>Sveaskog</t>
        </is>
      </c>
      <c r="G3073" t="n">
        <v>2.1</v>
      </c>
      <c r="H3073" t="n">
        <v>0</v>
      </c>
      <c r="I3073" t="n">
        <v>0</v>
      </c>
      <c r="J3073" t="n">
        <v>0</v>
      </c>
      <c r="K3073" t="n">
        <v>0</v>
      </c>
      <c r="L3073" t="n">
        <v>0</v>
      </c>
      <c r="M3073" t="n">
        <v>0</v>
      </c>
      <c r="N3073" t="n">
        <v>0</v>
      </c>
      <c r="O3073" t="n">
        <v>0</v>
      </c>
      <c r="P3073" t="n">
        <v>0</v>
      </c>
      <c r="Q3073" t="n">
        <v>0</v>
      </c>
      <c r="R3073" s="2" t="inlineStr"/>
    </row>
    <row r="3074" ht="15" customHeight="1">
      <c r="A3074" t="inlineStr">
        <is>
          <t>A 20019-2023</t>
        </is>
      </c>
      <c r="B3074" s="1" t="n">
        <v>45054</v>
      </c>
      <c r="C3074" s="1" t="n">
        <v>45724</v>
      </c>
      <c r="D3074" t="inlineStr">
        <is>
          <t>VÄSTMANLANDS LÄN</t>
        </is>
      </c>
      <c r="E3074" t="inlineStr">
        <is>
          <t>SURAHAMMAR</t>
        </is>
      </c>
      <c r="F3074" t="inlineStr">
        <is>
          <t>Sveaskog</t>
        </is>
      </c>
      <c r="G3074" t="n">
        <v>18.5</v>
      </c>
      <c r="H3074" t="n">
        <v>0</v>
      </c>
      <c r="I3074" t="n">
        <v>0</v>
      </c>
      <c r="J3074" t="n">
        <v>0</v>
      </c>
      <c r="K3074" t="n">
        <v>0</v>
      </c>
      <c r="L3074" t="n">
        <v>0</v>
      </c>
      <c r="M3074" t="n">
        <v>0</v>
      </c>
      <c r="N3074" t="n">
        <v>0</v>
      </c>
      <c r="O3074" t="n">
        <v>0</v>
      </c>
      <c r="P3074" t="n">
        <v>0</v>
      </c>
      <c r="Q3074" t="n">
        <v>0</v>
      </c>
      <c r="R3074" s="2" t="inlineStr"/>
    </row>
    <row r="3075" ht="15" customHeight="1">
      <c r="A3075" t="inlineStr">
        <is>
          <t>A 20023-2023</t>
        </is>
      </c>
      <c r="B3075" s="1" t="n">
        <v>45054</v>
      </c>
      <c r="C3075" s="1" t="n">
        <v>45724</v>
      </c>
      <c r="D3075" t="inlineStr">
        <is>
          <t>VÄSTMANLANDS LÄN</t>
        </is>
      </c>
      <c r="E3075" t="inlineStr">
        <is>
          <t>SURAHAMMAR</t>
        </is>
      </c>
      <c r="F3075" t="inlineStr">
        <is>
          <t>Sveaskog</t>
        </is>
      </c>
      <c r="G3075" t="n">
        <v>7.8</v>
      </c>
      <c r="H3075" t="n">
        <v>0</v>
      </c>
      <c r="I3075" t="n">
        <v>0</v>
      </c>
      <c r="J3075" t="n">
        <v>0</v>
      </c>
      <c r="K3075" t="n">
        <v>0</v>
      </c>
      <c r="L3075" t="n">
        <v>0</v>
      </c>
      <c r="M3075" t="n">
        <v>0</v>
      </c>
      <c r="N3075" t="n">
        <v>0</v>
      </c>
      <c r="O3075" t="n">
        <v>0</v>
      </c>
      <c r="P3075" t="n">
        <v>0</v>
      </c>
      <c r="Q3075" t="n">
        <v>0</v>
      </c>
      <c r="R3075" s="2" t="inlineStr"/>
    </row>
    <row r="3076" ht="15" customHeight="1">
      <c r="A3076" t="inlineStr">
        <is>
          <t>A 20074-2023</t>
        </is>
      </c>
      <c r="B3076" s="1" t="n">
        <v>45054</v>
      </c>
      <c r="C3076" s="1" t="n">
        <v>45724</v>
      </c>
      <c r="D3076" t="inlineStr">
        <is>
          <t>VÄSTMANLANDS LÄN</t>
        </is>
      </c>
      <c r="E3076" t="inlineStr">
        <is>
          <t>SKINNSKATTEBERG</t>
        </is>
      </c>
      <c r="F3076" t="inlineStr">
        <is>
          <t>Sveaskog</t>
        </is>
      </c>
      <c r="G3076" t="n">
        <v>0.5</v>
      </c>
      <c r="H3076" t="n">
        <v>0</v>
      </c>
      <c r="I3076" t="n">
        <v>0</v>
      </c>
      <c r="J3076" t="n">
        <v>0</v>
      </c>
      <c r="K3076" t="n">
        <v>0</v>
      </c>
      <c r="L3076" t="n">
        <v>0</v>
      </c>
      <c r="M3076" t="n">
        <v>0</v>
      </c>
      <c r="N3076" t="n">
        <v>0</v>
      </c>
      <c r="O3076" t="n">
        <v>0</v>
      </c>
      <c r="P3076" t="n">
        <v>0</v>
      </c>
      <c r="Q3076" t="n">
        <v>0</v>
      </c>
      <c r="R3076" s="2" t="inlineStr"/>
    </row>
    <row r="3077" ht="15" customHeight="1">
      <c r="A3077" t="inlineStr">
        <is>
          <t>A 20197-2023</t>
        </is>
      </c>
      <c r="B3077" s="1" t="n">
        <v>45055</v>
      </c>
      <c r="C3077" s="1" t="n">
        <v>45724</v>
      </c>
      <c r="D3077" t="inlineStr">
        <is>
          <t>VÄSTMANLANDS LÄN</t>
        </is>
      </c>
      <c r="E3077" t="inlineStr">
        <is>
          <t>KUNGSÖR</t>
        </is>
      </c>
      <c r="G3077" t="n">
        <v>3.5</v>
      </c>
      <c r="H3077" t="n">
        <v>0</v>
      </c>
      <c r="I3077" t="n">
        <v>0</v>
      </c>
      <c r="J3077" t="n">
        <v>0</v>
      </c>
      <c r="K3077" t="n">
        <v>0</v>
      </c>
      <c r="L3077" t="n">
        <v>0</v>
      </c>
      <c r="M3077" t="n">
        <v>0</v>
      </c>
      <c r="N3077" t="n">
        <v>0</v>
      </c>
      <c r="O3077" t="n">
        <v>0</v>
      </c>
      <c r="P3077" t="n">
        <v>0</v>
      </c>
      <c r="Q3077" t="n">
        <v>0</v>
      </c>
      <c r="R3077" s="2" t="inlineStr"/>
    </row>
    <row r="3078" ht="15" customHeight="1">
      <c r="A3078" t="inlineStr">
        <is>
          <t>A 20568-2023</t>
        </is>
      </c>
      <c r="B3078" s="1" t="n">
        <v>45055</v>
      </c>
      <c r="C3078" s="1" t="n">
        <v>45724</v>
      </c>
      <c r="D3078" t="inlineStr">
        <is>
          <t>VÄSTMANLANDS LÄN</t>
        </is>
      </c>
      <c r="E3078" t="inlineStr">
        <is>
          <t>SALA</t>
        </is>
      </c>
      <c r="G3078" t="n">
        <v>2.2</v>
      </c>
      <c r="H3078" t="n">
        <v>0</v>
      </c>
      <c r="I3078" t="n">
        <v>0</v>
      </c>
      <c r="J3078" t="n">
        <v>0</v>
      </c>
      <c r="K3078" t="n">
        <v>0</v>
      </c>
      <c r="L3078" t="n">
        <v>0</v>
      </c>
      <c r="M3078" t="n">
        <v>0</v>
      </c>
      <c r="N3078" t="n">
        <v>0</v>
      </c>
      <c r="O3078" t="n">
        <v>0</v>
      </c>
      <c r="P3078" t="n">
        <v>0</v>
      </c>
      <c r="Q3078" t="n">
        <v>0</v>
      </c>
      <c r="R3078" s="2" t="inlineStr"/>
    </row>
    <row r="3079" ht="15" customHeight="1">
      <c r="A3079" t="inlineStr">
        <is>
          <t>A 20567-2023</t>
        </is>
      </c>
      <c r="B3079" s="1" t="n">
        <v>45055</v>
      </c>
      <c r="C3079" s="1" t="n">
        <v>45724</v>
      </c>
      <c r="D3079" t="inlineStr">
        <is>
          <t>VÄSTMANLANDS LÄN</t>
        </is>
      </c>
      <c r="E3079" t="inlineStr">
        <is>
          <t>SALA</t>
        </is>
      </c>
      <c r="G3079" t="n">
        <v>1.4</v>
      </c>
      <c r="H3079" t="n">
        <v>0</v>
      </c>
      <c r="I3079" t="n">
        <v>0</v>
      </c>
      <c r="J3079" t="n">
        <v>0</v>
      </c>
      <c r="K3079" t="n">
        <v>0</v>
      </c>
      <c r="L3079" t="n">
        <v>0</v>
      </c>
      <c r="M3079" t="n">
        <v>0</v>
      </c>
      <c r="N3079" t="n">
        <v>0</v>
      </c>
      <c r="O3079" t="n">
        <v>0</v>
      </c>
      <c r="P3079" t="n">
        <v>0</v>
      </c>
      <c r="Q3079" t="n">
        <v>0</v>
      </c>
      <c r="R3079" s="2" t="inlineStr"/>
    </row>
    <row r="3080" ht="15" customHeight="1">
      <c r="A3080" t="inlineStr">
        <is>
          <t>A 20381-2023</t>
        </is>
      </c>
      <c r="B3080" s="1" t="n">
        <v>45056</v>
      </c>
      <c r="C3080" s="1" t="n">
        <v>45724</v>
      </c>
      <c r="D3080" t="inlineStr">
        <is>
          <t>VÄSTMANLANDS LÄN</t>
        </is>
      </c>
      <c r="E3080" t="inlineStr">
        <is>
          <t>NORBERG</t>
        </is>
      </c>
      <c r="G3080" t="n">
        <v>0.5</v>
      </c>
      <c r="H3080" t="n">
        <v>0</v>
      </c>
      <c r="I3080" t="n">
        <v>0</v>
      </c>
      <c r="J3080" t="n">
        <v>0</v>
      </c>
      <c r="K3080" t="n">
        <v>0</v>
      </c>
      <c r="L3080" t="n">
        <v>0</v>
      </c>
      <c r="M3080" t="n">
        <v>0</v>
      </c>
      <c r="N3080" t="n">
        <v>0</v>
      </c>
      <c r="O3080" t="n">
        <v>0</v>
      </c>
      <c r="P3080" t="n">
        <v>0</v>
      </c>
      <c r="Q3080" t="n">
        <v>0</v>
      </c>
      <c r="R3080" s="2" t="inlineStr"/>
    </row>
    <row r="3081" ht="15" customHeight="1">
      <c r="A3081" t="inlineStr">
        <is>
          <t>A 20405-2023</t>
        </is>
      </c>
      <c r="B3081" s="1" t="n">
        <v>45056</v>
      </c>
      <c r="C3081" s="1" t="n">
        <v>45724</v>
      </c>
      <c r="D3081" t="inlineStr">
        <is>
          <t>VÄSTMANLANDS LÄN</t>
        </is>
      </c>
      <c r="E3081" t="inlineStr">
        <is>
          <t>SALA</t>
        </is>
      </c>
      <c r="G3081" t="n">
        <v>2</v>
      </c>
      <c r="H3081" t="n">
        <v>0</v>
      </c>
      <c r="I3081" t="n">
        <v>0</v>
      </c>
      <c r="J3081" t="n">
        <v>0</v>
      </c>
      <c r="K3081" t="n">
        <v>0</v>
      </c>
      <c r="L3081" t="n">
        <v>0</v>
      </c>
      <c r="M3081" t="n">
        <v>0</v>
      </c>
      <c r="N3081" t="n">
        <v>0</v>
      </c>
      <c r="O3081" t="n">
        <v>0</v>
      </c>
      <c r="P3081" t="n">
        <v>0</v>
      </c>
      <c r="Q3081" t="n">
        <v>0</v>
      </c>
      <c r="R3081" s="2" t="inlineStr"/>
    </row>
    <row r="3082" ht="15" customHeight="1">
      <c r="A3082" t="inlineStr">
        <is>
          <t>A 20429-2023</t>
        </is>
      </c>
      <c r="B3082" s="1" t="n">
        <v>45056</v>
      </c>
      <c r="C3082" s="1" t="n">
        <v>45724</v>
      </c>
      <c r="D3082" t="inlineStr">
        <is>
          <t>VÄSTMANLANDS LÄN</t>
        </is>
      </c>
      <c r="E3082" t="inlineStr">
        <is>
          <t>SURAHAMMAR</t>
        </is>
      </c>
      <c r="G3082" t="n">
        <v>5</v>
      </c>
      <c r="H3082" t="n">
        <v>0</v>
      </c>
      <c r="I3082" t="n">
        <v>0</v>
      </c>
      <c r="J3082" t="n">
        <v>0</v>
      </c>
      <c r="K3082" t="n">
        <v>0</v>
      </c>
      <c r="L3082" t="n">
        <v>0</v>
      </c>
      <c r="M3082" t="n">
        <v>0</v>
      </c>
      <c r="N3082" t="n">
        <v>0</v>
      </c>
      <c r="O3082" t="n">
        <v>0</v>
      </c>
      <c r="P3082" t="n">
        <v>0</v>
      </c>
      <c r="Q3082" t="n">
        <v>0</v>
      </c>
      <c r="R3082" s="2" t="inlineStr"/>
    </row>
    <row r="3083" ht="15" customHeight="1">
      <c r="A3083" t="inlineStr">
        <is>
          <t>A 20378-2023</t>
        </is>
      </c>
      <c r="B3083" s="1" t="n">
        <v>45056</v>
      </c>
      <c r="C3083" s="1" t="n">
        <v>45724</v>
      </c>
      <c r="D3083" t="inlineStr">
        <is>
          <t>VÄSTMANLANDS LÄN</t>
        </is>
      </c>
      <c r="E3083" t="inlineStr">
        <is>
          <t>NORBERG</t>
        </is>
      </c>
      <c r="G3083" t="n">
        <v>5.8</v>
      </c>
      <c r="H3083" t="n">
        <v>0</v>
      </c>
      <c r="I3083" t="n">
        <v>0</v>
      </c>
      <c r="J3083" t="n">
        <v>0</v>
      </c>
      <c r="K3083" t="n">
        <v>0</v>
      </c>
      <c r="L3083" t="n">
        <v>0</v>
      </c>
      <c r="M3083" t="n">
        <v>0</v>
      </c>
      <c r="N3083" t="n">
        <v>0</v>
      </c>
      <c r="O3083" t="n">
        <v>0</v>
      </c>
      <c r="P3083" t="n">
        <v>0</v>
      </c>
      <c r="Q3083" t="n">
        <v>0</v>
      </c>
      <c r="R3083" s="2" t="inlineStr"/>
    </row>
    <row r="3084" ht="15" customHeight="1">
      <c r="A3084" t="inlineStr">
        <is>
          <t>A 20430-2023</t>
        </is>
      </c>
      <c r="B3084" s="1" t="n">
        <v>45056</v>
      </c>
      <c r="C3084" s="1" t="n">
        <v>45724</v>
      </c>
      <c r="D3084" t="inlineStr">
        <is>
          <t>VÄSTMANLANDS LÄN</t>
        </is>
      </c>
      <c r="E3084" t="inlineStr">
        <is>
          <t>SKINNSKATTEBERG</t>
        </is>
      </c>
      <c r="F3084" t="inlineStr">
        <is>
          <t>Sveaskog</t>
        </is>
      </c>
      <c r="G3084" t="n">
        <v>0.8</v>
      </c>
      <c r="H3084" t="n">
        <v>0</v>
      </c>
      <c r="I3084" t="n">
        <v>0</v>
      </c>
      <c r="J3084" t="n">
        <v>0</v>
      </c>
      <c r="K3084" t="n">
        <v>0</v>
      </c>
      <c r="L3084" t="n">
        <v>0</v>
      </c>
      <c r="M3084" t="n">
        <v>0</v>
      </c>
      <c r="N3084" t="n">
        <v>0</v>
      </c>
      <c r="O3084" t="n">
        <v>0</v>
      </c>
      <c r="P3084" t="n">
        <v>0</v>
      </c>
      <c r="Q3084" t="n">
        <v>0</v>
      </c>
      <c r="R3084" s="2" t="inlineStr"/>
    </row>
    <row r="3085" ht="15" customHeight="1">
      <c r="A3085" t="inlineStr">
        <is>
          <t>A 20587-2023</t>
        </is>
      </c>
      <c r="B3085" s="1" t="n">
        <v>45057</v>
      </c>
      <c r="C3085" s="1" t="n">
        <v>45724</v>
      </c>
      <c r="D3085" t="inlineStr">
        <is>
          <t>VÄSTMANLANDS LÄN</t>
        </is>
      </c>
      <c r="E3085" t="inlineStr">
        <is>
          <t>SALA</t>
        </is>
      </c>
      <c r="G3085" t="n">
        <v>1</v>
      </c>
      <c r="H3085" t="n">
        <v>0</v>
      </c>
      <c r="I3085" t="n">
        <v>0</v>
      </c>
      <c r="J3085" t="n">
        <v>0</v>
      </c>
      <c r="K3085" t="n">
        <v>0</v>
      </c>
      <c r="L3085" t="n">
        <v>0</v>
      </c>
      <c r="M3085" t="n">
        <v>0</v>
      </c>
      <c r="N3085" t="n">
        <v>0</v>
      </c>
      <c r="O3085" t="n">
        <v>0</v>
      </c>
      <c r="P3085" t="n">
        <v>0</v>
      </c>
      <c r="Q3085" t="n">
        <v>0</v>
      </c>
      <c r="R3085" s="2" t="inlineStr"/>
    </row>
    <row r="3086" ht="15" customHeight="1">
      <c r="A3086" t="inlineStr">
        <is>
          <t>A 20816-2023</t>
        </is>
      </c>
      <c r="B3086" s="1" t="n">
        <v>45058</v>
      </c>
      <c r="C3086" s="1" t="n">
        <v>45724</v>
      </c>
      <c r="D3086" t="inlineStr">
        <is>
          <t>VÄSTMANLANDS LÄN</t>
        </is>
      </c>
      <c r="E3086" t="inlineStr">
        <is>
          <t>SKINNSKATTEBERG</t>
        </is>
      </c>
      <c r="F3086" t="inlineStr">
        <is>
          <t>Sveaskog</t>
        </is>
      </c>
      <c r="G3086" t="n">
        <v>2.4</v>
      </c>
      <c r="H3086" t="n">
        <v>0</v>
      </c>
      <c r="I3086" t="n">
        <v>0</v>
      </c>
      <c r="J3086" t="n">
        <v>0</v>
      </c>
      <c r="K3086" t="n">
        <v>0</v>
      </c>
      <c r="L3086" t="n">
        <v>0</v>
      </c>
      <c r="M3086" t="n">
        <v>0</v>
      </c>
      <c r="N3086" t="n">
        <v>0</v>
      </c>
      <c r="O3086" t="n">
        <v>0</v>
      </c>
      <c r="P3086" t="n">
        <v>0</v>
      </c>
      <c r="Q3086" t="n">
        <v>0</v>
      </c>
      <c r="R3086" s="2" t="inlineStr"/>
    </row>
    <row r="3087" ht="15" customHeight="1">
      <c r="A3087" t="inlineStr">
        <is>
          <t>A 20833-2023</t>
        </is>
      </c>
      <c r="B3087" s="1" t="n">
        <v>45058</v>
      </c>
      <c r="C3087" s="1" t="n">
        <v>45724</v>
      </c>
      <c r="D3087" t="inlineStr">
        <is>
          <t>VÄSTMANLANDS LÄN</t>
        </is>
      </c>
      <c r="E3087" t="inlineStr">
        <is>
          <t>SKINNSKATTEBERG</t>
        </is>
      </c>
      <c r="F3087" t="inlineStr">
        <is>
          <t>Sveaskog</t>
        </is>
      </c>
      <c r="G3087" t="n">
        <v>5.9</v>
      </c>
      <c r="H3087" t="n">
        <v>0</v>
      </c>
      <c r="I3087" t="n">
        <v>0</v>
      </c>
      <c r="J3087" t="n">
        <v>0</v>
      </c>
      <c r="K3087" t="n">
        <v>0</v>
      </c>
      <c r="L3087" t="n">
        <v>0</v>
      </c>
      <c r="M3087" t="n">
        <v>0</v>
      </c>
      <c r="N3087" t="n">
        <v>0</v>
      </c>
      <c r="O3087" t="n">
        <v>0</v>
      </c>
      <c r="P3087" t="n">
        <v>0</v>
      </c>
      <c r="Q3087" t="n">
        <v>0</v>
      </c>
      <c r="R3087" s="2" t="inlineStr"/>
    </row>
    <row r="3088" ht="15" customHeight="1">
      <c r="A3088" t="inlineStr">
        <is>
          <t>A 20789-2023</t>
        </is>
      </c>
      <c r="B3088" s="1" t="n">
        <v>45058</v>
      </c>
      <c r="C3088" s="1" t="n">
        <v>45724</v>
      </c>
      <c r="D3088" t="inlineStr">
        <is>
          <t>VÄSTMANLANDS LÄN</t>
        </is>
      </c>
      <c r="E3088" t="inlineStr">
        <is>
          <t>ARBOGA</t>
        </is>
      </c>
      <c r="G3088" t="n">
        <v>4.2</v>
      </c>
      <c r="H3088" t="n">
        <v>0</v>
      </c>
      <c r="I3088" t="n">
        <v>0</v>
      </c>
      <c r="J3088" t="n">
        <v>0</v>
      </c>
      <c r="K3088" t="n">
        <v>0</v>
      </c>
      <c r="L3088" t="n">
        <v>0</v>
      </c>
      <c r="M3088" t="n">
        <v>0</v>
      </c>
      <c r="N3088" t="n">
        <v>0</v>
      </c>
      <c r="O3088" t="n">
        <v>0</v>
      </c>
      <c r="P3088" t="n">
        <v>0</v>
      </c>
      <c r="Q3088" t="n">
        <v>0</v>
      </c>
      <c r="R3088" s="2" t="inlineStr"/>
    </row>
    <row r="3089" ht="15" customHeight="1">
      <c r="A3089" t="inlineStr">
        <is>
          <t>A 20812-2023</t>
        </is>
      </c>
      <c r="B3089" s="1" t="n">
        <v>45058</v>
      </c>
      <c r="C3089" s="1" t="n">
        <v>45724</v>
      </c>
      <c r="D3089" t="inlineStr">
        <is>
          <t>VÄSTMANLANDS LÄN</t>
        </is>
      </c>
      <c r="E3089" t="inlineStr">
        <is>
          <t>KÖPING</t>
        </is>
      </c>
      <c r="G3089" t="n">
        <v>1.7</v>
      </c>
      <c r="H3089" t="n">
        <v>0</v>
      </c>
      <c r="I3089" t="n">
        <v>0</v>
      </c>
      <c r="J3089" t="n">
        <v>0</v>
      </c>
      <c r="K3089" t="n">
        <v>0</v>
      </c>
      <c r="L3089" t="n">
        <v>0</v>
      </c>
      <c r="M3089" t="n">
        <v>0</v>
      </c>
      <c r="N3089" t="n">
        <v>0</v>
      </c>
      <c r="O3089" t="n">
        <v>0</v>
      </c>
      <c r="P3089" t="n">
        <v>0</v>
      </c>
      <c r="Q3089" t="n">
        <v>0</v>
      </c>
      <c r="R3089" s="2" t="inlineStr"/>
    </row>
    <row r="3090" ht="15" customHeight="1">
      <c r="A3090" t="inlineStr">
        <is>
          <t>A 21455-2023</t>
        </is>
      </c>
      <c r="B3090" s="1" t="n">
        <v>45058</v>
      </c>
      <c r="C3090" s="1" t="n">
        <v>45724</v>
      </c>
      <c r="D3090" t="inlineStr">
        <is>
          <t>VÄSTMANLANDS LÄN</t>
        </is>
      </c>
      <c r="E3090" t="inlineStr">
        <is>
          <t>SALA</t>
        </is>
      </c>
      <c r="G3090" t="n">
        <v>6.4</v>
      </c>
      <c r="H3090" t="n">
        <v>0</v>
      </c>
      <c r="I3090" t="n">
        <v>0</v>
      </c>
      <c r="J3090" t="n">
        <v>0</v>
      </c>
      <c r="K3090" t="n">
        <v>0</v>
      </c>
      <c r="L3090" t="n">
        <v>0</v>
      </c>
      <c r="M3090" t="n">
        <v>0</v>
      </c>
      <c r="N3090" t="n">
        <v>0</v>
      </c>
      <c r="O3090" t="n">
        <v>0</v>
      </c>
      <c r="P3090" t="n">
        <v>0</v>
      </c>
      <c r="Q3090" t="n">
        <v>0</v>
      </c>
      <c r="R3090" s="2" t="inlineStr"/>
    </row>
    <row r="3091" ht="15" customHeight="1">
      <c r="A3091" t="inlineStr">
        <is>
          <t>A 20904-2023</t>
        </is>
      </c>
      <c r="B3091" s="1" t="n">
        <v>45060</v>
      </c>
      <c r="C3091" s="1" t="n">
        <v>45724</v>
      </c>
      <c r="D3091" t="inlineStr">
        <is>
          <t>VÄSTMANLANDS LÄN</t>
        </is>
      </c>
      <c r="E3091" t="inlineStr">
        <is>
          <t>SURAHAMMAR</t>
        </is>
      </c>
      <c r="F3091" t="inlineStr">
        <is>
          <t>Sveaskog</t>
        </is>
      </c>
      <c r="G3091" t="n">
        <v>1.7</v>
      </c>
      <c r="H3091" t="n">
        <v>0</v>
      </c>
      <c r="I3091" t="n">
        <v>0</v>
      </c>
      <c r="J3091" t="n">
        <v>0</v>
      </c>
      <c r="K3091" t="n">
        <v>0</v>
      </c>
      <c r="L3091" t="n">
        <v>0</v>
      </c>
      <c r="M3091" t="n">
        <v>0</v>
      </c>
      <c r="N3091" t="n">
        <v>0</v>
      </c>
      <c r="O3091" t="n">
        <v>0</v>
      </c>
      <c r="P3091" t="n">
        <v>0</v>
      </c>
      <c r="Q3091" t="n">
        <v>0</v>
      </c>
      <c r="R3091" s="2" t="inlineStr"/>
    </row>
    <row r="3092" ht="15" customHeight="1">
      <c r="A3092" t="inlineStr">
        <is>
          <t>A 21497-2023</t>
        </is>
      </c>
      <c r="B3092" s="1" t="n">
        <v>45063</v>
      </c>
      <c r="C3092" s="1" t="n">
        <v>45724</v>
      </c>
      <c r="D3092" t="inlineStr">
        <is>
          <t>VÄSTMANLANDS LÄN</t>
        </is>
      </c>
      <c r="E3092" t="inlineStr">
        <is>
          <t>SKINNSKATTEBERG</t>
        </is>
      </c>
      <c r="F3092" t="inlineStr">
        <is>
          <t>Sveaskog</t>
        </is>
      </c>
      <c r="G3092" t="n">
        <v>5.7</v>
      </c>
      <c r="H3092" t="n">
        <v>0</v>
      </c>
      <c r="I3092" t="n">
        <v>0</v>
      </c>
      <c r="J3092" t="n">
        <v>0</v>
      </c>
      <c r="K3092" t="n">
        <v>0</v>
      </c>
      <c r="L3092" t="n">
        <v>0</v>
      </c>
      <c r="M3092" t="n">
        <v>0</v>
      </c>
      <c r="N3092" t="n">
        <v>0</v>
      </c>
      <c r="O3092" t="n">
        <v>0</v>
      </c>
      <c r="P3092" t="n">
        <v>0</v>
      </c>
      <c r="Q3092" t="n">
        <v>0</v>
      </c>
      <c r="R3092" s="2" t="inlineStr"/>
    </row>
    <row r="3093" ht="15" customHeight="1">
      <c r="A3093" t="inlineStr">
        <is>
          <t>A 21558-2023</t>
        </is>
      </c>
      <c r="B3093" s="1" t="n">
        <v>45063</v>
      </c>
      <c r="C3093" s="1" t="n">
        <v>45724</v>
      </c>
      <c r="D3093" t="inlineStr">
        <is>
          <t>VÄSTMANLANDS LÄN</t>
        </is>
      </c>
      <c r="E3093" t="inlineStr">
        <is>
          <t>SKINNSKATTEBERG</t>
        </is>
      </c>
      <c r="G3093" t="n">
        <v>6.5</v>
      </c>
      <c r="H3093" t="n">
        <v>0</v>
      </c>
      <c r="I3093" t="n">
        <v>0</v>
      </c>
      <c r="J3093" t="n">
        <v>0</v>
      </c>
      <c r="K3093" t="n">
        <v>0</v>
      </c>
      <c r="L3093" t="n">
        <v>0</v>
      </c>
      <c r="M3093" t="n">
        <v>0</v>
      </c>
      <c r="N3093" t="n">
        <v>0</v>
      </c>
      <c r="O3093" t="n">
        <v>0</v>
      </c>
      <c r="P3093" t="n">
        <v>0</v>
      </c>
      <c r="Q3093" t="n">
        <v>0</v>
      </c>
      <c r="R3093" s="2" t="inlineStr"/>
    </row>
    <row r="3094" ht="15" customHeight="1">
      <c r="A3094" t="inlineStr">
        <is>
          <t>A 21528-2023</t>
        </is>
      </c>
      <c r="B3094" s="1" t="n">
        <v>45063</v>
      </c>
      <c r="C3094" s="1" t="n">
        <v>45724</v>
      </c>
      <c r="D3094" t="inlineStr">
        <is>
          <t>VÄSTMANLANDS LÄN</t>
        </is>
      </c>
      <c r="E3094" t="inlineStr">
        <is>
          <t>NORBERG</t>
        </is>
      </c>
      <c r="G3094" t="n">
        <v>2.8</v>
      </c>
      <c r="H3094" t="n">
        <v>0</v>
      </c>
      <c r="I3094" t="n">
        <v>0</v>
      </c>
      <c r="J3094" t="n">
        <v>0</v>
      </c>
      <c r="K3094" t="n">
        <v>0</v>
      </c>
      <c r="L3094" t="n">
        <v>0</v>
      </c>
      <c r="M3094" t="n">
        <v>0</v>
      </c>
      <c r="N3094" t="n">
        <v>0</v>
      </c>
      <c r="O3094" t="n">
        <v>0</v>
      </c>
      <c r="P3094" t="n">
        <v>0</v>
      </c>
      <c r="Q3094" t="n">
        <v>0</v>
      </c>
      <c r="R3094" s="2" t="inlineStr"/>
    </row>
    <row r="3095" ht="15" customHeight="1">
      <c r="A3095" t="inlineStr">
        <is>
          <t>A 21543-2023</t>
        </is>
      </c>
      <c r="B3095" s="1" t="n">
        <v>45063</v>
      </c>
      <c r="C3095" s="1" t="n">
        <v>45724</v>
      </c>
      <c r="D3095" t="inlineStr">
        <is>
          <t>VÄSTMANLANDS LÄN</t>
        </is>
      </c>
      <c r="E3095" t="inlineStr">
        <is>
          <t>NORBERG</t>
        </is>
      </c>
      <c r="G3095" t="n">
        <v>2.8</v>
      </c>
      <c r="H3095" t="n">
        <v>0</v>
      </c>
      <c r="I3095" t="n">
        <v>0</v>
      </c>
      <c r="J3095" t="n">
        <v>0</v>
      </c>
      <c r="K3095" t="n">
        <v>0</v>
      </c>
      <c r="L3095" t="n">
        <v>0</v>
      </c>
      <c r="M3095" t="n">
        <v>0</v>
      </c>
      <c r="N3095" t="n">
        <v>0</v>
      </c>
      <c r="O3095" t="n">
        <v>0</v>
      </c>
      <c r="P3095" t="n">
        <v>0</v>
      </c>
      <c r="Q3095" t="n">
        <v>0</v>
      </c>
      <c r="R3095" s="2" t="inlineStr"/>
    </row>
    <row r="3096" ht="15" customHeight="1">
      <c r="A3096" t="inlineStr">
        <is>
          <t>A 21566-2023</t>
        </is>
      </c>
      <c r="B3096" s="1" t="n">
        <v>45063</v>
      </c>
      <c r="C3096" s="1" t="n">
        <v>45724</v>
      </c>
      <c r="D3096" t="inlineStr">
        <is>
          <t>VÄSTMANLANDS LÄN</t>
        </is>
      </c>
      <c r="E3096" t="inlineStr">
        <is>
          <t>SKINNSKATTEBERG</t>
        </is>
      </c>
      <c r="G3096" t="n">
        <v>3.6</v>
      </c>
      <c r="H3096" t="n">
        <v>0</v>
      </c>
      <c r="I3096" t="n">
        <v>0</v>
      </c>
      <c r="J3096" t="n">
        <v>0</v>
      </c>
      <c r="K3096" t="n">
        <v>0</v>
      </c>
      <c r="L3096" t="n">
        <v>0</v>
      </c>
      <c r="M3096" t="n">
        <v>0</v>
      </c>
      <c r="N3096" t="n">
        <v>0</v>
      </c>
      <c r="O3096" t="n">
        <v>0</v>
      </c>
      <c r="P3096" t="n">
        <v>0</v>
      </c>
      <c r="Q3096" t="n">
        <v>0</v>
      </c>
      <c r="R3096" s="2" t="inlineStr"/>
    </row>
    <row r="3097" ht="15" customHeight="1">
      <c r="A3097" t="inlineStr">
        <is>
          <t>A 21571-2023</t>
        </is>
      </c>
      <c r="B3097" s="1" t="n">
        <v>45063</v>
      </c>
      <c r="C3097" s="1" t="n">
        <v>45724</v>
      </c>
      <c r="D3097" t="inlineStr">
        <is>
          <t>VÄSTMANLANDS LÄN</t>
        </is>
      </c>
      <c r="E3097" t="inlineStr">
        <is>
          <t>SKINNSKATTEBERG</t>
        </is>
      </c>
      <c r="G3097" t="n">
        <v>1.2</v>
      </c>
      <c r="H3097" t="n">
        <v>0</v>
      </c>
      <c r="I3097" t="n">
        <v>0</v>
      </c>
      <c r="J3097" t="n">
        <v>0</v>
      </c>
      <c r="K3097" t="n">
        <v>0</v>
      </c>
      <c r="L3097" t="n">
        <v>0</v>
      </c>
      <c r="M3097" t="n">
        <v>0</v>
      </c>
      <c r="N3097" t="n">
        <v>0</v>
      </c>
      <c r="O3097" t="n">
        <v>0</v>
      </c>
      <c r="P3097" t="n">
        <v>0</v>
      </c>
      <c r="Q3097" t="n">
        <v>0</v>
      </c>
      <c r="R3097" s="2" t="inlineStr"/>
    </row>
    <row r="3098" ht="15" customHeight="1">
      <c r="A3098" t="inlineStr">
        <is>
          <t>A 21579-2023</t>
        </is>
      </c>
      <c r="B3098" s="1" t="n">
        <v>45063</v>
      </c>
      <c r="C3098" s="1" t="n">
        <v>45724</v>
      </c>
      <c r="D3098" t="inlineStr">
        <is>
          <t>VÄSTMANLANDS LÄN</t>
        </is>
      </c>
      <c r="E3098" t="inlineStr">
        <is>
          <t>SKINNSKATTEBERG</t>
        </is>
      </c>
      <c r="G3098" t="n">
        <v>1.5</v>
      </c>
      <c r="H3098" t="n">
        <v>0</v>
      </c>
      <c r="I3098" t="n">
        <v>0</v>
      </c>
      <c r="J3098" t="n">
        <v>0</v>
      </c>
      <c r="K3098" t="n">
        <v>0</v>
      </c>
      <c r="L3098" t="n">
        <v>0</v>
      </c>
      <c r="M3098" t="n">
        <v>0</v>
      </c>
      <c r="N3098" t="n">
        <v>0</v>
      </c>
      <c r="O3098" t="n">
        <v>0</v>
      </c>
      <c r="P3098" t="n">
        <v>0</v>
      </c>
      <c r="Q3098" t="n">
        <v>0</v>
      </c>
      <c r="R3098" s="2" t="inlineStr"/>
    </row>
    <row r="3099" ht="15" customHeight="1">
      <c r="A3099" t="inlineStr">
        <is>
          <t>A 21576-2023</t>
        </is>
      </c>
      <c r="B3099" s="1" t="n">
        <v>45063</v>
      </c>
      <c r="C3099" s="1" t="n">
        <v>45724</v>
      </c>
      <c r="D3099" t="inlineStr">
        <is>
          <t>VÄSTMANLANDS LÄN</t>
        </is>
      </c>
      <c r="E3099" t="inlineStr">
        <is>
          <t>SKINNSKATTEBERG</t>
        </is>
      </c>
      <c r="G3099" t="n">
        <v>3.1</v>
      </c>
      <c r="H3099" t="n">
        <v>0</v>
      </c>
      <c r="I3099" t="n">
        <v>0</v>
      </c>
      <c r="J3099" t="n">
        <v>0</v>
      </c>
      <c r="K3099" t="n">
        <v>0</v>
      </c>
      <c r="L3099" t="n">
        <v>0</v>
      </c>
      <c r="M3099" t="n">
        <v>0</v>
      </c>
      <c r="N3099" t="n">
        <v>0</v>
      </c>
      <c r="O3099" t="n">
        <v>0</v>
      </c>
      <c r="P3099" t="n">
        <v>0</v>
      </c>
      <c r="Q3099" t="n">
        <v>0</v>
      </c>
      <c r="R3099" s="2" t="inlineStr"/>
    </row>
    <row r="3100" ht="15" customHeight="1">
      <c r="A3100" t="inlineStr">
        <is>
          <t>A 22097-2023</t>
        </is>
      </c>
      <c r="B3100" s="1" t="n">
        <v>45065</v>
      </c>
      <c r="C3100" s="1" t="n">
        <v>45724</v>
      </c>
      <c r="D3100" t="inlineStr">
        <is>
          <t>VÄSTMANLANDS LÄN</t>
        </is>
      </c>
      <c r="E3100" t="inlineStr">
        <is>
          <t>SALA</t>
        </is>
      </c>
      <c r="G3100" t="n">
        <v>3.6</v>
      </c>
      <c r="H3100" t="n">
        <v>0</v>
      </c>
      <c r="I3100" t="n">
        <v>0</v>
      </c>
      <c r="J3100" t="n">
        <v>0</v>
      </c>
      <c r="K3100" t="n">
        <v>0</v>
      </c>
      <c r="L3100" t="n">
        <v>0</v>
      </c>
      <c r="M3100" t="n">
        <v>0</v>
      </c>
      <c r="N3100" t="n">
        <v>0</v>
      </c>
      <c r="O3100" t="n">
        <v>0</v>
      </c>
      <c r="P3100" t="n">
        <v>0</v>
      </c>
      <c r="Q3100" t="n">
        <v>0</v>
      </c>
      <c r="R3100" s="2" t="inlineStr"/>
    </row>
    <row r="3101" ht="15" customHeight="1">
      <c r="A3101" t="inlineStr">
        <is>
          <t>A 21902-2023</t>
        </is>
      </c>
      <c r="B3101" s="1" t="n">
        <v>45068</v>
      </c>
      <c r="C3101" s="1" t="n">
        <v>45724</v>
      </c>
      <c r="D3101" t="inlineStr">
        <is>
          <t>VÄSTMANLANDS LÄN</t>
        </is>
      </c>
      <c r="E3101" t="inlineStr">
        <is>
          <t>SKINNSKATTEBERG</t>
        </is>
      </c>
      <c r="G3101" t="n">
        <v>2.6</v>
      </c>
      <c r="H3101" t="n">
        <v>0</v>
      </c>
      <c r="I3101" t="n">
        <v>0</v>
      </c>
      <c r="J3101" t="n">
        <v>0</v>
      </c>
      <c r="K3101" t="n">
        <v>0</v>
      </c>
      <c r="L3101" t="n">
        <v>0</v>
      </c>
      <c r="M3101" t="n">
        <v>0</v>
      </c>
      <c r="N3101" t="n">
        <v>0</v>
      </c>
      <c r="O3101" t="n">
        <v>0</v>
      </c>
      <c r="P3101" t="n">
        <v>0</v>
      </c>
      <c r="Q3101" t="n">
        <v>0</v>
      </c>
      <c r="R3101" s="2" t="inlineStr"/>
    </row>
    <row r="3102" ht="15" customHeight="1">
      <c r="A3102" t="inlineStr">
        <is>
          <t>A 21906-2023</t>
        </is>
      </c>
      <c r="B3102" s="1" t="n">
        <v>45068</v>
      </c>
      <c r="C3102" s="1" t="n">
        <v>45724</v>
      </c>
      <c r="D3102" t="inlineStr">
        <is>
          <t>VÄSTMANLANDS LÄN</t>
        </is>
      </c>
      <c r="E3102" t="inlineStr">
        <is>
          <t>SURAHAMMAR</t>
        </is>
      </c>
      <c r="F3102" t="inlineStr">
        <is>
          <t>Sveaskog</t>
        </is>
      </c>
      <c r="G3102" t="n">
        <v>3.5</v>
      </c>
      <c r="H3102" t="n">
        <v>0</v>
      </c>
      <c r="I3102" t="n">
        <v>0</v>
      </c>
      <c r="J3102" t="n">
        <v>0</v>
      </c>
      <c r="K3102" t="n">
        <v>0</v>
      </c>
      <c r="L3102" t="n">
        <v>0</v>
      </c>
      <c r="M3102" t="n">
        <v>0</v>
      </c>
      <c r="N3102" t="n">
        <v>0</v>
      </c>
      <c r="O3102" t="n">
        <v>0</v>
      </c>
      <c r="P3102" t="n">
        <v>0</v>
      </c>
      <c r="Q3102" t="n">
        <v>0</v>
      </c>
      <c r="R3102" s="2" t="inlineStr"/>
    </row>
    <row r="3103" ht="15" customHeight="1">
      <c r="A3103" t="inlineStr">
        <is>
          <t>A 21972-2023</t>
        </is>
      </c>
      <c r="B3103" s="1" t="n">
        <v>45068</v>
      </c>
      <c r="C3103" s="1" t="n">
        <v>45724</v>
      </c>
      <c r="D3103" t="inlineStr">
        <is>
          <t>VÄSTMANLANDS LÄN</t>
        </is>
      </c>
      <c r="E3103" t="inlineStr">
        <is>
          <t>HALLSTAHAMMAR</t>
        </is>
      </c>
      <c r="G3103" t="n">
        <v>1.5</v>
      </c>
      <c r="H3103" t="n">
        <v>0</v>
      </c>
      <c r="I3103" t="n">
        <v>0</v>
      </c>
      <c r="J3103" t="n">
        <v>0</v>
      </c>
      <c r="K3103" t="n">
        <v>0</v>
      </c>
      <c r="L3103" t="n">
        <v>0</v>
      </c>
      <c r="M3103" t="n">
        <v>0</v>
      </c>
      <c r="N3103" t="n">
        <v>0</v>
      </c>
      <c r="O3103" t="n">
        <v>0</v>
      </c>
      <c r="P3103" t="n">
        <v>0</v>
      </c>
      <c r="Q3103" t="n">
        <v>0</v>
      </c>
      <c r="R3103" s="2" t="inlineStr"/>
    </row>
    <row r="3104" ht="15" customHeight="1">
      <c r="A3104" t="inlineStr">
        <is>
          <t>A 21905-2023</t>
        </is>
      </c>
      <c r="B3104" s="1" t="n">
        <v>45068</v>
      </c>
      <c r="C3104" s="1" t="n">
        <v>45724</v>
      </c>
      <c r="D3104" t="inlineStr">
        <is>
          <t>VÄSTMANLANDS LÄN</t>
        </is>
      </c>
      <c r="E3104" t="inlineStr">
        <is>
          <t>SURAHAMMAR</t>
        </is>
      </c>
      <c r="F3104" t="inlineStr">
        <is>
          <t>Sveaskog</t>
        </is>
      </c>
      <c r="G3104" t="n">
        <v>1.7</v>
      </c>
      <c r="H3104" t="n">
        <v>0</v>
      </c>
      <c r="I3104" t="n">
        <v>0</v>
      </c>
      <c r="J3104" t="n">
        <v>0</v>
      </c>
      <c r="K3104" t="n">
        <v>0</v>
      </c>
      <c r="L3104" t="n">
        <v>0</v>
      </c>
      <c r="M3104" t="n">
        <v>0</v>
      </c>
      <c r="N3104" t="n">
        <v>0</v>
      </c>
      <c r="O3104" t="n">
        <v>0</v>
      </c>
      <c r="P3104" t="n">
        <v>0</v>
      </c>
      <c r="Q3104" t="n">
        <v>0</v>
      </c>
      <c r="R3104" s="2" t="inlineStr"/>
    </row>
    <row r="3105" ht="15" customHeight="1">
      <c r="A3105" t="inlineStr">
        <is>
          <t>A 21971-2023</t>
        </is>
      </c>
      <c r="B3105" s="1" t="n">
        <v>45068</v>
      </c>
      <c r="C3105" s="1" t="n">
        <v>45724</v>
      </c>
      <c r="D3105" t="inlineStr">
        <is>
          <t>VÄSTMANLANDS LÄN</t>
        </is>
      </c>
      <c r="E3105" t="inlineStr">
        <is>
          <t>KÖPING</t>
        </is>
      </c>
      <c r="G3105" t="n">
        <v>3.3</v>
      </c>
      <c r="H3105" t="n">
        <v>0</v>
      </c>
      <c r="I3105" t="n">
        <v>0</v>
      </c>
      <c r="J3105" t="n">
        <v>0</v>
      </c>
      <c r="K3105" t="n">
        <v>0</v>
      </c>
      <c r="L3105" t="n">
        <v>0</v>
      </c>
      <c r="M3105" t="n">
        <v>0</v>
      </c>
      <c r="N3105" t="n">
        <v>0</v>
      </c>
      <c r="O3105" t="n">
        <v>0</v>
      </c>
      <c r="P3105" t="n">
        <v>0</v>
      </c>
      <c r="Q3105" t="n">
        <v>0</v>
      </c>
      <c r="R3105" s="2" t="inlineStr"/>
    </row>
    <row r="3106" ht="15" customHeight="1">
      <c r="A3106" t="inlineStr">
        <is>
          <t>A 21984-2023</t>
        </is>
      </c>
      <c r="B3106" s="1" t="n">
        <v>45068</v>
      </c>
      <c r="C3106" s="1" t="n">
        <v>45724</v>
      </c>
      <c r="D3106" t="inlineStr">
        <is>
          <t>VÄSTMANLANDS LÄN</t>
        </is>
      </c>
      <c r="E3106" t="inlineStr">
        <is>
          <t>ARBOGA</t>
        </is>
      </c>
      <c r="G3106" t="n">
        <v>1.9</v>
      </c>
      <c r="H3106" t="n">
        <v>0</v>
      </c>
      <c r="I3106" t="n">
        <v>0</v>
      </c>
      <c r="J3106" t="n">
        <v>0</v>
      </c>
      <c r="K3106" t="n">
        <v>0</v>
      </c>
      <c r="L3106" t="n">
        <v>0</v>
      </c>
      <c r="M3106" t="n">
        <v>0</v>
      </c>
      <c r="N3106" t="n">
        <v>0</v>
      </c>
      <c r="O3106" t="n">
        <v>0</v>
      </c>
      <c r="P3106" t="n">
        <v>0</v>
      </c>
      <c r="Q3106" t="n">
        <v>0</v>
      </c>
      <c r="R3106" s="2" t="inlineStr"/>
    </row>
    <row r="3107" ht="15" customHeight="1">
      <c r="A3107" t="inlineStr">
        <is>
          <t>A 21904-2023</t>
        </is>
      </c>
      <c r="B3107" s="1" t="n">
        <v>45068</v>
      </c>
      <c r="C3107" s="1" t="n">
        <v>45724</v>
      </c>
      <c r="D3107" t="inlineStr">
        <is>
          <t>VÄSTMANLANDS LÄN</t>
        </is>
      </c>
      <c r="E3107" t="inlineStr">
        <is>
          <t>SURAHAMMAR</t>
        </is>
      </c>
      <c r="F3107" t="inlineStr">
        <is>
          <t>Sveaskog</t>
        </is>
      </c>
      <c r="G3107" t="n">
        <v>2.8</v>
      </c>
      <c r="H3107" t="n">
        <v>0</v>
      </c>
      <c r="I3107" t="n">
        <v>0</v>
      </c>
      <c r="J3107" t="n">
        <v>0</v>
      </c>
      <c r="K3107" t="n">
        <v>0</v>
      </c>
      <c r="L3107" t="n">
        <v>0</v>
      </c>
      <c r="M3107" t="n">
        <v>0</v>
      </c>
      <c r="N3107" t="n">
        <v>0</v>
      </c>
      <c r="O3107" t="n">
        <v>0</v>
      </c>
      <c r="P3107" t="n">
        <v>0</v>
      </c>
      <c r="Q3107" t="n">
        <v>0</v>
      </c>
      <c r="R3107" s="2" t="inlineStr"/>
    </row>
    <row r="3108" ht="15" customHeight="1">
      <c r="A3108" t="inlineStr">
        <is>
          <t>A 21908-2023</t>
        </is>
      </c>
      <c r="B3108" s="1" t="n">
        <v>45068</v>
      </c>
      <c r="C3108" s="1" t="n">
        <v>45724</v>
      </c>
      <c r="D3108" t="inlineStr">
        <is>
          <t>VÄSTMANLANDS LÄN</t>
        </is>
      </c>
      <c r="E3108" t="inlineStr">
        <is>
          <t>SKINNSKATTEBERG</t>
        </is>
      </c>
      <c r="G3108" t="n">
        <v>0.4</v>
      </c>
      <c r="H3108" t="n">
        <v>0</v>
      </c>
      <c r="I3108" t="n">
        <v>0</v>
      </c>
      <c r="J3108" t="n">
        <v>0</v>
      </c>
      <c r="K3108" t="n">
        <v>0</v>
      </c>
      <c r="L3108" t="n">
        <v>0</v>
      </c>
      <c r="M3108" t="n">
        <v>0</v>
      </c>
      <c r="N3108" t="n">
        <v>0</v>
      </c>
      <c r="O3108" t="n">
        <v>0</v>
      </c>
      <c r="P3108" t="n">
        <v>0</v>
      </c>
      <c r="Q3108" t="n">
        <v>0</v>
      </c>
      <c r="R3108" s="2" t="inlineStr"/>
    </row>
    <row r="3109" ht="15" customHeight="1">
      <c r="A3109" t="inlineStr">
        <is>
          <t>A 21903-2023</t>
        </is>
      </c>
      <c r="B3109" s="1" t="n">
        <v>45068</v>
      </c>
      <c r="C3109" s="1" t="n">
        <v>45724</v>
      </c>
      <c r="D3109" t="inlineStr">
        <is>
          <t>VÄSTMANLANDS LÄN</t>
        </is>
      </c>
      <c r="E3109" t="inlineStr">
        <is>
          <t>KÖPING</t>
        </is>
      </c>
      <c r="G3109" t="n">
        <v>4.6</v>
      </c>
      <c r="H3109" t="n">
        <v>0</v>
      </c>
      <c r="I3109" t="n">
        <v>0</v>
      </c>
      <c r="J3109" t="n">
        <v>0</v>
      </c>
      <c r="K3109" t="n">
        <v>0</v>
      </c>
      <c r="L3109" t="n">
        <v>0</v>
      </c>
      <c r="M3109" t="n">
        <v>0</v>
      </c>
      <c r="N3109" t="n">
        <v>0</v>
      </c>
      <c r="O3109" t="n">
        <v>0</v>
      </c>
      <c r="P3109" t="n">
        <v>0</v>
      </c>
      <c r="Q3109" t="n">
        <v>0</v>
      </c>
      <c r="R3109" s="2" t="inlineStr"/>
    </row>
    <row r="3110" ht="15" customHeight="1">
      <c r="A3110" t="inlineStr">
        <is>
          <t>A 22076-2023</t>
        </is>
      </c>
      <c r="B3110" s="1" t="n">
        <v>45069</v>
      </c>
      <c r="C3110" s="1" t="n">
        <v>45724</v>
      </c>
      <c r="D3110" t="inlineStr">
        <is>
          <t>VÄSTMANLANDS LÄN</t>
        </is>
      </c>
      <c r="E3110" t="inlineStr">
        <is>
          <t>SALA</t>
        </is>
      </c>
      <c r="G3110" t="n">
        <v>5.3</v>
      </c>
      <c r="H3110" t="n">
        <v>0</v>
      </c>
      <c r="I3110" t="n">
        <v>0</v>
      </c>
      <c r="J3110" t="n">
        <v>0</v>
      </c>
      <c r="K3110" t="n">
        <v>0</v>
      </c>
      <c r="L3110" t="n">
        <v>0</v>
      </c>
      <c r="M3110" t="n">
        <v>0</v>
      </c>
      <c r="N3110" t="n">
        <v>0</v>
      </c>
      <c r="O3110" t="n">
        <v>0</v>
      </c>
      <c r="P3110" t="n">
        <v>0</v>
      </c>
      <c r="Q3110" t="n">
        <v>0</v>
      </c>
      <c r="R3110" s="2" t="inlineStr"/>
    </row>
    <row r="3111" ht="15" customHeight="1">
      <c r="A3111" t="inlineStr">
        <is>
          <t>A 22115-2023</t>
        </is>
      </c>
      <c r="B3111" s="1" t="n">
        <v>45069</v>
      </c>
      <c r="C3111" s="1" t="n">
        <v>45724</v>
      </c>
      <c r="D3111" t="inlineStr">
        <is>
          <t>VÄSTMANLANDS LÄN</t>
        </is>
      </c>
      <c r="E3111" t="inlineStr">
        <is>
          <t>KÖPING</t>
        </is>
      </c>
      <c r="G3111" t="n">
        <v>1.3</v>
      </c>
      <c r="H3111" t="n">
        <v>0</v>
      </c>
      <c r="I3111" t="n">
        <v>0</v>
      </c>
      <c r="J3111" t="n">
        <v>0</v>
      </c>
      <c r="K3111" t="n">
        <v>0</v>
      </c>
      <c r="L3111" t="n">
        <v>0</v>
      </c>
      <c r="M3111" t="n">
        <v>0</v>
      </c>
      <c r="N3111" t="n">
        <v>0</v>
      </c>
      <c r="O3111" t="n">
        <v>0</v>
      </c>
      <c r="P3111" t="n">
        <v>0</v>
      </c>
      <c r="Q3111" t="n">
        <v>0</v>
      </c>
      <c r="R3111" s="2" t="inlineStr"/>
    </row>
    <row r="3112" ht="15" customHeight="1">
      <c r="A3112" t="inlineStr">
        <is>
          <t>A 22146-2023</t>
        </is>
      </c>
      <c r="B3112" s="1" t="n">
        <v>45069</v>
      </c>
      <c r="C3112" s="1" t="n">
        <v>45724</v>
      </c>
      <c r="D3112" t="inlineStr">
        <is>
          <t>VÄSTMANLANDS LÄN</t>
        </is>
      </c>
      <c r="E3112" t="inlineStr">
        <is>
          <t>SALA</t>
        </is>
      </c>
      <c r="F3112" t="inlineStr">
        <is>
          <t>Kommuner</t>
        </is>
      </c>
      <c r="G3112" t="n">
        <v>9.9</v>
      </c>
      <c r="H3112" t="n">
        <v>0</v>
      </c>
      <c r="I3112" t="n">
        <v>0</v>
      </c>
      <c r="J3112" t="n">
        <v>0</v>
      </c>
      <c r="K3112" t="n">
        <v>0</v>
      </c>
      <c r="L3112" t="n">
        <v>0</v>
      </c>
      <c r="M3112" t="n">
        <v>0</v>
      </c>
      <c r="N3112" t="n">
        <v>0</v>
      </c>
      <c r="O3112" t="n">
        <v>0</v>
      </c>
      <c r="P3112" t="n">
        <v>0</v>
      </c>
      <c r="Q3112" t="n">
        <v>0</v>
      </c>
      <c r="R3112" s="2" t="inlineStr"/>
    </row>
    <row r="3113" ht="15" customHeight="1">
      <c r="A3113" t="inlineStr">
        <is>
          <t>A 22091-2023</t>
        </is>
      </c>
      <c r="B3113" s="1" t="n">
        <v>45069</v>
      </c>
      <c r="C3113" s="1" t="n">
        <v>45724</v>
      </c>
      <c r="D3113" t="inlineStr">
        <is>
          <t>VÄSTMANLANDS LÄN</t>
        </is>
      </c>
      <c r="E3113" t="inlineStr">
        <is>
          <t>SALA</t>
        </is>
      </c>
      <c r="G3113" t="n">
        <v>2.2</v>
      </c>
      <c r="H3113" t="n">
        <v>0</v>
      </c>
      <c r="I3113" t="n">
        <v>0</v>
      </c>
      <c r="J3113" t="n">
        <v>0</v>
      </c>
      <c r="K3113" t="n">
        <v>0</v>
      </c>
      <c r="L3113" t="n">
        <v>0</v>
      </c>
      <c r="M3113" t="n">
        <v>0</v>
      </c>
      <c r="N3113" t="n">
        <v>0</v>
      </c>
      <c r="O3113" t="n">
        <v>0</v>
      </c>
      <c r="P3113" t="n">
        <v>0</v>
      </c>
      <c r="Q3113" t="n">
        <v>0</v>
      </c>
      <c r="R3113" s="2" t="inlineStr"/>
    </row>
    <row r="3114" ht="15" customHeight="1">
      <c r="A3114" t="inlineStr">
        <is>
          <t>A 22118-2023</t>
        </is>
      </c>
      <c r="B3114" s="1" t="n">
        <v>45069</v>
      </c>
      <c r="C3114" s="1" t="n">
        <v>45724</v>
      </c>
      <c r="D3114" t="inlineStr">
        <is>
          <t>VÄSTMANLANDS LÄN</t>
        </is>
      </c>
      <c r="E3114" t="inlineStr">
        <is>
          <t>KÖPING</t>
        </is>
      </c>
      <c r="G3114" t="n">
        <v>5.5</v>
      </c>
      <c r="H3114" t="n">
        <v>0</v>
      </c>
      <c r="I3114" t="n">
        <v>0</v>
      </c>
      <c r="J3114" t="n">
        <v>0</v>
      </c>
      <c r="K3114" t="n">
        <v>0</v>
      </c>
      <c r="L3114" t="n">
        <v>0</v>
      </c>
      <c r="M3114" t="n">
        <v>0</v>
      </c>
      <c r="N3114" t="n">
        <v>0</v>
      </c>
      <c r="O3114" t="n">
        <v>0</v>
      </c>
      <c r="P3114" t="n">
        <v>0</v>
      </c>
      <c r="Q3114" t="n">
        <v>0</v>
      </c>
      <c r="R3114" s="2" t="inlineStr"/>
    </row>
    <row r="3115" ht="15" customHeight="1">
      <c r="A3115" t="inlineStr">
        <is>
          <t>A 22072-2023</t>
        </is>
      </c>
      <c r="B3115" s="1" t="n">
        <v>45069</v>
      </c>
      <c r="C3115" s="1" t="n">
        <v>45724</v>
      </c>
      <c r="D3115" t="inlineStr">
        <is>
          <t>VÄSTMANLANDS LÄN</t>
        </is>
      </c>
      <c r="E3115" t="inlineStr">
        <is>
          <t>HALLSTAHAMMAR</t>
        </is>
      </c>
      <c r="G3115" t="n">
        <v>3.5</v>
      </c>
      <c r="H3115" t="n">
        <v>0</v>
      </c>
      <c r="I3115" t="n">
        <v>0</v>
      </c>
      <c r="J3115" t="n">
        <v>0</v>
      </c>
      <c r="K3115" t="n">
        <v>0</v>
      </c>
      <c r="L3115" t="n">
        <v>0</v>
      </c>
      <c r="M3115" t="n">
        <v>0</v>
      </c>
      <c r="N3115" t="n">
        <v>0</v>
      </c>
      <c r="O3115" t="n">
        <v>0</v>
      </c>
      <c r="P3115" t="n">
        <v>0</v>
      </c>
      <c r="Q3115" t="n">
        <v>0</v>
      </c>
      <c r="R3115" s="2" t="inlineStr"/>
    </row>
    <row r="3116" ht="15" customHeight="1">
      <c r="A3116" t="inlineStr">
        <is>
          <t>A 22082-2023</t>
        </is>
      </c>
      <c r="B3116" s="1" t="n">
        <v>45069</v>
      </c>
      <c r="C3116" s="1" t="n">
        <v>45724</v>
      </c>
      <c r="D3116" t="inlineStr">
        <is>
          <t>VÄSTMANLANDS LÄN</t>
        </is>
      </c>
      <c r="E3116" t="inlineStr">
        <is>
          <t>SALA</t>
        </is>
      </c>
      <c r="G3116" t="n">
        <v>1.7</v>
      </c>
      <c r="H3116" t="n">
        <v>0</v>
      </c>
      <c r="I3116" t="n">
        <v>0</v>
      </c>
      <c r="J3116" t="n">
        <v>0</v>
      </c>
      <c r="K3116" t="n">
        <v>0</v>
      </c>
      <c r="L3116" t="n">
        <v>0</v>
      </c>
      <c r="M3116" t="n">
        <v>0</v>
      </c>
      <c r="N3116" t="n">
        <v>0</v>
      </c>
      <c r="O3116" t="n">
        <v>0</v>
      </c>
      <c r="P3116" t="n">
        <v>0</v>
      </c>
      <c r="Q3116" t="n">
        <v>0</v>
      </c>
      <c r="R3116" s="2" t="inlineStr"/>
    </row>
    <row r="3117" ht="15" customHeight="1">
      <c r="A3117" t="inlineStr">
        <is>
          <t>A 22391-2023</t>
        </is>
      </c>
      <c r="B3117" s="1" t="n">
        <v>45069</v>
      </c>
      <c r="C3117" s="1" t="n">
        <v>45724</v>
      </c>
      <c r="D3117" t="inlineStr">
        <is>
          <t>VÄSTMANLANDS LÄN</t>
        </is>
      </c>
      <c r="E3117" t="inlineStr">
        <is>
          <t>FAGERSTA</t>
        </is>
      </c>
      <c r="G3117" t="n">
        <v>6.5</v>
      </c>
      <c r="H3117" t="n">
        <v>0</v>
      </c>
      <c r="I3117" t="n">
        <v>0</v>
      </c>
      <c r="J3117" t="n">
        <v>0</v>
      </c>
      <c r="K3117" t="n">
        <v>0</v>
      </c>
      <c r="L3117" t="n">
        <v>0</v>
      </c>
      <c r="M3117" t="n">
        <v>0</v>
      </c>
      <c r="N3117" t="n">
        <v>0</v>
      </c>
      <c r="O3117" t="n">
        <v>0</v>
      </c>
      <c r="P3117" t="n">
        <v>0</v>
      </c>
      <c r="Q3117" t="n">
        <v>0</v>
      </c>
      <c r="R3117" s="2" t="inlineStr"/>
    </row>
    <row r="3118" ht="15" customHeight="1">
      <c r="A3118" t="inlineStr">
        <is>
          <t>A 22523-2023</t>
        </is>
      </c>
      <c r="B3118" s="1" t="n">
        <v>45069</v>
      </c>
      <c r="C3118" s="1" t="n">
        <v>45724</v>
      </c>
      <c r="D3118" t="inlineStr">
        <is>
          <t>VÄSTMANLANDS LÄN</t>
        </is>
      </c>
      <c r="E3118" t="inlineStr">
        <is>
          <t>SALA</t>
        </is>
      </c>
      <c r="G3118" t="n">
        <v>2.4</v>
      </c>
      <c r="H3118" t="n">
        <v>0</v>
      </c>
      <c r="I3118" t="n">
        <v>0</v>
      </c>
      <c r="J3118" t="n">
        <v>0</v>
      </c>
      <c r="K3118" t="n">
        <v>0</v>
      </c>
      <c r="L3118" t="n">
        <v>0</v>
      </c>
      <c r="M3118" t="n">
        <v>0</v>
      </c>
      <c r="N3118" t="n">
        <v>0</v>
      </c>
      <c r="O3118" t="n">
        <v>0</v>
      </c>
      <c r="P3118" t="n">
        <v>0</v>
      </c>
      <c r="Q3118" t="n">
        <v>0</v>
      </c>
      <c r="R3118" s="2" t="inlineStr"/>
    </row>
    <row r="3119" ht="15" customHeight="1">
      <c r="A3119" t="inlineStr">
        <is>
          <t>A 22921-2023</t>
        </is>
      </c>
      <c r="B3119" s="1" t="n">
        <v>45070</v>
      </c>
      <c r="C3119" s="1" t="n">
        <v>45724</v>
      </c>
      <c r="D3119" t="inlineStr">
        <is>
          <t>VÄSTMANLANDS LÄN</t>
        </is>
      </c>
      <c r="E3119" t="inlineStr">
        <is>
          <t>SALA</t>
        </is>
      </c>
      <c r="G3119" t="n">
        <v>1.3</v>
      </c>
      <c r="H3119" t="n">
        <v>0</v>
      </c>
      <c r="I3119" t="n">
        <v>0</v>
      </c>
      <c r="J3119" t="n">
        <v>0</v>
      </c>
      <c r="K3119" t="n">
        <v>0</v>
      </c>
      <c r="L3119" t="n">
        <v>0</v>
      </c>
      <c r="M3119" t="n">
        <v>0</v>
      </c>
      <c r="N3119" t="n">
        <v>0</v>
      </c>
      <c r="O3119" t="n">
        <v>0</v>
      </c>
      <c r="P3119" t="n">
        <v>0</v>
      </c>
      <c r="Q3119" t="n">
        <v>0</v>
      </c>
      <c r="R3119" s="2" t="inlineStr"/>
    </row>
    <row r="3120" ht="15" customHeight="1">
      <c r="A3120" t="inlineStr">
        <is>
          <t>A 22915-2023</t>
        </is>
      </c>
      <c r="B3120" s="1" t="n">
        <v>45070</v>
      </c>
      <c r="C3120" s="1" t="n">
        <v>45724</v>
      </c>
      <c r="D3120" t="inlineStr">
        <is>
          <t>VÄSTMANLANDS LÄN</t>
        </is>
      </c>
      <c r="E3120" t="inlineStr">
        <is>
          <t>SURAHAMMAR</t>
        </is>
      </c>
      <c r="F3120" t="inlineStr">
        <is>
          <t>Bergvik skog väst AB</t>
        </is>
      </c>
      <c r="G3120" t="n">
        <v>1</v>
      </c>
      <c r="H3120" t="n">
        <v>0</v>
      </c>
      <c r="I3120" t="n">
        <v>0</v>
      </c>
      <c r="J3120" t="n">
        <v>0</v>
      </c>
      <c r="K3120" t="n">
        <v>0</v>
      </c>
      <c r="L3120" t="n">
        <v>0</v>
      </c>
      <c r="M3120" t="n">
        <v>0</v>
      </c>
      <c r="N3120" t="n">
        <v>0</v>
      </c>
      <c r="O3120" t="n">
        <v>0</v>
      </c>
      <c r="P3120" t="n">
        <v>0</v>
      </c>
      <c r="Q3120" t="n">
        <v>0</v>
      </c>
      <c r="R3120" s="2" t="inlineStr"/>
    </row>
    <row r="3121" ht="15" customHeight="1">
      <c r="A3121" t="inlineStr">
        <is>
          <t>A 22482-2023</t>
        </is>
      </c>
      <c r="B3121" s="1" t="n">
        <v>45071</v>
      </c>
      <c r="C3121" s="1" t="n">
        <v>45724</v>
      </c>
      <c r="D3121" t="inlineStr">
        <is>
          <t>VÄSTMANLANDS LÄN</t>
        </is>
      </c>
      <c r="E3121" t="inlineStr">
        <is>
          <t>FAGERSTA</t>
        </is>
      </c>
      <c r="F3121" t="inlineStr">
        <is>
          <t>Sveaskog</t>
        </is>
      </c>
      <c r="G3121" t="n">
        <v>1.1</v>
      </c>
      <c r="H3121" t="n">
        <v>0</v>
      </c>
      <c r="I3121" t="n">
        <v>0</v>
      </c>
      <c r="J3121" t="n">
        <v>0</v>
      </c>
      <c r="K3121" t="n">
        <v>0</v>
      </c>
      <c r="L3121" t="n">
        <v>0</v>
      </c>
      <c r="M3121" t="n">
        <v>0</v>
      </c>
      <c r="N3121" t="n">
        <v>0</v>
      </c>
      <c r="O3121" t="n">
        <v>0</v>
      </c>
      <c r="P3121" t="n">
        <v>0</v>
      </c>
      <c r="Q3121" t="n">
        <v>0</v>
      </c>
      <c r="R3121" s="2" t="inlineStr"/>
    </row>
    <row r="3122" ht="15" customHeight="1">
      <c r="A3122" t="inlineStr">
        <is>
          <t>A 22484-2023</t>
        </is>
      </c>
      <c r="B3122" s="1" t="n">
        <v>45071</v>
      </c>
      <c r="C3122" s="1" t="n">
        <v>45724</v>
      </c>
      <c r="D3122" t="inlineStr">
        <is>
          <t>VÄSTMANLANDS LÄN</t>
        </is>
      </c>
      <c r="E3122" t="inlineStr">
        <is>
          <t>FAGERSTA</t>
        </is>
      </c>
      <c r="F3122" t="inlineStr">
        <is>
          <t>Sveaskog</t>
        </is>
      </c>
      <c r="G3122" t="n">
        <v>2.2</v>
      </c>
      <c r="H3122" t="n">
        <v>0</v>
      </c>
      <c r="I3122" t="n">
        <v>0</v>
      </c>
      <c r="J3122" t="n">
        <v>0</v>
      </c>
      <c r="K3122" t="n">
        <v>0</v>
      </c>
      <c r="L3122" t="n">
        <v>0</v>
      </c>
      <c r="M3122" t="n">
        <v>0</v>
      </c>
      <c r="N3122" t="n">
        <v>0</v>
      </c>
      <c r="O3122" t="n">
        <v>0</v>
      </c>
      <c r="P3122" t="n">
        <v>0</v>
      </c>
      <c r="Q3122" t="n">
        <v>0</v>
      </c>
      <c r="R3122" s="2" t="inlineStr"/>
    </row>
    <row r="3123" ht="15" customHeight="1">
      <c r="A3123" t="inlineStr">
        <is>
          <t>A 22660-2023</t>
        </is>
      </c>
      <c r="B3123" s="1" t="n">
        <v>45071</v>
      </c>
      <c r="C3123" s="1" t="n">
        <v>45724</v>
      </c>
      <c r="D3123" t="inlineStr">
        <is>
          <t>VÄSTMANLANDS LÄN</t>
        </is>
      </c>
      <c r="E3123" t="inlineStr">
        <is>
          <t>SURAHAMMAR</t>
        </is>
      </c>
      <c r="F3123" t="inlineStr">
        <is>
          <t>Sveaskog</t>
        </is>
      </c>
      <c r="G3123" t="n">
        <v>15.3</v>
      </c>
      <c r="H3123" t="n">
        <v>0</v>
      </c>
      <c r="I3123" t="n">
        <v>0</v>
      </c>
      <c r="J3123" t="n">
        <v>0</v>
      </c>
      <c r="K3123" t="n">
        <v>0</v>
      </c>
      <c r="L3123" t="n">
        <v>0</v>
      </c>
      <c r="M3123" t="n">
        <v>0</v>
      </c>
      <c r="N3123" t="n">
        <v>0</v>
      </c>
      <c r="O3123" t="n">
        <v>0</v>
      </c>
      <c r="P3123" t="n">
        <v>0</v>
      </c>
      <c r="Q3123" t="n">
        <v>0</v>
      </c>
      <c r="R3123" s="2" t="inlineStr"/>
    </row>
    <row r="3124" ht="15" customHeight="1">
      <c r="A3124" t="inlineStr">
        <is>
          <t>A 22485-2023</t>
        </is>
      </c>
      <c r="B3124" s="1" t="n">
        <v>45071</v>
      </c>
      <c r="C3124" s="1" t="n">
        <v>45724</v>
      </c>
      <c r="D3124" t="inlineStr">
        <is>
          <t>VÄSTMANLANDS LÄN</t>
        </is>
      </c>
      <c r="E3124" t="inlineStr">
        <is>
          <t>FAGERSTA</t>
        </is>
      </c>
      <c r="F3124" t="inlineStr">
        <is>
          <t>Sveaskog</t>
        </is>
      </c>
      <c r="G3124" t="n">
        <v>5.1</v>
      </c>
      <c r="H3124" t="n">
        <v>0</v>
      </c>
      <c r="I3124" t="n">
        <v>0</v>
      </c>
      <c r="J3124" t="n">
        <v>0</v>
      </c>
      <c r="K3124" t="n">
        <v>0</v>
      </c>
      <c r="L3124" t="n">
        <v>0</v>
      </c>
      <c r="M3124" t="n">
        <v>0</v>
      </c>
      <c r="N3124" t="n">
        <v>0</v>
      </c>
      <c r="O3124" t="n">
        <v>0</v>
      </c>
      <c r="P3124" t="n">
        <v>0</v>
      </c>
      <c r="Q3124" t="n">
        <v>0</v>
      </c>
      <c r="R3124" s="2" t="inlineStr"/>
    </row>
    <row r="3125" ht="15" customHeight="1">
      <c r="A3125" t="inlineStr">
        <is>
          <t>A 22483-2023</t>
        </is>
      </c>
      <c r="B3125" s="1" t="n">
        <v>45071</v>
      </c>
      <c r="C3125" s="1" t="n">
        <v>45724</v>
      </c>
      <c r="D3125" t="inlineStr">
        <is>
          <t>VÄSTMANLANDS LÄN</t>
        </is>
      </c>
      <c r="E3125" t="inlineStr">
        <is>
          <t>FAGERSTA</t>
        </is>
      </c>
      <c r="F3125" t="inlineStr">
        <is>
          <t>Sveaskog</t>
        </is>
      </c>
      <c r="G3125" t="n">
        <v>7.3</v>
      </c>
      <c r="H3125" t="n">
        <v>0</v>
      </c>
      <c r="I3125" t="n">
        <v>0</v>
      </c>
      <c r="J3125" t="n">
        <v>0</v>
      </c>
      <c r="K3125" t="n">
        <v>0</v>
      </c>
      <c r="L3125" t="n">
        <v>0</v>
      </c>
      <c r="M3125" t="n">
        <v>0</v>
      </c>
      <c r="N3125" t="n">
        <v>0</v>
      </c>
      <c r="O3125" t="n">
        <v>0</v>
      </c>
      <c r="P3125" t="n">
        <v>0</v>
      </c>
      <c r="Q3125" t="n">
        <v>0</v>
      </c>
      <c r="R3125" s="2" t="inlineStr"/>
    </row>
    <row r="3126" ht="15" customHeight="1">
      <c r="A3126" t="inlineStr">
        <is>
          <t>A 22662-2023</t>
        </is>
      </c>
      <c r="B3126" s="1" t="n">
        <v>45071</v>
      </c>
      <c r="C3126" s="1" t="n">
        <v>45724</v>
      </c>
      <c r="D3126" t="inlineStr">
        <is>
          <t>VÄSTMANLANDS LÄN</t>
        </is>
      </c>
      <c r="E3126" t="inlineStr">
        <is>
          <t>SURAHAMMAR</t>
        </is>
      </c>
      <c r="F3126" t="inlineStr">
        <is>
          <t>Sveaskog</t>
        </is>
      </c>
      <c r="G3126" t="n">
        <v>0.6</v>
      </c>
      <c r="H3126" t="n">
        <v>0</v>
      </c>
      <c r="I3126" t="n">
        <v>0</v>
      </c>
      <c r="J3126" t="n">
        <v>0</v>
      </c>
      <c r="K3126" t="n">
        <v>0</v>
      </c>
      <c r="L3126" t="n">
        <v>0</v>
      </c>
      <c r="M3126" t="n">
        <v>0</v>
      </c>
      <c r="N3126" t="n">
        <v>0</v>
      </c>
      <c r="O3126" t="n">
        <v>0</v>
      </c>
      <c r="P3126" t="n">
        <v>0</v>
      </c>
      <c r="Q3126" t="n">
        <v>0</v>
      </c>
      <c r="R3126" s="2" t="inlineStr"/>
    </row>
    <row r="3127" ht="15" customHeight="1">
      <c r="A3127" t="inlineStr">
        <is>
          <t>A 22661-2023</t>
        </is>
      </c>
      <c r="B3127" s="1" t="n">
        <v>45071</v>
      </c>
      <c r="C3127" s="1" t="n">
        <v>45724</v>
      </c>
      <c r="D3127" t="inlineStr">
        <is>
          <t>VÄSTMANLANDS LÄN</t>
        </is>
      </c>
      <c r="E3127" t="inlineStr">
        <is>
          <t>SURAHAMMAR</t>
        </is>
      </c>
      <c r="F3127" t="inlineStr">
        <is>
          <t>Sveaskog</t>
        </is>
      </c>
      <c r="G3127" t="n">
        <v>1.3</v>
      </c>
      <c r="H3127" t="n">
        <v>0</v>
      </c>
      <c r="I3127" t="n">
        <v>0</v>
      </c>
      <c r="J3127" t="n">
        <v>0</v>
      </c>
      <c r="K3127" t="n">
        <v>0</v>
      </c>
      <c r="L3127" t="n">
        <v>0</v>
      </c>
      <c r="M3127" t="n">
        <v>0</v>
      </c>
      <c r="N3127" t="n">
        <v>0</v>
      </c>
      <c r="O3127" t="n">
        <v>0</v>
      </c>
      <c r="P3127" t="n">
        <v>0</v>
      </c>
      <c r="Q3127" t="n">
        <v>0</v>
      </c>
      <c r="R3127" s="2" t="inlineStr"/>
    </row>
    <row r="3128" ht="15" customHeight="1">
      <c r="A3128" t="inlineStr">
        <is>
          <t>A 22659-2023</t>
        </is>
      </c>
      <c r="B3128" s="1" t="n">
        <v>45071</v>
      </c>
      <c r="C3128" s="1" t="n">
        <v>45724</v>
      </c>
      <c r="D3128" t="inlineStr">
        <is>
          <t>VÄSTMANLANDS LÄN</t>
        </is>
      </c>
      <c r="E3128" t="inlineStr">
        <is>
          <t>SURAHAMMAR</t>
        </is>
      </c>
      <c r="F3128" t="inlineStr">
        <is>
          <t>Sveaskog</t>
        </is>
      </c>
      <c r="G3128" t="n">
        <v>2.3</v>
      </c>
      <c r="H3128" t="n">
        <v>0</v>
      </c>
      <c r="I3128" t="n">
        <v>0</v>
      </c>
      <c r="J3128" t="n">
        <v>0</v>
      </c>
      <c r="K3128" t="n">
        <v>0</v>
      </c>
      <c r="L3128" t="n">
        <v>0</v>
      </c>
      <c r="M3128" t="n">
        <v>0</v>
      </c>
      <c r="N3128" t="n">
        <v>0</v>
      </c>
      <c r="O3128" t="n">
        <v>0</v>
      </c>
      <c r="P3128" t="n">
        <v>0</v>
      </c>
      <c r="Q3128" t="n">
        <v>0</v>
      </c>
      <c r="R3128" s="2" t="inlineStr"/>
    </row>
    <row r="3129" ht="15" customHeight="1">
      <c r="A3129" t="inlineStr">
        <is>
          <t>A 22817-2023</t>
        </is>
      </c>
      <c r="B3129" s="1" t="n">
        <v>45072</v>
      </c>
      <c r="C3129" s="1" t="n">
        <v>45724</v>
      </c>
      <c r="D3129" t="inlineStr">
        <is>
          <t>VÄSTMANLANDS LÄN</t>
        </is>
      </c>
      <c r="E3129" t="inlineStr">
        <is>
          <t>FAGERSTA</t>
        </is>
      </c>
      <c r="F3129" t="inlineStr">
        <is>
          <t>Sveaskog</t>
        </is>
      </c>
      <c r="G3129" t="n">
        <v>1.1</v>
      </c>
      <c r="H3129" t="n">
        <v>0</v>
      </c>
      <c r="I3129" t="n">
        <v>0</v>
      </c>
      <c r="J3129" t="n">
        <v>0</v>
      </c>
      <c r="K3129" t="n">
        <v>0</v>
      </c>
      <c r="L3129" t="n">
        <v>0</v>
      </c>
      <c r="M3129" t="n">
        <v>0</v>
      </c>
      <c r="N3129" t="n">
        <v>0</v>
      </c>
      <c r="O3129" t="n">
        <v>0</v>
      </c>
      <c r="P3129" t="n">
        <v>0</v>
      </c>
      <c r="Q3129" t="n">
        <v>0</v>
      </c>
      <c r="R3129" s="2" t="inlineStr"/>
    </row>
    <row r="3130" ht="15" customHeight="1">
      <c r="A3130" t="inlineStr">
        <is>
          <t>A 22832-2023</t>
        </is>
      </c>
      <c r="B3130" s="1" t="n">
        <v>45072</v>
      </c>
      <c r="C3130" s="1" t="n">
        <v>45724</v>
      </c>
      <c r="D3130" t="inlineStr">
        <is>
          <t>VÄSTMANLANDS LÄN</t>
        </is>
      </c>
      <c r="E3130" t="inlineStr">
        <is>
          <t>VÄSTERÅS</t>
        </is>
      </c>
      <c r="G3130" t="n">
        <v>6.7</v>
      </c>
      <c r="H3130" t="n">
        <v>0</v>
      </c>
      <c r="I3130" t="n">
        <v>0</v>
      </c>
      <c r="J3130" t="n">
        <v>0</v>
      </c>
      <c r="K3130" t="n">
        <v>0</v>
      </c>
      <c r="L3130" t="n">
        <v>0</v>
      </c>
      <c r="M3130" t="n">
        <v>0</v>
      </c>
      <c r="N3130" t="n">
        <v>0</v>
      </c>
      <c r="O3130" t="n">
        <v>0</v>
      </c>
      <c r="P3130" t="n">
        <v>0</v>
      </c>
      <c r="Q3130" t="n">
        <v>0</v>
      </c>
      <c r="R3130" s="2" t="inlineStr"/>
    </row>
    <row r="3131" ht="15" customHeight="1">
      <c r="A3131" t="inlineStr">
        <is>
          <t>A 22933-2023</t>
        </is>
      </c>
      <c r="B3131" s="1" t="n">
        <v>45072</v>
      </c>
      <c r="C3131" s="1" t="n">
        <v>45724</v>
      </c>
      <c r="D3131" t="inlineStr">
        <is>
          <t>VÄSTMANLANDS LÄN</t>
        </is>
      </c>
      <c r="E3131" t="inlineStr">
        <is>
          <t>SKINNSKATTEBERG</t>
        </is>
      </c>
      <c r="F3131" t="inlineStr">
        <is>
          <t>Sveaskog</t>
        </is>
      </c>
      <c r="G3131" t="n">
        <v>2.3</v>
      </c>
      <c r="H3131" t="n">
        <v>0</v>
      </c>
      <c r="I3131" t="n">
        <v>0</v>
      </c>
      <c r="J3131" t="n">
        <v>0</v>
      </c>
      <c r="K3131" t="n">
        <v>0</v>
      </c>
      <c r="L3131" t="n">
        <v>0</v>
      </c>
      <c r="M3131" t="n">
        <v>0</v>
      </c>
      <c r="N3131" t="n">
        <v>0</v>
      </c>
      <c r="O3131" t="n">
        <v>0</v>
      </c>
      <c r="P3131" t="n">
        <v>0</v>
      </c>
      <c r="Q3131" t="n">
        <v>0</v>
      </c>
      <c r="R3131" s="2" t="inlineStr"/>
    </row>
    <row r="3132" ht="15" customHeight="1">
      <c r="A3132" t="inlineStr">
        <is>
          <t>A 22937-2023</t>
        </is>
      </c>
      <c r="B3132" s="1" t="n">
        <v>45072</v>
      </c>
      <c r="C3132" s="1" t="n">
        <v>45724</v>
      </c>
      <c r="D3132" t="inlineStr">
        <is>
          <t>VÄSTMANLANDS LÄN</t>
        </is>
      </c>
      <c r="E3132" t="inlineStr">
        <is>
          <t>SKINNSKATTEBERG</t>
        </is>
      </c>
      <c r="F3132" t="inlineStr">
        <is>
          <t>Sveaskog</t>
        </is>
      </c>
      <c r="G3132" t="n">
        <v>4.4</v>
      </c>
      <c r="H3132" t="n">
        <v>0</v>
      </c>
      <c r="I3132" t="n">
        <v>0</v>
      </c>
      <c r="J3132" t="n">
        <v>0</v>
      </c>
      <c r="K3132" t="n">
        <v>0</v>
      </c>
      <c r="L3132" t="n">
        <v>0</v>
      </c>
      <c r="M3132" t="n">
        <v>0</v>
      </c>
      <c r="N3132" t="n">
        <v>0</v>
      </c>
      <c r="O3132" t="n">
        <v>0</v>
      </c>
      <c r="P3132" t="n">
        <v>0</v>
      </c>
      <c r="Q3132" t="n">
        <v>0</v>
      </c>
      <c r="R3132" s="2" t="inlineStr"/>
    </row>
    <row r="3133" ht="15" customHeight="1">
      <c r="A3133" t="inlineStr">
        <is>
          <t>A 22963-2023</t>
        </is>
      </c>
      <c r="B3133" s="1" t="n">
        <v>45072</v>
      </c>
      <c r="C3133" s="1" t="n">
        <v>45724</v>
      </c>
      <c r="D3133" t="inlineStr">
        <is>
          <t>VÄSTMANLANDS LÄN</t>
        </is>
      </c>
      <c r="E3133" t="inlineStr">
        <is>
          <t>SALA</t>
        </is>
      </c>
      <c r="G3133" t="n">
        <v>1.2</v>
      </c>
      <c r="H3133" t="n">
        <v>0</v>
      </c>
      <c r="I3133" t="n">
        <v>0</v>
      </c>
      <c r="J3133" t="n">
        <v>0</v>
      </c>
      <c r="K3133" t="n">
        <v>0</v>
      </c>
      <c r="L3133" t="n">
        <v>0</v>
      </c>
      <c r="M3133" t="n">
        <v>0</v>
      </c>
      <c r="N3133" t="n">
        <v>0</v>
      </c>
      <c r="O3133" t="n">
        <v>0</v>
      </c>
      <c r="P3133" t="n">
        <v>0</v>
      </c>
      <c r="Q3133" t="n">
        <v>0</v>
      </c>
      <c r="R3133" s="2" t="inlineStr"/>
    </row>
    <row r="3134" ht="15" customHeight="1">
      <c r="A3134" t="inlineStr">
        <is>
          <t>A 22961-2023</t>
        </is>
      </c>
      <c r="B3134" s="1" t="n">
        <v>45072</v>
      </c>
      <c r="C3134" s="1" t="n">
        <v>45724</v>
      </c>
      <c r="D3134" t="inlineStr">
        <is>
          <t>VÄSTMANLANDS LÄN</t>
        </is>
      </c>
      <c r="E3134" t="inlineStr">
        <is>
          <t>SALA</t>
        </is>
      </c>
      <c r="G3134" t="n">
        <v>2.7</v>
      </c>
      <c r="H3134" t="n">
        <v>0</v>
      </c>
      <c r="I3134" t="n">
        <v>0</v>
      </c>
      <c r="J3134" t="n">
        <v>0</v>
      </c>
      <c r="K3134" t="n">
        <v>0</v>
      </c>
      <c r="L3134" t="n">
        <v>0</v>
      </c>
      <c r="M3134" t="n">
        <v>0</v>
      </c>
      <c r="N3134" t="n">
        <v>0</v>
      </c>
      <c r="O3134" t="n">
        <v>0</v>
      </c>
      <c r="P3134" t="n">
        <v>0</v>
      </c>
      <c r="Q3134" t="n">
        <v>0</v>
      </c>
      <c r="R3134" s="2" t="inlineStr"/>
    </row>
    <row r="3135" ht="15" customHeight="1">
      <c r="A3135" t="inlineStr">
        <is>
          <t>A 22940-2023</t>
        </is>
      </c>
      <c r="B3135" s="1" t="n">
        <v>45072</v>
      </c>
      <c r="C3135" s="1" t="n">
        <v>45724</v>
      </c>
      <c r="D3135" t="inlineStr">
        <is>
          <t>VÄSTMANLANDS LÄN</t>
        </is>
      </c>
      <c r="E3135" t="inlineStr">
        <is>
          <t>SKINNSKATTEBERG</t>
        </is>
      </c>
      <c r="F3135" t="inlineStr">
        <is>
          <t>Sveaskog</t>
        </is>
      </c>
      <c r="G3135" t="n">
        <v>5.1</v>
      </c>
      <c r="H3135" t="n">
        <v>0</v>
      </c>
      <c r="I3135" t="n">
        <v>0</v>
      </c>
      <c r="J3135" t="n">
        <v>0</v>
      </c>
      <c r="K3135" t="n">
        <v>0</v>
      </c>
      <c r="L3135" t="n">
        <v>0</v>
      </c>
      <c r="M3135" t="n">
        <v>0</v>
      </c>
      <c r="N3135" t="n">
        <v>0</v>
      </c>
      <c r="O3135" t="n">
        <v>0</v>
      </c>
      <c r="P3135" t="n">
        <v>0</v>
      </c>
      <c r="Q3135" t="n">
        <v>0</v>
      </c>
      <c r="R3135" s="2" t="inlineStr"/>
    </row>
    <row r="3136" ht="15" customHeight="1">
      <c r="A3136" t="inlineStr">
        <is>
          <t>A 23145-2023</t>
        </is>
      </c>
      <c r="B3136" s="1" t="n">
        <v>45075</v>
      </c>
      <c r="C3136" s="1" t="n">
        <v>45724</v>
      </c>
      <c r="D3136" t="inlineStr">
        <is>
          <t>VÄSTMANLANDS LÄN</t>
        </is>
      </c>
      <c r="E3136" t="inlineStr">
        <is>
          <t>SALA</t>
        </is>
      </c>
      <c r="G3136" t="n">
        <v>5.3</v>
      </c>
      <c r="H3136" t="n">
        <v>0</v>
      </c>
      <c r="I3136" t="n">
        <v>0</v>
      </c>
      <c r="J3136" t="n">
        <v>0</v>
      </c>
      <c r="K3136" t="n">
        <v>0</v>
      </c>
      <c r="L3136" t="n">
        <v>0</v>
      </c>
      <c r="M3136" t="n">
        <v>0</v>
      </c>
      <c r="N3136" t="n">
        <v>0</v>
      </c>
      <c r="O3136" t="n">
        <v>0</v>
      </c>
      <c r="P3136" t="n">
        <v>0</v>
      </c>
      <c r="Q3136" t="n">
        <v>0</v>
      </c>
      <c r="R3136" s="2" t="inlineStr"/>
    </row>
    <row r="3137" ht="15" customHeight="1">
      <c r="A3137" t="inlineStr">
        <is>
          <t>A 23209-2023</t>
        </is>
      </c>
      <c r="B3137" s="1" t="n">
        <v>45075</v>
      </c>
      <c r="C3137" s="1" t="n">
        <v>45724</v>
      </c>
      <c r="D3137" t="inlineStr">
        <is>
          <t>VÄSTMANLANDS LÄN</t>
        </is>
      </c>
      <c r="E3137" t="inlineStr">
        <is>
          <t>SKINNSKATTEBERG</t>
        </is>
      </c>
      <c r="G3137" t="n">
        <v>11.3</v>
      </c>
      <c r="H3137" t="n">
        <v>0</v>
      </c>
      <c r="I3137" t="n">
        <v>0</v>
      </c>
      <c r="J3137" t="n">
        <v>0</v>
      </c>
      <c r="K3137" t="n">
        <v>0</v>
      </c>
      <c r="L3137" t="n">
        <v>0</v>
      </c>
      <c r="M3137" t="n">
        <v>0</v>
      </c>
      <c r="N3137" t="n">
        <v>0</v>
      </c>
      <c r="O3137" t="n">
        <v>0</v>
      </c>
      <c r="P3137" t="n">
        <v>0</v>
      </c>
      <c r="Q3137" t="n">
        <v>0</v>
      </c>
      <c r="R3137" s="2" t="inlineStr"/>
    </row>
    <row r="3138" ht="15" customHeight="1">
      <c r="A3138" t="inlineStr">
        <is>
          <t>A 23256-2023</t>
        </is>
      </c>
      <c r="B3138" s="1" t="n">
        <v>45075</v>
      </c>
      <c r="C3138" s="1" t="n">
        <v>45724</v>
      </c>
      <c r="D3138" t="inlineStr">
        <is>
          <t>VÄSTMANLANDS LÄN</t>
        </is>
      </c>
      <c r="E3138" t="inlineStr">
        <is>
          <t>VÄSTERÅS</t>
        </is>
      </c>
      <c r="F3138" t="inlineStr">
        <is>
          <t>Kommuner</t>
        </is>
      </c>
      <c r="G3138" t="n">
        <v>9.9</v>
      </c>
      <c r="H3138" t="n">
        <v>0</v>
      </c>
      <c r="I3138" t="n">
        <v>0</v>
      </c>
      <c r="J3138" t="n">
        <v>0</v>
      </c>
      <c r="K3138" t="n">
        <v>0</v>
      </c>
      <c r="L3138" t="n">
        <v>0</v>
      </c>
      <c r="M3138" t="n">
        <v>0</v>
      </c>
      <c r="N3138" t="n">
        <v>0</v>
      </c>
      <c r="O3138" t="n">
        <v>0</v>
      </c>
      <c r="P3138" t="n">
        <v>0</v>
      </c>
      <c r="Q3138" t="n">
        <v>0</v>
      </c>
      <c r="R3138" s="2" t="inlineStr"/>
    </row>
    <row r="3139" ht="15" customHeight="1">
      <c r="A3139" t="inlineStr">
        <is>
          <t>A 23146-2023</t>
        </is>
      </c>
      <c r="B3139" s="1" t="n">
        <v>45075</v>
      </c>
      <c r="C3139" s="1" t="n">
        <v>45724</v>
      </c>
      <c r="D3139" t="inlineStr">
        <is>
          <t>VÄSTMANLANDS LÄN</t>
        </is>
      </c>
      <c r="E3139" t="inlineStr">
        <is>
          <t>SALA</t>
        </is>
      </c>
      <c r="G3139" t="n">
        <v>1.7</v>
      </c>
      <c r="H3139" t="n">
        <v>0</v>
      </c>
      <c r="I3139" t="n">
        <v>0</v>
      </c>
      <c r="J3139" t="n">
        <v>0</v>
      </c>
      <c r="K3139" t="n">
        <v>0</v>
      </c>
      <c r="L3139" t="n">
        <v>0</v>
      </c>
      <c r="M3139" t="n">
        <v>0</v>
      </c>
      <c r="N3139" t="n">
        <v>0</v>
      </c>
      <c r="O3139" t="n">
        <v>0</v>
      </c>
      <c r="P3139" t="n">
        <v>0</v>
      </c>
      <c r="Q3139" t="n">
        <v>0</v>
      </c>
      <c r="R3139" s="2" t="inlineStr"/>
    </row>
    <row r="3140" ht="15" customHeight="1">
      <c r="A3140" t="inlineStr">
        <is>
          <t>A 23224-2023</t>
        </is>
      </c>
      <c r="B3140" s="1" t="n">
        <v>45075</v>
      </c>
      <c r="C3140" s="1" t="n">
        <v>45724</v>
      </c>
      <c r="D3140" t="inlineStr">
        <is>
          <t>VÄSTMANLANDS LÄN</t>
        </is>
      </c>
      <c r="E3140" t="inlineStr">
        <is>
          <t>SALA</t>
        </is>
      </c>
      <c r="G3140" t="n">
        <v>0.8</v>
      </c>
      <c r="H3140" t="n">
        <v>0</v>
      </c>
      <c r="I3140" t="n">
        <v>0</v>
      </c>
      <c r="J3140" t="n">
        <v>0</v>
      </c>
      <c r="K3140" t="n">
        <v>0</v>
      </c>
      <c r="L3140" t="n">
        <v>0</v>
      </c>
      <c r="M3140" t="n">
        <v>0</v>
      </c>
      <c r="N3140" t="n">
        <v>0</v>
      </c>
      <c r="O3140" t="n">
        <v>0</v>
      </c>
      <c r="P3140" t="n">
        <v>0</v>
      </c>
      <c r="Q3140" t="n">
        <v>0</v>
      </c>
      <c r="R3140" s="2" t="inlineStr"/>
    </row>
    <row r="3141" ht="15" customHeight="1">
      <c r="A3141" t="inlineStr">
        <is>
          <t>A 23222-2023</t>
        </is>
      </c>
      <c r="B3141" s="1" t="n">
        <v>45075</v>
      </c>
      <c r="C3141" s="1" t="n">
        <v>45724</v>
      </c>
      <c r="D3141" t="inlineStr">
        <is>
          <t>VÄSTMANLANDS LÄN</t>
        </is>
      </c>
      <c r="E3141" t="inlineStr">
        <is>
          <t>SALA</t>
        </is>
      </c>
      <c r="G3141" t="n">
        <v>0.8</v>
      </c>
      <c r="H3141" t="n">
        <v>0</v>
      </c>
      <c r="I3141" t="n">
        <v>0</v>
      </c>
      <c r="J3141" t="n">
        <v>0</v>
      </c>
      <c r="K3141" t="n">
        <v>0</v>
      </c>
      <c r="L3141" t="n">
        <v>0</v>
      </c>
      <c r="M3141" t="n">
        <v>0</v>
      </c>
      <c r="N3141" t="n">
        <v>0</v>
      </c>
      <c r="O3141" t="n">
        <v>0</v>
      </c>
      <c r="P3141" t="n">
        <v>0</v>
      </c>
      <c r="Q3141" t="n">
        <v>0</v>
      </c>
      <c r="R3141" s="2" t="inlineStr"/>
    </row>
    <row r="3142" ht="15" customHeight="1">
      <c r="A3142" t="inlineStr">
        <is>
          <t>A 23232-2023</t>
        </is>
      </c>
      <c r="B3142" s="1" t="n">
        <v>45075</v>
      </c>
      <c r="C3142" s="1" t="n">
        <v>45724</v>
      </c>
      <c r="D3142" t="inlineStr">
        <is>
          <t>VÄSTMANLANDS LÄN</t>
        </is>
      </c>
      <c r="E3142" t="inlineStr">
        <is>
          <t>SALA</t>
        </is>
      </c>
      <c r="G3142" t="n">
        <v>1.6</v>
      </c>
      <c r="H3142" t="n">
        <v>0</v>
      </c>
      <c r="I3142" t="n">
        <v>0</v>
      </c>
      <c r="J3142" t="n">
        <v>0</v>
      </c>
      <c r="K3142" t="n">
        <v>0</v>
      </c>
      <c r="L3142" t="n">
        <v>0</v>
      </c>
      <c r="M3142" t="n">
        <v>0</v>
      </c>
      <c r="N3142" t="n">
        <v>0</v>
      </c>
      <c r="O3142" t="n">
        <v>0</v>
      </c>
      <c r="P3142" t="n">
        <v>0</v>
      </c>
      <c r="Q3142" t="n">
        <v>0</v>
      </c>
      <c r="R3142" s="2" t="inlineStr"/>
    </row>
    <row r="3143" ht="15" customHeight="1">
      <c r="A3143" t="inlineStr">
        <is>
          <t>A 23386-2023</t>
        </is>
      </c>
      <c r="B3143" s="1" t="n">
        <v>45076</v>
      </c>
      <c r="C3143" s="1" t="n">
        <v>45724</v>
      </c>
      <c r="D3143" t="inlineStr">
        <is>
          <t>VÄSTMANLANDS LÄN</t>
        </is>
      </c>
      <c r="E3143" t="inlineStr">
        <is>
          <t>KÖPING</t>
        </is>
      </c>
      <c r="G3143" t="n">
        <v>0.9</v>
      </c>
      <c r="H3143" t="n">
        <v>0</v>
      </c>
      <c r="I3143" t="n">
        <v>0</v>
      </c>
      <c r="J3143" t="n">
        <v>0</v>
      </c>
      <c r="K3143" t="n">
        <v>0</v>
      </c>
      <c r="L3143" t="n">
        <v>0</v>
      </c>
      <c r="M3143" t="n">
        <v>0</v>
      </c>
      <c r="N3143" t="n">
        <v>0</v>
      </c>
      <c r="O3143" t="n">
        <v>0</v>
      </c>
      <c r="P3143" t="n">
        <v>0</v>
      </c>
      <c r="Q3143" t="n">
        <v>0</v>
      </c>
      <c r="R3143" s="2" t="inlineStr"/>
    </row>
    <row r="3144" ht="15" customHeight="1">
      <c r="A3144" t="inlineStr">
        <is>
          <t>A 23390-2023</t>
        </is>
      </c>
      <c r="B3144" s="1" t="n">
        <v>45076</v>
      </c>
      <c r="C3144" s="1" t="n">
        <v>45724</v>
      </c>
      <c r="D3144" t="inlineStr">
        <is>
          <t>VÄSTMANLANDS LÄN</t>
        </is>
      </c>
      <c r="E3144" t="inlineStr">
        <is>
          <t>KÖPING</t>
        </is>
      </c>
      <c r="G3144" t="n">
        <v>1.4</v>
      </c>
      <c r="H3144" t="n">
        <v>0</v>
      </c>
      <c r="I3144" t="n">
        <v>0</v>
      </c>
      <c r="J3144" t="n">
        <v>0</v>
      </c>
      <c r="K3144" t="n">
        <v>0</v>
      </c>
      <c r="L3144" t="n">
        <v>0</v>
      </c>
      <c r="M3144" t="n">
        <v>0</v>
      </c>
      <c r="N3144" t="n">
        <v>0</v>
      </c>
      <c r="O3144" t="n">
        <v>0</v>
      </c>
      <c r="P3144" t="n">
        <v>0</v>
      </c>
      <c r="Q3144" t="n">
        <v>0</v>
      </c>
      <c r="R3144" s="2" t="inlineStr"/>
    </row>
    <row r="3145" ht="15" customHeight="1">
      <c r="A3145" t="inlineStr">
        <is>
          <t>A 23374-2023</t>
        </is>
      </c>
      <c r="B3145" s="1" t="n">
        <v>45076</v>
      </c>
      <c r="C3145" s="1" t="n">
        <v>45724</v>
      </c>
      <c r="D3145" t="inlineStr">
        <is>
          <t>VÄSTMANLANDS LÄN</t>
        </is>
      </c>
      <c r="E3145" t="inlineStr">
        <is>
          <t>SALA</t>
        </is>
      </c>
      <c r="G3145" t="n">
        <v>0.7</v>
      </c>
      <c r="H3145" t="n">
        <v>0</v>
      </c>
      <c r="I3145" t="n">
        <v>0</v>
      </c>
      <c r="J3145" t="n">
        <v>0</v>
      </c>
      <c r="K3145" t="n">
        <v>0</v>
      </c>
      <c r="L3145" t="n">
        <v>0</v>
      </c>
      <c r="M3145" t="n">
        <v>0</v>
      </c>
      <c r="N3145" t="n">
        <v>0</v>
      </c>
      <c r="O3145" t="n">
        <v>0</v>
      </c>
      <c r="P3145" t="n">
        <v>0</v>
      </c>
      <c r="Q3145" t="n">
        <v>0</v>
      </c>
      <c r="R3145" s="2" t="inlineStr"/>
    </row>
    <row r="3146" ht="15" customHeight="1">
      <c r="A3146" t="inlineStr">
        <is>
          <t>A 23387-2023</t>
        </is>
      </c>
      <c r="B3146" s="1" t="n">
        <v>45076</v>
      </c>
      <c r="C3146" s="1" t="n">
        <v>45724</v>
      </c>
      <c r="D3146" t="inlineStr">
        <is>
          <t>VÄSTMANLANDS LÄN</t>
        </is>
      </c>
      <c r="E3146" t="inlineStr">
        <is>
          <t>KÖPING</t>
        </is>
      </c>
      <c r="G3146" t="n">
        <v>1.7</v>
      </c>
      <c r="H3146" t="n">
        <v>0</v>
      </c>
      <c r="I3146" t="n">
        <v>0</v>
      </c>
      <c r="J3146" t="n">
        <v>0</v>
      </c>
      <c r="K3146" t="n">
        <v>0</v>
      </c>
      <c r="L3146" t="n">
        <v>0</v>
      </c>
      <c r="M3146" t="n">
        <v>0</v>
      </c>
      <c r="N3146" t="n">
        <v>0</v>
      </c>
      <c r="O3146" t="n">
        <v>0</v>
      </c>
      <c r="P3146" t="n">
        <v>0</v>
      </c>
      <c r="Q3146" t="n">
        <v>0</v>
      </c>
      <c r="R3146" s="2" t="inlineStr"/>
    </row>
    <row r="3147" ht="15" customHeight="1">
      <c r="A3147" t="inlineStr">
        <is>
          <t>A 23372-2023</t>
        </is>
      </c>
      <c r="B3147" s="1" t="n">
        <v>45076</v>
      </c>
      <c r="C3147" s="1" t="n">
        <v>45724</v>
      </c>
      <c r="D3147" t="inlineStr">
        <is>
          <t>VÄSTMANLANDS LÄN</t>
        </is>
      </c>
      <c r="E3147" t="inlineStr">
        <is>
          <t>SALA</t>
        </is>
      </c>
      <c r="G3147" t="n">
        <v>2.2</v>
      </c>
      <c r="H3147" t="n">
        <v>0</v>
      </c>
      <c r="I3147" t="n">
        <v>0</v>
      </c>
      <c r="J3147" t="n">
        <v>0</v>
      </c>
      <c r="K3147" t="n">
        <v>0</v>
      </c>
      <c r="L3147" t="n">
        <v>0</v>
      </c>
      <c r="M3147" t="n">
        <v>0</v>
      </c>
      <c r="N3147" t="n">
        <v>0</v>
      </c>
      <c r="O3147" t="n">
        <v>0</v>
      </c>
      <c r="P3147" t="n">
        <v>0</v>
      </c>
      <c r="Q3147" t="n">
        <v>0</v>
      </c>
      <c r="R3147" s="2" t="inlineStr"/>
    </row>
    <row r="3148" ht="15" customHeight="1">
      <c r="A3148" t="inlineStr">
        <is>
          <t>A 23389-2023</t>
        </is>
      </c>
      <c r="B3148" s="1" t="n">
        <v>45076</v>
      </c>
      <c r="C3148" s="1" t="n">
        <v>45724</v>
      </c>
      <c r="D3148" t="inlineStr">
        <is>
          <t>VÄSTMANLANDS LÄN</t>
        </is>
      </c>
      <c r="E3148" t="inlineStr">
        <is>
          <t>KÖPING</t>
        </is>
      </c>
      <c r="G3148" t="n">
        <v>5.6</v>
      </c>
      <c r="H3148" t="n">
        <v>0</v>
      </c>
      <c r="I3148" t="n">
        <v>0</v>
      </c>
      <c r="J3148" t="n">
        <v>0</v>
      </c>
      <c r="K3148" t="n">
        <v>0</v>
      </c>
      <c r="L3148" t="n">
        <v>0</v>
      </c>
      <c r="M3148" t="n">
        <v>0</v>
      </c>
      <c r="N3148" t="n">
        <v>0</v>
      </c>
      <c r="O3148" t="n">
        <v>0</v>
      </c>
      <c r="P3148" t="n">
        <v>0</v>
      </c>
      <c r="Q3148" t="n">
        <v>0</v>
      </c>
      <c r="R3148" s="2" t="inlineStr"/>
    </row>
    <row r="3149" ht="15" customHeight="1">
      <c r="A3149" t="inlineStr">
        <is>
          <t>A 23631-2023</t>
        </is>
      </c>
      <c r="B3149" s="1" t="n">
        <v>45077</v>
      </c>
      <c r="C3149" s="1" t="n">
        <v>45724</v>
      </c>
      <c r="D3149" t="inlineStr">
        <is>
          <t>VÄSTMANLANDS LÄN</t>
        </is>
      </c>
      <c r="E3149" t="inlineStr">
        <is>
          <t>VÄSTERÅS</t>
        </is>
      </c>
      <c r="G3149" t="n">
        <v>4.2</v>
      </c>
      <c r="H3149" t="n">
        <v>0</v>
      </c>
      <c r="I3149" t="n">
        <v>0</v>
      </c>
      <c r="J3149" t="n">
        <v>0</v>
      </c>
      <c r="K3149" t="n">
        <v>0</v>
      </c>
      <c r="L3149" t="n">
        <v>0</v>
      </c>
      <c r="M3149" t="n">
        <v>0</v>
      </c>
      <c r="N3149" t="n">
        <v>0</v>
      </c>
      <c r="O3149" t="n">
        <v>0</v>
      </c>
      <c r="P3149" t="n">
        <v>0</v>
      </c>
      <c r="Q3149" t="n">
        <v>0</v>
      </c>
      <c r="R3149" s="2" t="inlineStr"/>
    </row>
    <row r="3150" ht="15" customHeight="1">
      <c r="A3150" t="inlineStr">
        <is>
          <t>A 23661-2023</t>
        </is>
      </c>
      <c r="B3150" s="1" t="n">
        <v>45077</v>
      </c>
      <c r="C3150" s="1" t="n">
        <v>45724</v>
      </c>
      <c r="D3150" t="inlineStr">
        <is>
          <t>VÄSTMANLANDS LÄN</t>
        </is>
      </c>
      <c r="E3150" t="inlineStr">
        <is>
          <t>SKINNSKATTEBERG</t>
        </is>
      </c>
      <c r="G3150" t="n">
        <v>4.5</v>
      </c>
      <c r="H3150" t="n">
        <v>0</v>
      </c>
      <c r="I3150" t="n">
        <v>0</v>
      </c>
      <c r="J3150" t="n">
        <v>0</v>
      </c>
      <c r="K3150" t="n">
        <v>0</v>
      </c>
      <c r="L3150" t="n">
        <v>0</v>
      </c>
      <c r="M3150" t="n">
        <v>0</v>
      </c>
      <c r="N3150" t="n">
        <v>0</v>
      </c>
      <c r="O3150" t="n">
        <v>0</v>
      </c>
      <c r="P3150" t="n">
        <v>0</v>
      </c>
      <c r="Q3150" t="n">
        <v>0</v>
      </c>
      <c r="R3150" s="2" t="inlineStr"/>
    </row>
    <row r="3151" ht="15" customHeight="1">
      <c r="A3151" t="inlineStr">
        <is>
          <t>A 23665-2023</t>
        </is>
      </c>
      <c r="B3151" s="1" t="n">
        <v>45077</v>
      </c>
      <c r="C3151" s="1" t="n">
        <v>45724</v>
      </c>
      <c r="D3151" t="inlineStr">
        <is>
          <t>VÄSTMANLANDS LÄN</t>
        </is>
      </c>
      <c r="E3151" t="inlineStr">
        <is>
          <t>SKINNSKATTEBERG</t>
        </is>
      </c>
      <c r="G3151" t="n">
        <v>4.7</v>
      </c>
      <c r="H3151" t="n">
        <v>0</v>
      </c>
      <c r="I3151" t="n">
        <v>0</v>
      </c>
      <c r="J3151" t="n">
        <v>0</v>
      </c>
      <c r="K3151" t="n">
        <v>0</v>
      </c>
      <c r="L3151" t="n">
        <v>0</v>
      </c>
      <c r="M3151" t="n">
        <v>0</v>
      </c>
      <c r="N3151" t="n">
        <v>0</v>
      </c>
      <c r="O3151" t="n">
        <v>0</v>
      </c>
      <c r="P3151" t="n">
        <v>0</v>
      </c>
      <c r="Q3151" t="n">
        <v>0</v>
      </c>
      <c r="R3151" s="2" t="inlineStr"/>
    </row>
    <row r="3152" ht="15" customHeight="1">
      <c r="A3152" t="inlineStr">
        <is>
          <t>A 23542-2023</t>
        </is>
      </c>
      <c r="B3152" s="1" t="n">
        <v>45077</v>
      </c>
      <c r="C3152" s="1" t="n">
        <v>45724</v>
      </c>
      <c r="D3152" t="inlineStr">
        <is>
          <t>VÄSTMANLANDS LÄN</t>
        </is>
      </c>
      <c r="E3152" t="inlineStr">
        <is>
          <t>NORBERG</t>
        </is>
      </c>
      <c r="F3152" t="inlineStr">
        <is>
          <t>Bergvik skog väst AB</t>
        </is>
      </c>
      <c r="G3152" t="n">
        <v>5.3</v>
      </c>
      <c r="H3152" t="n">
        <v>0</v>
      </c>
      <c r="I3152" t="n">
        <v>0</v>
      </c>
      <c r="J3152" t="n">
        <v>0</v>
      </c>
      <c r="K3152" t="n">
        <v>0</v>
      </c>
      <c r="L3152" t="n">
        <v>0</v>
      </c>
      <c r="M3152" t="n">
        <v>0</v>
      </c>
      <c r="N3152" t="n">
        <v>0</v>
      </c>
      <c r="O3152" t="n">
        <v>0</v>
      </c>
      <c r="P3152" t="n">
        <v>0</v>
      </c>
      <c r="Q3152" t="n">
        <v>0</v>
      </c>
      <c r="R3152" s="2" t="inlineStr"/>
    </row>
    <row r="3153" ht="15" customHeight="1">
      <c r="A3153" t="inlineStr">
        <is>
          <t>A 23658-2023</t>
        </is>
      </c>
      <c r="B3153" s="1" t="n">
        <v>45077</v>
      </c>
      <c r="C3153" s="1" t="n">
        <v>45724</v>
      </c>
      <c r="D3153" t="inlineStr">
        <is>
          <t>VÄSTMANLANDS LÄN</t>
        </is>
      </c>
      <c r="E3153" t="inlineStr">
        <is>
          <t>KÖPING</t>
        </is>
      </c>
      <c r="G3153" t="n">
        <v>1.4</v>
      </c>
      <c r="H3153" t="n">
        <v>0</v>
      </c>
      <c r="I3153" t="n">
        <v>0</v>
      </c>
      <c r="J3153" t="n">
        <v>0</v>
      </c>
      <c r="K3153" t="n">
        <v>0</v>
      </c>
      <c r="L3153" t="n">
        <v>0</v>
      </c>
      <c r="M3153" t="n">
        <v>0</v>
      </c>
      <c r="N3153" t="n">
        <v>0</v>
      </c>
      <c r="O3153" t="n">
        <v>0</v>
      </c>
      <c r="P3153" t="n">
        <v>0</v>
      </c>
      <c r="Q3153" t="n">
        <v>0</v>
      </c>
      <c r="R3153" s="2" t="inlineStr"/>
    </row>
    <row r="3154" ht="15" customHeight="1">
      <c r="A3154" t="inlineStr">
        <is>
          <t>A 23659-2023</t>
        </is>
      </c>
      <c r="B3154" s="1" t="n">
        <v>45077</v>
      </c>
      <c r="C3154" s="1" t="n">
        <v>45724</v>
      </c>
      <c r="D3154" t="inlineStr">
        <is>
          <t>VÄSTMANLANDS LÄN</t>
        </is>
      </c>
      <c r="E3154" t="inlineStr">
        <is>
          <t>SALA</t>
        </is>
      </c>
      <c r="G3154" t="n">
        <v>2.5</v>
      </c>
      <c r="H3154" t="n">
        <v>0</v>
      </c>
      <c r="I3154" t="n">
        <v>0</v>
      </c>
      <c r="J3154" t="n">
        <v>0</v>
      </c>
      <c r="K3154" t="n">
        <v>0</v>
      </c>
      <c r="L3154" t="n">
        <v>0</v>
      </c>
      <c r="M3154" t="n">
        <v>0</v>
      </c>
      <c r="N3154" t="n">
        <v>0</v>
      </c>
      <c r="O3154" t="n">
        <v>0</v>
      </c>
      <c r="P3154" t="n">
        <v>0</v>
      </c>
      <c r="Q3154" t="n">
        <v>0</v>
      </c>
      <c r="R3154" s="2" t="inlineStr"/>
    </row>
    <row r="3155" ht="15" customHeight="1">
      <c r="A3155" t="inlineStr">
        <is>
          <t>A 23731-2023</t>
        </is>
      </c>
      <c r="B3155" s="1" t="n">
        <v>45077</v>
      </c>
      <c r="C3155" s="1" t="n">
        <v>45724</v>
      </c>
      <c r="D3155" t="inlineStr">
        <is>
          <t>VÄSTMANLANDS LÄN</t>
        </is>
      </c>
      <c r="E3155" t="inlineStr">
        <is>
          <t>SURAHAMMAR</t>
        </is>
      </c>
      <c r="F3155" t="inlineStr">
        <is>
          <t>Sveaskog</t>
        </is>
      </c>
      <c r="G3155" t="n">
        <v>1.3</v>
      </c>
      <c r="H3155" t="n">
        <v>0</v>
      </c>
      <c r="I3155" t="n">
        <v>0</v>
      </c>
      <c r="J3155" t="n">
        <v>0</v>
      </c>
      <c r="K3155" t="n">
        <v>0</v>
      </c>
      <c r="L3155" t="n">
        <v>0</v>
      </c>
      <c r="M3155" t="n">
        <v>0</v>
      </c>
      <c r="N3155" t="n">
        <v>0</v>
      </c>
      <c r="O3155" t="n">
        <v>0</v>
      </c>
      <c r="P3155" t="n">
        <v>0</v>
      </c>
      <c r="Q3155" t="n">
        <v>0</v>
      </c>
      <c r="R3155" s="2" t="inlineStr"/>
    </row>
    <row r="3156" ht="15" customHeight="1">
      <c r="A3156" t="inlineStr">
        <is>
          <t>A 23574-2023</t>
        </is>
      </c>
      <c r="B3156" s="1" t="n">
        <v>45077</v>
      </c>
      <c r="C3156" s="1" t="n">
        <v>45724</v>
      </c>
      <c r="D3156" t="inlineStr">
        <is>
          <t>VÄSTMANLANDS LÄN</t>
        </is>
      </c>
      <c r="E3156" t="inlineStr">
        <is>
          <t>KUNGSÖR</t>
        </is>
      </c>
      <c r="G3156" t="n">
        <v>1</v>
      </c>
      <c r="H3156" t="n">
        <v>0</v>
      </c>
      <c r="I3156" t="n">
        <v>0</v>
      </c>
      <c r="J3156" t="n">
        <v>0</v>
      </c>
      <c r="K3156" t="n">
        <v>0</v>
      </c>
      <c r="L3156" t="n">
        <v>0</v>
      </c>
      <c r="M3156" t="n">
        <v>0</v>
      </c>
      <c r="N3156" t="n">
        <v>0</v>
      </c>
      <c r="O3156" t="n">
        <v>0</v>
      </c>
      <c r="P3156" t="n">
        <v>0</v>
      </c>
      <c r="Q3156" t="n">
        <v>0</v>
      </c>
      <c r="R3156" s="2" t="inlineStr"/>
    </row>
    <row r="3157" ht="15" customHeight="1">
      <c r="A3157" t="inlineStr">
        <is>
          <t>A 23616-2023</t>
        </is>
      </c>
      <c r="B3157" s="1" t="n">
        <v>45077</v>
      </c>
      <c r="C3157" s="1" t="n">
        <v>45724</v>
      </c>
      <c r="D3157" t="inlineStr">
        <is>
          <t>VÄSTMANLANDS LÄN</t>
        </is>
      </c>
      <c r="E3157" t="inlineStr">
        <is>
          <t>NORBERG</t>
        </is>
      </c>
      <c r="G3157" t="n">
        <v>4.5</v>
      </c>
      <c r="H3157" t="n">
        <v>0</v>
      </c>
      <c r="I3157" t="n">
        <v>0</v>
      </c>
      <c r="J3157" t="n">
        <v>0</v>
      </c>
      <c r="K3157" t="n">
        <v>0</v>
      </c>
      <c r="L3157" t="n">
        <v>0</v>
      </c>
      <c r="M3157" t="n">
        <v>0</v>
      </c>
      <c r="N3157" t="n">
        <v>0</v>
      </c>
      <c r="O3157" t="n">
        <v>0</v>
      </c>
      <c r="P3157" t="n">
        <v>0</v>
      </c>
      <c r="Q3157" t="n">
        <v>0</v>
      </c>
      <c r="R3157" s="2" t="inlineStr"/>
    </row>
    <row r="3158" ht="15" customHeight="1">
      <c r="A3158" t="inlineStr">
        <is>
          <t>A 23641-2023</t>
        </is>
      </c>
      <c r="B3158" s="1" t="n">
        <v>45077</v>
      </c>
      <c r="C3158" s="1" t="n">
        <v>45724</v>
      </c>
      <c r="D3158" t="inlineStr">
        <is>
          <t>VÄSTMANLANDS LÄN</t>
        </is>
      </c>
      <c r="E3158" t="inlineStr">
        <is>
          <t>VÄSTERÅS</t>
        </is>
      </c>
      <c r="G3158" t="n">
        <v>0.7</v>
      </c>
      <c r="H3158" t="n">
        <v>0</v>
      </c>
      <c r="I3158" t="n">
        <v>0</v>
      </c>
      <c r="J3158" t="n">
        <v>0</v>
      </c>
      <c r="K3158" t="n">
        <v>0</v>
      </c>
      <c r="L3158" t="n">
        <v>0</v>
      </c>
      <c r="M3158" t="n">
        <v>0</v>
      </c>
      <c r="N3158" t="n">
        <v>0</v>
      </c>
      <c r="O3158" t="n">
        <v>0</v>
      </c>
      <c r="P3158" t="n">
        <v>0</v>
      </c>
      <c r="Q3158" t="n">
        <v>0</v>
      </c>
      <c r="R3158" s="2" t="inlineStr"/>
    </row>
    <row r="3159" ht="15" customHeight="1">
      <c r="A3159" t="inlineStr">
        <is>
          <t>A 23656-2023</t>
        </is>
      </c>
      <c r="B3159" s="1" t="n">
        <v>45077</v>
      </c>
      <c r="C3159" s="1" t="n">
        <v>45724</v>
      </c>
      <c r="D3159" t="inlineStr">
        <is>
          <t>VÄSTMANLANDS LÄN</t>
        </is>
      </c>
      <c r="E3159" t="inlineStr">
        <is>
          <t>KÖPING</t>
        </is>
      </c>
      <c r="G3159" t="n">
        <v>1</v>
      </c>
      <c r="H3159" t="n">
        <v>0</v>
      </c>
      <c r="I3159" t="n">
        <v>0</v>
      </c>
      <c r="J3159" t="n">
        <v>0</v>
      </c>
      <c r="K3159" t="n">
        <v>0</v>
      </c>
      <c r="L3159" t="n">
        <v>0</v>
      </c>
      <c r="M3159" t="n">
        <v>0</v>
      </c>
      <c r="N3159" t="n">
        <v>0</v>
      </c>
      <c r="O3159" t="n">
        <v>0</v>
      </c>
      <c r="P3159" t="n">
        <v>0</v>
      </c>
      <c r="Q3159" t="n">
        <v>0</v>
      </c>
      <c r="R3159" s="2" t="inlineStr"/>
    </row>
    <row r="3160" ht="15" customHeight="1">
      <c r="A3160" t="inlineStr">
        <is>
          <t>A 23875-2023</t>
        </is>
      </c>
      <c r="B3160" s="1" t="n">
        <v>45078</v>
      </c>
      <c r="C3160" s="1" t="n">
        <v>45724</v>
      </c>
      <c r="D3160" t="inlineStr">
        <is>
          <t>VÄSTMANLANDS LÄN</t>
        </is>
      </c>
      <c r="E3160" t="inlineStr">
        <is>
          <t>VÄSTERÅS</t>
        </is>
      </c>
      <c r="G3160" t="n">
        <v>1.1</v>
      </c>
      <c r="H3160" t="n">
        <v>0</v>
      </c>
      <c r="I3160" t="n">
        <v>0</v>
      </c>
      <c r="J3160" t="n">
        <v>0</v>
      </c>
      <c r="K3160" t="n">
        <v>0</v>
      </c>
      <c r="L3160" t="n">
        <v>0</v>
      </c>
      <c r="M3160" t="n">
        <v>0</v>
      </c>
      <c r="N3160" t="n">
        <v>0</v>
      </c>
      <c r="O3160" t="n">
        <v>0</v>
      </c>
      <c r="P3160" t="n">
        <v>0</v>
      </c>
      <c r="Q3160" t="n">
        <v>0</v>
      </c>
      <c r="R3160" s="2" t="inlineStr"/>
    </row>
    <row r="3161" ht="15" customHeight="1">
      <c r="A3161" t="inlineStr">
        <is>
          <t>A 23905-2023</t>
        </is>
      </c>
      <c r="B3161" s="1" t="n">
        <v>45078</v>
      </c>
      <c r="C3161" s="1" t="n">
        <v>45724</v>
      </c>
      <c r="D3161" t="inlineStr">
        <is>
          <t>VÄSTMANLANDS LÄN</t>
        </is>
      </c>
      <c r="E3161" t="inlineStr">
        <is>
          <t>VÄSTERÅS</t>
        </is>
      </c>
      <c r="G3161" t="n">
        <v>1.5</v>
      </c>
      <c r="H3161" t="n">
        <v>0</v>
      </c>
      <c r="I3161" t="n">
        <v>0</v>
      </c>
      <c r="J3161" t="n">
        <v>0</v>
      </c>
      <c r="K3161" t="n">
        <v>0</v>
      </c>
      <c r="L3161" t="n">
        <v>0</v>
      </c>
      <c r="M3161" t="n">
        <v>0</v>
      </c>
      <c r="N3161" t="n">
        <v>0</v>
      </c>
      <c r="O3161" t="n">
        <v>0</v>
      </c>
      <c r="P3161" t="n">
        <v>0</v>
      </c>
      <c r="Q3161" t="n">
        <v>0</v>
      </c>
      <c r="R3161" s="2" t="inlineStr"/>
    </row>
    <row r="3162" ht="15" customHeight="1">
      <c r="A3162" t="inlineStr">
        <is>
          <t>A 23927-2023</t>
        </is>
      </c>
      <c r="B3162" s="1" t="n">
        <v>45078</v>
      </c>
      <c r="C3162" s="1" t="n">
        <v>45724</v>
      </c>
      <c r="D3162" t="inlineStr">
        <is>
          <t>VÄSTMANLANDS LÄN</t>
        </is>
      </c>
      <c r="E3162" t="inlineStr">
        <is>
          <t>KUNGSÖR</t>
        </is>
      </c>
      <c r="G3162" t="n">
        <v>1.6</v>
      </c>
      <c r="H3162" t="n">
        <v>0</v>
      </c>
      <c r="I3162" t="n">
        <v>0</v>
      </c>
      <c r="J3162" t="n">
        <v>0</v>
      </c>
      <c r="K3162" t="n">
        <v>0</v>
      </c>
      <c r="L3162" t="n">
        <v>0</v>
      </c>
      <c r="M3162" t="n">
        <v>0</v>
      </c>
      <c r="N3162" t="n">
        <v>0</v>
      </c>
      <c r="O3162" t="n">
        <v>0</v>
      </c>
      <c r="P3162" t="n">
        <v>0</v>
      </c>
      <c r="Q3162" t="n">
        <v>0</v>
      </c>
      <c r="R3162" s="2" t="inlineStr"/>
    </row>
    <row r="3163" ht="15" customHeight="1">
      <c r="A3163" t="inlineStr">
        <is>
          <t>A 23932-2023</t>
        </is>
      </c>
      <c r="B3163" s="1" t="n">
        <v>45078</v>
      </c>
      <c r="C3163" s="1" t="n">
        <v>45724</v>
      </c>
      <c r="D3163" t="inlineStr">
        <is>
          <t>VÄSTMANLANDS LÄN</t>
        </is>
      </c>
      <c r="E3163" t="inlineStr">
        <is>
          <t>KUNGSÖR</t>
        </is>
      </c>
      <c r="G3163" t="n">
        <v>1.1</v>
      </c>
      <c r="H3163" t="n">
        <v>0</v>
      </c>
      <c r="I3163" t="n">
        <v>0</v>
      </c>
      <c r="J3163" t="n">
        <v>0</v>
      </c>
      <c r="K3163" t="n">
        <v>0</v>
      </c>
      <c r="L3163" t="n">
        <v>0</v>
      </c>
      <c r="M3163" t="n">
        <v>0</v>
      </c>
      <c r="N3163" t="n">
        <v>0</v>
      </c>
      <c r="O3163" t="n">
        <v>0</v>
      </c>
      <c r="P3163" t="n">
        <v>0</v>
      </c>
      <c r="Q3163" t="n">
        <v>0</v>
      </c>
      <c r="R3163" s="2" t="inlineStr"/>
    </row>
    <row r="3164" ht="15" customHeight="1">
      <c r="A3164" t="inlineStr">
        <is>
          <t>A 23791-2023</t>
        </is>
      </c>
      <c r="B3164" s="1" t="n">
        <v>45078</v>
      </c>
      <c r="C3164" s="1" t="n">
        <v>45724</v>
      </c>
      <c r="D3164" t="inlineStr">
        <is>
          <t>VÄSTMANLANDS LÄN</t>
        </is>
      </c>
      <c r="E3164" t="inlineStr">
        <is>
          <t>NORBERG</t>
        </is>
      </c>
      <c r="F3164" t="inlineStr">
        <is>
          <t>Bergvik skog väst AB</t>
        </is>
      </c>
      <c r="G3164" t="n">
        <v>4.6</v>
      </c>
      <c r="H3164" t="n">
        <v>0</v>
      </c>
      <c r="I3164" t="n">
        <v>0</v>
      </c>
      <c r="J3164" t="n">
        <v>0</v>
      </c>
      <c r="K3164" t="n">
        <v>0</v>
      </c>
      <c r="L3164" t="n">
        <v>0</v>
      </c>
      <c r="M3164" t="n">
        <v>0</v>
      </c>
      <c r="N3164" t="n">
        <v>0</v>
      </c>
      <c r="O3164" t="n">
        <v>0</v>
      </c>
      <c r="P3164" t="n">
        <v>0</v>
      </c>
      <c r="Q3164" t="n">
        <v>0</v>
      </c>
      <c r="R3164" s="2" t="inlineStr"/>
    </row>
    <row r="3165" ht="15" customHeight="1">
      <c r="A3165" t="inlineStr">
        <is>
          <t>A 23825-2023</t>
        </is>
      </c>
      <c r="B3165" s="1" t="n">
        <v>45078</v>
      </c>
      <c r="C3165" s="1" t="n">
        <v>45724</v>
      </c>
      <c r="D3165" t="inlineStr">
        <is>
          <t>VÄSTMANLANDS LÄN</t>
        </is>
      </c>
      <c r="E3165" t="inlineStr">
        <is>
          <t>KÖPING</t>
        </is>
      </c>
      <c r="G3165" t="n">
        <v>1.6</v>
      </c>
      <c r="H3165" t="n">
        <v>0</v>
      </c>
      <c r="I3165" t="n">
        <v>0</v>
      </c>
      <c r="J3165" t="n">
        <v>0</v>
      </c>
      <c r="K3165" t="n">
        <v>0</v>
      </c>
      <c r="L3165" t="n">
        <v>0</v>
      </c>
      <c r="M3165" t="n">
        <v>0</v>
      </c>
      <c r="N3165" t="n">
        <v>0</v>
      </c>
      <c r="O3165" t="n">
        <v>0</v>
      </c>
      <c r="P3165" t="n">
        <v>0</v>
      </c>
      <c r="Q3165" t="n">
        <v>0</v>
      </c>
      <c r="R3165" s="2" t="inlineStr"/>
    </row>
    <row r="3166" ht="15" customHeight="1">
      <c r="A3166" t="inlineStr">
        <is>
          <t>A 23917-2023</t>
        </is>
      </c>
      <c r="B3166" s="1" t="n">
        <v>45078</v>
      </c>
      <c r="C3166" s="1" t="n">
        <v>45724</v>
      </c>
      <c r="D3166" t="inlineStr">
        <is>
          <t>VÄSTMANLANDS LÄN</t>
        </is>
      </c>
      <c r="E3166" t="inlineStr">
        <is>
          <t>NORBERG</t>
        </is>
      </c>
      <c r="G3166" t="n">
        <v>1.6</v>
      </c>
      <c r="H3166" t="n">
        <v>0</v>
      </c>
      <c r="I3166" t="n">
        <v>0</v>
      </c>
      <c r="J3166" t="n">
        <v>0</v>
      </c>
      <c r="K3166" t="n">
        <v>0</v>
      </c>
      <c r="L3166" t="n">
        <v>0</v>
      </c>
      <c r="M3166" t="n">
        <v>0</v>
      </c>
      <c r="N3166" t="n">
        <v>0</v>
      </c>
      <c r="O3166" t="n">
        <v>0</v>
      </c>
      <c r="P3166" t="n">
        <v>0</v>
      </c>
      <c r="Q3166" t="n">
        <v>0</v>
      </c>
      <c r="R3166" s="2" t="inlineStr"/>
    </row>
    <row r="3167" ht="15" customHeight="1">
      <c r="A3167" t="inlineStr">
        <is>
          <t>A 23920-2023</t>
        </is>
      </c>
      <c r="B3167" s="1" t="n">
        <v>45078</v>
      </c>
      <c r="C3167" s="1" t="n">
        <v>45724</v>
      </c>
      <c r="D3167" t="inlineStr">
        <is>
          <t>VÄSTMANLANDS LÄN</t>
        </is>
      </c>
      <c r="E3167" t="inlineStr">
        <is>
          <t>VÄSTERÅS</t>
        </is>
      </c>
      <c r="G3167" t="n">
        <v>0.6</v>
      </c>
      <c r="H3167" t="n">
        <v>0</v>
      </c>
      <c r="I3167" t="n">
        <v>0</v>
      </c>
      <c r="J3167" t="n">
        <v>0</v>
      </c>
      <c r="K3167" t="n">
        <v>0</v>
      </c>
      <c r="L3167" t="n">
        <v>0</v>
      </c>
      <c r="M3167" t="n">
        <v>0</v>
      </c>
      <c r="N3167" t="n">
        <v>0</v>
      </c>
      <c r="O3167" t="n">
        <v>0</v>
      </c>
      <c r="P3167" t="n">
        <v>0</v>
      </c>
      <c r="Q3167" t="n">
        <v>0</v>
      </c>
      <c r="R3167" s="2" t="inlineStr"/>
    </row>
    <row r="3168" ht="15" customHeight="1">
      <c r="A3168" t="inlineStr">
        <is>
          <t>A 24098-2023</t>
        </is>
      </c>
      <c r="B3168" s="1" t="n">
        <v>45079</v>
      </c>
      <c r="C3168" s="1" t="n">
        <v>45724</v>
      </c>
      <c r="D3168" t="inlineStr">
        <is>
          <t>VÄSTMANLANDS LÄN</t>
        </is>
      </c>
      <c r="E3168" t="inlineStr">
        <is>
          <t>SKINNSKATTEBERG</t>
        </is>
      </c>
      <c r="F3168" t="inlineStr">
        <is>
          <t>Sveaskog</t>
        </is>
      </c>
      <c r="G3168" t="n">
        <v>1.4</v>
      </c>
      <c r="H3168" t="n">
        <v>0</v>
      </c>
      <c r="I3168" t="n">
        <v>0</v>
      </c>
      <c r="J3168" t="n">
        <v>0</v>
      </c>
      <c r="K3168" t="n">
        <v>0</v>
      </c>
      <c r="L3168" t="n">
        <v>0</v>
      </c>
      <c r="M3168" t="n">
        <v>0</v>
      </c>
      <c r="N3168" t="n">
        <v>0</v>
      </c>
      <c r="O3168" t="n">
        <v>0</v>
      </c>
      <c r="P3168" t="n">
        <v>0</v>
      </c>
      <c r="Q3168" t="n">
        <v>0</v>
      </c>
      <c r="R3168" s="2" t="inlineStr"/>
    </row>
    <row r="3169" ht="15" customHeight="1">
      <c r="A3169" t="inlineStr">
        <is>
          <t>A 24156-2023</t>
        </is>
      </c>
      <c r="B3169" s="1" t="n">
        <v>45079</v>
      </c>
      <c r="C3169" s="1" t="n">
        <v>45724</v>
      </c>
      <c r="D3169" t="inlineStr">
        <is>
          <t>VÄSTMANLANDS LÄN</t>
        </is>
      </c>
      <c r="E3169" t="inlineStr">
        <is>
          <t>SURAHAMMAR</t>
        </is>
      </c>
      <c r="F3169" t="inlineStr">
        <is>
          <t>Sveaskog</t>
        </is>
      </c>
      <c r="G3169" t="n">
        <v>2.9</v>
      </c>
      <c r="H3169" t="n">
        <v>0</v>
      </c>
      <c r="I3169" t="n">
        <v>0</v>
      </c>
      <c r="J3169" t="n">
        <v>0</v>
      </c>
      <c r="K3169" t="n">
        <v>0</v>
      </c>
      <c r="L3169" t="n">
        <v>0</v>
      </c>
      <c r="M3169" t="n">
        <v>0</v>
      </c>
      <c r="N3169" t="n">
        <v>0</v>
      </c>
      <c r="O3169" t="n">
        <v>0</v>
      </c>
      <c r="P3169" t="n">
        <v>0</v>
      </c>
      <c r="Q3169" t="n">
        <v>0</v>
      </c>
      <c r="R3169" s="2" t="inlineStr"/>
    </row>
    <row r="3170" ht="15" customHeight="1">
      <c r="A3170" t="inlineStr">
        <is>
          <t>A 24248-2023</t>
        </is>
      </c>
      <c r="B3170" s="1" t="n">
        <v>45079</v>
      </c>
      <c r="C3170" s="1" t="n">
        <v>45724</v>
      </c>
      <c r="D3170" t="inlineStr">
        <is>
          <t>VÄSTMANLANDS LÄN</t>
        </is>
      </c>
      <c r="E3170" t="inlineStr">
        <is>
          <t>SALA</t>
        </is>
      </c>
      <c r="F3170" t="inlineStr">
        <is>
          <t>Sveaskog</t>
        </is>
      </c>
      <c r="G3170" t="n">
        <v>2</v>
      </c>
      <c r="H3170" t="n">
        <v>0</v>
      </c>
      <c r="I3170" t="n">
        <v>0</v>
      </c>
      <c r="J3170" t="n">
        <v>0</v>
      </c>
      <c r="K3170" t="n">
        <v>0</v>
      </c>
      <c r="L3170" t="n">
        <v>0</v>
      </c>
      <c r="M3170" t="n">
        <v>0</v>
      </c>
      <c r="N3170" t="n">
        <v>0</v>
      </c>
      <c r="O3170" t="n">
        <v>0</v>
      </c>
      <c r="P3170" t="n">
        <v>0</v>
      </c>
      <c r="Q3170" t="n">
        <v>0</v>
      </c>
      <c r="R3170" s="2" t="inlineStr"/>
    </row>
    <row r="3171" ht="15" customHeight="1">
      <c r="A3171" t="inlineStr">
        <is>
          <t>A 24091-2023</t>
        </is>
      </c>
      <c r="B3171" s="1" t="n">
        <v>45079</v>
      </c>
      <c r="C3171" s="1" t="n">
        <v>45724</v>
      </c>
      <c r="D3171" t="inlineStr">
        <is>
          <t>VÄSTMANLANDS LÄN</t>
        </is>
      </c>
      <c r="E3171" t="inlineStr">
        <is>
          <t>SKINNSKATTEBERG</t>
        </is>
      </c>
      <c r="F3171" t="inlineStr">
        <is>
          <t>Sveaskog</t>
        </is>
      </c>
      <c r="G3171" t="n">
        <v>2.1</v>
      </c>
      <c r="H3171" t="n">
        <v>0</v>
      </c>
      <c r="I3171" t="n">
        <v>0</v>
      </c>
      <c r="J3171" t="n">
        <v>0</v>
      </c>
      <c r="K3171" t="n">
        <v>0</v>
      </c>
      <c r="L3171" t="n">
        <v>0</v>
      </c>
      <c r="M3171" t="n">
        <v>0</v>
      </c>
      <c r="N3171" t="n">
        <v>0</v>
      </c>
      <c r="O3171" t="n">
        <v>0</v>
      </c>
      <c r="P3171" t="n">
        <v>0</v>
      </c>
      <c r="Q3171" t="n">
        <v>0</v>
      </c>
      <c r="R3171" s="2" t="inlineStr"/>
    </row>
    <row r="3172" ht="15" customHeight="1">
      <c r="A3172" t="inlineStr">
        <is>
          <t>A 24158-2023</t>
        </is>
      </c>
      <c r="B3172" s="1" t="n">
        <v>45079</v>
      </c>
      <c r="C3172" s="1" t="n">
        <v>45724</v>
      </c>
      <c r="D3172" t="inlineStr">
        <is>
          <t>VÄSTMANLANDS LÄN</t>
        </is>
      </c>
      <c r="E3172" t="inlineStr">
        <is>
          <t>SURAHAMMAR</t>
        </is>
      </c>
      <c r="F3172" t="inlineStr">
        <is>
          <t>Sveaskog</t>
        </is>
      </c>
      <c r="G3172" t="n">
        <v>1.1</v>
      </c>
      <c r="H3172" t="n">
        <v>0</v>
      </c>
      <c r="I3172" t="n">
        <v>0</v>
      </c>
      <c r="J3172" t="n">
        <v>0</v>
      </c>
      <c r="K3172" t="n">
        <v>0</v>
      </c>
      <c r="L3172" t="n">
        <v>0</v>
      </c>
      <c r="M3172" t="n">
        <v>0</v>
      </c>
      <c r="N3172" t="n">
        <v>0</v>
      </c>
      <c r="O3172" t="n">
        <v>0</v>
      </c>
      <c r="P3172" t="n">
        <v>0</v>
      </c>
      <c r="Q3172" t="n">
        <v>0</v>
      </c>
      <c r="R3172" s="2" t="inlineStr"/>
    </row>
    <row r="3173" ht="15" customHeight="1">
      <c r="A3173" t="inlineStr">
        <is>
          <t>A 24197-2023</t>
        </is>
      </c>
      <c r="B3173" s="1" t="n">
        <v>45079</v>
      </c>
      <c r="C3173" s="1" t="n">
        <v>45724</v>
      </c>
      <c r="D3173" t="inlineStr">
        <is>
          <t>VÄSTMANLANDS LÄN</t>
        </is>
      </c>
      <c r="E3173" t="inlineStr">
        <is>
          <t>SURAHAMMAR</t>
        </is>
      </c>
      <c r="F3173" t="inlineStr">
        <is>
          <t>Sveaskog</t>
        </is>
      </c>
      <c r="G3173" t="n">
        <v>0.7</v>
      </c>
      <c r="H3173" t="n">
        <v>0</v>
      </c>
      <c r="I3173" t="n">
        <v>0</v>
      </c>
      <c r="J3173" t="n">
        <v>0</v>
      </c>
      <c r="K3173" t="n">
        <v>0</v>
      </c>
      <c r="L3173" t="n">
        <v>0</v>
      </c>
      <c r="M3173" t="n">
        <v>0</v>
      </c>
      <c r="N3173" t="n">
        <v>0</v>
      </c>
      <c r="O3173" t="n">
        <v>0</v>
      </c>
      <c r="P3173" t="n">
        <v>0</v>
      </c>
      <c r="Q3173" t="n">
        <v>0</v>
      </c>
      <c r="R3173" s="2" t="inlineStr"/>
    </row>
    <row r="3174" ht="15" customHeight="1">
      <c r="A3174" t="inlineStr">
        <is>
          <t>A 24180-2023</t>
        </is>
      </c>
      <c r="B3174" s="1" t="n">
        <v>45079</v>
      </c>
      <c r="C3174" s="1" t="n">
        <v>45724</v>
      </c>
      <c r="D3174" t="inlineStr">
        <is>
          <t>VÄSTMANLANDS LÄN</t>
        </is>
      </c>
      <c r="E3174" t="inlineStr">
        <is>
          <t>SURAHAMMAR</t>
        </is>
      </c>
      <c r="F3174" t="inlineStr">
        <is>
          <t>Sveaskog</t>
        </is>
      </c>
      <c r="G3174" t="n">
        <v>5.9</v>
      </c>
      <c r="H3174" t="n">
        <v>0</v>
      </c>
      <c r="I3174" t="n">
        <v>0</v>
      </c>
      <c r="J3174" t="n">
        <v>0</v>
      </c>
      <c r="K3174" t="n">
        <v>0</v>
      </c>
      <c r="L3174" t="n">
        <v>0</v>
      </c>
      <c r="M3174" t="n">
        <v>0</v>
      </c>
      <c r="N3174" t="n">
        <v>0</v>
      </c>
      <c r="O3174" t="n">
        <v>0</v>
      </c>
      <c r="P3174" t="n">
        <v>0</v>
      </c>
      <c r="Q3174" t="n">
        <v>0</v>
      </c>
      <c r="R3174" s="2" t="inlineStr"/>
    </row>
    <row r="3175" ht="15" customHeight="1">
      <c r="A3175" t="inlineStr">
        <is>
          <t>A 24099-2023</t>
        </is>
      </c>
      <c r="B3175" s="1" t="n">
        <v>45079</v>
      </c>
      <c r="C3175" s="1" t="n">
        <v>45724</v>
      </c>
      <c r="D3175" t="inlineStr">
        <is>
          <t>VÄSTMANLANDS LÄN</t>
        </is>
      </c>
      <c r="E3175" t="inlineStr">
        <is>
          <t>SKINNSKATTEBERG</t>
        </is>
      </c>
      <c r="F3175" t="inlineStr">
        <is>
          <t>Sveaskog</t>
        </is>
      </c>
      <c r="G3175" t="n">
        <v>4.1</v>
      </c>
      <c r="H3175" t="n">
        <v>0</v>
      </c>
      <c r="I3175" t="n">
        <v>0</v>
      </c>
      <c r="J3175" t="n">
        <v>0</v>
      </c>
      <c r="K3175" t="n">
        <v>0</v>
      </c>
      <c r="L3175" t="n">
        <v>0</v>
      </c>
      <c r="M3175" t="n">
        <v>0</v>
      </c>
      <c r="N3175" t="n">
        <v>0</v>
      </c>
      <c r="O3175" t="n">
        <v>0</v>
      </c>
      <c r="P3175" t="n">
        <v>0</v>
      </c>
      <c r="Q3175" t="n">
        <v>0</v>
      </c>
      <c r="R3175" s="2" t="inlineStr"/>
    </row>
    <row r="3176" ht="15" customHeight="1">
      <c r="A3176" t="inlineStr">
        <is>
          <t>A 24137-2023</t>
        </is>
      </c>
      <c r="B3176" s="1" t="n">
        <v>45079</v>
      </c>
      <c r="C3176" s="1" t="n">
        <v>45724</v>
      </c>
      <c r="D3176" t="inlineStr">
        <is>
          <t>VÄSTMANLANDS LÄN</t>
        </is>
      </c>
      <c r="E3176" t="inlineStr">
        <is>
          <t>SKINNSKATTEBERG</t>
        </is>
      </c>
      <c r="F3176" t="inlineStr">
        <is>
          <t>Sveaskog</t>
        </is>
      </c>
      <c r="G3176" t="n">
        <v>1.9</v>
      </c>
      <c r="H3176" t="n">
        <v>0</v>
      </c>
      <c r="I3176" t="n">
        <v>0</v>
      </c>
      <c r="J3176" t="n">
        <v>0</v>
      </c>
      <c r="K3176" t="n">
        <v>0</v>
      </c>
      <c r="L3176" t="n">
        <v>0</v>
      </c>
      <c r="M3176" t="n">
        <v>0</v>
      </c>
      <c r="N3176" t="n">
        <v>0</v>
      </c>
      <c r="O3176" t="n">
        <v>0</v>
      </c>
      <c r="P3176" t="n">
        <v>0</v>
      </c>
      <c r="Q3176" t="n">
        <v>0</v>
      </c>
      <c r="R3176" s="2" t="inlineStr"/>
    </row>
    <row r="3177" ht="15" customHeight="1">
      <c r="A3177" t="inlineStr">
        <is>
          <t>A 24504-2023</t>
        </is>
      </c>
      <c r="B3177" s="1" t="n">
        <v>45082</v>
      </c>
      <c r="C3177" s="1" t="n">
        <v>45724</v>
      </c>
      <c r="D3177" t="inlineStr">
        <is>
          <t>VÄSTMANLANDS LÄN</t>
        </is>
      </c>
      <c r="E3177" t="inlineStr">
        <is>
          <t>SKINNSKATTEBERG</t>
        </is>
      </c>
      <c r="G3177" t="n">
        <v>3</v>
      </c>
      <c r="H3177" t="n">
        <v>0</v>
      </c>
      <c r="I3177" t="n">
        <v>0</v>
      </c>
      <c r="J3177" t="n">
        <v>0</v>
      </c>
      <c r="K3177" t="n">
        <v>0</v>
      </c>
      <c r="L3177" t="n">
        <v>0</v>
      </c>
      <c r="M3177" t="n">
        <v>0</v>
      </c>
      <c r="N3177" t="n">
        <v>0</v>
      </c>
      <c r="O3177" t="n">
        <v>0</v>
      </c>
      <c r="P3177" t="n">
        <v>0</v>
      </c>
      <c r="Q3177" t="n">
        <v>0</v>
      </c>
      <c r="R3177" s="2" t="inlineStr"/>
    </row>
    <row r="3178" ht="15" customHeight="1">
      <c r="A3178" t="inlineStr">
        <is>
          <t>A 24427-2023</t>
        </is>
      </c>
      <c r="B3178" s="1" t="n">
        <v>45082</v>
      </c>
      <c r="C3178" s="1" t="n">
        <v>45724</v>
      </c>
      <c r="D3178" t="inlineStr">
        <is>
          <t>VÄSTMANLANDS LÄN</t>
        </is>
      </c>
      <c r="E3178" t="inlineStr">
        <is>
          <t>SKINNSKATTEBERG</t>
        </is>
      </c>
      <c r="G3178" t="n">
        <v>3.3</v>
      </c>
      <c r="H3178" t="n">
        <v>0</v>
      </c>
      <c r="I3178" t="n">
        <v>0</v>
      </c>
      <c r="J3178" t="n">
        <v>0</v>
      </c>
      <c r="K3178" t="n">
        <v>0</v>
      </c>
      <c r="L3178" t="n">
        <v>0</v>
      </c>
      <c r="M3178" t="n">
        <v>0</v>
      </c>
      <c r="N3178" t="n">
        <v>0</v>
      </c>
      <c r="O3178" t="n">
        <v>0</v>
      </c>
      <c r="P3178" t="n">
        <v>0</v>
      </c>
      <c r="Q3178" t="n">
        <v>0</v>
      </c>
      <c r="R3178" s="2" t="inlineStr"/>
    </row>
    <row r="3179" ht="15" customHeight="1">
      <c r="A3179" t="inlineStr">
        <is>
          <t>A 24495-2023</t>
        </is>
      </c>
      <c r="B3179" s="1" t="n">
        <v>45082</v>
      </c>
      <c r="C3179" s="1" t="n">
        <v>45724</v>
      </c>
      <c r="D3179" t="inlineStr">
        <is>
          <t>VÄSTMANLANDS LÄN</t>
        </is>
      </c>
      <c r="E3179" t="inlineStr">
        <is>
          <t>SALA</t>
        </is>
      </c>
      <c r="G3179" t="n">
        <v>5.2</v>
      </c>
      <c r="H3179" t="n">
        <v>0</v>
      </c>
      <c r="I3179" t="n">
        <v>0</v>
      </c>
      <c r="J3179" t="n">
        <v>0</v>
      </c>
      <c r="K3179" t="n">
        <v>0</v>
      </c>
      <c r="L3179" t="n">
        <v>0</v>
      </c>
      <c r="M3179" t="n">
        <v>0</v>
      </c>
      <c r="N3179" t="n">
        <v>0</v>
      </c>
      <c r="O3179" t="n">
        <v>0</v>
      </c>
      <c r="P3179" t="n">
        <v>0</v>
      </c>
      <c r="Q3179" t="n">
        <v>0</v>
      </c>
      <c r="R3179" s="2" t="inlineStr"/>
    </row>
    <row r="3180" ht="15" customHeight="1">
      <c r="A3180" t="inlineStr">
        <is>
          <t>A 24572-2023</t>
        </is>
      </c>
      <c r="B3180" s="1" t="n">
        <v>45083</v>
      </c>
      <c r="C3180" s="1" t="n">
        <v>45724</v>
      </c>
      <c r="D3180" t="inlineStr">
        <is>
          <t>VÄSTMANLANDS LÄN</t>
        </is>
      </c>
      <c r="E3180" t="inlineStr">
        <is>
          <t>VÄSTERÅS</t>
        </is>
      </c>
      <c r="G3180" t="n">
        <v>1.3</v>
      </c>
      <c r="H3180" t="n">
        <v>0</v>
      </c>
      <c r="I3180" t="n">
        <v>0</v>
      </c>
      <c r="J3180" t="n">
        <v>0</v>
      </c>
      <c r="K3180" t="n">
        <v>0</v>
      </c>
      <c r="L3180" t="n">
        <v>0</v>
      </c>
      <c r="M3180" t="n">
        <v>0</v>
      </c>
      <c r="N3180" t="n">
        <v>0</v>
      </c>
      <c r="O3180" t="n">
        <v>0</v>
      </c>
      <c r="P3180" t="n">
        <v>0</v>
      </c>
      <c r="Q3180" t="n">
        <v>0</v>
      </c>
      <c r="R3180" s="2" t="inlineStr"/>
    </row>
    <row r="3181" ht="15" customHeight="1">
      <c r="A3181" t="inlineStr">
        <is>
          <t>A 24585-2023</t>
        </is>
      </c>
      <c r="B3181" s="1" t="n">
        <v>45083</v>
      </c>
      <c r="C3181" s="1" t="n">
        <v>45724</v>
      </c>
      <c r="D3181" t="inlineStr">
        <is>
          <t>VÄSTMANLANDS LÄN</t>
        </is>
      </c>
      <c r="E3181" t="inlineStr">
        <is>
          <t>SALA</t>
        </is>
      </c>
      <c r="F3181" t="inlineStr">
        <is>
          <t>Sveaskog</t>
        </is>
      </c>
      <c r="G3181" t="n">
        <v>2.2</v>
      </c>
      <c r="H3181" t="n">
        <v>0</v>
      </c>
      <c r="I3181" t="n">
        <v>0</v>
      </c>
      <c r="J3181" t="n">
        <v>0</v>
      </c>
      <c r="K3181" t="n">
        <v>0</v>
      </c>
      <c r="L3181" t="n">
        <v>0</v>
      </c>
      <c r="M3181" t="n">
        <v>0</v>
      </c>
      <c r="N3181" t="n">
        <v>0</v>
      </c>
      <c r="O3181" t="n">
        <v>0</v>
      </c>
      <c r="P3181" t="n">
        <v>0</v>
      </c>
      <c r="Q3181" t="n">
        <v>0</v>
      </c>
      <c r="R3181" s="2" t="inlineStr"/>
    </row>
    <row r="3182" ht="15" customHeight="1">
      <c r="A3182" t="inlineStr">
        <is>
          <t>A 24584-2023</t>
        </is>
      </c>
      <c r="B3182" s="1" t="n">
        <v>45083</v>
      </c>
      <c r="C3182" s="1" t="n">
        <v>45724</v>
      </c>
      <c r="D3182" t="inlineStr">
        <is>
          <t>VÄSTMANLANDS LÄN</t>
        </is>
      </c>
      <c r="E3182" t="inlineStr">
        <is>
          <t>SALA</t>
        </is>
      </c>
      <c r="F3182" t="inlineStr">
        <is>
          <t>Sveaskog</t>
        </is>
      </c>
      <c r="G3182" t="n">
        <v>7.2</v>
      </c>
      <c r="H3182" t="n">
        <v>0</v>
      </c>
      <c r="I3182" t="n">
        <v>0</v>
      </c>
      <c r="J3182" t="n">
        <v>0</v>
      </c>
      <c r="K3182" t="n">
        <v>0</v>
      </c>
      <c r="L3182" t="n">
        <v>0</v>
      </c>
      <c r="M3182" t="n">
        <v>0</v>
      </c>
      <c r="N3182" t="n">
        <v>0</v>
      </c>
      <c r="O3182" t="n">
        <v>0</v>
      </c>
      <c r="P3182" t="n">
        <v>0</v>
      </c>
      <c r="Q3182" t="n">
        <v>0</v>
      </c>
      <c r="R3182" s="2" t="inlineStr"/>
    </row>
    <row r="3183" ht="15" customHeight="1">
      <c r="A3183" t="inlineStr">
        <is>
          <t>A 24573-2023</t>
        </is>
      </c>
      <c r="B3183" s="1" t="n">
        <v>45083</v>
      </c>
      <c r="C3183" s="1" t="n">
        <v>45724</v>
      </c>
      <c r="D3183" t="inlineStr">
        <is>
          <t>VÄSTMANLANDS LÄN</t>
        </is>
      </c>
      <c r="E3183" t="inlineStr">
        <is>
          <t>VÄSTERÅS</t>
        </is>
      </c>
      <c r="G3183" t="n">
        <v>7.6</v>
      </c>
      <c r="H3183" t="n">
        <v>0</v>
      </c>
      <c r="I3183" t="n">
        <v>0</v>
      </c>
      <c r="J3183" t="n">
        <v>0</v>
      </c>
      <c r="K3183" t="n">
        <v>0</v>
      </c>
      <c r="L3183" t="n">
        <v>0</v>
      </c>
      <c r="M3183" t="n">
        <v>0</v>
      </c>
      <c r="N3183" t="n">
        <v>0</v>
      </c>
      <c r="O3183" t="n">
        <v>0</v>
      </c>
      <c r="P3183" t="n">
        <v>0</v>
      </c>
      <c r="Q3183" t="n">
        <v>0</v>
      </c>
      <c r="R3183" s="2" t="inlineStr"/>
    </row>
    <row r="3184" ht="15" customHeight="1">
      <c r="A3184" t="inlineStr">
        <is>
          <t>A 24586-2023</t>
        </is>
      </c>
      <c r="B3184" s="1" t="n">
        <v>45083</v>
      </c>
      <c r="C3184" s="1" t="n">
        <v>45724</v>
      </c>
      <c r="D3184" t="inlineStr">
        <is>
          <t>VÄSTMANLANDS LÄN</t>
        </is>
      </c>
      <c r="E3184" t="inlineStr">
        <is>
          <t>SALA</t>
        </is>
      </c>
      <c r="F3184" t="inlineStr">
        <is>
          <t>Sveaskog</t>
        </is>
      </c>
      <c r="G3184" t="n">
        <v>2.8</v>
      </c>
      <c r="H3184" t="n">
        <v>0</v>
      </c>
      <c r="I3184" t="n">
        <v>0</v>
      </c>
      <c r="J3184" t="n">
        <v>0</v>
      </c>
      <c r="K3184" t="n">
        <v>0</v>
      </c>
      <c r="L3184" t="n">
        <v>0</v>
      </c>
      <c r="M3184" t="n">
        <v>0</v>
      </c>
      <c r="N3184" t="n">
        <v>0</v>
      </c>
      <c r="O3184" t="n">
        <v>0</v>
      </c>
      <c r="P3184" t="n">
        <v>0</v>
      </c>
      <c r="Q3184" t="n">
        <v>0</v>
      </c>
      <c r="R3184" s="2" t="inlineStr"/>
    </row>
    <row r="3185" ht="15" customHeight="1">
      <c r="A3185" t="inlineStr">
        <is>
          <t>A 24665-2023</t>
        </is>
      </c>
      <c r="B3185" s="1" t="n">
        <v>45084</v>
      </c>
      <c r="C3185" s="1" t="n">
        <v>45724</v>
      </c>
      <c r="D3185" t="inlineStr">
        <is>
          <t>VÄSTMANLANDS LÄN</t>
        </is>
      </c>
      <c r="E3185" t="inlineStr">
        <is>
          <t>SURAHAMMAR</t>
        </is>
      </c>
      <c r="G3185" t="n">
        <v>0.9</v>
      </c>
      <c r="H3185" t="n">
        <v>0</v>
      </c>
      <c r="I3185" t="n">
        <v>0</v>
      </c>
      <c r="J3185" t="n">
        <v>0</v>
      </c>
      <c r="K3185" t="n">
        <v>0</v>
      </c>
      <c r="L3185" t="n">
        <v>0</v>
      </c>
      <c r="M3185" t="n">
        <v>0</v>
      </c>
      <c r="N3185" t="n">
        <v>0</v>
      </c>
      <c r="O3185" t="n">
        <v>0</v>
      </c>
      <c r="P3185" t="n">
        <v>0</v>
      </c>
      <c r="Q3185" t="n">
        <v>0</v>
      </c>
      <c r="R3185" s="2" t="inlineStr"/>
    </row>
    <row r="3186" ht="15" customHeight="1">
      <c r="A3186" t="inlineStr">
        <is>
          <t>A 24606-2023</t>
        </is>
      </c>
      <c r="B3186" s="1" t="n">
        <v>45084</v>
      </c>
      <c r="C3186" s="1" t="n">
        <v>45724</v>
      </c>
      <c r="D3186" t="inlineStr">
        <is>
          <t>VÄSTMANLANDS LÄN</t>
        </is>
      </c>
      <c r="E3186" t="inlineStr">
        <is>
          <t>NORBERG</t>
        </is>
      </c>
      <c r="G3186" t="n">
        <v>1.1</v>
      </c>
      <c r="H3186" t="n">
        <v>0</v>
      </c>
      <c r="I3186" t="n">
        <v>0</v>
      </c>
      <c r="J3186" t="n">
        <v>0</v>
      </c>
      <c r="K3186" t="n">
        <v>0</v>
      </c>
      <c r="L3186" t="n">
        <v>0</v>
      </c>
      <c r="M3186" t="n">
        <v>0</v>
      </c>
      <c r="N3186" t="n">
        <v>0</v>
      </c>
      <c r="O3186" t="n">
        <v>0</v>
      </c>
      <c r="P3186" t="n">
        <v>0</v>
      </c>
      <c r="Q3186" t="n">
        <v>0</v>
      </c>
      <c r="R3186" s="2" t="inlineStr"/>
    </row>
    <row r="3187" ht="15" customHeight="1">
      <c r="A3187" t="inlineStr">
        <is>
          <t>A 24773-2023</t>
        </is>
      </c>
      <c r="B3187" s="1" t="n">
        <v>45084</v>
      </c>
      <c r="C3187" s="1" t="n">
        <v>45724</v>
      </c>
      <c r="D3187" t="inlineStr">
        <is>
          <t>VÄSTMANLANDS LÄN</t>
        </is>
      </c>
      <c r="E3187" t="inlineStr">
        <is>
          <t>SALA</t>
        </is>
      </c>
      <c r="G3187" t="n">
        <v>5</v>
      </c>
      <c r="H3187" t="n">
        <v>0</v>
      </c>
      <c r="I3187" t="n">
        <v>0</v>
      </c>
      <c r="J3187" t="n">
        <v>0</v>
      </c>
      <c r="K3187" t="n">
        <v>0</v>
      </c>
      <c r="L3187" t="n">
        <v>0</v>
      </c>
      <c r="M3187" t="n">
        <v>0</v>
      </c>
      <c r="N3187" t="n">
        <v>0</v>
      </c>
      <c r="O3187" t="n">
        <v>0</v>
      </c>
      <c r="P3187" t="n">
        <v>0</v>
      </c>
      <c r="Q3187" t="n">
        <v>0</v>
      </c>
      <c r="R3187" s="2" t="inlineStr"/>
    </row>
    <row r="3188" ht="15" customHeight="1">
      <c r="A3188" t="inlineStr">
        <is>
          <t>A 24777-2023</t>
        </is>
      </c>
      <c r="B3188" s="1" t="n">
        <v>45084</v>
      </c>
      <c r="C3188" s="1" t="n">
        <v>45724</v>
      </c>
      <c r="D3188" t="inlineStr">
        <is>
          <t>VÄSTMANLANDS LÄN</t>
        </is>
      </c>
      <c r="E3188" t="inlineStr">
        <is>
          <t>SALA</t>
        </is>
      </c>
      <c r="G3188" t="n">
        <v>1.1</v>
      </c>
      <c r="H3188" t="n">
        <v>0</v>
      </c>
      <c r="I3188" t="n">
        <v>0</v>
      </c>
      <c r="J3188" t="n">
        <v>0</v>
      </c>
      <c r="K3188" t="n">
        <v>0</v>
      </c>
      <c r="L3188" t="n">
        <v>0</v>
      </c>
      <c r="M3188" t="n">
        <v>0</v>
      </c>
      <c r="N3188" t="n">
        <v>0</v>
      </c>
      <c r="O3188" t="n">
        <v>0</v>
      </c>
      <c r="P3188" t="n">
        <v>0</v>
      </c>
      <c r="Q3188" t="n">
        <v>0</v>
      </c>
      <c r="R3188" s="2" t="inlineStr"/>
    </row>
    <row r="3189" ht="15" customHeight="1">
      <c r="A3189" t="inlineStr">
        <is>
          <t>A 25761-2023</t>
        </is>
      </c>
      <c r="B3189" s="1" t="n">
        <v>45084</v>
      </c>
      <c r="C3189" s="1" t="n">
        <v>45724</v>
      </c>
      <c r="D3189" t="inlineStr">
        <is>
          <t>VÄSTMANLANDS LÄN</t>
        </is>
      </c>
      <c r="E3189" t="inlineStr">
        <is>
          <t>NORBERG</t>
        </is>
      </c>
      <c r="G3189" t="n">
        <v>6.2</v>
      </c>
      <c r="H3189" t="n">
        <v>0</v>
      </c>
      <c r="I3189" t="n">
        <v>0</v>
      </c>
      <c r="J3189" t="n">
        <v>0</v>
      </c>
      <c r="K3189" t="n">
        <v>0</v>
      </c>
      <c r="L3189" t="n">
        <v>0</v>
      </c>
      <c r="M3189" t="n">
        <v>0</v>
      </c>
      <c r="N3189" t="n">
        <v>0</v>
      </c>
      <c r="O3189" t="n">
        <v>0</v>
      </c>
      <c r="P3189" t="n">
        <v>0</v>
      </c>
      <c r="Q3189" t="n">
        <v>0</v>
      </c>
      <c r="R3189" s="2" t="inlineStr"/>
    </row>
    <row r="3190" ht="15" customHeight="1">
      <c r="A3190" t="inlineStr">
        <is>
          <t>A 24883-2023</t>
        </is>
      </c>
      <c r="B3190" s="1" t="n">
        <v>45085</v>
      </c>
      <c r="C3190" s="1" t="n">
        <v>45724</v>
      </c>
      <c r="D3190" t="inlineStr">
        <is>
          <t>VÄSTMANLANDS LÄN</t>
        </is>
      </c>
      <c r="E3190" t="inlineStr">
        <is>
          <t>SKINNSKATTEBERG</t>
        </is>
      </c>
      <c r="G3190" t="n">
        <v>1.1</v>
      </c>
      <c r="H3190" t="n">
        <v>0</v>
      </c>
      <c r="I3190" t="n">
        <v>0</v>
      </c>
      <c r="J3190" t="n">
        <v>0</v>
      </c>
      <c r="K3190" t="n">
        <v>0</v>
      </c>
      <c r="L3190" t="n">
        <v>0</v>
      </c>
      <c r="M3190" t="n">
        <v>0</v>
      </c>
      <c r="N3190" t="n">
        <v>0</v>
      </c>
      <c r="O3190" t="n">
        <v>0</v>
      </c>
      <c r="P3190" t="n">
        <v>0</v>
      </c>
      <c r="Q3190" t="n">
        <v>0</v>
      </c>
      <c r="R3190" s="2" t="inlineStr"/>
    </row>
    <row r="3191" ht="15" customHeight="1">
      <c r="A3191" t="inlineStr">
        <is>
          <t>A 24884-2023</t>
        </is>
      </c>
      <c r="B3191" s="1" t="n">
        <v>45085</v>
      </c>
      <c r="C3191" s="1" t="n">
        <v>45724</v>
      </c>
      <c r="D3191" t="inlineStr">
        <is>
          <t>VÄSTMANLANDS LÄN</t>
        </is>
      </c>
      <c r="E3191" t="inlineStr">
        <is>
          <t>SKINNSKATTEBERG</t>
        </is>
      </c>
      <c r="G3191" t="n">
        <v>1.8</v>
      </c>
      <c r="H3191" t="n">
        <v>0</v>
      </c>
      <c r="I3191" t="n">
        <v>0</v>
      </c>
      <c r="J3191" t="n">
        <v>0</v>
      </c>
      <c r="K3191" t="n">
        <v>0</v>
      </c>
      <c r="L3191" t="n">
        <v>0</v>
      </c>
      <c r="M3191" t="n">
        <v>0</v>
      </c>
      <c r="N3191" t="n">
        <v>0</v>
      </c>
      <c r="O3191" t="n">
        <v>0</v>
      </c>
      <c r="P3191" t="n">
        <v>0</v>
      </c>
      <c r="Q3191" t="n">
        <v>0</v>
      </c>
      <c r="R3191" s="2" t="inlineStr"/>
    </row>
    <row r="3192" ht="15" customHeight="1">
      <c r="A3192" t="inlineStr">
        <is>
          <t>A 24944-2023</t>
        </is>
      </c>
      <c r="B3192" s="1" t="n">
        <v>45085</v>
      </c>
      <c r="C3192" s="1" t="n">
        <v>45724</v>
      </c>
      <c r="D3192" t="inlineStr">
        <is>
          <t>VÄSTMANLANDS LÄN</t>
        </is>
      </c>
      <c r="E3192" t="inlineStr">
        <is>
          <t>SALA</t>
        </is>
      </c>
      <c r="G3192" t="n">
        <v>3.8</v>
      </c>
      <c r="H3192" t="n">
        <v>0</v>
      </c>
      <c r="I3192" t="n">
        <v>0</v>
      </c>
      <c r="J3192" t="n">
        <v>0</v>
      </c>
      <c r="K3192" t="n">
        <v>0</v>
      </c>
      <c r="L3192" t="n">
        <v>0</v>
      </c>
      <c r="M3192" t="n">
        <v>0</v>
      </c>
      <c r="N3192" t="n">
        <v>0</v>
      </c>
      <c r="O3192" t="n">
        <v>0</v>
      </c>
      <c r="P3192" t="n">
        <v>0</v>
      </c>
      <c r="Q3192" t="n">
        <v>0</v>
      </c>
      <c r="R3192" s="2" t="inlineStr"/>
    </row>
    <row r="3193" ht="15" customHeight="1">
      <c r="A3193" t="inlineStr">
        <is>
          <t>A 25260-2023</t>
        </is>
      </c>
      <c r="B3193" s="1" t="n">
        <v>45086</v>
      </c>
      <c r="C3193" s="1" t="n">
        <v>45724</v>
      </c>
      <c r="D3193" t="inlineStr">
        <is>
          <t>VÄSTMANLANDS LÄN</t>
        </is>
      </c>
      <c r="E3193" t="inlineStr">
        <is>
          <t>SALA</t>
        </is>
      </c>
      <c r="F3193" t="inlineStr">
        <is>
          <t>Sveaskog</t>
        </is>
      </c>
      <c r="G3193" t="n">
        <v>3.2</v>
      </c>
      <c r="H3193" t="n">
        <v>0</v>
      </c>
      <c r="I3193" t="n">
        <v>0</v>
      </c>
      <c r="J3193" t="n">
        <v>0</v>
      </c>
      <c r="K3193" t="n">
        <v>0</v>
      </c>
      <c r="L3193" t="n">
        <v>0</v>
      </c>
      <c r="M3193" t="n">
        <v>0</v>
      </c>
      <c r="N3193" t="n">
        <v>0</v>
      </c>
      <c r="O3193" t="n">
        <v>0</v>
      </c>
      <c r="P3193" t="n">
        <v>0</v>
      </c>
      <c r="Q3193" t="n">
        <v>0</v>
      </c>
      <c r="R3193" s="2" t="inlineStr"/>
    </row>
    <row r="3194" ht="15" customHeight="1">
      <c r="A3194" t="inlineStr">
        <is>
          <t>A 25233-2023</t>
        </is>
      </c>
      <c r="B3194" s="1" t="n">
        <v>45086</v>
      </c>
      <c r="C3194" s="1" t="n">
        <v>45724</v>
      </c>
      <c r="D3194" t="inlineStr">
        <is>
          <t>VÄSTMANLANDS LÄN</t>
        </is>
      </c>
      <c r="E3194" t="inlineStr">
        <is>
          <t>SALA</t>
        </is>
      </c>
      <c r="F3194" t="inlineStr">
        <is>
          <t>Kommuner</t>
        </is>
      </c>
      <c r="G3194" t="n">
        <v>4.7</v>
      </c>
      <c r="H3194" t="n">
        <v>0</v>
      </c>
      <c r="I3194" t="n">
        <v>0</v>
      </c>
      <c r="J3194" t="n">
        <v>0</v>
      </c>
      <c r="K3194" t="n">
        <v>0</v>
      </c>
      <c r="L3194" t="n">
        <v>0</v>
      </c>
      <c r="M3194" t="n">
        <v>0</v>
      </c>
      <c r="N3194" t="n">
        <v>0</v>
      </c>
      <c r="O3194" t="n">
        <v>0</v>
      </c>
      <c r="P3194" t="n">
        <v>0</v>
      </c>
      <c r="Q3194" t="n">
        <v>0</v>
      </c>
      <c r="R3194" s="2" t="inlineStr"/>
    </row>
    <row r="3195" ht="15" customHeight="1">
      <c r="A3195" t="inlineStr">
        <is>
          <t>A 26229-2023</t>
        </is>
      </c>
      <c r="B3195" s="1" t="n">
        <v>45086</v>
      </c>
      <c r="C3195" s="1" t="n">
        <v>45724</v>
      </c>
      <c r="D3195" t="inlineStr">
        <is>
          <t>VÄSTMANLANDS LÄN</t>
        </is>
      </c>
      <c r="E3195" t="inlineStr">
        <is>
          <t>SALA</t>
        </is>
      </c>
      <c r="G3195" t="n">
        <v>6.6</v>
      </c>
      <c r="H3195" t="n">
        <v>0</v>
      </c>
      <c r="I3195" t="n">
        <v>0</v>
      </c>
      <c r="J3195" t="n">
        <v>0</v>
      </c>
      <c r="K3195" t="n">
        <v>0</v>
      </c>
      <c r="L3195" t="n">
        <v>0</v>
      </c>
      <c r="M3195" t="n">
        <v>0</v>
      </c>
      <c r="N3195" t="n">
        <v>0</v>
      </c>
      <c r="O3195" t="n">
        <v>0</v>
      </c>
      <c r="P3195" t="n">
        <v>0</v>
      </c>
      <c r="Q3195" t="n">
        <v>0</v>
      </c>
      <c r="R3195" s="2" t="inlineStr"/>
    </row>
    <row r="3196" ht="15" customHeight="1">
      <c r="A3196" t="inlineStr">
        <is>
          <t>A 25412-2023</t>
        </is>
      </c>
      <c r="B3196" s="1" t="n">
        <v>45089</v>
      </c>
      <c r="C3196" s="1" t="n">
        <v>45724</v>
      </c>
      <c r="D3196" t="inlineStr">
        <is>
          <t>VÄSTMANLANDS LÄN</t>
        </is>
      </c>
      <c r="E3196" t="inlineStr">
        <is>
          <t>HALLSTAHAMMAR</t>
        </is>
      </c>
      <c r="F3196" t="inlineStr">
        <is>
          <t>Allmännings- och besparingsskogar</t>
        </is>
      </c>
      <c r="G3196" t="n">
        <v>18.3</v>
      </c>
      <c r="H3196" t="n">
        <v>0</v>
      </c>
      <c r="I3196" t="n">
        <v>0</v>
      </c>
      <c r="J3196" t="n">
        <v>0</v>
      </c>
      <c r="K3196" t="n">
        <v>0</v>
      </c>
      <c r="L3196" t="n">
        <v>0</v>
      </c>
      <c r="M3196" t="n">
        <v>0</v>
      </c>
      <c r="N3196" t="n">
        <v>0</v>
      </c>
      <c r="O3196" t="n">
        <v>0</v>
      </c>
      <c r="P3196" t="n">
        <v>0</v>
      </c>
      <c r="Q3196" t="n">
        <v>0</v>
      </c>
      <c r="R3196" s="2" t="inlineStr"/>
    </row>
    <row r="3197" ht="15" customHeight="1">
      <c r="A3197" t="inlineStr">
        <is>
          <t>A 25420-2023</t>
        </is>
      </c>
      <c r="B3197" s="1" t="n">
        <v>45089</v>
      </c>
      <c r="C3197" s="1" t="n">
        <v>45724</v>
      </c>
      <c r="D3197" t="inlineStr">
        <is>
          <t>VÄSTMANLANDS LÄN</t>
        </is>
      </c>
      <c r="E3197" t="inlineStr">
        <is>
          <t>VÄSTERÅS</t>
        </is>
      </c>
      <c r="G3197" t="n">
        <v>1.4</v>
      </c>
      <c r="H3197" t="n">
        <v>0</v>
      </c>
      <c r="I3197" t="n">
        <v>0</v>
      </c>
      <c r="J3197" t="n">
        <v>0</v>
      </c>
      <c r="K3197" t="n">
        <v>0</v>
      </c>
      <c r="L3197" t="n">
        <v>0</v>
      </c>
      <c r="M3197" t="n">
        <v>0</v>
      </c>
      <c r="N3197" t="n">
        <v>0</v>
      </c>
      <c r="O3197" t="n">
        <v>0</v>
      </c>
      <c r="P3197" t="n">
        <v>0</v>
      </c>
      <c r="Q3197" t="n">
        <v>0</v>
      </c>
      <c r="R3197" s="2" t="inlineStr"/>
    </row>
    <row r="3198" ht="15" customHeight="1">
      <c r="A3198" t="inlineStr">
        <is>
          <t>A 25477-2023</t>
        </is>
      </c>
      <c r="B3198" s="1" t="n">
        <v>45089</v>
      </c>
      <c r="C3198" s="1" t="n">
        <v>45724</v>
      </c>
      <c r="D3198" t="inlineStr">
        <is>
          <t>VÄSTMANLANDS LÄN</t>
        </is>
      </c>
      <c r="E3198" t="inlineStr">
        <is>
          <t>NORBERG</t>
        </is>
      </c>
      <c r="G3198" t="n">
        <v>1.2</v>
      </c>
      <c r="H3198" t="n">
        <v>0</v>
      </c>
      <c r="I3198" t="n">
        <v>0</v>
      </c>
      <c r="J3198" t="n">
        <v>0</v>
      </c>
      <c r="K3198" t="n">
        <v>0</v>
      </c>
      <c r="L3198" t="n">
        <v>0</v>
      </c>
      <c r="M3198" t="n">
        <v>0</v>
      </c>
      <c r="N3198" t="n">
        <v>0</v>
      </c>
      <c r="O3198" t="n">
        <v>0</v>
      </c>
      <c r="P3198" t="n">
        <v>0</v>
      </c>
      <c r="Q3198" t="n">
        <v>0</v>
      </c>
      <c r="R3198" s="2" t="inlineStr"/>
    </row>
    <row r="3199" ht="15" customHeight="1">
      <c r="A3199" t="inlineStr">
        <is>
          <t>A 25540-2023</t>
        </is>
      </c>
      <c r="B3199" s="1" t="n">
        <v>45089</v>
      </c>
      <c r="C3199" s="1" t="n">
        <v>45724</v>
      </c>
      <c r="D3199" t="inlineStr">
        <is>
          <t>VÄSTMANLANDS LÄN</t>
        </is>
      </c>
      <c r="E3199" t="inlineStr">
        <is>
          <t>NORBERG</t>
        </is>
      </c>
      <c r="G3199" t="n">
        <v>2.3</v>
      </c>
      <c r="H3199" t="n">
        <v>0</v>
      </c>
      <c r="I3199" t="n">
        <v>0</v>
      </c>
      <c r="J3199" t="n">
        <v>0</v>
      </c>
      <c r="K3199" t="n">
        <v>0</v>
      </c>
      <c r="L3199" t="n">
        <v>0</v>
      </c>
      <c r="M3199" t="n">
        <v>0</v>
      </c>
      <c r="N3199" t="n">
        <v>0</v>
      </c>
      <c r="O3199" t="n">
        <v>0</v>
      </c>
      <c r="P3199" t="n">
        <v>0</v>
      </c>
      <c r="Q3199" t="n">
        <v>0</v>
      </c>
      <c r="R3199" s="2" t="inlineStr"/>
    </row>
    <row r="3200" ht="15" customHeight="1">
      <c r="A3200" t="inlineStr">
        <is>
          <t>A 25566-2023</t>
        </is>
      </c>
      <c r="B3200" s="1" t="n">
        <v>45089</v>
      </c>
      <c r="C3200" s="1" t="n">
        <v>45724</v>
      </c>
      <c r="D3200" t="inlineStr">
        <is>
          <t>VÄSTMANLANDS LÄN</t>
        </is>
      </c>
      <c r="E3200" t="inlineStr">
        <is>
          <t>SALA</t>
        </is>
      </c>
      <c r="G3200" t="n">
        <v>2.1</v>
      </c>
      <c r="H3200" t="n">
        <v>0</v>
      </c>
      <c r="I3200" t="n">
        <v>0</v>
      </c>
      <c r="J3200" t="n">
        <v>0</v>
      </c>
      <c r="K3200" t="n">
        <v>0</v>
      </c>
      <c r="L3200" t="n">
        <v>0</v>
      </c>
      <c r="M3200" t="n">
        <v>0</v>
      </c>
      <c r="N3200" t="n">
        <v>0</v>
      </c>
      <c r="O3200" t="n">
        <v>0</v>
      </c>
      <c r="P3200" t="n">
        <v>0</v>
      </c>
      <c r="Q3200" t="n">
        <v>0</v>
      </c>
      <c r="R3200" s="2" t="inlineStr"/>
    </row>
    <row r="3201" ht="15" customHeight="1">
      <c r="A3201" t="inlineStr">
        <is>
          <t>A 25571-2023</t>
        </is>
      </c>
      <c r="B3201" s="1" t="n">
        <v>45089</v>
      </c>
      <c r="C3201" s="1" t="n">
        <v>45724</v>
      </c>
      <c r="D3201" t="inlineStr">
        <is>
          <t>VÄSTMANLANDS LÄN</t>
        </is>
      </c>
      <c r="E3201" t="inlineStr">
        <is>
          <t>SALA</t>
        </is>
      </c>
      <c r="G3201" t="n">
        <v>1.7</v>
      </c>
      <c r="H3201" t="n">
        <v>0</v>
      </c>
      <c r="I3201" t="n">
        <v>0</v>
      </c>
      <c r="J3201" t="n">
        <v>0</v>
      </c>
      <c r="K3201" t="n">
        <v>0</v>
      </c>
      <c r="L3201" t="n">
        <v>0</v>
      </c>
      <c r="M3201" t="n">
        <v>0</v>
      </c>
      <c r="N3201" t="n">
        <v>0</v>
      </c>
      <c r="O3201" t="n">
        <v>0</v>
      </c>
      <c r="P3201" t="n">
        <v>0</v>
      </c>
      <c r="Q3201" t="n">
        <v>0</v>
      </c>
      <c r="R3201" s="2" t="inlineStr"/>
    </row>
    <row r="3202" ht="15" customHeight="1">
      <c r="A3202" t="inlineStr">
        <is>
          <t>A 25576-2023</t>
        </is>
      </c>
      <c r="B3202" s="1" t="n">
        <v>45089</v>
      </c>
      <c r="C3202" s="1" t="n">
        <v>45724</v>
      </c>
      <c r="D3202" t="inlineStr">
        <is>
          <t>VÄSTMANLANDS LÄN</t>
        </is>
      </c>
      <c r="E3202" t="inlineStr">
        <is>
          <t>SALA</t>
        </is>
      </c>
      <c r="G3202" t="n">
        <v>1</v>
      </c>
      <c r="H3202" t="n">
        <v>0</v>
      </c>
      <c r="I3202" t="n">
        <v>0</v>
      </c>
      <c r="J3202" t="n">
        <v>0</v>
      </c>
      <c r="K3202" t="n">
        <v>0</v>
      </c>
      <c r="L3202" t="n">
        <v>0</v>
      </c>
      <c r="M3202" t="n">
        <v>0</v>
      </c>
      <c r="N3202" t="n">
        <v>0</v>
      </c>
      <c r="O3202" t="n">
        <v>0</v>
      </c>
      <c r="P3202" t="n">
        <v>0</v>
      </c>
      <c r="Q3202" t="n">
        <v>0</v>
      </c>
      <c r="R3202" s="2" t="inlineStr"/>
    </row>
    <row r="3203" ht="15" customHeight="1">
      <c r="A3203" t="inlineStr">
        <is>
          <t>A 25580-2023</t>
        </is>
      </c>
      <c r="B3203" s="1" t="n">
        <v>45089</v>
      </c>
      <c r="C3203" s="1" t="n">
        <v>45724</v>
      </c>
      <c r="D3203" t="inlineStr">
        <is>
          <t>VÄSTMANLANDS LÄN</t>
        </is>
      </c>
      <c r="E3203" t="inlineStr">
        <is>
          <t>SALA</t>
        </is>
      </c>
      <c r="G3203" t="n">
        <v>0.8</v>
      </c>
      <c r="H3203" t="n">
        <v>0</v>
      </c>
      <c r="I3203" t="n">
        <v>0</v>
      </c>
      <c r="J3203" t="n">
        <v>0</v>
      </c>
      <c r="K3203" t="n">
        <v>0</v>
      </c>
      <c r="L3203" t="n">
        <v>0</v>
      </c>
      <c r="M3203" t="n">
        <v>0</v>
      </c>
      <c r="N3203" t="n">
        <v>0</v>
      </c>
      <c r="O3203" t="n">
        <v>0</v>
      </c>
      <c r="P3203" t="n">
        <v>0</v>
      </c>
      <c r="Q3203" t="n">
        <v>0</v>
      </c>
      <c r="R3203" s="2" t="inlineStr"/>
    </row>
    <row r="3204" ht="15" customHeight="1">
      <c r="A3204" t="inlineStr">
        <is>
          <t>A 25804-2023</t>
        </is>
      </c>
      <c r="B3204" s="1" t="n">
        <v>45090</v>
      </c>
      <c r="C3204" s="1" t="n">
        <v>45724</v>
      </c>
      <c r="D3204" t="inlineStr">
        <is>
          <t>VÄSTMANLANDS LÄN</t>
        </is>
      </c>
      <c r="E3204" t="inlineStr">
        <is>
          <t>KÖPING</t>
        </is>
      </c>
      <c r="G3204" t="n">
        <v>2.4</v>
      </c>
      <c r="H3204" t="n">
        <v>0</v>
      </c>
      <c r="I3204" t="n">
        <v>0</v>
      </c>
      <c r="J3204" t="n">
        <v>0</v>
      </c>
      <c r="K3204" t="n">
        <v>0</v>
      </c>
      <c r="L3204" t="n">
        <v>0</v>
      </c>
      <c r="M3204" t="n">
        <v>0</v>
      </c>
      <c r="N3204" t="n">
        <v>0</v>
      </c>
      <c r="O3204" t="n">
        <v>0</v>
      </c>
      <c r="P3204" t="n">
        <v>0</v>
      </c>
      <c r="Q3204" t="n">
        <v>0</v>
      </c>
      <c r="R3204" s="2" t="inlineStr"/>
    </row>
    <row r="3205" ht="15" customHeight="1">
      <c r="A3205" t="inlineStr">
        <is>
          <t>A 25775-2023</t>
        </is>
      </c>
      <c r="B3205" s="1" t="n">
        <v>45090</v>
      </c>
      <c r="C3205" s="1" t="n">
        <v>45724</v>
      </c>
      <c r="D3205" t="inlineStr">
        <is>
          <t>VÄSTMANLANDS LÄN</t>
        </is>
      </c>
      <c r="E3205" t="inlineStr">
        <is>
          <t>SURAHAMMAR</t>
        </is>
      </c>
      <c r="G3205" t="n">
        <v>1.6</v>
      </c>
      <c r="H3205" t="n">
        <v>0</v>
      </c>
      <c r="I3205" t="n">
        <v>0</v>
      </c>
      <c r="J3205" t="n">
        <v>0</v>
      </c>
      <c r="K3205" t="n">
        <v>0</v>
      </c>
      <c r="L3205" t="n">
        <v>0</v>
      </c>
      <c r="M3205" t="n">
        <v>0</v>
      </c>
      <c r="N3205" t="n">
        <v>0</v>
      </c>
      <c r="O3205" t="n">
        <v>0</v>
      </c>
      <c r="P3205" t="n">
        <v>0</v>
      </c>
      <c r="Q3205" t="n">
        <v>0</v>
      </c>
      <c r="R3205" s="2" t="inlineStr"/>
    </row>
    <row r="3206" ht="15" customHeight="1">
      <c r="A3206" t="inlineStr">
        <is>
          <t>A 25780-2023</t>
        </is>
      </c>
      <c r="B3206" s="1" t="n">
        <v>45090</v>
      </c>
      <c r="C3206" s="1" t="n">
        <v>45724</v>
      </c>
      <c r="D3206" t="inlineStr">
        <is>
          <t>VÄSTMANLANDS LÄN</t>
        </is>
      </c>
      <c r="E3206" t="inlineStr">
        <is>
          <t>SURAHAMMAR</t>
        </is>
      </c>
      <c r="G3206" t="n">
        <v>2.8</v>
      </c>
      <c r="H3206" t="n">
        <v>0</v>
      </c>
      <c r="I3206" t="n">
        <v>0</v>
      </c>
      <c r="J3206" t="n">
        <v>0</v>
      </c>
      <c r="K3206" t="n">
        <v>0</v>
      </c>
      <c r="L3206" t="n">
        <v>0</v>
      </c>
      <c r="M3206" t="n">
        <v>0</v>
      </c>
      <c r="N3206" t="n">
        <v>0</v>
      </c>
      <c r="O3206" t="n">
        <v>0</v>
      </c>
      <c r="P3206" t="n">
        <v>0</v>
      </c>
      <c r="Q3206" t="n">
        <v>0</v>
      </c>
      <c r="R3206" s="2" t="inlineStr"/>
    </row>
    <row r="3207" ht="15" customHeight="1">
      <c r="A3207" t="inlineStr">
        <is>
          <t>A 25843-2023</t>
        </is>
      </c>
      <c r="B3207" s="1" t="n">
        <v>45090</v>
      </c>
      <c r="C3207" s="1" t="n">
        <v>45724</v>
      </c>
      <c r="D3207" t="inlineStr">
        <is>
          <t>VÄSTMANLANDS LÄN</t>
        </is>
      </c>
      <c r="E3207" t="inlineStr">
        <is>
          <t>SKINNSKATTEBERG</t>
        </is>
      </c>
      <c r="F3207" t="inlineStr">
        <is>
          <t>Sveaskog</t>
        </is>
      </c>
      <c r="G3207" t="n">
        <v>0.4</v>
      </c>
      <c r="H3207" t="n">
        <v>0</v>
      </c>
      <c r="I3207" t="n">
        <v>0</v>
      </c>
      <c r="J3207" t="n">
        <v>0</v>
      </c>
      <c r="K3207" t="n">
        <v>0</v>
      </c>
      <c r="L3207" t="n">
        <v>0</v>
      </c>
      <c r="M3207" t="n">
        <v>0</v>
      </c>
      <c r="N3207" t="n">
        <v>0</v>
      </c>
      <c r="O3207" t="n">
        <v>0</v>
      </c>
      <c r="P3207" t="n">
        <v>0</v>
      </c>
      <c r="Q3207" t="n">
        <v>0</v>
      </c>
      <c r="R3207" s="2" t="inlineStr"/>
    </row>
    <row r="3208" ht="15" customHeight="1">
      <c r="A3208" t="inlineStr">
        <is>
          <t>A 25894-2023</t>
        </is>
      </c>
      <c r="B3208" s="1" t="n">
        <v>45090</v>
      </c>
      <c r="C3208" s="1" t="n">
        <v>45724</v>
      </c>
      <c r="D3208" t="inlineStr">
        <is>
          <t>VÄSTMANLANDS LÄN</t>
        </is>
      </c>
      <c r="E3208" t="inlineStr">
        <is>
          <t>SALA</t>
        </is>
      </c>
      <c r="G3208" t="n">
        <v>3.2</v>
      </c>
      <c r="H3208" t="n">
        <v>0</v>
      </c>
      <c r="I3208" t="n">
        <v>0</v>
      </c>
      <c r="J3208" t="n">
        <v>0</v>
      </c>
      <c r="K3208" t="n">
        <v>0</v>
      </c>
      <c r="L3208" t="n">
        <v>0</v>
      </c>
      <c r="M3208" t="n">
        <v>0</v>
      </c>
      <c r="N3208" t="n">
        <v>0</v>
      </c>
      <c r="O3208" t="n">
        <v>0</v>
      </c>
      <c r="P3208" t="n">
        <v>0</v>
      </c>
      <c r="Q3208" t="n">
        <v>0</v>
      </c>
      <c r="R3208" s="2" t="inlineStr"/>
    </row>
    <row r="3209" ht="15" customHeight="1">
      <c r="A3209" t="inlineStr">
        <is>
          <t>A 25904-2023</t>
        </is>
      </c>
      <c r="B3209" s="1" t="n">
        <v>45090</v>
      </c>
      <c r="C3209" s="1" t="n">
        <v>45724</v>
      </c>
      <c r="D3209" t="inlineStr">
        <is>
          <t>VÄSTMANLANDS LÄN</t>
        </is>
      </c>
      <c r="E3209" t="inlineStr">
        <is>
          <t>VÄSTERÅS</t>
        </is>
      </c>
      <c r="G3209" t="n">
        <v>1.9</v>
      </c>
      <c r="H3209" t="n">
        <v>0</v>
      </c>
      <c r="I3209" t="n">
        <v>0</v>
      </c>
      <c r="J3209" t="n">
        <v>0</v>
      </c>
      <c r="K3209" t="n">
        <v>0</v>
      </c>
      <c r="L3209" t="n">
        <v>0</v>
      </c>
      <c r="M3209" t="n">
        <v>0</v>
      </c>
      <c r="N3209" t="n">
        <v>0</v>
      </c>
      <c r="O3209" t="n">
        <v>0</v>
      </c>
      <c r="P3209" t="n">
        <v>0</v>
      </c>
      <c r="Q3209" t="n">
        <v>0</v>
      </c>
      <c r="R3209" s="2" t="inlineStr"/>
    </row>
    <row r="3210" ht="15" customHeight="1">
      <c r="A3210" t="inlineStr">
        <is>
          <t>A 26607-2023</t>
        </is>
      </c>
      <c r="B3210" s="1" t="n">
        <v>45090</v>
      </c>
      <c r="C3210" s="1" t="n">
        <v>45724</v>
      </c>
      <c r="D3210" t="inlineStr">
        <is>
          <t>VÄSTMANLANDS LÄN</t>
        </is>
      </c>
      <c r="E3210" t="inlineStr">
        <is>
          <t>SALA</t>
        </is>
      </c>
      <c r="G3210" t="n">
        <v>4.8</v>
      </c>
      <c r="H3210" t="n">
        <v>0</v>
      </c>
      <c r="I3210" t="n">
        <v>0</v>
      </c>
      <c r="J3210" t="n">
        <v>0</v>
      </c>
      <c r="K3210" t="n">
        <v>0</v>
      </c>
      <c r="L3210" t="n">
        <v>0</v>
      </c>
      <c r="M3210" t="n">
        <v>0</v>
      </c>
      <c r="N3210" t="n">
        <v>0</v>
      </c>
      <c r="O3210" t="n">
        <v>0</v>
      </c>
      <c r="P3210" t="n">
        <v>0</v>
      </c>
      <c r="Q3210" t="n">
        <v>0</v>
      </c>
      <c r="R3210" s="2" t="inlineStr"/>
    </row>
    <row r="3211" ht="15" customHeight="1">
      <c r="A3211" t="inlineStr">
        <is>
          <t>A 26238-2023</t>
        </is>
      </c>
      <c r="B3211" s="1" t="n">
        <v>45091</v>
      </c>
      <c r="C3211" s="1" t="n">
        <v>45724</v>
      </c>
      <c r="D3211" t="inlineStr">
        <is>
          <t>VÄSTMANLANDS LÄN</t>
        </is>
      </c>
      <c r="E3211" t="inlineStr">
        <is>
          <t>VÄSTERÅS</t>
        </is>
      </c>
      <c r="G3211" t="n">
        <v>1.1</v>
      </c>
      <c r="H3211" t="n">
        <v>0</v>
      </c>
      <c r="I3211" t="n">
        <v>0</v>
      </c>
      <c r="J3211" t="n">
        <v>0</v>
      </c>
      <c r="K3211" t="n">
        <v>0</v>
      </c>
      <c r="L3211" t="n">
        <v>0</v>
      </c>
      <c r="M3211" t="n">
        <v>0</v>
      </c>
      <c r="N3211" t="n">
        <v>0</v>
      </c>
      <c r="O3211" t="n">
        <v>0</v>
      </c>
      <c r="P3211" t="n">
        <v>0</v>
      </c>
      <c r="Q3211" t="n">
        <v>0</v>
      </c>
      <c r="R3211" s="2" t="inlineStr"/>
    </row>
    <row r="3212" ht="15" customHeight="1">
      <c r="A3212" t="inlineStr">
        <is>
          <t>A 26069-2023</t>
        </is>
      </c>
      <c r="B3212" s="1" t="n">
        <v>45091</v>
      </c>
      <c r="C3212" s="1" t="n">
        <v>45724</v>
      </c>
      <c r="D3212" t="inlineStr">
        <is>
          <t>VÄSTMANLANDS LÄN</t>
        </is>
      </c>
      <c r="E3212" t="inlineStr">
        <is>
          <t>NORBERG</t>
        </is>
      </c>
      <c r="G3212" t="n">
        <v>2</v>
      </c>
      <c r="H3212" t="n">
        <v>0</v>
      </c>
      <c r="I3212" t="n">
        <v>0</v>
      </c>
      <c r="J3212" t="n">
        <v>0</v>
      </c>
      <c r="K3212" t="n">
        <v>0</v>
      </c>
      <c r="L3212" t="n">
        <v>0</v>
      </c>
      <c r="M3212" t="n">
        <v>0</v>
      </c>
      <c r="N3212" t="n">
        <v>0</v>
      </c>
      <c r="O3212" t="n">
        <v>0</v>
      </c>
      <c r="P3212" t="n">
        <v>0</v>
      </c>
      <c r="Q3212" t="n">
        <v>0</v>
      </c>
      <c r="R3212" s="2" t="inlineStr"/>
    </row>
    <row r="3213" ht="15" customHeight="1">
      <c r="A3213" t="inlineStr">
        <is>
          <t>A 26068-2023</t>
        </is>
      </c>
      <c r="B3213" s="1" t="n">
        <v>45091</v>
      </c>
      <c r="C3213" s="1" t="n">
        <v>45724</v>
      </c>
      <c r="D3213" t="inlineStr">
        <is>
          <t>VÄSTMANLANDS LÄN</t>
        </is>
      </c>
      <c r="E3213" t="inlineStr">
        <is>
          <t>NORBERG</t>
        </is>
      </c>
      <c r="G3213" t="n">
        <v>10.5</v>
      </c>
      <c r="H3213" t="n">
        <v>0</v>
      </c>
      <c r="I3213" t="n">
        <v>0</v>
      </c>
      <c r="J3213" t="n">
        <v>0</v>
      </c>
      <c r="K3213" t="n">
        <v>0</v>
      </c>
      <c r="L3213" t="n">
        <v>0</v>
      </c>
      <c r="M3213" t="n">
        <v>0</v>
      </c>
      <c r="N3213" t="n">
        <v>0</v>
      </c>
      <c r="O3213" t="n">
        <v>0</v>
      </c>
      <c r="P3213" t="n">
        <v>0</v>
      </c>
      <c r="Q3213" t="n">
        <v>0</v>
      </c>
      <c r="R3213" s="2" t="inlineStr"/>
    </row>
    <row r="3214" ht="15" customHeight="1">
      <c r="A3214" t="inlineStr">
        <is>
          <t>A 26072-2023</t>
        </is>
      </c>
      <c r="B3214" s="1" t="n">
        <v>45091</v>
      </c>
      <c r="C3214" s="1" t="n">
        <v>45724</v>
      </c>
      <c r="D3214" t="inlineStr">
        <is>
          <t>VÄSTMANLANDS LÄN</t>
        </is>
      </c>
      <c r="E3214" t="inlineStr">
        <is>
          <t>NORBERG</t>
        </is>
      </c>
      <c r="G3214" t="n">
        <v>3.4</v>
      </c>
      <c r="H3214" t="n">
        <v>0</v>
      </c>
      <c r="I3214" t="n">
        <v>0</v>
      </c>
      <c r="J3214" t="n">
        <v>0</v>
      </c>
      <c r="K3214" t="n">
        <v>0</v>
      </c>
      <c r="L3214" t="n">
        <v>0</v>
      </c>
      <c r="M3214" t="n">
        <v>0</v>
      </c>
      <c r="N3214" t="n">
        <v>0</v>
      </c>
      <c r="O3214" t="n">
        <v>0</v>
      </c>
      <c r="P3214" t="n">
        <v>0</v>
      </c>
      <c r="Q3214" t="n">
        <v>0</v>
      </c>
      <c r="R3214" s="2" t="inlineStr"/>
    </row>
    <row r="3215" ht="15" customHeight="1">
      <c r="A3215" t="inlineStr">
        <is>
          <t>A 26066-2023</t>
        </is>
      </c>
      <c r="B3215" s="1" t="n">
        <v>45091</v>
      </c>
      <c r="C3215" s="1" t="n">
        <v>45724</v>
      </c>
      <c r="D3215" t="inlineStr">
        <is>
          <t>VÄSTMANLANDS LÄN</t>
        </is>
      </c>
      <c r="E3215" t="inlineStr">
        <is>
          <t>NORBERG</t>
        </is>
      </c>
      <c r="G3215" t="n">
        <v>0.8</v>
      </c>
      <c r="H3215" t="n">
        <v>0</v>
      </c>
      <c r="I3215" t="n">
        <v>0</v>
      </c>
      <c r="J3215" t="n">
        <v>0</v>
      </c>
      <c r="K3215" t="n">
        <v>0</v>
      </c>
      <c r="L3215" t="n">
        <v>0</v>
      </c>
      <c r="M3215" t="n">
        <v>0</v>
      </c>
      <c r="N3215" t="n">
        <v>0</v>
      </c>
      <c r="O3215" t="n">
        <v>0</v>
      </c>
      <c r="P3215" t="n">
        <v>0</v>
      </c>
      <c r="Q3215" t="n">
        <v>0</v>
      </c>
      <c r="R3215" s="2" t="inlineStr"/>
    </row>
    <row r="3216" ht="15" customHeight="1">
      <c r="A3216" t="inlineStr">
        <is>
          <t>A 26505-2023</t>
        </is>
      </c>
      <c r="B3216" s="1" t="n">
        <v>45092</v>
      </c>
      <c r="C3216" s="1" t="n">
        <v>45724</v>
      </c>
      <c r="D3216" t="inlineStr">
        <is>
          <t>VÄSTMANLANDS LÄN</t>
        </is>
      </c>
      <c r="E3216" t="inlineStr">
        <is>
          <t>SALA</t>
        </is>
      </c>
      <c r="F3216" t="inlineStr">
        <is>
          <t>Sveaskog</t>
        </is>
      </c>
      <c r="G3216" t="n">
        <v>1</v>
      </c>
      <c r="H3216" t="n">
        <v>0</v>
      </c>
      <c r="I3216" t="n">
        <v>0</v>
      </c>
      <c r="J3216" t="n">
        <v>0</v>
      </c>
      <c r="K3216" t="n">
        <v>0</v>
      </c>
      <c r="L3216" t="n">
        <v>0</v>
      </c>
      <c r="M3216" t="n">
        <v>0</v>
      </c>
      <c r="N3216" t="n">
        <v>0</v>
      </c>
      <c r="O3216" t="n">
        <v>0</v>
      </c>
      <c r="P3216" t="n">
        <v>0</v>
      </c>
      <c r="Q3216" t="n">
        <v>0</v>
      </c>
      <c r="R3216" s="2" t="inlineStr"/>
    </row>
    <row r="3217" ht="15" customHeight="1">
      <c r="A3217" t="inlineStr">
        <is>
          <t>A 26509-2023</t>
        </is>
      </c>
      <c r="B3217" s="1" t="n">
        <v>45092</v>
      </c>
      <c r="C3217" s="1" t="n">
        <v>45724</v>
      </c>
      <c r="D3217" t="inlineStr">
        <is>
          <t>VÄSTMANLANDS LÄN</t>
        </is>
      </c>
      <c r="E3217" t="inlineStr">
        <is>
          <t>SALA</t>
        </is>
      </c>
      <c r="F3217" t="inlineStr">
        <is>
          <t>Sveaskog</t>
        </is>
      </c>
      <c r="G3217" t="n">
        <v>2.2</v>
      </c>
      <c r="H3217" t="n">
        <v>0</v>
      </c>
      <c r="I3217" t="n">
        <v>0</v>
      </c>
      <c r="J3217" t="n">
        <v>0</v>
      </c>
      <c r="K3217" t="n">
        <v>0</v>
      </c>
      <c r="L3217" t="n">
        <v>0</v>
      </c>
      <c r="M3217" t="n">
        <v>0</v>
      </c>
      <c r="N3217" t="n">
        <v>0</v>
      </c>
      <c r="O3217" t="n">
        <v>0</v>
      </c>
      <c r="P3217" t="n">
        <v>0</v>
      </c>
      <c r="Q3217" t="n">
        <v>0</v>
      </c>
      <c r="R3217" s="2" t="inlineStr"/>
    </row>
    <row r="3218" ht="15" customHeight="1">
      <c r="A3218" t="inlineStr">
        <is>
          <t>A 26382-2023</t>
        </is>
      </c>
      <c r="B3218" s="1" t="n">
        <v>45092</v>
      </c>
      <c r="C3218" s="1" t="n">
        <v>45724</v>
      </c>
      <c r="D3218" t="inlineStr">
        <is>
          <t>VÄSTMANLANDS LÄN</t>
        </is>
      </c>
      <c r="E3218" t="inlineStr">
        <is>
          <t>KUNGSÖR</t>
        </is>
      </c>
      <c r="F3218" t="inlineStr">
        <is>
          <t>Allmännings- och besparingsskogar</t>
        </is>
      </c>
      <c r="G3218" t="n">
        <v>20.3</v>
      </c>
      <c r="H3218" t="n">
        <v>0</v>
      </c>
      <c r="I3218" t="n">
        <v>0</v>
      </c>
      <c r="J3218" t="n">
        <v>0</v>
      </c>
      <c r="K3218" t="n">
        <v>0</v>
      </c>
      <c r="L3218" t="n">
        <v>0</v>
      </c>
      <c r="M3218" t="n">
        <v>0</v>
      </c>
      <c r="N3218" t="n">
        <v>0</v>
      </c>
      <c r="O3218" t="n">
        <v>0</v>
      </c>
      <c r="P3218" t="n">
        <v>0</v>
      </c>
      <c r="Q3218" t="n">
        <v>0</v>
      </c>
      <c r="R3218" s="2" t="inlineStr"/>
    </row>
    <row r="3219" ht="15" customHeight="1">
      <c r="A3219" t="inlineStr">
        <is>
          <t>A 26584-2023</t>
        </is>
      </c>
      <c r="B3219" s="1" t="n">
        <v>45092</v>
      </c>
      <c r="C3219" s="1" t="n">
        <v>45724</v>
      </c>
      <c r="D3219" t="inlineStr">
        <is>
          <t>VÄSTMANLANDS LÄN</t>
        </is>
      </c>
      <c r="E3219" t="inlineStr">
        <is>
          <t>SKINNSKATTEBERG</t>
        </is>
      </c>
      <c r="F3219" t="inlineStr">
        <is>
          <t>Sveaskog</t>
        </is>
      </c>
      <c r="G3219" t="n">
        <v>2.6</v>
      </c>
      <c r="H3219" t="n">
        <v>0</v>
      </c>
      <c r="I3219" t="n">
        <v>0</v>
      </c>
      <c r="J3219" t="n">
        <v>0</v>
      </c>
      <c r="K3219" t="n">
        <v>0</v>
      </c>
      <c r="L3219" t="n">
        <v>0</v>
      </c>
      <c r="M3219" t="n">
        <v>0</v>
      </c>
      <c r="N3219" t="n">
        <v>0</v>
      </c>
      <c r="O3219" t="n">
        <v>0</v>
      </c>
      <c r="P3219" t="n">
        <v>0</v>
      </c>
      <c r="Q3219" t="n">
        <v>0</v>
      </c>
      <c r="R3219" s="2" t="inlineStr"/>
    </row>
    <row r="3220" ht="15" customHeight="1">
      <c r="A3220" t="inlineStr">
        <is>
          <t>A 26508-2023</t>
        </is>
      </c>
      <c r="B3220" s="1" t="n">
        <v>45092</v>
      </c>
      <c r="C3220" s="1" t="n">
        <v>45724</v>
      </c>
      <c r="D3220" t="inlineStr">
        <is>
          <t>VÄSTMANLANDS LÄN</t>
        </is>
      </c>
      <c r="E3220" t="inlineStr">
        <is>
          <t>SALA</t>
        </is>
      </c>
      <c r="F3220" t="inlineStr">
        <is>
          <t>Sveaskog</t>
        </is>
      </c>
      <c r="G3220" t="n">
        <v>2.4</v>
      </c>
      <c r="H3220" t="n">
        <v>0</v>
      </c>
      <c r="I3220" t="n">
        <v>0</v>
      </c>
      <c r="J3220" t="n">
        <v>0</v>
      </c>
      <c r="K3220" t="n">
        <v>0</v>
      </c>
      <c r="L3220" t="n">
        <v>0</v>
      </c>
      <c r="M3220" t="n">
        <v>0</v>
      </c>
      <c r="N3220" t="n">
        <v>0</v>
      </c>
      <c r="O3220" t="n">
        <v>0</v>
      </c>
      <c r="P3220" t="n">
        <v>0</v>
      </c>
      <c r="Q3220" t="n">
        <v>0</v>
      </c>
      <c r="R3220" s="2" t="inlineStr"/>
    </row>
    <row r="3221" ht="15" customHeight="1">
      <c r="A3221" t="inlineStr">
        <is>
          <t>A 26416-2023</t>
        </is>
      </c>
      <c r="B3221" s="1" t="n">
        <v>45092</v>
      </c>
      <c r="C3221" s="1" t="n">
        <v>45724</v>
      </c>
      <c r="D3221" t="inlineStr">
        <is>
          <t>VÄSTMANLANDS LÄN</t>
        </is>
      </c>
      <c r="E3221" t="inlineStr">
        <is>
          <t>SALA</t>
        </is>
      </c>
      <c r="G3221" t="n">
        <v>2.9</v>
      </c>
      <c r="H3221" t="n">
        <v>0</v>
      </c>
      <c r="I3221" t="n">
        <v>0</v>
      </c>
      <c r="J3221" t="n">
        <v>0</v>
      </c>
      <c r="K3221" t="n">
        <v>0</v>
      </c>
      <c r="L3221" t="n">
        <v>0</v>
      </c>
      <c r="M3221" t="n">
        <v>0</v>
      </c>
      <c r="N3221" t="n">
        <v>0</v>
      </c>
      <c r="O3221" t="n">
        <v>0</v>
      </c>
      <c r="P3221" t="n">
        <v>0</v>
      </c>
      <c r="Q3221" t="n">
        <v>0</v>
      </c>
      <c r="R3221" s="2" t="inlineStr"/>
    </row>
    <row r="3222" ht="15" customHeight="1">
      <c r="A3222" t="inlineStr">
        <is>
          <t>A 26507-2023</t>
        </is>
      </c>
      <c r="B3222" s="1" t="n">
        <v>45092</v>
      </c>
      <c r="C3222" s="1" t="n">
        <v>45724</v>
      </c>
      <c r="D3222" t="inlineStr">
        <is>
          <t>VÄSTMANLANDS LÄN</t>
        </is>
      </c>
      <c r="E3222" t="inlineStr">
        <is>
          <t>SALA</t>
        </is>
      </c>
      <c r="F3222" t="inlineStr">
        <is>
          <t>Sveaskog</t>
        </is>
      </c>
      <c r="G3222" t="n">
        <v>2.2</v>
      </c>
      <c r="H3222" t="n">
        <v>0</v>
      </c>
      <c r="I3222" t="n">
        <v>0</v>
      </c>
      <c r="J3222" t="n">
        <v>0</v>
      </c>
      <c r="K3222" t="n">
        <v>0</v>
      </c>
      <c r="L3222" t="n">
        <v>0</v>
      </c>
      <c r="M3222" t="n">
        <v>0</v>
      </c>
      <c r="N3222" t="n">
        <v>0</v>
      </c>
      <c r="O3222" t="n">
        <v>0</v>
      </c>
      <c r="P3222" t="n">
        <v>0</v>
      </c>
      <c r="Q3222" t="n">
        <v>0</v>
      </c>
      <c r="R3222" s="2" t="inlineStr"/>
    </row>
    <row r="3223" ht="15" customHeight="1">
      <c r="A3223" t="inlineStr">
        <is>
          <t>A 26580-2023</t>
        </is>
      </c>
      <c r="B3223" s="1" t="n">
        <v>45092</v>
      </c>
      <c r="C3223" s="1" t="n">
        <v>45724</v>
      </c>
      <c r="D3223" t="inlineStr">
        <is>
          <t>VÄSTMANLANDS LÄN</t>
        </is>
      </c>
      <c r="E3223" t="inlineStr">
        <is>
          <t>SKINNSKATTEBERG</t>
        </is>
      </c>
      <c r="F3223" t="inlineStr">
        <is>
          <t>Sveaskog</t>
        </is>
      </c>
      <c r="G3223" t="n">
        <v>4.9</v>
      </c>
      <c r="H3223" t="n">
        <v>0</v>
      </c>
      <c r="I3223" t="n">
        <v>0</v>
      </c>
      <c r="J3223" t="n">
        <v>0</v>
      </c>
      <c r="K3223" t="n">
        <v>0</v>
      </c>
      <c r="L3223" t="n">
        <v>0</v>
      </c>
      <c r="M3223" t="n">
        <v>0</v>
      </c>
      <c r="N3223" t="n">
        <v>0</v>
      </c>
      <c r="O3223" t="n">
        <v>0</v>
      </c>
      <c r="P3223" t="n">
        <v>0</v>
      </c>
      <c r="Q3223" t="n">
        <v>0</v>
      </c>
      <c r="R3223" s="2" t="inlineStr"/>
    </row>
    <row r="3224" ht="15" customHeight="1">
      <c r="A3224" t="inlineStr">
        <is>
          <t>A 26581-2023</t>
        </is>
      </c>
      <c r="B3224" s="1" t="n">
        <v>45092</v>
      </c>
      <c r="C3224" s="1" t="n">
        <v>45724</v>
      </c>
      <c r="D3224" t="inlineStr">
        <is>
          <t>VÄSTMANLANDS LÄN</t>
        </is>
      </c>
      <c r="E3224" t="inlineStr">
        <is>
          <t>SKINNSKATTEBERG</t>
        </is>
      </c>
      <c r="F3224" t="inlineStr">
        <is>
          <t>Sveaskog</t>
        </is>
      </c>
      <c r="G3224" t="n">
        <v>1.3</v>
      </c>
      <c r="H3224" t="n">
        <v>0</v>
      </c>
      <c r="I3224" t="n">
        <v>0</v>
      </c>
      <c r="J3224" t="n">
        <v>0</v>
      </c>
      <c r="K3224" t="n">
        <v>0</v>
      </c>
      <c r="L3224" t="n">
        <v>0</v>
      </c>
      <c r="M3224" t="n">
        <v>0</v>
      </c>
      <c r="N3224" t="n">
        <v>0</v>
      </c>
      <c r="O3224" t="n">
        <v>0</v>
      </c>
      <c r="P3224" t="n">
        <v>0</v>
      </c>
      <c r="Q3224" t="n">
        <v>0</v>
      </c>
      <c r="R3224" s="2" t="inlineStr"/>
    </row>
    <row r="3225" ht="15" customHeight="1">
      <c r="A3225" t="inlineStr">
        <is>
          <t>A 26633-2023</t>
        </is>
      </c>
      <c r="B3225" s="1" t="n">
        <v>45092</v>
      </c>
      <c r="C3225" s="1" t="n">
        <v>45724</v>
      </c>
      <c r="D3225" t="inlineStr">
        <is>
          <t>VÄSTMANLANDS LÄN</t>
        </is>
      </c>
      <c r="E3225" t="inlineStr">
        <is>
          <t>ARBOGA</t>
        </is>
      </c>
      <c r="G3225" t="n">
        <v>0.8</v>
      </c>
      <c r="H3225" t="n">
        <v>0</v>
      </c>
      <c r="I3225" t="n">
        <v>0</v>
      </c>
      <c r="J3225" t="n">
        <v>0</v>
      </c>
      <c r="K3225" t="n">
        <v>0</v>
      </c>
      <c r="L3225" t="n">
        <v>0</v>
      </c>
      <c r="M3225" t="n">
        <v>0</v>
      </c>
      <c r="N3225" t="n">
        <v>0</v>
      </c>
      <c r="O3225" t="n">
        <v>0</v>
      </c>
      <c r="P3225" t="n">
        <v>0</v>
      </c>
      <c r="Q3225" t="n">
        <v>0</v>
      </c>
      <c r="R3225" s="2" t="inlineStr"/>
    </row>
    <row r="3226" ht="15" customHeight="1">
      <c r="A3226" t="inlineStr">
        <is>
          <t>A 26727-2023</t>
        </is>
      </c>
      <c r="B3226" s="1" t="n">
        <v>45093</v>
      </c>
      <c r="C3226" s="1" t="n">
        <v>45724</v>
      </c>
      <c r="D3226" t="inlineStr">
        <is>
          <t>VÄSTMANLANDS LÄN</t>
        </is>
      </c>
      <c r="E3226" t="inlineStr">
        <is>
          <t>VÄSTERÅS</t>
        </is>
      </c>
      <c r="G3226" t="n">
        <v>4.9</v>
      </c>
      <c r="H3226" t="n">
        <v>0</v>
      </c>
      <c r="I3226" t="n">
        <v>0</v>
      </c>
      <c r="J3226" t="n">
        <v>0</v>
      </c>
      <c r="K3226" t="n">
        <v>0</v>
      </c>
      <c r="L3226" t="n">
        <v>0</v>
      </c>
      <c r="M3226" t="n">
        <v>0</v>
      </c>
      <c r="N3226" t="n">
        <v>0</v>
      </c>
      <c r="O3226" t="n">
        <v>0</v>
      </c>
      <c r="P3226" t="n">
        <v>0</v>
      </c>
      <c r="Q3226" t="n">
        <v>0</v>
      </c>
      <c r="R3226" s="2" t="inlineStr"/>
    </row>
    <row r="3227" ht="15" customHeight="1">
      <c r="A3227" t="inlineStr">
        <is>
          <t>A 26692-2023</t>
        </is>
      </c>
      <c r="B3227" s="1" t="n">
        <v>45093</v>
      </c>
      <c r="C3227" s="1" t="n">
        <v>45724</v>
      </c>
      <c r="D3227" t="inlineStr">
        <is>
          <t>VÄSTMANLANDS LÄN</t>
        </is>
      </c>
      <c r="E3227" t="inlineStr">
        <is>
          <t>SALA</t>
        </is>
      </c>
      <c r="G3227" t="n">
        <v>1.8</v>
      </c>
      <c r="H3227" t="n">
        <v>0</v>
      </c>
      <c r="I3227" t="n">
        <v>0</v>
      </c>
      <c r="J3227" t="n">
        <v>0</v>
      </c>
      <c r="K3227" t="n">
        <v>0</v>
      </c>
      <c r="L3227" t="n">
        <v>0</v>
      </c>
      <c r="M3227" t="n">
        <v>0</v>
      </c>
      <c r="N3227" t="n">
        <v>0</v>
      </c>
      <c r="O3227" t="n">
        <v>0</v>
      </c>
      <c r="P3227" t="n">
        <v>0</v>
      </c>
      <c r="Q3227" t="n">
        <v>0</v>
      </c>
      <c r="R3227" s="2" t="inlineStr"/>
    </row>
    <row r="3228" ht="15" customHeight="1">
      <c r="A3228" t="inlineStr">
        <is>
          <t>A 26802-2023</t>
        </is>
      </c>
      <c r="B3228" s="1" t="n">
        <v>45093</v>
      </c>
      <c r="C3228" s="1" t="n">
        <v>45724</v>
      </c>
      <c r="D3228" t="inlineStr">
        <is>
          <t>VÄSTMANLANDS LÄN</t>
        </is>
      </c>
      <c r="E3228" t="inlineStr">
        <is>
          <t>NORBERG</t>
        </is>
      </c>
      <c r="G3228" t="n">
        <v>0.6</v>
      </c>
      <c r="H3228" t="n">
        <v>0</v>
      </c>
      <c r="I3228" t="n">
        <v>0</v>
      </c>
      <c r="J3228" t="n">
        <v>0</v>
      </c>
      <c r="K3228" t="n">
        <v>0</v>
      </c>
      <c r="L3228" t="n">
        <v>0</v>
      </c>
      <c r="M3228" t="n">
        <v>0</v>
      </c>
      <c r="N3228" t="n">
        <v>0</v>
      </c>
      <c r="O3228" t="n">
        <v>0</v>
      </c>
      <c r="P3228" t="n">
        <v>0</v>
      </c>
      <c r="Q3228" t="n">
        <v>0</v>
      </c>
      <c r="R3228" s="2" t="inlineStr"/>
    </row>
    <row r="3229" ht="15" customHeight="1">
      <c r="A3229" t="inlineStr">
        <is>
          <t>A 26761-2023</t>
        </is>
      </c>
      <c r="B3229" s="1" t="n">
        <v>45093</v>
      </c>
      <c r="C3229" s="1" t="n">
        <v>45724</v>
      </c>
      <c r="D3229" t="inlineStr">
        <is>
          <t>VÄSTMANLANDS LÄN</t>
        </is>
      </c>
      <c r="E3229" t="inlineStr">
        <is>
          <t>SALA</t>
        </is>
      </c>
      <c r="G3229" t="n">
        <v>4.3</v>
      </c>
      <c r="H3229" t="n">
        <v>0</v>
      </c>
      <c r="I3229" t="n">
        <v>0</v>
      </c>
      <c r="J3229" t="n">
        <v>0</v>
      </c>
      <c r="K3229" t="n">
        <v>0</v>
      </c>
      <c r="L3229" t="n">
        <v>0</v>
      </c>
      <c r="M3229" t="n">
        <v>0</v>
      </c>
      <c r="N3229" t="n">
        <v>0</v>
      </c>
      <c r="O3229" t="n">
        <v>0</v>
      </c>
      <c r="P3229" t="n">
        <v>0</v>
      </c>
      <c r="Q3229" t="n">
        <v>0</v>
      </c>
      <c r="R3229" s="2" t="inlineStr"/>
    </row>
    <row r="3230" ht="15" customHeight="1">
      <c r="A3230" t="inlineStr">
        <is>
          <t>A 27635-2023</t>
        </is>
      </c>
      <c r="B3230" s="1" t="n">
        <v>45093</v>
      </c>
      <c r="C3230" s="1" t="n">
        <v>45724</v>
      </c>
      <c r="D3230" t="inlineStr">
        <is>
          <t>VÄSTMANLANDS LÄN</t>
        </is>
      </c>
      <c r="E3230" t="inlineStr">
        <is>
          <t>NORBERG</t>
        </is>
      </c>
      <c r="G3230" t="n">
        <v>3.8</v>
      </c>
      <c r="H3230" t="n">
        <v>0</v>
      </c>
      <c r="I3230" t="n">
        <v>0</v>
      </c>
      <c r="J3230" t="n">
        <v>0</v>
      </c>
      <c r="K3230" t="n">
        <v>0</v>
      </c>
      <c r="L3230" t="n">
        <v>0</v>
      </c>
      <c r="M3230" t="n">
        <v>0</v>
      </c>
      <c r="N3230" t="n">
        <v>0</v>
      </c>
      <c r="O3230" t="n">
        <v>0</v>
      </c>
      <c r="P3230" t="n">
        <v>0</v>
      </c>
      <c r="Q3230" t="n">
        <v>0</v>
      </c>
      <c r="R3230" s="2" t="inlineStr"/>
    </row>
    <row r="3231" ht="15" customHeight="1">
      <c r="A3231" t="inlineStr">
        <is>
          <t>A 27023-2023</t>
        </is>
      </c>
      <c r="B3231" s="1" t="n">
        <v>45094</v>
      </c>
      <c r="C3231" s="1" t="n">
        <v>45724</v>
      </c>
      <c r="D3231" t="inlineStr">
        <is>
          <t>VÄSTMANLANDS LÄN</t>
        </is>
      </c>
      <c r="E3231" t="inlineStr">
        <is>
          <t>SALA</t>
        </is>
      </c>
      <c r="F3231" t="inlineStr">
        <is>
          <t>Sveaskog</t>
        </is>
      </c>
      <c r="G3231" t="n">
        <v>1.4</v>
      </c>
      <c r="H3231" t="n">
        <v>0</v>
      </c>
      <c r="I3231" t="n">
        <v>0</v>
      </c>
      <c r="J3231" t="n">
        <v>0</v>
      </c>
      <c r="K3231" t="n">
        <v>0</v>
      </c>
      <c r="L3231" t="n">
        <v>0</v>
      </c>
      <c r="M3231" t="n">
        <v>0</v>
      </c>
      <c r="N3231" t="n">
        <v>0</v>
      </c>
      <c r="O3231" t="n">
        <v>0</v>
      </c>
      <c r="P3231" t="n">
        <v>0</v>
      </c>
      <c r="Q3231" t="n">
        <v>0</v>
      </c>
      <c r="R3231" s="2" t="inlineStr"/>
    </row>
    <row r="3232" ht="15" customHeight="1">
      <c r="A3232" t="inlineStr">
        <is>
          <t>A 27038-2023</t>
        </is>
      </c>
      <c r="B3232" s="1" t="n">
        <v>45095</v>
      </c>
      <c r="C3232" s="1" t="n">
        <v>45724</v>
      </c>
      <c r="D3232" t="inlineStr">
        <is>
          <t>VÄSTMANLANDS LÄN</t>
        </is>
      </c>
      <c r="E3232" t="inlineStr">
        <is>
          <t>SALA</t>
        </is>
      </c>
      <c r="G3232" t="n">
        <v>0.8</v>
      </c>
      <c r="H3232" t="n">
        <v>0</v>
      </c>
      <c r="I3232" t="n">
        <v>0</v>
      </c>
      <c r="J3232" t="n">
        <v>0</v>
      </c>
      <c r="K3232" t="n">
        <v>0</v>
      </c>
      <c r="L3232" t="n">
        <v>0</v>
      </c>
      <c r="M3232" t="n">
        <v>0</v>
      </c>
      <c r="N3232" t="n">
        <v>0</v>
      </c>
      <c r="O3232" t="n">
        <v>0</v>
      </c>
      <c r="P3232" t="n">
        <v>0</v>
      </c>
      <c r="Q3232" t="n">
        <v>0</v>
      </c>
      <c r="R3232" s="2" t="inlineStr"/>
    </row>
    <row r="3233" ht="15" customHeight="1">
      <c r="A3233" t="inlineStr">
        <is>
          <t>A 27140-2023</t>
        </is>
      </c>
      <c r="B3233" s="1" t="n">
        <v>45096</v>
      </c>
      <c r="C3233" s="1" t="n">
        <v>45724</v>
      </c>
      <c r="D3233" t="inlineStr">
        <is>
          <t>VÄSTMANLANDS LÄN</t>
        </is>
      </c>
      <c r="E3233" t="inlineStr">
        <is>
          <t>SURAHAMMAR</t>
        </is>
      </c>
      <c r="F3233" t="inlineStr">
        <is>
          <t>Sveaskog</t>
        </is>
      </c>
      <c r="G3233" t="n">
        <v>2.9</v>
      </c>
      <c r="H3233" t="n">
        <v>0</v>
      </c>
      <c r="I3233" t="n">
        <v>0</v>
      </c>
      <c r="J3233" t="n">
        <v>0</v>
      </c>
      <c r="K3233" t="n">
        <v>0</v>
      </c>
      <c r="L3233" t="n">
        <v>0</v>
      </c>
      <c r="M3233" t="n">
        <v>0</v>
      </c>
      <c r="N3233" t="n">
        <v>0</v>
      </c>
      <c r="O3233" t="n">
        <v>0</v>
      </c>
      <c r="P3233" t="n">
        <v>0</v>
      </c>
      <c r="Q3233" t="n">
        <v>0</v>
      </c>
      <c r="R3233" s="2" t="inlineStr"/>
    </row>
    <row r="3234" ht="15" customHeight="1">
      <c r="A3234" t="inlineStr">
        <is>
          <t>A 27156-2023</t>
        </is>
      </c>
      <c r="B3234" s="1" t="n">
        <v>45096</v>
      </c>
      <c r="C3234" s="1" t="n">
        <v>45724</v>
      </c>
      <c r="D3234" t="inlineStr">
        <is>
          <t>VÄSTMANLANDS LÄN</t>
        </is>
      </c>
      <c r="E3234" t="inlineStr">
        <is>
          <t>SURAHAMMAR</t>
        </is>
      </c>
      <c r="F3234" t="inlineStr">
        <is>
          <t>Sveaskog</t>
        </is>
      </c>
      <c r="G3234" t="n">
        <v>2.9</v>
      </c>
      <c r="H3234" t="n">
        <v>0</v>
      </c>
      <c r="I3234" t="n">
        <v>0</v>
      </c>
      <c r="J3234" t="n">
        <v>0</v>
      </c>
      <c r="K3234" t="n">
        <v>0</v>
      </c>
      <c r="L3234" t="n">
        <v>0</v>
      </c>
      <c r="M3234" t="n">
        <v>0</v>
      </c>
      <c r="N3234" t="n">
        <v>0</v>
      </c>
      <c r="O3234" t="n">
        <v>0</v>
      </c>
      <c r="P3234" t="n">
        <v>0</v>
      </c>
      <c r="Q3234" t="n">
        <v>0</v>
      </c>
      <c r="R3234" s="2" t="inlineStr"/>
    </row>
    <row r="3235" ht="15" customHeight="1">
      <c r="A3235" t="inlineStr">
        <is>
          <t>A 27142-2023</t>
        </is>
      </c>
      <c r="B3235" s="1" t="n">
        <v>45096</v>
      </c>
      <c r="C3235" s="1" t="n">
        <v>45724</v>
      </c>
      <c r="D3235" t="inlineStr">
        <is>
          <t>VÄSTMANLANDS LÄN</t>
        </is>
      </c>
      <c r="E3235" t="inlineStr">
        <is>
          <t>SURAHAMMAR</t>
        </is>
      </c>
      <c r="F3235" t="inlineStr">
        <is>
          <t>Sveaskog</t>
        </is>
      </c>
      <c r="G3235" t="n">
        <v>2.4</v>
      </c>
      <c r="H3235" t="n">
        <v>0</v>
      </c>
      <c r="I3235" t="n">
        <v>0</v>
      </c>
      <c r="J3235" t="n">
        <v>0</v>
      </c>
      <c r="K3235" t="n">
        <v>0</v>
      </c>
      <c r="L3235" t="n">
        <v>0</v>
      </c>
      <c r="M3235" t="n">
        <v>0</v>
      </c>
      <c r="N3235" t="n">
        <v>0</v>
      </c>
      <c r="O3235" t="n">
        <v>0</v>
      </c>
      <c r="P3235" t="n">
        <v>0</v>
      </c>
      <c r="Q3235" t="n">
        <v>0</v>
      </c>
      <c r="R3235" s="2" t="inlineStr"/>
    </row>
    <row r="3236" ht="15" customHeight="1">
      <c r="A3236" t="inlineStr">
        <is>
          <t>A 27171-2023</t>
        </is>
      </c>
      <c r="B3236" s="1" t="n">
        <v>45096</v>
      </c>
      <c r="C3236" s="1" t="n">
        <v>45724</v>
      </c>
      <c r="D3236" t="inlineStr">
        <is>
          <t>VÄSTMANLANDS LÄN</t>
        </is>
      </c>
      <c r="E3236" t="inlineStr">
        <is>
          <t>SURAHAMMAR</t>
        </is>
      </c>
      <c r="F3236" t="inlineStr">
        <is>
          <t>Sveaskog</t>
        </is>
      </c>
      <c r="G3236" t="n">
        <v>1.7</v>
      </c>
      <c r="H3236" t="n">
        <v>0</v>
      </c>
      <c r="I3236" t="n">
        <v>0</v>
      </c>
      <c r="J3236" t="n">
        <v>0</v>
      </c>
      <c r="K3236" t="n">
        <v>0</v>
      </c>
      <c r="L3236" t="n">
        <v>0</v>
      </c>
      <c r="M3236" t="n">
        <v>0</v>
      </c>
      <c r="N3236" t="n">
        <v>0</v>
      </c>
      <c r="O3236" t="n">
        <v>0</v>
      </c>
      <c r="P3236" t="n">
        <v>0</v>
      </c>
      <c r="Q3236" t="n">
        <v>0</v>
      </c>
      <c r="R3236" s="2" t="inlineStr"/>
    </row>
    <row r="3237" ht="15" customHeight="1">
      <c r="A3237" t="inlineStr">
        <is>
          <t>A 27201-2023</t>
        </is>
      </c>
      <c r="B3237" s="1" t="n">
        <v>45096</v>
      </c>
      <c r="C3237" s="1" t="n">
        <v>45724</v>
      </c>
      <c r="D3237" t="inlineStr">
        <is>
          <t>VÄSTMANLANDS LÄN</t>
        </is>
      </c>
      <c r="E3237" t="inlineStr">
        <is>
          <t>FAGERSTA</t>
        </is>
      </c>
      <c r="F3237" t="inlineStr">
        <is>
          <t>Övriga Aktiebolag</t>
        </is>
      </c>
      <c r="G3237" t="n">
        <v>2.9</v>
      </c>
      <c r="H3237" t="n">
        <v>0</v>
      </c>
      <c r="I3237" t="n">
        <v>0</v>
      </c>
      <c r="J3237" t="n">
        <v>0</v>
      </c>
      <c r="K3237" t="n">
        <v>0</v>
      </c>
      <c r="L3237" t="n">
        <v>0</v>
      </c>
      <c r="M3237" t="n">
        <v>0</v>
      </c>
      <c r="N3237" t="n">
        <v>0</v>
      </c>
      <c r="O3237" t="n">
        <v>0</v>
      </c>
      <c r="P3237" t="n">
        <v>0</v>
      </c>
      <c r="Q3237" t="n">
        <v>0</v>
      </c>
      <c r="R3237" s="2" t="inlineStr"/>
    </row>
    <row r="3238" ht="15" customHeight="1">
      <c r="A3238" t="inlineStr">
        <is>
          <t>A 27228-2023</t>
        </is>
      </c>
      <c r="B3238" s="1" t="n">
        <v>45096</v>
      </c>
      <c r="C3238" s="1" t="n">
        <v>45724</v>
      </c>
      <c r="D3238" t="inlineStr">
        <is>
          <t>VÄSTMANLANDS LÄN</t>
        </is>
      </c>
      <c r="E3238" t="inlineStr">
        <is>
          <t>SALA</t>
        </is>
      </c>
      <c r="G3238" t="n">
        <v>1</v>
      </c>
      <c r="H3238" t="n">
        <v>0</v>
      </c>
      <c r="I3238" t="n">
        <v>0</v>
      </c>
      <c r="J3238" t="n">
        <v>0</v>
      </c>
      <c r="K3238" t="n">
        <v>0</v>
      </c>
      <c r="L3238" t="n">
        <v>0</v>
      </c>
      <c r="M3238" t="n">
        <v>0</v>
      </c>
      <c r="N3238" t="n">
        <v>0</v>
      </c>
      <c r="O3238" t="n">
        <v>0</v>
      </c>
      <c r="P3238" t="n">
        <v>0</v>
      </c>
      <c r="Q3238" t="n">
        <v>0</v>
      </c>
      <c r="R3238" s="2" t="inlineStr"/>
    </row>
    <row r="3239" ht="15" customHeight="1">
      <c r="A3239" t="inlineStr">
        <is>
          <t>A 27255-2023</t>
        </is>
      </c>
      <c r="B3239" s="1" t="n">
        <v>45096</v>
      </c>
      <c r="C3239" s="1" t="n">
        <v>45724</v>
      </c>
      <c r="D3239" t="inlineStr">
        <is>
          <t>VÄSTMANLANDS LÄN</t>
        </is>
      </c>
      <c r="E3239" t="inlineStr">
        <is>
          <t>SALA</t>
        </is>
      </c>
      <c r="F3239" t="inlineStr">
        <is>
          <t>Sveaskog</t>
        </is>
      </c>
      <c r="G3239" t="n">
        <v>2.3</v>
      </c>
      <c r="H3239" t="n">
        <v>0</v>
      </c>
      <c r="I3239" t="n">
        <v>0</v>
      </c>
      <c r="J3239" t="n">
        <v>0</v>
      </c>
      <c r="K3239" t="n">
        <v>0</v>
      </c>
      <c r="L3239" t="n">
        <v>0</v>
      </c>
      <c r="M3239" t="n">
        <v>0</v>
      </c>
      <c r="N3239" t="n">
        <v>0</v>
      </c>
      <c r="O3239" t="n">
        <v>0</v>
      </c>
      <c r="P3239" t="n">
        <v>0</v>
      </c>
      <c r="Q3239" t="n">
        <v>0</v>
      </c>
      <c r="R3239" s="2" t="inlineStr"/>
    </row>
    <row r="3240" ht="15" customHeight="1">
      <c r="A3240" t="inlineStr">
        <is>
          <t>A 27230-2023</t>
        </is>
      </c>
      <c r="B3240" s="1" t="n">
        <v>45096</v>
      </c>
      <c r="C3240" s="1" t="n">
        <v>45724</v>
      </c>
      <c r="D3240" t="inlineStr">
        <is>
          <t>VÄSTMANLANDS LÄN</t>
        </is>
      </c>
      <c r="E3240" t="inlineStr">
        <is>
          <t>KÖPING</t>
        </is>
      </c>
      <c r="G3240" t="n">
        <v>4.7</v>
      </c>
      <c r="H3240" t="n">
        <v>0</v>
      </c>
      <c r="I3240" t="n">
        <v>0</v>
      </c>
      <c r="J3240" t="n">
        <v>0</v>
      </c>
      <c r="K3240" t="n">
        <v>0</v>
      </c>
      <c r="L3240" t="n">
        <v>0</v>
      </c>
      <c r="M3240" t="n">
        <v>0</v>
      </c>
      <c r="N3240" t="n">
        <v>0</v>
      </c>
      <c r="O3240" t="n">
        <v>0</v>
      </c>
      <c r="P3240" t="n">
        <v>0</v>
      </c>
      <c r="Q3240" t="n">
        <v>0</v>
      </c>
      <c r="R3240" s="2" t="inlineStr"/>
    </row>
    <row r="3241" ht="15" customHeight="1">
      <c r="A3241" t="inlineStr">
        <is>
          <t>A 27329-2023</t>
        </is>
      </c>
      <c r="B3241" s="1" t="n">
        <v>45096</v>
      </c>
      <c r="C3241" s="1" t="n">
        <v>45724</v>
      </c>
      <c r="D3241" t="inlineStr">
        <is>
          <t>VÄSTMANLANDS LÄN</t>
        </is>
      </c>
      <c r="E3241" t="inlineStr">
        <is>
          <t>SKINNSKATTEBERG</t>
        </is>
      </c>
      <c r="F3241" t="inlineStr">
        <is>
          <t>Sveaskog</t>
        </is>
      </c>
      <c r="G3241" t="n">
        <v>1.6</v>
      </c>
      <c r="H3241" t="n">
        <v>0</v>
      </c>
      <c r="I3241" t="n">
        <v>0</v>
      </c>
      <c r="J3241" t="n">
        <v>0</v>
      </c>
      <c r="K3241" t="n">
        <v>0</v>
      </c>
      <c r="L3241" t="n">
        <v>0</v>
      </c>
      <c r="M3241" t="n">
        <v>0</v>
      </c>
      <c r="N3241" t="n">
        <v>0</v>
      </c>
      <c r="O3241" t="n">
        <v>0</v>
      </c>
      <c r="P3241" t="n">
        <v>0</v>
      </c>
      <c r="Q3241" t="n">
        <v>0</v>
      </c>
      <c r="R3241" s="2" t="inlineStr"/>
    </row>
    <row r="3242" ht="15" customHeight="1">
      <c r="A3242" t="inlineStr">
        <is>
          <t>A 27309-2023</t>
        </is>
      </c>
      <c r="B3242" s="1" t="n">
        <v>45096</v>
      </c>
      <c r="C3242" s="1" t="n">
        <v>45724</v>
      </c>
      <c r="D3242" t="inlineStr">
        <is>
          <t>VÄSTMANLANDS LÄN</t>
        </is>
      </c>
      <c r="E3242" t="inlineStr">
        <is>
          <t>VÄSTERÅS</t>
        </is>
      </c>
      <c r="G3242" t="n">
        <v>1.5</v>
      </c>
      <c r="H3242" t="n">
        <v>0</v>
      </c>
      <c r="I3242" t="n">
        <v>0</v>
      </c>
      <c r="J3242" t="n">
        <v>0</v>
      </c>
      <c r="K3242" t="n">
        <v>0</v>
      </c>
      <c r="L3242" t="n">
        <v>0</v>
      </c>
      <c r="M3242" t="n">
        <v>0</v>
      </c>
      <c r="N3242" t="n">
        <v>0</v>
      </c>
      <c r="O3242" t="n">
        <v>0</v>
      </c>
      <c r="P3242" t="n">
        <v>0</v>
      </c>
      <c r="Q3242" t="n">
        <v>0</v>
      </c>
      <c r="R3242" s="2" t="inlineStr"/>
    </row>
    <row r="3243" ht="15" customHeight="1">
      <c r="A3243" t="inlineStr">
        <is>
          <t>A 27328-2023</t>
        </is>
      </c>
      <c r="B3243" s="1" t="n">
        <v>45096</v>
      </c>
      <c r="C3243" s="1" t="n">
        <v>45724</v>
      </c>
      <c r="D3243" t="inlineStr">
        <is>
          <t>VÄSTMANLANDS LÄN</t>
        </is>
      </c>
      <c r="E3243" t="inlineStr">
        <is>
          <t>SKINNSKATTEBERG</t>
        </is>
      </c>
      <c r="F3243" t="inlineStr">
        <is>
          <t>Sveaskog</t>
        </is>
      </c>
      <c r="G3243" t="n">
        <v>1.8</v>
      </c>
      <c r="H3243" t="n">
        <v>0</v>
      </c>
      <c r="I3243" t="n">
        <v>0</v>
      </c>
      <c r="J3243" t="n">
        <v>0</v>
      </c>
      <c r="K3243" t="n">
        <v>0</v>
      </c>
      <c r="L3243" t="n">
        <v>0</v>
      </c>
      <c r="M3243" t="n">
        <v>0</v>
      </c>
      <c r="N3243" t="n">
        <v>0</v>
      </c>
      <c r="O3243" t="n">
        <v>0</v>
      </c>
      <c r="P3243" t="n">
        <v>0</v>
      </c>
      <c r="Q3243" t="n">
        <v>0</v>
      </c>
      <c r="R3243" s="2" t="inlineStr"/>
    </row>
    <row r="3244" ht="15" customHeight="1">
      <c r="A3244" t="inlineStr">
        <is>
          <t>A 27326-2023</t>
        </is>
      </c>
      <c r="B3244" s="1" t="n">
        <v>45096</v>
      </c>
      <c r="C3244" s="1" t="n">
        <v>45724</v>
      </c>
      <c r="D3244" t="inlineStr">
        <is>
          <t>VÄSTMANLANDS LÄN</t>
        </is>
      </c>
      <c r="E3244" t="inlineStr">
        <is>
          <t>SKINNSKATTEBERG</t>
        </is>
      </c>
      <c r="F3244" t="inlineStr">
        <is>
          <t>Sveaskog</t>
        </is>
      </c>
      <c r="G3244" t="n">
        <v>0.5</v>
      </c>
      <c r="H3244" t="n">
        <v>0</v>
      </c>
      <c r="I3244" t="n">
        <v>0</v>
      </c>
      <c r="J3244" t="n">
        <v>0</v>
      </c>
      <c r="K3244" t="n">
        <v>0</v>
      </c>
      <c r="L3244" t="n">
        <v>0</v>
      </c>
      <c r="M3244" t="n">
        <v>0</v>
      </c>
      <c r="N3244" t="n">
        <v>0</v>
      </c>
      <c r="O3244" t="n">
        <v>0</v>
      </c>
      <c r="P3244" t="n">
        <v>0</v>
      </c>
      <c r="Q3244" t="n">
        <v>0</v>
      </c>
      <c r="R3244" s="2" t="inlineStr"/>
    </row>
    <row r="3245" ht="15" customHeight="1">
      <c r="A3245" t="inlineStr">
        <is>
          <t>A 27424-2023</t>
        </is>
      </c>
      <c r="B3245" s="1" t="n">
        <v>45097</v>
      </c>
      <c r="C3245" s="1" t="n">
        <v>45724</v>
      </c>
      <c r="D3245" t="inlineStr">
        <is>
          <t>VÄSTMANLANDS LÄN</t>
        </is>
      </c>
      <c r="E3245" t="inlineStr">
        <is>
          <t>SALA</t>
        </is>
      </c>
      <c r="G3245" t="n">
        <v>0.7</v>
      </c>
      <c r="H3245" t="n">
        <v>0</v>
      </c>
      <c r="I3245" t="n">
        <v>0</v>
      </c>
      <c r="J3245" t="n">
        <v>0</v>
      </c>
      <c r="K3245" t="n">
        <v>0</v>
      </c>
      <c r="L3245" t="n">
        <v>0</v>
      </c>
      <c r="M3245" t="n">
        <v>0</v>
      </c>
      <c r="N3245" t="n">
        <v>0</v>
      </c>
      <c r="O3245" t="n">
        <v>0</v>
      </c>
      <c r="P3245" t="n">
        <v>0</v>
      </c>
      <c r="Q3245" t="n">
        <v>0</v>
      </c>
      <c r="R3245" s="2" t="inlineStr"/>
    </row>
    <row r="3246" ht="15" customHeight="1">
      <c r="A3246" t="inlineStr">
        <is>
          <t>A 27638-2023</t>
        </is>
      </c>
      <c r="B3246" s="1" t="n">
        <v>45097</v>
      </c>
      <c r="C3246" s="1" t="n">
        <v>45724</v>
      </c>
      <c r="D3246" t="inlineStr">
        <is>
          <t>VÄSTMANLANDS LÄN</t>
        </is>
      </c>
      <c r="E3246" t="inlineStr">
        <is>
          <t>SALA</t>
        </is>
      </c>
      <c r="G3246" t="n">
        <v>8.4</v>
      </c>
      <c r="H3246" t="n">
        <v>0</v>
      </c>
      <c r="I3246" t="n">
        <v>0</v>
      </c>
      <c r="J3246" t="n">
        <v>0</v>
      </c>
      <c r="K3246" t="n">
        <v>0</v>
      </c>
      <c r="L3246" t="n">
        <v>0</v>
      </c>
      <c r="M3246" t="n">
        <v>0</v>
      </c>
      <c r="N3246" t="n">
        <v>0</v>
      </c>
      <c r="O3246" t="n">
        <v>0</v>
      </c>
      <c r="P3246" t="n">
        <v>0</v>
      </c>
      <c r="Q3246" t="n">
        <v>0</v>
      </c>
      <c r="R3246" s="2" t="inlineStr"/>
    </row>
    <row r="3247" ht="15" customHeight="1">
      <c r="A3247" t="inlineStr">
        <is>
          <t>A 27657-2023</t>
        </is>
      </c>
      <c r="B3247" s="1" t="n">
        <v>45097</v>
      </c>
      <c r="C3247" s="1" t="n">
        <v>45724</v>
      </c>
      <c r="D3247" t="inlineStr">
        <is>
          <t>VÄSTMANLANDS LÄN</t>
        </is>
      </c>
      <c r="E3247" t="inlineStr">
        <is>
          <t>SALA</t>
        </is>
      </c>
      <c r="G3247" t="n">
        <v>0.1</v>
      </c>
      <c r="H3247" t="n">
        <v>0</v>
      </c>
      <c r="I3247" t="n">
        <v>0</v>
      </c>
      <c r="J3247" t="n">
        <v>0</v>
      </c>
      <c r="K3247" t="n">
        <v>0</v>
      </c>
      <c r="L3247" t="n">
        <v>0</v>
      </c>
      <c r="M3247" t="n">
        <v>0</v>
      </c>
      <c r="N3247" t="n">
        <v>0</v>
      </c>
      <c r="O3247" t="n">
        <v>0</v>
      </c>
      <c r="P3247" t="n">
        <v>0</v>
      </c>
      <c r="Q3247" t="n">
        <v>0</v>
      </c>
      <c r="R3247" s="2" t="inlineStr"/>
    </row>
    <row r="3248" ht="15" customHeight="1">
      <c r="A3248" t="inlineStr">
        <is>
          <t>A 27653-2023</t>
        </is>
      </c>
      <c r="B3248" s="1" t="n">
        <v>45097</v>
      </c>
      <c r="C3248" s="1" t="n">
        <v>45724</v>
      </c>
      <c r="D3248" t="inlineStr">
        <is>
          <t>VÄSTMANLANDS LÄN</t>
        </is>
      </c>
      <c r="E3248" t="inlineStr">
        <is>
          <t>SKINNSKATTEBERG</t>
        </is>
      </c>
      <c r="G3248" t="n">
        <v>1.5</v>
      </c>
      <c r="H3248" t="n">
        <v>0</v>
      </c>
      <c r="I3248" t="n">
        <v>0</v>
      </c>
      <c r="J3248" t="n">
        <v>0</v>
      </c>
      <c r="K3248" t="n">
        <v>0</v>
      </c>
      <c r="L3248" t="n">
        <v>0</v>
      </c>
      <c r="M3248" t="n">
        <v>0</v>
      </c>
      <c r="N3248" t="n">
        <v>0</v>
      </c>
      <c r="O3248" t="n">
        <v>0</v>
      </c>
      <c r="P3248" t="n">
        <v>0</v>
      </c>
      <c r="Q3248" t="n">
        <v>0</v>
      </c>
      <c r="R3248" s="2" t="inlineStr"/>
    </row>
    <row r="3249" ht="15" customHeight="1">
      <c r="A3249" t="inlineStr">
        <is>
          <t>A 27747-2023</t>
        </is>
      </c>
      <c r="B3249" s="1" t="n">
        <v>45098</v>
      </c>
      <c r="C3249" s="1" t="n">
        <v>45724</v>
      </c>
      <c r="D3249" t="inlineStr">
        <is>
          <t>VÄSTMANLANDS LÄN</t>
        </is>
      </c>
      <c r="E3249" t="inlineStr">
        <is>
          <t>FAGERSTA</t>
        </is>
      </c>
      <c r="G3249" t="n">
        <v>4.7</v>
      </c>
      <c r="H3249" t="n">
        <v>0</v>
      </c>
      <c r="I3249" t="n">
        <v>0</v>
      </c>
      <c r="J3249" t="n">
        <v>0</v>
      </c>
      <c r="K3249" t="n">
        <v>0</v>
      </c>
      <c r="L3249" t="n">
        <v>0</v>
      </c>
      <c r="M3249" t="n">
        <v>0</v>
      </c>
      <c r="N3249" t="n">
        <v>0</v>
      </c>
      <c r="O3249" t="n">
        <v>0</v>
      </c>
      <c r="P3249" t="n">
        <v>0</v>
      </c>
      <c r="Q3249" t="n">
        <v>0</v>
      </c>
      <c r="R3249" s="2" t="inlineStr"/>
    </row>
    <row r="3250" ht="15" customHeight="1">
      <c r="A3250" t="inlineStr">
        <is>
          <t>A 27731-2023</t>
        </is>
      </c>
      <c r="B3250" s="1" t="n">
        <v>45098</v>
      </c>
      <c r="C3250" s="1" t="n">
        <v>45724</v>
      </c>
      <c r="D3250" t="inlineStr">
        <is>
          <t>VÄSTMANLANDS LÄN</t>
        </is>
      </c>
      <c r="E3250" t="inlineStr">
        <is>
          <t>FAGERSTA</t>
        </is>
      </c>
      <c r="G3250" t="n">
        <v>1.5</v>
      </c>
      <c r="H3250" t="n">
        <v>0</v>
      </c>
      <c r="I3250" t="n">
        <v>0</v>
      </c>
      <c r="J3250" t="n">
        <v>0</v>
      </c>
      <c r="K3250" t="n">
        <v>0</v>
      </c>
      <c r="L3250" t="n">
        <v>0</v>
      </c>
      <c r="M3250" t="n">
        <v>0</v>
      </c>
      <c r="N3250" t="n">
        <v>0</v>
      </c>
      <c r="O3250" t="n">
        <v>0</v>
      </c>
      <c r="P3250" t="n">
        <v>0</v>
      </c>
      <c r="Q3250" t="n">
        <v>0</v>
      </c>
      <c r="R3250" s="2" t="inlineStr"/>
    </row>
    <row r="3251" ht="15" customHeight="1">
      <c r="A3251" t="inlineStr">
        <is>
          <t>A 27744-2023</t>
        </is>
      </c>
      <c r="B3251" s="1" t="n">
        <v>45098</v>
      </c>
      <c r="C3251" s="1" t="n">
        <v>45724</v>
      </c>
      <c r="D3251" t="inlineStr">
        <is>
          <t>VÄSTMANLANDS LÄN</t>
        </is>
      </c>
      <c r="E3251" t="inlineStr">
        <is>
          <t>SALA</t>
        </is>
      </c>
      <c r="G3251" t="n">
        <v>5.7</v>
      </c>
      <c r="H3251" t="n">
        <v>0</v>
      </c>
      <c r="I3251" t="n">
        <v>0</v>
      </c>
      <c r="J3251" t="n">
        <v>0</v>
      </c>
      <c r="K3251" t="n">
        <v>0</v>
      </c>
      <c r="L3251" t="n">
        <v>0</v>
      </c>
      <c r="M3251" t="n">
        <v>0</v>
      </c>
      <c r="N3251" t="n">
        <v>0</v>
      </c>
      <c r="O3251" t="n">
        <v>0</v>
      </c>
      <c r="P3251" t="n">
        <v>0</v>
      </c>
      <c r="Q3251" t="n">
        <v>0</v>
      </c>
      <c r="R3251" s="2" t="inlineStr"/>
    </row>
    <row r="3252" ht="15" customHeight="1">
      <c r="A3252" t="inlineStr">
        <is>
          <t>A 27783-2023</t>
        </is>
      </c>
      <c r="B3252" s="1" t="n">
        <v>45098</v>
      </c>
      <c r="C3252" s="1" t="n">
        <v>45724</v>
      </c>
      <c r="D3252" t="inlineStr">
        <is>
          <t>VÄSTMANLANDS LÄN</t>
        </is>
      </c>
      <c r="E3252" t="inlineStr">
        <is>
          <t>SKINNSKATTEBERG</t>
        </is>
      </c>
      <c r="G3252" t="n">
        <v>9.699999999999999</v>
      </c>
      <c r="H3252" t="n">
        <v>0</v>
      </c>
      <c r="I3252" t="n">
        <v>0</v>
      </c>
      <c r="J3252" t="n">
        <v>0</v>
      </c>
      <c r="K3252" t="n">
        <v>0</v>
      </c>
      <c r="L3252" t="n">
        <v>0</v>
      </c>
      <c r="M3252" t="n">
        <v>0</v>
      </c>
      <c r="N3252" t="n">
        <v>0</v>
      </c>
      <c r="O3252" t="n">
        <v>0</v>
      </c>
      <c r="P3252" t="n">
        <v>0</v>
      </c>
      <c r="Q3252" t="n">
        <v>0</v>
      </c>
      <c r="R3252" s="2" t="inlineStr"/>
    </row>
    <row r="3253" ht="15" customHeight="1">
      <c r="A3253" t="inlineStr">
        <is>
          <t>A 27834-2023</t>
        </is>
      </c>
      <c r="B3253" s="1" t="n">
        <v>45098</v>
      </c>
      <c r="C3253" s="1" t="n">
        <v>45724</v>
      </c>
      <c r="D3253" t="inlineStr">
        <is>
          <t>VÄSTMANLANDS LÄN</t>
        </is>
      </c>
      <c r="E3253" t="inlineStr">
        <is>
          <t>SALA</t>
        </is>
      </c>
      <c r="G3253" t="n">
        <v>5</v>
      </c>
      <c r="H3253" t="n">
        <v>0</v>
      </c>
      <c r="I3253" t="n">
        <v>0</v>
      </c>
      <c r="J3253" t="n">
        <v>0</v>
      </c>
      <c r="K3253" t="n">
        <v>0</v>
      </c>
      <c r="L3253" t="n">
        <v>0</v>
      </c>
      <c r="M3253" t="n">
        <v>0</v>
      </c>
      <c r="N3253" t="n">
        <v>0</v>
      </c>
      <c r="O3253" t="n">
        <v>0</v>
      </c>
      <c r="P3253" t="n">
        <v>0</v>
      </c>
      <c r="Q3253" t="n">
        <v>0</v>
      </c>
      <c r="R3253" s="2" t="inlineStr"/>
    </row>
    <row r="3254" ht="15" customHeight="1">
      <c r="A3254" t="inlineStr">
        <is>
          <t>A 27824-2023</t>
        </is>
      </c>
      <c r="B3254" s="1" t="n">
        <v>45098</v>
      </c>
      <c r="C3254" s="1" t="n">
        <v>45724</v>
      </c>
      <c r="D3254" t="inlineStr">
        <is>
          <t>VÄSTMANLANDS LÄN</t>
        </is>
      </c>
      <c r="E3254" t="inlineStr">
        <is>
          <t>SALA</t>
        </is>
      </c>
      <c r="G3254" t="n">
        <v>5.3</v>
      </c>
      <c r="H3254" t="n">
        <v>0</v>
      </c>
      <c r="I3254" t="n">
        <v>0</v>
      </c>
      <c r="J3254" t="n">
        <v>0</v>
      </c>
      <c r="K3254" t="n">
        <v>0</v>
      </c>
      <c r="L3254" t="n">
        <v>0</v>
      </c>
      <c r="M3254" t="n">
        <v>0</v>
      </c>
      <c r="N3254" t="n">
        <v>0</v>
      </c>
      <c r="O3254" t="n">
        <v>0</v>
      </c>
      <c r="P3254" t="n">
        <v>0</v>
      </c>
      <c r="Q3254" t="n">
        <v>0</v>
      </c>
      <c r="R3254" s="2" t="inlineStr"/>
    </row>
    <row r="3255" ht="15" customHeight="1">
      <c r="A3255" t="inlineStr">
        <is>
          <t>A 27891-2023</t>
        </is>
      </c>
      <c r="B3255" s="1" t="n">
        <v>45098</v>
      </c>
      <c r="C3255" s="1" t="n">
        <v>45724</v>
      </c>
      <c r="D3255" t="inlineStr">
        <is>
          <t>VÄSTMANLANDS LÄN</t>
        </is>
      </c>
      <c r="E3255" t="inlineStr">
        <is>
          <t>KÖPING</t>
        </is>
      </c>
      <c r="G3255" t="n">
        <v>4.5</v>
      </c>
      <c r="H3255" t="n">
        <v>0</v>
      </c>
      <c r="I3255" t="n">
        <v>0</v>
      </c>
      <c r="J3255" t="n">
        <v>0</v>
      </c>
      <c r="K3255" t="n">
        <v>0</v>
      </c>
      <c r="L3255" t="n">
        <v>0</v>
      </c>
      <c r="M3255" t="n">
        <v>0</v>
      </c>
      <c r="N3255" t="n">
        <v>0</v>
      </c>
      <c r="O3255" t="n">
        <v>0</v>
      </c>
      <c r="P3255" t="n">
        <v>0</v>
      </c>
      <c r="Q3255" t="n">
        <v>0</v>
      </c>
      <c r="R3255" s="2" t="inlineStr"/>
    </row>
    <row r="3256" ht="15" customHeight="1">
      <c r="A3256" t="inlineStr">
        <is>
          <t>A 27737-2023</t>
        </is>
      </c>
      <c r="B3256" s="1" t="n">
        <v>45098</v>
      </c>
      <c r="C3256" s="1" t="n">
        <v>45724</v>
      </c>
      <c r="D3256" t="inlineStr">
        <is>
          <t>VÄSTMANLANDS LÄN</t>
        </is>
      </c>
      <c r="E3256" t="inlineStr">
        <is>
          <t>FAGERSTA</t>
        </is>
      </c>
      <c r="G3256" t="n">
        <v>4.7</v>
      </c>
      <c r="H3256" t="n">
        <v>0</v>
      </c>
      <c r="I3256" t="n">
        <v>0</v>
      </c>
      <c r="J3256" t="n">
        <v>0</v>
      </c>
      <c r="K3256" t="n">
        <v>0</v>
      </c>
      <c r="L3256" t="n">
        <v>0</v>
      </c>
      <c r="M3256" t="n">
        <v>0</v>
      </c>
      <c r="N3256" t="n">
        <v>0</v>
      </c>
      <c r="O3256" t="n">
        <v>0</v>
      </c>
      <c r="P3256" t="n">
        <v>0</v>
      </c>
      <c r="Q3256" t="n">
        <v>0</v>
      </c>
      <c r="R3256" s="2" t="inlineStr"/>
    </row>
    <row r="3257" ht="15" customHeight="1">
      <c r="A3257" t="inlineStr">
        <is>
          <t>A 27741-2023</t>
        </is>
      </c>
      <c r="B3257" s="1" t="n">
        <v>45098</v>
      </c>
      <c r="C3257" s="1" t="n">
        <v>45724</v>
      </c>
      <c r="D3257" t="inlineStr">
        <is>
          <t>VÄSTMANLANDS LÄN</t>
        </is>
      </c>
      <c r="E3257" t="inlineStr">
        <is>
          <t>VÄSTERÅS</t>
        </is>
      </c>
      <c r="G3257" t="n">
        <v>1.1</v>
      </c>
      <c r="H3257" t="n">
        <v>0</v>
      </c>
      <c r="I3257" t="n">
        <v>0</v>
      </c>
      <c r="J3257" t="n">
        <v>0</v>
      </c>
      <c r="K3257" t="n">
        <v>0</v>
      </c>
      <c r="L3257" t="n">
        <v>0</v>
      </c>
      <c r="M3257" t="n">
        <v>0</v>
      </c>
      <c r="N3257" t="n">
        <v>0</v>
      </c>
      <c r="O3257" t="n">
        <v>0</v>
      </c>
      <c r="P3257" t="n">
        <v>0</v>
      </c>
      <c r="Q3257" t="n">
        <v>0</v>
      </c>
      <c r="R3257" s="2" t="inlineStr"/>
    </row>
    <row r="3258" ht="15" customHeight="1">
      <c r="A3258" t="inlineStr">
        <is>
          <t>A 27749-2023</t>
        </is>
      </c>
      <c r="B3258" s="1" t="n">
        <v>45098</v>
      </c>
      <c r="C3258" s="1" t="n">
        <v>45724</v>
      </c>
      <c r="D3258" t="inlineStr">
        <is>
          <t>VÄSTMANLANDS LÄN</t>
        </is>
      </c>
      <c r="E3258" t="inlineStr">
        <is>
          <t>SALA</t>
        </is>
      </c>
      <c r="G3258" t="n">
        <v>2.1</v>
      </c>
      <c r="H3258" t="n">
        <v>0</v>
      </c>
      <c r="I3258" t="n">
        <v>0</v>
      </c>
      <c r="J3258" t="n">
        <v>0</v>
      </c>
      <c r="K3258" t="n">
        <v>0</v>
      </c>
      <c r="L3258" t="n">
        <v>0</v>
      </c>
      <c r="M3258" t="n">
        <v>0</v>
      </c>
      <c r="N3258" t="n">
        <v>0</v>
      </c>
      <c r="O3258" t="n">
        <v>0</v>
      </c>
      <c r="P3258" t="n">
        <v>0</v>
      </c>
      <c r="Q3258" t="n">
        <v>0</v>
      </c>
      <c r="R3258" s="2" t="inlineStr"/>
    </row>
    <row r="3259" ht="15" customHeight="1">
      <c r="A3259" t="inlineStr">
        <is>
          <t>A 29542-2023</t>
        </is>
      </c>
      <c r="B3259" s="1" t="n">
        <v>45098</v>
      </c>
      <c r="C3259" s="1" t="n">
        <v>45724</v>
      </c>
      <c r="D3259" t="inlineStr">
        <is>
          <t>VÄSTMANLANDS LÄN</t>
        </is>
      </c>
      <c r="E3259" t="inlineStr">
        <is>
          <t>SALA</t>
        </is>
      </c>
      <c r="G3259" t="n">
        <v>4.8</v>
      </c>
      <c r="H3259" t="n">
        <v>0</v>
      </c>
      <c r="I3259" t="n">
        <v>0</v>
      </c>
      <c r="J3259" t="n">
        <v>0</v>
      </c>
      <c r="K3259" t="n">
        <v>0</v>
      </c>
      <c r="L3259" t="n">
        <v>0</v>
      </c>
      <c r="M3259" t="n">
        <v>0</v>
      </c>
      <c r="N3259" t="n">
        <v>0</v>
      </c>
      <c r="O3259" t="n">
        <v>0</v>
      </c>
      <c r="P3259" t="n">
        <v>0</v>
      </c>
      <c r="Q3259" t="n">
        <v>0</v>
      </c>
      <c r="R3259" s="2" t="inlineStr"/>
    </row>
    <row r="3260" ht="15" customHeight="1">
      <c r="A3260" t="inlineStr">
        <is>
          <t>A 28051-2023</t>
        </is>
      </c>
      <c r="B3260" s="1" t="n">
        <v>45099</v>
      </c>
      <c r="C3260" s="1" t="n">
        <v>45724</v>
      </c>
      <c r="D3260" t="inlineStr">
        <is>
          <t>VÄSTMANLANDS LÄN</t>
        </is>
      </c>
      <c r="E3260" t="inlineStr">
        <is>
          <t>SURAHAMMAR</t>
        </is>
      </c>
      <c r="F3260" t="inlineStr">
        <is>
          <t>Allmännings- och besparingsskogar</t>
        </is>
      </c>
      <c r="G3260" t="n">
        <v>23.3</v>
      </c>
      <c r="H3260" t="n">
        <v>0</v>
      </c>
      <c r="I3260" t="n">
        <v>0</v>
      </c>
      <c r="J3260" t="n">
        <v>0</v>
      </c>
      <c r="K3260" t="n">
        <v>0</v>
      </c>
      <c r="L3260" t="n">
        <v>0</v>
      </c>
      <c r="M3260" t="n">
        <v>0</v>
      </c>
      <c r="N3260" t="n">
        <v>0</v>
      </c>
      <c r="O3260" t="n">
        <v>0</v>
      </c>
      <c r="P3260" t="n">
        <v>0</v>
      </c>
      <c r="Q3260" t="n">
        <v>0</v>
      </c>
      <c r="R3260" s="2" t="inlineStr"/>
    </row>
    <row r="3261" ht="15" customHeight="1">
      <c r="A3261" t="inlineStr">
        <is>
          <t>A 28230-2023</t>
        </is>
      </c>
      <c r="B3261" s="1" t="n">
        <v>45099</v>
      </c>
      <c r="C3261" s="1" t="n">
        <v>45724</v>
      </c>
      <c r="D3261" t="inlineStr">
        <is>
          <t>VÄSTMANLANDS LÄN</t>
        </is>
      </c>
      <c r="E3261" t="inlineStr">
        <is>
          <t>KÖPING</t>
        </is>
      </c>
      <c r="G3261" t="n">
        <v>6.7</v>
      </c>
      <c r="H3261" t="n">
        <v>0</v>
      </c>
      <c r="I3261" t="n">
        <v>0</v>
      </c>
      <c r="J3261" t="n">
        <v>0</v>
      </c>
      <c r="K3261" t="n">
        <v>0</v>
      </c>
      <c r="L3261" t="n">
        <v>0</v>
      </c>
      <c r="M3261" t="n">
        <v>0</v>
      </c>
      <c r="N3261" t="n">
        <v>0</v>
      </c>
      <c r="O3261" t="n">
        <v>0</v>
      </c>
      <c r="P3261" t="n">
        <v>0</v>
      </c>
      <c r="Q3261" t="n">
        <v>0</v>
      </c>
      <c r="R3261" s="2" t="inlineStr"/>
    </row>
    <row r="3262" ht="15" customHeight="1">
      <c r="A3262" t="inlineStr">
        <is>
          <t>A 28237-2023</t>
        </is>
      </c>
      <c r="B3262" s="1" t="n">
        <v>45099</v>
      </c>
      <c r="C3262" s="1" t="n">
        <v>45724</v>
      </c>
      <c r="D3262" t="inlineStr">
        <is>
          <t>VÄSTMANLANDS LÄN</t>
        </is>
      </c>
      <c r="E3262" t="inlineStr">
        <is>
          <t>KÖPING</t>
        </is>
      </c>
      <c r="G3262" t="n">
        <v>0.8</v>
      </c>
      <c r="H3262" t="n">
        <v>0</v>
      </c>
      <c r="I3262" t="n">
        <v>0</v>
      </c>
      <c r="J3262" t="n">
        <v>0</v>
      </c>
      <c r="K3262" t="n">
        <v>0</v>
      </c>
      <c r="L3262" t="n">
        <v>0</v>
      </c>
      <c r="M3262" t="n">
        <v>0</v>
      </c>
      <c r="N3262" t="n">
        <v>0</v>
      </c>
      <c r="O3262" t="n">
        <v>0</v>
      </c>
      <c r="P3262" t="n">
        <v>0</v>
      </c>
      <c r="Q3262" t="n">
        <v>0</v>
      </c>
      <c r="R3262" s="2" t="inlineStr"/>
    </row>
    <row r="3263" ht="15" customHeight="1">
      <c r="A3263" t="inlineStr">
        <is>
          <t>A 28324-2023</t>
        </is>
      </c>
      <c r="B3263" s="1" t="n">
        <v>45099</v>
      </c>
      <c r="C3263" s="1" t="n">
        <v>45724</v>
      </c>
      <c r="D3263" t="inlineStr">
        <is>
          <t>VÄSTMANLANDS LÄN</t>
        </is>
      </c>
      <c r="E3263" t="inlineStr">
        <is>
          <t>VÄSTERÅS</t>
        </is>
      </c>
      <c r="F3263" t="inlineStr">
        <is>
          <t>Sveaskog</t>
        </is>
      </c>
      <c r="G3263" t="n">
        <v>8.5</v>
      </c>
      <c r="H3263" t="n">
        <v>0</v>
      </c>
      <c r="I3263" t="n">
        <v>0</v>
      </c>
      <c r="J3263" t="n">
        <v>0</v>
      </c>
      <c r="K3263" t="n">
        <v>0</v>
      </c>
      <c r="L3263" t="n">
        <v>0</v>
      </c>
      <c r="M3263" t="n">
        <v>0</v>
      </c>
      <c r="N3263" t="n">
        <v>0</v>
      </c>
      <c r="O3263" t="n">
        <v>0</v>
      </c>
      <c r="P3263" t="n">
        <v>0</v>
      </c>
      <c r="Q3263" t="n">
        <v>0</v>
      </c>
      <c r="R3263" s="2" t="inlineStr"/>
    </row>
    <row r="3264" ht="15" customHeight="1">
      <c r="A3264" t="inlineStr">
        <is>
          <t>A 28312-2023</t>
        </is>
      </c>
      <c r="B3264" s="1" t="n">
        <v>45099</v>
      </c>
      <c r="C3264" s="1" t="n">
        <v>45724</v>
      </c>
      <c r="D3264" t="inlineStr">
        <is>
          <t>VÄSTMANLANDS LÄN</t>
        </is>
      </c>
      <c r="E3264" t="inlineStr">
        <is>
          <t>SKINNSKATTEBERG</t>
        </is>
      </c>
      <c r="F3264" t="inlineStr">
        <is>
          <t>Sveaskog</t>
        </is>
      </c>
      <c r="G3264" t="n">
        <v>2.8</v>
      </c>
      <c r="H3264" t="n">
        <v>0</v>
      </c>
      <c r="I3264" t="n">
        <v>0</v>
      </c>
      <c r="J3264" t="n">
        <v>0</v>
      </c>
      <c r="K3264" t="n">
        <v>0</v>
      </c>
      <c r="L3264" t="n">
        <v>0</v>
      </c>
      <c r="M3264" t="n">
        <v>0</v>
      </c>
      <c r="N3264" t="n">
        <v>0</v>
      </c>
      <c r="O3264" t="n">
        <v>0</v>
      </c>
      <c r="P3264" t="n">
        <v>0</v>
      </c>
      <c r="Q3264" t="n">
        <v>0</v>
      </c>
      <c r="R3264" s="2" t="inlineStr"/>
    </row>
    <row r="3265" ht="15" customHeight="1">
      <c r="A3265" t="inlineStr">
        <is>
          <t>A 28325-2023</t>
        </is>
      </c>
      <c r="B3265" s="1" t="n">
        <v>45099</v>
      </c>
      <c r="C3265" s="1" t="n">
        <v>45724</v>
      </c>
      <c r="D3265" t="inlineStr">
        <is>
          <t>VÄSTMANLANDS LÄN</t>
        </is>
      </c>
      <c r="E3265" t="inlineStr">
        <is>
          <t>VÄSTERÅS</t>
        </is>
      </c>
      <c r="F3265" t="inlineStr">
        <is>
          <t>Sveaskog</t>
        </is>
      </c>
      <c r="G3265" t="n">
        <v>1.6</v>
      </c>
      <c r="H3265" t="n">
        <v>0</v>
      </c>
      <c r="I3265" t="n">
        <v>0</v>
      </c>
      <c r="J3265" t="n">
        <v>0</v>
      </c>
      <c r="K3265" t="n">
        <v>0</v>
      </c>
      <c r="L3265" t="n">
        <v>0</v>
      </c>
      <c r="M3265" t="n">
        <v>0</v>
      </c>
      <c r="N3265" t="n">
        <v>0</v>
      </c>
      <c r="O3265" t="n">
        <v>0</v>
      </c>
      <c r="P3265" t="n">
        <v>0</v>
      </c>
      <c r="Q3265" t="n">
        <v>0</v>
      </c>
      <c r="R3265" s="2" t="inlineStr"/>
    </row>
    <row r="3266" ht="15" customHeight="1">
      <c r="A3266" t="inlineStr">
        <is>
          <t>A 28328-2023</t>
        </is>
      </c>
      <c r="B3266" s="1" t="n">
        <v>45099</v>
      </c>
      <c r="C3266" s="1" t="n">
        <v>45724</v>
      </c>
      <c r="D3266" t="inlineStr">
        <is>
          <t>VÄSTMANLANDS LÄN</t>
        </is>
      </c>
      <c r="E3266" t="inlineStr">
        <is>
          <t>SALA</t>
        </is>
      </c>
      <c r="G3266" t="n">
        <v>1.8</v>
      </c>
      <c r="H3266" t="n">
        <v>0</v>
      </c>
      <c r="I3266" t="n">
        <v>0</v>
      </c>
      <c r="J3266" t="n">
        <v>0</v>
      </c>
      <c r="K3266" t="n">
        <v>0</v>
      </c>
      <c r="L3266" t="n">
        <v>0</v>
      </c>
      <c r="M3266" t="n">
        <v>0</v>
      </c>
      <c r="N3266" t="n">
        <v>0</v>
      </c>
      <c r="O3266" t="n">
        <v>0</v>
      </c>
      <c r="P3266" t="n">
        <v>0</v>
      </c>
      <c r="Q3266" t="n">
        <v>0</v>
      </c>
      <c r="R3266" s="2" t="inlineStr"/>
    </row>
    <row r="3267" ht="15" customHeight="1">
      <c r="A3267" t="inlineStr">
        <is>
          <t>A 28308-2023</t>
        </is>
      </c>
      <c r="B3267" s="1" t="n">
        <v>45099</v>
      </c>
      <c r="C3267" s="1" t="n">
        <v>45724</v>
      </c>
      <c r="D3267" t="inlineStr">
        <is>
          <t>VÄSTMANLANDS LÄN</t>
        </is>
      </c>
      <c r="E3267" t="inlineStr">
        <is>
          <t>SKINNSKATTEBERG</t>
        </is>
      </c>
      <c r="F3267" t="inlineStr">
        <is>
          <t>Sveaskog</t>
        </is>
      </c>
      <c r="G3267" t="n">
        <v>6</v>
      </c>
      <c r="H3267" t="n">
        <v>0</v>
      </c>
      <c r="I3267" t="n">
        <v>0</v>
      </c>
      <c r="J3267" t="n">
        <v>0</v>
      </c>
      <c r="K3267" t="n">
        <v>0</v>
      </c>
      <c r="L3267" t="n">
        <v>0</v>
      </c>
      <c r="M3267" t="n">
        <v>0</v>
      </c>
      <c r="N3267" t="n">
        <v>0</v>
      </c>
      <c r="O3267" t="n">
        <v>0</v>
      </c>
      <c r="P3267" t="n">
        <v>0</v>
      </c>
      <c r="Q3267" t="n">
        <v>0</v>
      </c>
      <c r="R3267" s="2" t="inlineStr"/>
    </row>
    <row r="3268" ht="15" customHeight="1">
      <c r="A3268" t="inlineStr">
        <is>
          <t>A 28326-2023</t>
        </is>
      </c>
      <c r="B3268" s="1" t="n">
        <v>45099</v>
      </c>
      <c r="C3268" s="1" t="n">
        <v>45724</v>
      </c>
      <c r="D3268" t="inlineStr">
        <is>
          <t>VÄSTMANLANDS LÄN</t>
        </is>
      </c>
      <c r="E3268" t="inlineStr">
        <is>
          <t>VÄSTERÅS</t>
        </is>
      </c>
      <c r="F3268" t="inlineStr">
        <is>
          <t>Sveaskog</t>
        </is>
      </c>
      <c r="G3268" t="n">
        <v>3</v>
      </c>
      <c r="H3268" t="n">
        <v>0</v>
      </c>
      <c r="I3268" t="n">
        <v>0</v>
      </c>
      <c r="J3268" t="n">
        <v>0</v>
      </c>
      <c r="K3268" t="n">
        <v>0</v>
      </c>
      <c r="L3268" t="n">
        <v>0</v>
      </c>
      <c r="M3268" t="n">
        <v>0</v>
      </c>
      <c r="N3268" t="n">
        <v>0</v>
      </c>
      <c r="O3268" t="n">
        <v>0</v>
      </c>
      <c r="P3268" t="n">
        <v>0</v>
      </c>
      <c r="Q3268" t="n">
        <v>0</v>
      </c>
      <c r="R3268" s="2" t="inlineStr"/>
    </row>
    <row r="3269" ht="15" customHeight="1">
      <c r="A3269" t="inlineStr">
        <is>
          <t>A 28534-2023</t>
        </is>
      </c>
      <c r="B3269" s="1" t="n">
        <v>45103</v>
      </c>
      <c r="C3269" s="1" t="n">
        <v>45724</v>
      </c>
      <c r="D3269" t="inlineStr">
        <is>
          <t>VÄSTMANLANDS LÄN</t>
        </is>
      </c>
      <c r="E3269" t="inlineStr">
        <is>
          <t>SKINNSKATTEBERG</t>
        </is>
      </c>
      <c r="G3269" t="n">
        <v>1.2</v>
      </c>
      <c r="H3269" t="n">
        <v>0</v>
      </c>
      <c r="I3269" t="n">
        <v>0</v>
      </c>
      <c r="J3269" t="n">
        <v>0</v>
      </c>
      <c r="K3269" t="n">
        <v>0</v>
      </c>
      <c r="L3269" t="n">
        <v>0</v>
      </c>
      <c r="M3269" t="n">
        <v>0</v>
      </c>
      <c r="N3269" t="n">
        <v>0</v>
      </c>
      <c r="O3269" t="n">
        <v>0</v>
      </c>
      <c r="P3269" t="n">
        <v>0</v>
      </c>
      <c r="Q3269" t="n">
        <v>0</v>
      </c>
      <c r="R3269" s="2" t="inlineStr"/>
    </row>
    <row r="3270" ht="15" customHeight="1">
      <c r="A3270" t="inlineStr">
        <is>
          <t>A 28589-2023</t>
        </is>
      </c>
      <c r="B3270" s="1" t="n">
        <v>45103</v>
      </c>
      <c r="C3270" s="1" t="n">
        <v>45724</v>
      </c>
      <c r="D3270" t="inlineStr">
        <is>
          <t>VÄSTMANLANDS LÄN</t>
        </is>
      </c>
      <c r="E3270" t="inlineStr">
        <is>
          <t>NORBERG</t>
        </is>
      </c>
      <c r="G3270" t="n">
        <v>2.3</v>
      </c>
      <c r="H3270" t="n">
        <v>0</v>
      </c>
      <c r="I3270" t="n">
        <v>0</v>
      </c>
      <c r="J3270" t="n">
        <v>0</v>
      </c>
      <c r="K3270" t="n">
        <v>0</v>
      </c>
      <c r="L3270" t="n">
        <v>0</v>
      </c>
      <c r="M3270" t="n">
        <v>0</v>
      </c>
      <c r="N3270" t="n">
        <v>0</v>
      </c>
      <c r="O3270" t="n">
        <v>0</v>
      </c>
      <c r="P3270" t="n">
        <v>0</v>
      </c>
      <c r="Q3270" t="n">
        <v>0</v>
      </c>
      <c r="R3270" s="2" t="inlineStr"/>
    </row>
    <row r="3271" ht="15" customHeight="1">
      <c r="A3271" t="inlineStr">
        <is>
          <t>A 28696-2023</t>
        </is>
      </c>
      <c r="B3271" s="1" t="n">
        <v>45103</v>
      </c>
      <c r="C3271" s="1" t="n">
        <v>45724</v>
      </c>
      <c r="D3271" t="inlineStr">
        <is>
          <t>VÄSTMANLANDS LÄN</t>
        </is>
      </c>
      <c r="E3271" t="inlineStr">
        <is>
          <t>SALA</t>
        </is>
      </c>
      <c r="F3271" t="inlineStr">
        <is>
          <t>Kommuner</t>
        </is>
      </c>
      <c r="G3271" t="n">
        <v>5.9</v>
      </c>
      <c r="H3271" t="n">
        <v>0</v>
      </c>
      <c r="I3271" t="n">
        <v>0</v>
      </c>
      <c r="J3271" t="n">
        <v>0</v>
      </c>
      <c r="K3271" t="n">
        <v>0</v>
      </c>
      <c r="L3271" t="n">
        <v>0</v>
      </c>
      <c r="M3271" t="n">
        <v>0</v>
      </c>
      <c r="N3271" t="n">
        <v>0</v>
      </c>
      <c r="O3271" t="n">
        <v>0</v>
      </c>
      <c r="P3271" t="n">
        <v>0</v>
      </c>
      <c r="Q3271" t="n">
        <v>0</v>
      </c>
      <c r="R3271" s="2" t="inlineStr"/>
    </row>
    <row r="3272" ht="15" customHeight="1">
      <c r="A3272" t="inlineStr">
        <is>
          <t>A 28521-2023</t>
        </is>
      </c>
      <c r="B3272" s="1" t="n">
        <v>45103</v>
      </c>
      <c r="C3272" s="1" t="n">
        <v>45724</v>
      </c>
      <c r="D3272" t="inlineStr">
        <is>
          <t>VÄSTMANLANDS LÄN</t>
        </is>
      </c>
      <c r="E3272" t="inlineStr">
        <is>
          <t>VÄSTERÅS</t>
        </is>
      </c>
      <c r="F3272" t="inlineStr">
        <is>
          <t>Sveaskog</t>
        </is>
      </c>
      <c r="G3272" t="n">
        <v>2.3</v>
      </c>
      <c r="H3272" t="n">
        <v>0</v>
      </c>
      <c r="I3272" t="n">
        <v>0</v>
      </c>
      <c r="J3272" t="n">
        <v>0</v>
      </c>
      <c r="K3272" t="n">
        <v>0</v>
      </c>
      <c r="L3272" t="n">
        <v>0</v>
      </c>
      <c r="M3272" t="n">
        <v>0</v>
      </c>
      <c r="N3272" t="n">
        <v>0</v>
      </c>
      <c r="O3272" t="n">
        <v>0</v>
      </c>
      <c r="P3272" t="n">
        <v>0</v>
      </c>
      <c r="Q3272" t="n">
        <v>0</v>
      </c>
      <c r="R3272" s="2" t="inlineStr"/>
    </row>
    <row r="3273" ht="15" customHeight="1">
      <c r="A3273" t="inlineStr">
        <is>
          <t>A 28811-2023</t>
        </is>
      </c>
      <c r="B3273" s="1" t="n">
        <v>45104</v>
      </c>
      <c r="C3273" s="1" t="n">
        <v>45724</v>
      </c>
      <c r="D3273" t="inlineStr">
        <is>
          <t>VÄSTMANLANDS LÄN</t>
        </is>
      </c>
      <c r="E3273" t="inlineStr">
        <is>
          <t>HALLSTAHAMMAR</t>
        </is>
      </c>
      <c r="F3273" t="inlineStr">
        <is>
          <t>Allmännings- och besparingsskogar</t>
        </is>
      </c>
      <c r="G3273" t="n">
        <v>8</v>
      </c>
      <c r="H3273" t="n">
        <v>0</v>
      </c>
      <c r="I3273" t="n">
        <v>0</v>
      </c>
      <c r="J3273" t="n">
        <v>0</v>
      </c>
      <c r="K3273" t="n">
        <v>0</v>
      </c>
      <c r="L3273" t="n">
        <v>0</v>
      </c>
      <c r="M3273" t="n">
        <v>0</v>
      </c>
      <c r="N3273" t="n">
        <v>0</v>
      </c>
      <c r="O3273" t="n">
        <v>0</v>
      </c>
      <c r="P3273" t="n">
        <v>0</v>
      </c>
      <c r="Q3273" t="n">
        <v>0</v>
      </c>
      <c r="R3273" s="2" t="inlineStr"/>
    </row>
    <row r="3274" ht="15" customHeight="1">
      <c r="A3274" t="inlineStr">
        <is>
          <t>A 29175-2023</t>
        </is>
      </c>
      <c r="B3274" s="1" t="n">
        <v>45105</v>
      </c>
      <c r="C3274" s="1" t="n">
        <v>45724</v>
      </c>
      <c r="D3274" t="inlineStr">
        <is>
          <t>VÄSTMANLANDS LÄN</t>
        </is>
      </c>
      <c r="E3274" t="inlineStr">
        <is>
          <t>SKINNSKATTEBERG</t>
        </is>
      </c>
      <c r="F3274" t="inlineStr">
        <is>
          <t>Sveaskog</t>
        </is>
      </c>
      <c r="G3274" t="n">
        <v>2.3</v>
      </c>
      <c r="H3274" t="n">
        <v>0</v>
      </c>
      <c r="I3274" t="n">
        <v>0</v>
      </c>
      <c r="J3274" t="n">
        <v>0</v>
      </c>
      <c r="K3274" t="n">
        <v>0</v>
      </c>
      <c r="L3274" t="n">
        <v>0</v>
      </c>
      <c r="M3274" t="n">
        <v>0</v>
      </c>
      <c r="N3274" t="n">
        <v>0</v>
      </c>
      <c r="O3274" t="n">
        <v>0</v>
      </c>
      <c r="P3274" t="n">
        <v>0</v>
      </c>
      <c r="Q3274" t="n">
        <v>0</v>
      </c>
      <c r="R3274" s="2" t="inlineStr"/>
    </row>
    <row r="3275" ht="15" customHeight="1">
      <c r="A3275" t="inlineStr">
        <is>
          <t>A 29241-2023</t>
        </is>
      </c>
      <c r="B3275" s="1" t="n">
        <v>45105</v>
      </c>
      <c r="C3275" s="1" t="n">
        <v>45724</v>
      </c>
      <c r="D3275" t="inlineStr">
        <is>
          <t>VÄSTMANLANDS LÄN</t>
        </is>
      </c>
      <c r="E3275" t="inlineStr">
        <is>
          <t>SALA</t>
        </is>
      </c>
      <c r="F3275" t="inlineStr">
        <is>
          <t>Kommuner</t>
        </is>
      </c>
      <c r="G3275" t="n">
        <v>4.8</v>
      </c>
      <c r="H3275" t="n">
        <v>0</v>
      </c>
      <c r="I3275" t="n">
        <v>0</v>
      </c>
      <c r="J3275" t="n">
        <v>0</v>
      </c>
      <c r="K3275" t="n">
        <v>0</v>
      </c>
      <c r="L3275" t="n">
        <v>0</v>
      </c>
      <c r="M3275" t="n">
        <v>0</v>
      </c>
      <c r="N3275" t="n">
        <v>0</v>
      </c>
      <c r="O3275" t="n">
        <v>0</v>
      </c>
      <c r="P3275" t="n">
        <v>0</v>
      </c>
      <c r="Q3275" t="n">
        <v>0</v>
      </c>
      <c r="R3275" s="2" t="inlineStr"/>
    </row>
    <row r="3276" ht="15" customHeight="1">
      <c r="A3276" t="inlineStr">
        <is>
          <t>A 29456-2023</t>
        </is>
      </c>
      <c r="B3276" s="1" t="n">
        <v>45106</v>
      </c>
      <c r="C3276" s="1" t="n">
        <v>45724</v>
      </c>
      <c r="D3276" t="inlineStr">
        <is>
          <t>VÄSTMANLANDS LÄN</t>
        </is>
      </c>
      <c r="E3276" t="inlineStr">
        <is>
          <t>KÖPING</t>
        </is>
      </c>
      <c r="G3276" t="n">
        <v>0.7</v>
      </c>
      <c r="H3276" t="n">
        <v>0</v>
      </c>
      <c r="I3276" t="n">
        <v>0</v>
      </c>
      <c r="J3276" t="n">
        <v>0</v>
      </c>
      <c r="K3276" t="n">
        <v>0</v>
      </c>
      <c r="L3276" t="n">
        <v>0</v>
      </c>
      <c r="M3276" t="n">
        <v>0</v>
      </c>
      <c r="N3276" t="n">
        <v>0</v>
      </c>
      <c r="O3276" t="n">
        <v>0</v>
      </c>
      <c r="P3276" t="n">
        <v>0</v>
      </c>
      <c r="Q3276" t="n">
        <v>0</v>
      </c>
      <c r="R3276" s="2" t="inlineStr"/>
    </row>
    <row r="3277" ht="15" customHeight="1">
      <c r="A3277" t="inlineStr">
        <is>
          <t>A 29496-2023</t>
        </is>
      </c>
      <c r="B3277" s="1" t="n">
        <v>45106</v>
      </c>
      <c r="C3277" s="1" t="n">
        <v>45724</v>
      </c>
      <c r="D3277" t="inlineStr">
        <is>
          <t>VÄSTMANLANDS LÄN</t>
        </is>
      </c>
      <c r="E3277" t="inlineStr">
        <is>
          <t>SKINNSKATTEBERG</t>
        </is>
      </c>
      <c r="G3277" t="n">
        <v>3.8</v>
      </c>
      <c r="H3277" t="n">
        <v>0</v>
      </c>
      <c r="I3277" t="n">
        <v>0</v>
      </c>
      <c r="J3277" t="n">
        <v>0</v>
      </c>
      <c r="K3277" t="n">
        <v>0</v>
      </c>
      <c r="L3277" t="n">
        <v>0</v>
      </c>
      <c r="M3277" t="n">
        <v>0</v>
      </c>
      <c r="N3277" t="n">
        <v>0</v>
      </c>
      <c r="O3277" t="n">
        <v>0</v>
      </c>
      <c r="P3277" t="n">
        <v>0</v>
      </c>
      <c r="Q3277" t="n">
        <v>0</v>
      </c>
      <c r="R3277" s="2" t="inlineStr"/>
    </row>
    <row r="3278" ht="15" customHeight="1">
      <c r="A3278" t="inlineStr">
        <is>
          <t>A 29789-2023</t>
        </is>
      </c>
      <c r="B3278" s="1" t="n">
        <v>45107</v>
      </c>
      <c r="C3278" s="1" t="n">
        <v>45724</v>
      </c>
      <c r="D3278" t="inlineStr">
        <is>
          <t>VÄSTMANLANDS LÄN</t>
        </is>
      </c>
      <c r="E3278" t="inlineStr">
        <is>
          <t>VÄSTERÅS</t>
        </is>
      </c>
      <c r="F3278" t="inlineStr">
        <is>
          <t>Sveaskog</t>
        </is>
      </c>
      <c r="G3278" t="n">
        <v>0.5</v>
      </c>
      <c r="H3278" t="n">
        <v>0</v>
      </c>
      <c r="I3278" t="n">
        <v>0</v>
      </c>
      <c r="J3278" t="n">
        <v>0</v>
      </c>
      <c r="K3278" t="n">
        <v>0</v>
      </c>
      <c r="L3278" t="n">
        <v>0</v>
      </c>
      <c r="M3278" t="n">
        <v>0</v>
      </c>
      <c r="N3278" t="n">
        <v>0</v>
      </c>
      <c r="O3278" t="n">
        <v>0</v>
      </c>
      <c r="P3278" t="n">
        <v>0</v>
      </c>
      <c r="Q3278" t="n">
        <v>0</v>
      </c>
      <c r="R3278" s="2" t="inlineStr"/>
    </row>
    <row r="3279" ht="15" customHeight="1">
      <c r="A3279" t="inlineStr">
        <is>
          <t>A 31945-2023</t>
        </is>
      </c>
      <c r="B3279" s="1" t="n">
        <v>45107</v>
      </c>
      <c r="C3279" s="1" t="n">
        <v>45724</v>
      </c>
      <c r="D3279" t="inlineStr">
        <is>
          <t>VÄSTMANLANDS LÄN</t>
        </is>
      </c>
      <c r="E3279" t="inlineStr">
        <is>
          <t>SALA</t>
        </is>
      </c>
      <c r="G3279" t="n">
        <v>2.1</v>
      </c>
      <c r="H3279" t="n">
        <v>0</v>
      </c>
      <c r="I3279" t="n">
        <v>0</v>
      </c>
      <c r="J3279" t="n">
        <v>0</v>
      </c>
      <c r="K3279" t="n">
        <v>0</v>
      </c>
      <c r="L3279" t="n">
        <v>0</v>
      </c>
      <c r="M3279" t="n">
        <v>0</v>
      </c>
      <c r="N3279" t="n">
        <v>0</v>
      </c>
      <c r="O3279" t="n">
        <v>0</v>
      </c>
      <c r="P3279" t="n">
        <v>0</v>
      </c>
      <c r="Q3279" t="n">
        <v>0</v>
      </c>
      <c r="R3279" s="2" t="inlineStr"/>
    </row>
    <row r="3280" ht="15" customHeight="1">
      <c r="A3280" t="inlineStr">
        <is>
          <t>A 31950-2023</t>
        </is>
      </c>
      <c r="B3280" s="1" t="n">
        <v>45107</v>
      </c>
      <c r="C3280" s="1" t="n">
        <v>45724</v>
      </c>
      <c r="D3280" t="inlineStr">
        <is>
          <t>VÄSTMANLANDS LÄN</t>
        </is>
      </c>
      <c r="E3280" t="inlineStr">
        <is>
          <t>SALA</t>
        </is>
      </c>
      <c r="G3280" t="n">
        <v>2</v>
      </c>
      <c r="H3280" t="n">
        <v>0</v>
      </c>
      <c r="I3280" t="n">
        <v>0</v>
      </c>
      <c r="J3280" t="n">
        <v>0</v>
      </c>
      <c r="K3280" t="n">
        <v>0</v>
      </c>
      <c r="L3280" t="n">
        <v>0</v>
      </c>
      <c r="M3280" t="n">
        <v>0</v>
      </c>
      <c r="N3280" t="n">
        <v>0</v>
      </c>
      <c r="O3280" t="n">
        <v>0</v>
      </c>
      <c r="P3280" t="n">
        <v>0</v>
      </c>
      <c r="Q3280" t="n">
        <v>0</v>
      </c>
      <c r="R3280" s="2" t="inlineStr"/>
    </row>
    <row r="3281" ht="15" customHeight="1">
      <c r="A3281" t="inlineStr">
        <is>
          <t>A 31953-2023</t>
        </is>
      </c>
      <c r="B3281" s="1" t="n">
        <v>45107</v>
      </c>
      <c r="C3281" s="1" t="n">
        <v>45724</v>
      </c>
      <c r="D3281" t="inlineStr">
        <is>
          <t>VÄSTMANLANDS LÄN</t>
        </is>
      </c>
      <c r="E3281" t="inlineStr">
        <is>
          <t>SALA</t>
        </is>
      </c>
      <c r="G3281" t="n">
        <v>1.5</v>
      </c>
      <c r="H3281" t="n">
        <v>0</v>
      </c>
      <c r="I3281" t="n">
        <v>0</v>
      </c>
      <c r="J3281" t="n">
        <v>0</v>
      </c>
      <c r="K3281" t="n">
        <v>0</v>
      </c>
      <c r="L3281" t="n">
        <v>0</v>
      </c>
      <c r="M3281" t="n">
        <v>0</v>
      </c>
      <c r="N3281" t="n">
        <v>0</v>
      </c>
      <c r="O3281" t="n">
        <v>0</v>
      </c>
      <c r="P3281" t="n">
        <v>0</v>
      </c>
      <c r="Q3281" t="n">
        <v>0</v>
      </c>
      <c r="R3281" s="2" t="inlineStr"/>
    </row>
    <row r="3282" ht="15" customHeight="1">
      <c r="A3282" t="inlineStr">
        <is>
          <t>A 29999-2023</t>
        </is>
      </c>
      <c r="B3282" s="1" t="n">
        <v>45109</v>
      </c>
      <c r="C3282" s="1" t="n">
        <v>45724</v>
      </c>
      <c r="D3282" t="inlineStr">
        <is>
          <t>VÄSTMANLANDS LÄN</t>
        </is>
      </c>
      <c r="E3282" t="inlineStr">
        <is>
          <t>ARBOGA</t>
        </is>
      </c>
      <c r="G3282" t="n">
        <v>5.9</v>
      </c>
      <c r="H3282" t="n">
        <v>0</v>
      </c>
      <c r="I3282" t="n">
        <v>0</v>
      </c>
      <c r="J3282" t="n">
        <v>0</v>
      </c>
      <c r="K3282" t="n">
        <v>0</v>
      </c>
      <c r="L3282" t="n">
        <v>0</v>
      </c>
      <c r="M3282" t="n">
        <v>0</v>
      </c>
      <c r="N3282" t="n">
        <v>0</v>
      </c>
      <c r="O3282" t="n">
        <v>0</v>
      </c>
      <c r="P3282" t="n">
        <v>0</v>
      </c>
      <c r="Q3282" t="n">
        <v>0</v>
      </c>
      <c r="R3282" s="2" t="inlineStr"/>
    </row>
    <row r="3283" ht="15" customHeight="1">
      <c r="A3283" t="inlineStr">
        <is>
          <t>A 30096-2023</t>
        </is>
      </c>
      <c r="B3283" s="1" t="n">
        <v>45110</v>
      </c>
      <c r="C3283" s="1" t="n">
        <v>45724</v>
      </c>
      <c r="D3283" t="inlineStr">
        <is>
          <t>VÄSTMANLANDS LÄN</t>
        </is>
      </c>
      <c r="E3283" t="inlineStr">
        <is>
          <t>VÄSTERÅS</t>
        </is>
      </c>
      <c r="F3283" t="inlineStr">
        <is>
          <t>Sveaskog</t>
        </is>
      </c>
      <c r="G3283" t="n">
        <v>1.1</v>
      </c>
      <c r="H3283" t="n">
        <v>0</v>
      </c>
      <c r="I3283" t="n">
        <v>0</v>
      </c>
      <c r="J3283" t="n">
        <v>0</v>
      </c>
      <c r="K3283" t="n">
        <v>0</v>
      </c>
      <c r="L3283" t="n">
        <v>0</v>
      </c>
      <c r="M3283" t="n">
        <v>0</v>
      </c>
      <c r="N3283" t="n">
        <v>0</v>
      </c>
      <c r="O3283" t="n">
        <v>0</v>
      </c>
      <c r="P3283" t="n">
        <v>0</v>
      </c>
      <c r="Q3283" t="n">
        <v>0</v>
      </c>
      <c r="R3283" s="2" t="inlineStr"/>
    </row>
    <row r="3284" ht="15" customHeight="1">
      <c r="A3284" t="inlineStr">
        <is>
          <t>A 30081-2023</t>
        </is>
      </c>
      <c r="B3284" s="1" t="n">
        <v>45110</v>
      </c>
      <c r="C3284" s="1" t="n">
        <v>45724</v>
      </c>
      <c r="D3284" t="inlineStr">
        <is>
          <t>VÄSTMANLANDS LÄN</t>
        </is>
      </c>
      <c r="E3284" t="inlineStr">
        <is>
          <t>VÄSTERÅS</t>
        </is>
      </c>
      <c r="F3284" t="inlineStr">
        <is>
          <t>Sveaskog</t>
        </is>
      </c>
      <c r="G3284" t="n">
        <v>0.9</v>
      </c>
      <c r="H3284" t="n">
        <v>0</v>
      </c>
      <c r="I3284" t="n">
        <v>0</v>
      </c>
      <c r="J3284" t="n">
        <v>0</v>
      </c>
      <c r="K3284" t="n">
        <v>0</v>
      </c>
      <c r="L3284" t="n">
        <v>0</v>
      </c>
      <c r="M3284" t="n">
        <v>0</v>
      </c>
      <c r="N3284" t="n">
        <v>0</v>
      </c>
      <c r="O3284" t="n">
        <v>0</v>
      </c>
      <c r="P3284" t="n">
        <v>0</v>
      </c>
      <c r="Q3284" t="n">
        <v>0</v>
      </c>
      <c r="R3284" s="2" t="inlineStr"/>
    </row>
    <row r="3285" ht="15" customHeight="1">
      <c r="A3285" t="inlineStr">
        <is>
          <t>A 30204-2023</t>
        </is>
      </c>
      <c r="B3285" s="1" t="n">
        <v>45110</v>
      </c>
      <c r="C3285" s="1" t="n">
        <v>45724</v>
      </c>
      <c r="D3285" t="inlineStr">
        <is>
          <t>VÄSTMANLANDS LÄN</t>
        </is>
      </c>
      <c r="E3285" t="inlineStr">
        <is>
          <t>ARBOGA</t>
        </is>
      </c>
      <c r="G3285" t="n">
        <v>2.1</v>
      </c>
      <c r="H3285" t="n">
        <v>0</v>
      </c>
      <c r="I3285" t="n">
        <v>0</v>
      </c>
      <c r="J3285" t="n">
        <v>0</v>
      </c>
      <c r="K3285" t="n">
        <v>0</v>
      </c>
      <c r="L3285" t="n">
        <v>0</v>
      </c>
      <c r="M3285" t="n">
        <v>0</v>
      </c>
      <c r="N3285" t="n">
        <v>0</v>
      </c>
      <c r="O3285" t="n">
        <v>0</v>
      </c>
      <c r="P3285" t="n">
        <v>0</v>
      </c>
      <c r="Q3285" t="n">
        <v>0</v>
      </c>
      <c r="R3285" s="2" t="inlineStr"/>
    </row>
    <row r="3286" ht="15" customHeight="1">
      <c r="A3286" t="inlineStr">
        <is>
          <t>A 30076-2023</t>
        </is>
      </c>
      <c r="B3286" s="1" t="n">
        <v>45110</v>
      </c>
      <c r="C3286" s="1" t="n">
        <v>45724</v>
      </c>
      <c r="D3286" t="inlineStr">
        <is>
          <t>VÄSTMANLANDS LÄN</t>
        </is>
      </c>
      <c r="E3286" t="inlineStr">
        <is>
          <t>SURAHAMMAR</t>
        </is>
      </c>
      <c r="F3286" t="inlineStr">
        <is>
          <t>Sveaskog</t>
        </is>
      </c>
      <c r="G3286" t="n">
        <v>1.1</v>
      </c>
      <c r="H3286" t="n">
        <v>0</v>
      </c>
      <c r="I3286" t="n">
        <v>0</v>
      </c>
      <c r="J3286" t="n">
        <v>0</v>
      </c>
      <c r="K3286" t="n">
        <v>0</v>
      </c>
      <c r="L3286" t="n">
        <v>0</v>
      </c>
      <c r="M3286" t="n">
        <v>0</v>
      </c>
      <c r="N3286" t="n">
        <v>0</v>
      </c>
      <c r="O3286" t="n">
        <v>0</v>
      </c>
      <c r="P3286" t="n">
        <v>0</v>
      </c>
      <c r="Q3286" t="n">
        <v>0</v>
      </c>
      <c r="R3286" s="2" t="inlineStr"/>
    </row>
    <row r="3287" ht="15" customHeight="1">
      <c r="A3287" t="inlineStr">
        <is>
          <t>A 32350-2023</t>
        </is>
      </c>
      <c r="B3287" s="1" t="n">
        <v>45110</v>
      </c>
      <c r="C3287" s="1" t="n">
        <v>45724</v>
      </c>
      <c r="D3287" t="inlineStr">
        <is>
          <t>VÄSTMANLANDS LÄN</t>
        </is>
      </c>
      <c r="E3287" t="inlineStr">
        <is>
          <t>VÄSTERÅS</t>
        </is>
      </c>
      <c r="G3287" t="n">
        <v>1.4</v>
      </c>
      <c r="H3287" t="n">
        <v>0</v>
      </c>
      <c r="I3287" t="n">
        <v>0</v>
      </c>
      <c r="J3287" t="n">
        <v>0</v>
      </c>
      <c r="K3287" t="n">
        <v>0</v>
      </c>
      <c r="L3287" t="n">
        <v>0</v>
      </c>
      <c r="M3287" t="n">
        <v>0</v>
      </c>
      <c r="N3287" t="n">
        <v>0</v>
      </c>
      <c r="O3287" t="n">
        <v>0</v>
      </c>
      <c r="P3287" t="n">
        <v>0</v>
      </c>
      <c r="Q3287" t="n">
        <v>0</v>
      </c>
      <c r="R3287" s="2" t="inlineStr"/>
    </row>
    <row r="3288" ht="15" customHeight="1">
      <c r="A3288" t="inlineStr">
        <is>
          <t>A 30219-2023</t>
        </is>
      </c>
      <c r="B3288" s="1" t="n">
        <v>45110</v>
      </c>
      <c r="C3288" s="1" t="n">
        <v>45724</v>
      </c>
      <c r="D3288" t="inlineStr">
        <is>
          <t>VÄSTMANLANDS LÄN</t>
        </is>
      </c>
      <c r="E3288" t="inlineStr">
        <is>
          <t>ARBOGA</t>
        </is>
      </c>
      <c r="G3288" t="n">
        <v>2.7</v>
      </c>
      <c r="H3288" t="n">
        <v>0</v>
      </c>
      <c r="I3288" t="n">
        <v>0</v>
      </c>
      <c r="J3288" t="n">
        <v>0</v>
      </c>
      <c r="K3288" t="n">
        <v>0</v>
      </c>
      <c r="L3288" t="n">
        <v>0</v>
      </c>
      <c r="M3288" t="n">
        <v>0</v>
      </c>
      <c r="N3288" t="n">
        <v>0</v>
      </c>
      <c r="O3288" t="n">
        <v>0</v>
      </c>
      <c r="P3288" t="n">
        <v>0</v>
      </c>
      <c r="Q3288" t="n">
        <v>0</v>
      </c>
      <c r="R3288" s="2" t="inlineStr"/>
    </row>
    <row r="3289" ht="15" customHeight="1">
      <c r="A3289" t="inlineStr">
        <is>
          <t>A 32341-2023</t>
        </is>
      </c>
      <c r="B3289" s="1" t="n">
        <v>45110</v>
      </c>
      <c r="C3289" s="1" t="n">
        <v>45724</v>
      </c>
      <c r="D3289" t="inlineStr">
        <is>
          <t>VÄSTMANLANDS LÄN</t>
        </is>
      </c>
      <c r="E3289" t="inlineStr">
        <is>
          <t>VÄSTERÅS</t>
        </is>
      </c>
      <c r="G3289" t="n">
        <v>0.7</v>
      </c>
      <c r="H3289" t="n">
        <v>0</v>
      </c>
      <c r="I3289" t="n">
        <v>0</v>
      </c>
      <c r="J3289" t="n">
        <v>0</v>
      </c>
      <c r="K3289" t="n">
        <v>0</v>
      </c>
      <c r="L3289" t="n">
        <v>0</v>
      </c>
      <c r="M3289" t="n">
        <v>0</v>
      </c>
      <c r="N3289" t="n">
        <v>0</v>
      </c>
      <c r="O3289" t="n">
        <v>0</v>
      </c>
      <c r="P3289" t="n">
        <v>0</v>
      </c>
      <c r="Q3289" t="n">
        <v>0</v>
      </c>
      <c r="R3289" s="2" t="inlineStr"/>
    </row>
    <row r="3290" ht="15" customHeight="1">
      <c r="A3290" t="inlineStr">
        <is>
          <t>A 32345-2023</t>
        </is>
      </c>
      <c r="B3290" s="1" t="n">
        <v>45110</v>
      </c>
      <c r="C3290" s="1" t="n">
        <v>45724</v>
      </c>
      <c r="D3290" t="inlineStr">
        <is>
          <t>VÄSTMANLANDS LÄN</t>
        </is>
      </c>
      <c r="E3290" t="inlineStr">
        <is>
          <t>VÄSTERÅS</t>
        </is>
      </c>
      <c r="G3290" t="n">
        <v>3.6</v>
      </c>
      <c r="H3290" t="n">
        <v>0</v>
      </c>
      <c r="I3290" t="n">
        <v>0</v>
      </c>
      <c r="J3290" t="n">
        <v>0</v>
      </c>
      <c r="K3290" t="n">
        <v>0</v>
      </c>
      <c r="L3290" t="n">
        <v>0</v>
      </c>
      <c r="M3290" t="n">
        <v>0</v>
      </c>
      <c r="N3290" t="n">
        <v>0</v>
      </c>
      <c r="O3290" t="n">
        <v>0</v>
      </c>
      <c r="P3290" t="n">
        <v>0</v>
      </c>
      <c r="Q3290" t="n">
        <v>0</v>
      </c>
      <c r="R3290" s="2" t="inlineStr"/>
    </row>
    <row r="3291" ht="15" customHeight="1">
      <c r="A3291" t="inlineStr">
        <is>
          <t>A 30462-2023</t>
        </is>
      </c>
      <c r="B3291" s="1" t="n">
        <v>45111</v>
      </c>
      <c r="C3291" s="1" t="n">
        <v>45724</v>
      </c>
      <c r="D3291" t="inlineStr">
        <is>
          <t>VÄSTMANLANDS LÄN</t>
        </is>
      </c>
      <c r="E3291" t="inlineStr">
        <is>
          <t>KUNGSÖR</t>
        </is>
      </c>
      <c r="G3291" t="n">
        <v>4.6</v>
      </c>
      <c r="H3291" t="n">
        <v>0</v>
      </c>
      <c r="I3291" t="n">
        <v>0</v>
      </c>
      <c r="J3291" t="n">
        <v>0</v>
      </c>
      <c r="K3291" t="n">
        <v>0</v>
      </c>
      <c r="L3291" t="n">
        <v>0</v>
      </c>
      <c r="M3291" t="n">
        <v>0</v>
      </c>
      <c r="N3291" t="n">
        <v>0</v>
      </c>
      <c r="O3291" t="n">
        <v>0</v>
      </c>
      <c r="P3291" t="n">
        <v>0</v>
      </c>
      <c r="Q3291" t="n">
        <v>0</v>
      </c>
      <c r="R3291" s="2" t="inlineStr"/>
    </row>
    <row r="3292" ht="15" customHeight="1">
      <c r="A3292" t="inlineStr">
        <is>
          <t>A 30323-2023</t>
        </is>
      </c>
      <c r="B3292" s="1" t="n">
        <v>45111</v>
      </c>
      <c r="C3292" s="1" t="n">
        <v>45724</v>
      </c>
      <c r="D3292" t="inlineStr">
        <is>
          <t>VÄSTMANLANDS LÄN</t>
        </is>
      </c>
      <c r="E3292" t="inlineStr">
        <is>
          <t>ARBOGA</t>
        </is>
      </c>
      <c r="G3292" t="n">
        <v>2.1</v>
      </c>
      <c r="H3292" t="n">
        <v>0</v>
      </c>
      <c r="I3292" t="n">
        <v>0</v>
      </c>
      <c r="J3292" t="n">
        <v>0</v>
      </c>
      <c r="K3292" t="n">
        <v>0</v>
      </c>
      <c r="L3292" t="n">
        <v>0</v>
      </c>
      <c r="M3292" t="n">
        <v>0</v>
      </c>
      <c r="N3292" t="n">
        <v>0</v>
      </c>
      <c r="O3292" t="n">
        <v>0</v>
      </c>
      <c r="P3292" t="n">
        <v>0</v>
      </c>
      <c r="Q3292" t="n">
        <v>0</v>
      </c>
      <c r="R3292" s="2" t="inlineStr"/>
    </row>
    <row r="3293" ht="15" customHeight="1">
      <c r="A3293" t="inlineStr">
        <is>
          <t>A 30353-2023</t>
        </is>
      </c>
      <c r="B3293" s="1" t="n">
        <v>45111</v>
      </c>
      <c r="C3293" s="1" t="n">
        <v>45724</v>
      </c>
      <c r="D3293" t="inlineStr">
        <is>
          <t>VÄSTMANLANDS LÄN</t>
        </is>
      </c>
      <c r="E3293" t="inlineStr">
        <is>
          <t>SKINNSKATTEBERG</t>
        </is>
      </c>
      <c r="G3293" t="n">
        <v>0.8</v>
      </c>
      <c r="H3293" t="n">
        <v>0</v>
      </c>
      <c r="I3293" t="n">
        <v>0</v>
      </c>
      <c r="J3293" t="n">
        <v>0</v>
      </c>
      <c r="K3293" t="n">
        <v>0</v>
      </c>
      <c r="L3293" t="n">
        <v>0</v>
      </c>
      <c r="M3293" t="n">
        <v>0</v>
      </c>
      <c r="N3293" t="n">
        <v>0</v>
      </c>
      <c r="O3293" t="n">
        <v>0</v>
      </c>
      <c r="P3293" t="n">
        <v>0</v>
      </c>
      <c r="Q3293" t="n">
        <v>0</v>
      </c>
      <c r="R3293" s="2" t="inlineStr"/>
    </row>
    <row r="3294" ht="15" customHeight="1">
      <c r="A3294" t="inlineStr">
        <is>
          <t>A 30361-2023</t>
        </is>
      </c>
      <c r="B3294" s="1" t="n">
        <v>45111</v>
      </c>
      <c r="C3294" s="1" t="n">
        <v>45724</v>
      </c>
      <c r="D3294" t="inlineStr">
        <is>
          <t>VÄSTMANLANDS LÄN</t>
        </is>
      </c>
      <c r="E3294" t="inlineStr">
        <is>
          <t>SKINNSKATTEBERG</t>
        </is>
      </c>
      <c r="G3294" t="n">
        <v>1.4</v>
      </c>
      <c r="H3294" t="n">
        <v>0</v>
      </c>
      <c r="I3294" t="n">
        <v>0</v>
      </c>
      <c r="J3294" t="n">
        <v>0</v>
      </c>
      <c r="K3294" t="n">
        <v>0</v>
      </c>
      <c r="L3294" t="n">
        <v>0</v>
      </c>
      <c r="M3294" t="n">
        <v>0</v>
      </c>
      <c r="N3294" t="n">
        <v>0</v>
      </c>
      <c r="O3294" t="n">
        <v>0</v>
      </c>
      <c r="P3294" t="n">
        <v>0</v>
      </c>
      <c r="Q3294" t="n">
        <v>0</v>
      </c>
      <c r="R3294" s="2" t="inlineStr"/>
    </row>
    <row r="3295" ht="15" customHeight="1">
      <c r="A3295" t="inlineStr">
        <is>
          <t>A 30623-2023</t>
        </is>
      </c>
      <c r="B3295" s="1" t="n">
        <v>45112</v>
      </c>
      <c r="C3295" s="1" t="n">
        <v>45724</v>
      </c>
      <c r="D3295" t="inlineStr">
        <is>
          <t>VÄSTMANLANDS LÄN</t>
        </is>
      </c>
      <c r="E3295" t="inlineStr">
        <is>
          <t>KUNGSÖR</t>
        </is>
      </c>
      <c r="G3295" t="n">
        <v>2.6</v>
      </c>
      <c r="H3295" t="n">
        <v>0</v>
      </c>
      <c r="I3295" t="n">
        <v>0</v>
      </c>
      <c r="J3295" t="n">
        <v>0</v>
      </c>
      <c r="K3295" t="n">
        <v>0</v>
      </c>
      <c r="L3295" t="n">
        <v>0</v>
      </c>
      <c r="M3295" t="n">
        <v>0</v>
      </c>
      <c r="N3295" t="n">
        <v>0</v>
      </c>
      <c r="O3295" t="n">
        <v>0</v>
      </c>
      <c r="P3295" t="n">
        <v>0</v>
      </c>
      <c r="Q3295" t="n">
        <v>0</v>
      </c>
      <c r="R3295" s="2" t="inlineStr"/>
    </row>
    <row r="3296" ht="15" customHeight="1">
      <c r="A3296" t="inlineStr">
        <is>
          <t>A 30634-2023</t>
        </is>
      </c>
      <c r="B3296" s="1" t="n">
        <v>45112</v>
      </c>
      <c r="C3296" s="1" t="n">
        <v>45724</v>
      </c>
      <c r="D3296" t="inlineStr">
        <is>
          <t>VÄSTMANLANDS LÄN</t>
        </is>
      </c>
      <c r="E3296" t="inlineStr">
        <is>
          <t>KUNGSÖR</t>
        </is>
      </c>
      <c r="G3296" t="n">
        <v>6.2</v>
      </c>
      <c r="H3296" t="n">
        <v>0</v>
      </c>
      <c r="I3296" t="n">
        <v>0</v>
      </c>
      <c r="J3296" t="n">
        <v>0</v>
      </c>
      <c r="K3296" t="n">
        <v>0</v>
      </c>
      <c r="L3296" t="n">
        <v>0</v>
      </c>
      <c r="M3296" t="n">
        <v>0</v>
      </c>
      <c r="N3296" t="n">
        <v>0</v>
      </c>
      <c r="O3296" t="n">
        <v>0</v>
      </c>
      <c r="P3296" t="n">
        <v>0</v>
      </c>
      <c r="Q3296" t="n">
        <v>0</v>
      </c>
      <c r="R3296" s="2" t="inlineStr"/>
    </row>
    <row r="3297" ht="15" customHeight="1">
      <c r="A3297" t="inlineStr">
        <is>
          <t>A 30621-2023</t>
        </is>
      </c>
      <c r="B3297" s="1" t="n">
        <v>45112</v>
      </c>
      <c r="C3297" s="1" t="n">
        <v>45724</v>
      </c>
      <c r="D3297" t="inlineStr">
        <is>
          <t>VÄSTMANLANDS LÄN</t>
        </is>
      </c>
      <c r="E3297" t="inlineStr">
        <is>
          <t>KUNGSÖR</t>
        </is>
      </c>
      <c r="G3297" t="n">
        <v>3.2</v>
      </c>
      <c r="H3297" t="n">
        <v>0</v>
      </c>
      <c r="I3297" t="n">
        <v>0</v>
      </c>
      <c r="J3297" t="n">
        <v>0</v>
      </c>
      <c r="K3297" t="n">
        <v>0</v>
      </c>
      <c r="L3297" t="n">
        <v>0</v>
      </c>
      <c r="M3297" t="n">
        <v>0</v>
      </c>
      <c r="N3297" t="n">
        <v>0</v>
      </c>
      <c r="O3297" t="n">
        <v>0</v>
      </c>
      <c r="P3297" t="n">
        <v>0</v>
      </c>
      <c r="Q3297" t="n">
        <v>0</v>
      </c>
      <c r="R3297" s="2" t="inlineStr"/>
    </row>
    <row r="3298" ht="15" customHeight="1">
      <c r="A3298" t="inlineStr">
        <is>
          <t>A 30630-2023</t>
        </is>
      </c>
      <c r="B3298" s="1" t="n">
        <v>45112</v>
      </c>
      <c r="C3298" s="1" t="n">
        <v>45724</v>
      </c>
      <c r="D3298" t="inlineStr">
        <is>
          <t>VÄSTMANLANDS LÄN</t>
        </is>
      </c>
      <c r="E3298" t="inlineStr">
        <is>
          <t>FAGERSTA</t>
        </is>
      </c>
      <c r="G3298" t="n">
        <v>1</v>
      </c>
      <c r="H3298" t="n">
        <v>0</v>
      </c>
      <c r="I3298" t="n">
        <v>0</v>
      </c>
      <c r="J3298" t="n">
        <v>0</v>
      </c>
      <c r="K3298" t="n">
        <v>0</v>
      </c>
      <c r="L3298" t="n">
        <v>0</v>
      </c>
      <c r="M3298" t="n">
        <v>0</v>
      </c>
      <c r="N3298" t="n">
        <v>0</v>
      </c>
      <c r="O3298" t="n">
        <v>0</v>
      </c>
      <c r="P3298" t="n">
        <v>0</v>
      </c>
      <c r="Q3298" t="n">
        <v>0</v>
      </c>
      <c r="R3298" s="2" t="inlineStr"/>
    </row>
    <row r="3299" ht="15" customHeight="1">
      <c r="A3299" t="inlineStr">
        <is>
          <t>A 32686-2023</t>
        </is>
      </c>
      <c r="B3299" s="1" t="n">
        <v>45112</v>
      </c>
      <c r="C3299" s="1" t="n">
        <v>45724</v>
      </c>
      <c r="D3299" t="inlineStr">
        <is>
          <t>VÄSTMANLANDS LÄN</t>
        </is>
      </c>
      <c r="E3299" t="inlineStr">
        <is>
          <t>NORBERG</t>
        </is>
      </c>
      <c r="F3299" t="inlineStr">
        <is>
          <t>Bergvik skog väst AB</t>
        </is>
      </c>
      <c r="G3299" t="n">
        <v>9.6</v>
      </c>
      <c r="H3299" t="n">
        <v>0</v>
      </c>
      <c r="I3299" t="n">
        <v>0</v>
      </c>
      <c r="J3299" t="n">
        <v>0</v>
      </c>
      <c r="K3299" t="n">
        <v>0</v>
      </c>
      <c r="L3299" t="n">
        <v>0</v>
      </c>
      <c r="M3299" t="n">
        <v>0</v>
      </c>
      <c r="N3299" t="n">
        <v>0</v>
      </c>
      <c r="O3299" t="n">
        <v>0</v>
      </c>
      <c r="P3299" t="n">
        <v>0</v>
      </c>
      <c r="Q3299" t="n">
        <v>0</v>
      </c>
      <c r="R3299" s="2" t="inlineStr"/>
    </row>
    <row r="3300" ht="15" customHeight="1">
      <c r="A3300" t="inlineStr">
        <is>
          <t>A 31169-2023</t>
        </is>
      </c>
      <c r="B3300" s="1" t="n">
        <v>45113</v>
      </c>
      <c r="C3300" s="1" t="n">
        <v>45724</v>
      </c>
      <c r="D3300" t="inlineStr">
        <is>
          <t>VÄSTMANLANDS LÄN</t>
        </is>
      </c>
      <c r="E3300" t="inlineStr">
        <is>
          <t>KÖPING</t>
        </is>
      </c>
      <c r="G3300" t="n">
        <v>5.9</v>
      </c>
      <c r="H3300" t="n">
        <v>0</v>
      </c>
      <c r="I3300" t="n">
        <v>0</v>
      </c>
      <c r="J3300" t="n">
        <v>0</v>
      </c>
      <c r="K3300" t="n">
        <v>0</v>
      </c>
      <c r="L3300" t="n">
        <v>0</v>
      </c>
      <c r="M3300" t="n">
        <v>0</v>
      </c>
      <c r="N3300" t="n">
        <v>0</v>
      </c>
      <c r="O3300" t="n">
        <v>0</v>
      </c>
      <c r="P3300" t="n">
        <v>0</v>
      </c>
      <c r="Q3300" t="n">
        <v>0</v>
      </c>
      <c r="R3300" s="2" t="inlineStr"/>
    </row>
    <row r="3301" ht="15" customHeight="1">
      <c r="A3301" t="inlineStr">
        <is>
          <t>A 31298-2023</t>
        </is>
      </c>
      <c r="B3301" s="1" t="n">
        <v>45114</v>
      </c>
      <c r="C3301" s="1" t="n">
        <v>45724</v>
      </c>
      <c r="D3301" t="inlineStr">
        <is>
          <t>VÄSTMANLANDS LÄN</t>
        </is>
      </c>
      <c r="E3301" t="inlineStr">
        <is>
          <t>SALA</t>
        </is>
      </c>
      <c r="G3301" t="n">
        <v>3</v>
      </c>
      <c r="H3301" t="n">
        <v>0</v>
      </c>
      <c r="I3301" t="n">
        <v>0</v>
      </c>
      <c r="J3301" t="n">
        <v>0</v>
      </c>
      <c r="K3301" t="n">
        <v>0</v>
      </c>
      <c r="L3301" t="n">
        <v>0</v>
      </c>
      <c r="M3301" t="n">
        <v>0</v>
      </c>
      <c r="N3301" t="n">
        <v>0</v>
      </c>
      <c r="O3301" t="n">
        <v>0</v>
      </c>
      <c r="P3301" t="n">
        <v>0</v>
      </c>
      <c r="Q3301" t="n">
        <v>0</v>
      </c>
      <c r="R3301" s="2" t="inlineStr"/>
    </row>
    <row r="3302" ht="15" customHeight="1">
      <c r="A3302" t="inlineStr">
        <is>
          <t>A 31227-2023</t>
        </is>
      </c>
      <c r="B3302" s="1" t="n">
        <v>45114</v>
      </c>
      <c r="C3302" s="1" t="n">
        <v>45724</v>
      </c>
      <c r="D3302" t="inlineStr">
        <is>
          <t>VÄSTMANLANDS LÄN</t>
        </is>
      </c>
      <c r="E3302" t="inlineStr">
        <is>
          <t>KÖPING</t>
        </is>
      </c>
      <c r="F3302" t="inlineStr">
        <is>
          <t>Sveaskog</t>
        </is>
      </c>
      <c r="G3302" t="n">
        <v>2.4</v>
      </c>
      <c r="H3302" t="n">
        <v>0</v>
      </c>
      <c r="I3302" t="n">
        <v>0</v>
      </c>
      <c r="J3302" t="n">
        <v>0</v>
      </c>
      <c r="K3302" t="n">
        <v>0</v>
      </c>
      <c r="L3302" t="n">
        <v>0</v>
      </c>
      <c r="M3302" t="n">
        <v>0</v>
      </c>
      <c r="N3302" t="n">
        <v>0</v>
      </c>
      <c r="O3302" t="n">
        <v>0</v>
      </c>
      <c r="P3302" t="n">
        <v>0</v>
      </c>
      <c r="Q3302" t="n">
        <v>0</v>
      </c>
      <c r="R3302" s="2" t="inlineStr"/>
    </row>
    <row r="3303" ht="15" customHeight="1">
      <c r="A3303" t="inlineStr">
        <is>
          <t>A 31239-2023</t>
        </is>
      </c>
      <c r="B3303" s="1" t="n">
        <v>45114</v>
      </c>
      <c r="C3303" s="1" t="n">
        <v>45724</v>
      </c>
      <c r="D3303" t="inlineStr">
        <is>
          <t>VÄSTMANLANDS LÄN</t>
        </is>
      </c>
      <c r="E3303" t="inlineStr">
        <is>
          <t>KUNGSÖR</t>
        </is>
      </c>
      <c r="G3303" t="n">
        <v>0.5</v>
      </c>
      <c r="H3303" t="n">
        <v>0</v>
      </c>
      <c r="I3303" t="n">
        <v>0</v>
      </c>
      <c r="J3303" t="n">
        <v>0</v>
      </c>
      <c r="K3303" t="n">
        <v>0</v>
      </c>
      <c r="L3303" t="n">
        <v>0</v>
      </c>
      <c r="M3303" t="n">
        <v>0</v>
      </c>
      <c r="N3303" t="n">
        <v>0</v>
      </c>
      <c r="O3303" t="n">
        <v>0</v>
      </c>
      <c r="P3303" t="n">
        <v>0</v>
      </c>
      <c r="Q3303" t="n">
        <v>0</v>
      </c>
      <c r="R3303" s="2" t="inlineStr"/>
    </row>
    <row r="3304" ht="15" customHeight="1">
      <c r="A3304" t="inlineStr">
        <is>
          <t>A 31231-2023</t>
        </is>
      </c>
      <c r="B3304" s="1" t="n">
        <v>45114</v>
      </c>
      <c r="C3304" s="1" t="n">
        <v>45724</v>
      </c>
      <c r="D3304" t="inlineStr">
        <is>
          <t>VÄSTMANLANDS LÄN</t>
        </is>
      </c>
      <c r="E3304" t="inlineStr">
        <is>
          <t>KÖPING</t>
        </is>
      </c>
      <c r="F3304" t="inlineStr">
        <is>
          <t>Sveaskog</t>
        </is>
      </c>
      <c r="G3304" t="n">
        <v>1.8</v>
      </c>
      <c r="H3304" t="n">
        <v>0</v>
      </c>
      <c r="I3304" t="n">
        <v>0</v>
      </c>
      <c r="J3304" t="n">
        <v>0</v>
      </c>
      <c r="K3304" t="n">
        <v>0</v>
      </c>
      <c r="L3304" t="n">
        <v>0</v>
      </c>
      <c r="M3304" t="n">
        <v>0</v>
      </c>
      <c r="N3304" t="n">
        <v>0</v>
      </c>
      <c r="O3304" t="n">
        <v>0</v>
      </c>
      <c r="P3304" t="n">
        <v>0</v>
      </c>
      <c r="Q3304" t="n">
        <v>0</v>
      </c>
      <c r="R3304" s="2" t="inlineStr"/>
    </row>
    <row r="3305" ht="15" customHeight="1">
      <c r="A3305" t="inlineStr">
        <is>
          <t>A 31262-2023</t>
        </is>
      </c>
      <c r="B3305" s="1" t="n">
        <v>45114</v>
      </c>
      <c r="C3305" s="1" t="n">
        <v>45724</v>
      </c>
      <c r="D3305" t="inlineStr">
        <is>
          <t>VÄSTMANLANDS LÄN</t>
        </is>
      </c>
      <c r="E3305" t="inlineStr">
        <is>
          <t>SKINNSKATTEBERG</t>
        </is>
      </c>
      <c r="F3305" t="inlineStr">
        <is>
          <t>Sveaskog</t>
        </is>
      </c>
      <c r="G3305" t="n">
        <v>7.9</v>
      </c>
      <c r="H3305" t="n">
        <v>0</v>
      </c>
      <c r="I3305" t="n">
        <v>0</v>
      </c>
      <c r="J3305" t="n">
        <v>0</v>
      </c>
      <c r="K3305" t="n">
        <v>0</v>
      </c>
      <c r="L3305" t="n">
        <v>0</v>
      </c>
      <c r="M3305" t="n">
        <v>0</v>
      </c>
      <c r="N3305" t="n">
        <v>0</v>
      </c>
      <c r="O3305" t="n">
        <v>0</v>
      </c>
      <c r="P3305" t="n">
        <v>0</v>
      </c>
      <c r="Q3305" t="n">
        <v>0</v>
      </c>
      <c r="R3305" s="2" t="inlineStr"/>
    </row>
    <row r="3306" ht="15" customHeight="1">
      <c r="A3306" t="inlineStr">
        <is>
          <t>A 31245-2023</t>
        </is>
      </c>
      <c r="B3306" s="1" t="n">
        <v>45114</v>
      </c>
      <c r="C3306" s="1" t="n">
        <v>45724</v>
      </c>
      <c r="D3306" t="inlineStr">
        <is>
          <t>VÄSTMANLANDS LÄN</t>
        </is>
      </c>
      <c r="E3306" t="inlineStr">
        <is>
          <t>KUNGSÖR</t>
        </is>
      </c>
      <c r="G3306" t="n">
        <v>2.2</v>
      </c>
      <c r="H3306" t="n">
        <v>0</v>
      </c>
      <c r="I3306" t="n">
        <v>0</v>
      </c>
      <c r="J3306" t="n">
        <v>0</v>
      </c>
      <c r="K3306" t="n">
        <v>0</v>
      </c>
      <c r="L3306" t="n">
        <v>0</v>
      </c>
      <c r="M3306" t="n">
        <v>0</v>
      </c>
      <c r="N3306" t="n">
        <v>0</v>
      </c>
      <c r="O3306" t="n">
        <v>0</v>
      </c>
      <c r="P3306" t="n">
        <v>0</v>
      </c>
      <c r="Q3306" t="n">
        <v>0</v>
      </c>
      <c r="R3306" s="2" t="inlineStr"/>
    </row>
    <row r="3307" ht="15" customHeight="1">
      <c r="A3307" t="inlineStr">
        <is>
          <t>A 31357-2023</t>
        </is>
      </c>
      <c r="B3307" s="1" t="n">
        <v>45114</v>
      </c>
      <c r="C3307" s="1" t="n">
        <v>45724</v>
      </c>
      <c r="D3307" t="inlineStr">
        <is>
          <t>VÄSTMANLANDS LÄN</t>
        </is>
      </c>
      <c r="E3307" t="inlineStr">
        <is>
          <t>VÄSTERÅS</t>
        </is>
      </c>
      <c r="F3307" t="inlineStr">
        <is>
          <t>Sveaskog</t>
        </is>
      </c>
      <c r="G3307" t="n">
        <v>3.1</v>
      </c>
      <c r="H3307" t="n">
        <v>0</v>
      </c>
      <c r="I3307" t="n">
        <v>0</v>
      </c>
      <c r="J3307" t="n">
        <v>0</v>
      </c>
      <c r="K3307" t="n">
        <v>0</v>
      </c>
      <c r="L3307" t="n">
        <v>0</v>
      </c>
      <c r="M3307" t="n">
        <v>0</v>
      </c>
      <c r="N3307" t="n">
        <v>0</v>
      </c>
      <c r="O3307" t="n">
        <v>0</v>
      </c>
      <c r="P3307" t="n">
        <v>0</v>
      </c>
      <c r="Q3307" t="n">
        <v>0</v>
      </c>
      <c r="R3307" s="2" t="inlineStr"/>
    </row>
    <row r="3308" ht="15" customHeight="1">
      <c r="A3308" t="inlineStr">
        <is>
          <t>A 31356-2023</t>
        </is>
      </c>
      <c r="B3308" s="1" t="n">
        <v>45114</v>
      </c>
      <c r="C3308" s="1" t="n">
        <v>45724</v>
      </c>
      <c r="D3308" t="inlineStr">
        <is>
          <t>VÄSTMANLANDS LÄN</t>
        </is>
      </c>
      <c r="E3308" t="inlineStr">
        <is>
          <t>VÄSTERÅS</t>
        </is>
      </c>
      <c r="F3308" t="inlineStr">
        <is>
          <t>Sveaskog</t>
        </is>
      </c>
      <c r="G3308" t="n">
        <v>2.1</v>
      </c>
      <c r="H3308" t="n">
        <v>0</v>
      </c>
      <c r="I3308" t="n">
        <v>0</v>
      </c>
      <c r="J3308" t="n">
        <v>0</v>
      </c>
      <c r="K3308" t="n">
        <v>0</v>
      </c>
      <c r="L3308" t="n">
        <v>0</v>
      </c>
      <c r="M3308" t="n">
        <v>0</v>
      </c>
      <c r="N3308" t="n">
        <v>0</v>
      </c>
      <c r="O3308" t="n">
        <v>0</v>
      </c>
      <c r="P3308" t="n">
        <v>0</v>
      </c>
      <c r="Q3308" t="n">
        <v>0</v>
      </c>
      <c r="R3308" s="2" t="inlineStr"/>
    </row>
    <row r="3309" ht="15" customHeight="1">
      <c r="A3309" t="inlineStr">
        <is>
          <t>A 31260-2023</t>
        </is>
      </c>
      <c r="B3309" s="1" t="n">
        <v>45114</v>
      </c>
      <c r="C3309" s="1" t="n">
        <v>45724</v>
      </c>
      <c r="D3309" t="inlineStr">
        <is>
          <t>VÄSTMANLANDS LÄN</t>
        </is>
      </c>
      <c r="E3309" t="inlineStr">
        <is>
          <t>SKINNSKATTEBERG</t>
        </is>
      </c>
      <c r="F3309" t="inlineStr">
        <is>
          <t>Sveaskog</t>
        </is>
      </c>
      <c r="G3309" t="n">
        <v>7.9</v>
      </c>
      <c r="H3309" t="n">
        <v>0</v>
      </c>
      <c r="I3309" t="n">
        <v>0</v>
      </c>
      <c r="J3309" t="n">
        <v>0</v>
      </c>
      <c r="K3309" t="n">
        <v>0</v>
      </c>
      <c r="L3309" t="n">
        <v>0</v>
      </c>
      <c r="M3309" t="n">
        <v>0</v>
      </c>
      <c r="N3309" t="n">
        <v>0</v>
      </c>
      <c r="O3309" t="n">
        <v>0</v>
      </c>
      <c r="P3309" t="n">
        <v>0</v>
      </c>
      <c r="Q3309" t="n">
        <v>0</v>
      </c>
      <c r="R3309" s="2" t="inlineStr"/>
    </row>
    <row r="3310" ht="15" customHeight="1">
      <c r="A3310" t="inlineStr">
        <is>
          <t>A 31264-2023</t>
        </is>
      </c>
      <c r="B3310" s="1" t="n">
        <v>45114</v>
      </c>
      <c r="C3310" s="1" t="n">
        <v>45724</v>
      </c>
      <c r="D3310" t="inlineStr">
        <is>
          <t>VÄSTMANLANDS LÄN</t>
        </is>
      </c>
      <c r="E3310" t="inlineStr">
        <is>
          <t>SKINNSKATTEBERG</t>
        </is>
      </c>
      <c r="F3310" t="inlineStr">
        <is>
          <t>Sveaskog</t>
        </is>
      </c>
      <c r="G3310" t="n">
        <v>3.8</v>
      </c>
      <c r="H3310" t="n">
        <v>0</v>
      </c>
      <c r="I3310" t="n">
        <v>0</v>
      </c>
      <c r="J3310" t="n">
        <v>0</v>
      </c>
      <c r="K3310" t="n">
        <v>0</v>
      </c>
      <c r="L3310" t="n">
        <v>0</v>
      </c>
      <c r="M3310" t="n">
        <v>0</v>
      </c>
      <c r="N3310" t="n">
        <v>0</v>
      </c>
      <c r="O3310" t="n">
        <v>0</v>
      </c>
      <c r="P3310" t="n">
        <v>0</v>
      </c>
      <c r="Q3310" t="n">
        <v>0</v>
      </c>
      <c r="R3310" s="2" t="inlineStr"/>
    </row>
    <row r="3311" ht="15" customHeight="1">
      <c r="A3311" t="inlineStr">
        <is>
          <t>A 31268-2023</t>
        </is>
      </c>
      <c r="B3311" s="1" t="n">
        <v>45114</v>
      </c>
      <c r="C3311" s="1" t="n">
        <v>45724</v>
      </c>
      <c r="D3311" t="inlineStr">
        <is>
          <t>VÄSTMANLANDS LÄN</t>
        </is>
      </c>
      <c r="E3311" t="inlineStr">
        <is>
          <t>SKINNSKATTEBERG</t>
        </is>
      </c>
      <c r="F3311" t="inlineStr">
        <is>
          <t>Sveaskog</t>
        </is>
      </c>
      <c r="G3311" t="n">
        <v>1.5</v>
      </c>
      <c r="H3311" t="n">
        <v>0</v>
      </c>
      <c r="I3311" t="n">
        <v>0</v>
      </c>
      <c r="J3311" t="n">
        <v>0</v>
      </c>
      <c r="K3311" t="n">
        <v>0</v>
      </c>
      <c r="L3311" t="n">
        <v>0</v>
      </c>
      <c r="M3311" t="n">
        <v>0</v>
      </c>
      <c r="N3311" t="n">
        <v>0</v>
      </c>
      <c r="O3311" t="n">
        <v>0</v>
      </c>
      <c r="P3311" t="n">
        <v>0</v>
      </c>
      <c r="Q3311" t="n">
        <v>0</v>
      </c>
      <c r="R3311" s="2" t="inlineStr"/>
    </row>
    <row r="3312" ht="15" customHeight="1">
      <c r="A3312" t="inlineStr">
        <is>
          <t>A 31315-2023</t>
        </is>
      </c>
      <c r="B3312" s="1" t="n">
        <v>45114</v>
      </c>
      <c r="C3312" s="1" t="n">
        <v>45724</v>
      </c>
      <c r="D3312" t="inlineStr">
        <is>
          <t>VÄSTMANLANDS LÄN</t>
        </is>
      </c>
      <c r="E3312" t="inlineStr">
        <is>
          <t>SALA</t>
        </is>
      </c>
      <c r="G3312" t="n">
        <v>1.7</v>
      </c>
      <c r="H3312" t="n">
        <v>0</v>
      </c>
      <c r="I3312" t="n">
        <v>0</v>
      </c>
      <c r="J3312" t="n">
        <v>0</v>
      </c>
      <c r="K3312" t="n">
        <v>0</v>
      </c>
      <c r="L3312" t="n">
        <v>0</v>
      </c>
      <c r="M3312" t="n">
        <v>0</v>
      </c>
      <c r="N3312" t="n">
        <v>0</v>
      </c>
      <c r="O3312" t="n">
        <v>0</v>
      </c>
      <c r="P3312" t="n">
        <v>0</v>
      </c>
      <c r="Q3312" t="n">
        <v>0</v>
      </c>
      <c r="R3312" s="2" t="inlineStr"/>
    </row>
    <row r="3313" ht="15" customHeight="1">
      <c r="A3313" t="inlineStr">
        <is>
          <t>A 31646-2023</t>
        </is>
      </c>
      <c r="B3313" s="1" t="n">
        <v>45117</v>
      </c>
      <c r="C3313" s="1" t="n">
        <v>45724</v>
      </c>
      <c r="D3313" t="inlineStr">
        <is>
          <t>VÄSTMANLANDS LÄN</t>
        </is>
      </c>
      <c r="E3313" t="inlineStr">
        <is>
          <t>SALA</t>
        </is>
      </c>
      <c r="G3313" t="n">
        <v>3.5</v>
      </c>
      <c r="H3313" t="n">
        <v>0</v>
      </c>
      <c r="I3313" t="n">
        <v>0</v>
      </c>
      <c r="J3313" t="n">
        <v>0</v>
      </c>
      <c r="K3313" t="n">
        <v>0</v>
      </c>
      <c r="L3313" t="n">
        <v>0</v>
      </c>
      <c r="M3313" t="n">
        <v>0</v>
      </c>
      <c r="N3313" t="n">
        <v>0</v>
      </c>
      <c r="O3313" t="n">
        <v>0</v>
      </c>
      <c r="P3313" t="n">
        <v>0</v>
      </c>
      <c r="Q3313" t="n">
        <v>0</v>
      </c>
      <c r="R3313" s="2" t="inlineStr"/>
    </row>
    <row r="3314" ht="15" customHeight="1">
      <c r="A3314" t="inlineStr">
        <is>
          <t>A 31859-2023</t>
        </is>
      </c>
      <c r="B3314" s="1" t="n">
        <v>45118</v>
      </c>
      <c r="C3314" s="1" t="n">
        <v>45724</v>
      </c>
      <c r="D3314" t="inlineStr">
        <is>
          <t>VÄSTMANLANDS LÄN</t>
        </is>
      </c>
      <c r="E3314" t="inlineStr">
        <is>
          <t>SALA</t>
        </is>
      </c>
      <c r="G3314" t="n">
        <v>0.5</v>
      </c>
      <c r="H3314" t="n">
        <v>0</v>
      </c>
      <c r="I3314" t="n">
        <v>0</v>
      </c>
      <c r="J3314" t="n">
        <v>0</v>
      </c>
      <c r="K3314" t="n">
        <v>0</v>
      </c>
      <c r="L3314" t="n">
        <v>0</v>
      </c>
      <c r="M3314" t="n">
        <v>0</v>
      </c>
      <c r="N3314" t="n">
        <v>0</v>
      </c>
      <c r="O3314" t="n">
        <v>0</v>
      </c>
      <c r="P3314" t="n">
        <v>0</v>
      </c>
      <c r="Q3314" t="n">
        <v>0</v>
      </c>
      <c r="R3314" s="2" t="inlineStr"/>
      <c r="U3314">
        <f>HYPERLINK("https://klasma.github.io/Logging_1981/knärot/A 31859-2023 karta knärot.png", "A 31859-2023")</f>
        <v/>
      </c>
      <c r="V3314">
        <f>HYPERLINK("https://klasma.github.io/Logging_1981/klagomål/A 31859-2023 FSC-klagomål.docx", "A 31859-2023")</f>
        <v/>
      </c>
      <c r="W3314">
        <f>HYPERLINK("https://klasma.github.io/Logging_1981/klagomålsmail/A 31859-2023 FSC-klagomål mail.docx", "A 31859-2023")</f>
        <v/>
      </c>
      <c r="X3314">
        <f>HYPERLINK("https://klasma.github.io/Logging_1981/tillsyn/A 31859-2023 tillsynsbegäran.docx", "A 31859-2023")</f>
        <v/>
      </c>
      <c r="Y3314">
        <f>HYPERLINK("https://klasma.github.io/Logging_1981/tillsynsmail/A 31859-2023 tillsynsbegäran mail.docx", "A 31859-2023")</f>
        <v/>
      </c>
    </row>
    <row r="3315" ht="15" customHeight="1">
      <c r="A3315" t="inlineStr">
        <is>
          <t>A 32052-2023</t>
        </is>
      </c>
      <c r="B3315" s="1" t="n">
        <v>45119</v>
      </c>
      <c r="C3315" s="1" t="n">
        <v>45724</v>
      </c>
      <c r="D3315" t="inlineStr">
        <is>
          <t>VÄSTMANLANDS LÄN</t>
        </is>
      </c>
      <c r="E3315" t="inlineStr">
        <is>
          <t>VÄSTERÅS</t>
        </is>
      </c>
      <c r="F3315" t="inlineStr">
        <is>
          <t>Sveaskog</t>
        </is>
      </c>
      <c r="G3315" t="n">
        <v>10.4</v>
      </c>
      <c r="H3315" t="n">
        <v>0</v>
      </c>
      <c r="I3315" t="n">
        <v>0</v>
      </c>
      <c r="J3315" t="n">
        <v>0</v>
      </c>
      <c r="K3315" t="n">
        <v>0</v>
      </c>
      <c r="L3315" t="n">
        <v>0</v>
      </c>
      <c r="M3315" t="n">
        <v>0</v>
      </c>
      <c r="N3315" t="n">
        <v>0</v>
      </c>
      <c r="O3315" t="n">
        <v>0</v>
      </c>
      <c r="P3315" t="n">
        <v>0</v>
      </c>
      <c r="Q3315" t="n">
        <v>0</v>
      </c>
      <c r="R3315" s="2" t="inlineStr"/>
    </row>
    <row r="3316" ht="15" customHeight="1">
      <c r="A3316" t="inlineStr">
        <is>
          <t>A 32057-2023</t>
        </is>
      </c>
      <c r="B3316" s="1" t="n">
        <v>45119</v>
      </c>
      <c r="C3316" s="1" t="n">
        <v>45724</v>
      </c>
      <c r="D3316" t="inlineStr">
        <is>
          <t>VÄSTMANLANDS LÄN</t>
        </is>
      </c>
      <c r="E3316" t="inlineStr">
        <is>
          <t>VÄSTERÅS</t>
        </is>
      </c>
      <c r="F3316" t="inlineStr">
        <is>
          <t>Sveaskog</t>
        </is>
      </c>
      <c r="G3316" t="n">
        <v>2.9</v>
      </c>
      <c r="H3316" t="n">
        <v>0</v>
      </c>
      <c r="I3316" t="n">
        <v>0</v>
      </c>
      <c r="J3316" t="n">
        <v>0</v>
      </c>
      <c r="K3316" t="n">
        <v>0</v>
      </c>
      <c r="L3316" t="n">
        <v>0</v>
      </c>
      <c r="M3316" t="n">
        <v>0</v>
      </c>
      <c r="N3316" t="n">
        <v>0</v>
      </c>
      <c r="O3316" t="n">
        <v>0</v>
      </c>
      <c r="P3316" t="n">
        <v>0</v>
      </c>
      <c r="Q3316" t="n">
        <v>0</v>
      </c>
      <c r="R3316" s="2" t="inlineStr"/>
    </row>
    <row r="3317" ht="15" customHeight="1">
      <c r="A3317" t="inlineStr">
        <is>
          <t>A 32093-2023</t>
        </is>
      </c>
      <c r="B3317" s="1" t="n">
        <v>45119</v>
      </c>
      <c r="C3317" s="1" t="n">
        <v>45724</v>
      </c>
      <c r="D3317" t="inlineStr">
        <is>
          <t>VÄSTMANLANDS LÄN</t>
        </is>
      </c>
      <c r="E3317" t="inlineStr">
        <is>
          <t>NORBERG</t>
        </is>
      </c>
      <c r="G3317" t="n">
        <v>7.1</v>
      </c>
      <c r="H3317" t="n">
        <v>0</v>
      </c>
      <c r="I3317" t="n">
        <v>0</v>
      </c>
      <c r="J3317" t="n">
        <v>0</v>
      </c>
      <c r="K3317" t="n">
        <v>0</v>
      </c>
      <c r="L3317" t="n">
        <v>0</v>
      </c>
      <c r="M3317" t="n">
        <v>0</v>
      </c>
      <c r="N3317" t="n">
        <v>0</v>
      </c>
      <c r="O3317" t="n">
        <v>0</v>
      </c>
      <c r="P3317" t="n">
        <v>0</v>
      </c>
      <c r="Q3317" t="n">
        <v>0</v>
      </c>
      <c r="R3317" s="2" t="inlineStr"/>
    </row>
    <row r="3318" ht="15" customHeight="1">
      <c r="A3318" t="inlineStr">
        <is>
          <t>A 32053-2023</t>
        </is>
      </c>
      <c r="B3318" s="1" t="n">
        <v>45119</v>
      </c>
      <c r="C3318" s="1" t="n">
        <v>45724</v>
      </c>
      <c r="D3318" t="inlineStr">
        <is>
          <t>VÄSTMANLANDS LÄN</t>
        </is>
      </c>
      <c r="E3318" t="inlineStr">
        <is>
          <t>VÄSTERÅS</t>
        </is>
      </c>
      <c r="F3318" t="inlineStr">
        <is>
          <t>Sveaskog</t>
        </is>
      </c>
      <c r="G3318" t="n">
        <v>4.2</v>
      </c>
      <c r="H3318" t="n">
        <v>0</v>
      </c>
      <c r="I3318" t="n">
        <v>0</v>
      </c>
      <c r="J3318" t="n">
        <v>0</v>
      </c>
      <c r="K3318" t="n">
        <v>0</v>
      </c>
      <c r="L3318" t="n">
        <v>0</v>
      </c>
      <c r="M3318" t="n">
        <v>0</v>
      </c>
      <c r="N3318" t="n">
        <v>0</v>
      </c>
      <c r="O3318" t="n">
        <v>0</v>
      </c>
      <c r="P3318" t="n">
        <v>0</v>
      </c>
      <c r="Q3318" t="n">
        <v>0</v>
      </c>
      <c r="R3318" s="2" t="inlineStr"/>
    </row>
    <row r="3319" ht="15" customHeight="1">
      <c r="A3319" t="inlineStr">
        <is>
          <t>A 32524-2023</t>
        </is>
      </c>
      <c r="B3319" s="1" t="n">
        <v>45121</v>
      </c>
      <c r="C3319" s="1" t="n">
        <v>45724</v>
      </c>
      <c r="D3319" t="inlineStr">
        <is>
          <t>VÄSTMANLANDS LÄN</t>
        </is>
      </c>
      <c r="E3319" t="inlineStr">
        <is>
          <t>NORBERG</t>
        </is>
      </c>
      <c r="G3319" t="n">
        <v>1.7</v>
      </c>
      <c r="H3319" t="n">
        <v>0</v>
      </c>
      <c r="I3319" t="n">
        <v>0</v>
      </c>
      <c r="J3319" t="n">
        <v>0</v>
      </c>
      <c r="K3319" t="n">
        <v>0</v>
      </c>
      <c r="L3319" t="n">
        <v>0</v>
      </c>
      <c r="M3319" t="n">
        <v>0</v>
      </c>
      <c r="N3319" t="n">
        <v>0</v>
      </c>
      <c r="O3319" t="n">
        <v>0</v>
      </c>
      <c r="P3319" t="n">
        <v>0</v>
      </c>
      <c r="Q3319" t="n">
        <v>0</v>
      </c>
      <c r="R3319" s="2" t="inlineStr"/>
    </row>
    <row r="3320" ht="15" customHeight="1">
      <c r="A3320" t="inlineStr">
        <is>
          <t>A 32529-2023</t>
        </is>
      </c>
      <c r="B3320" s="1" t="n">
        <v>45121</v>
      </c>
      <c r="C3320" s="1" t="n">
        <v>45724</v>
      </c>
      <c r="D3320" t="inlineStr">
        <is>
          <t>VÄSTMANLANDS LÄN</t>
        </is>
      </c>
      <c r="E3320" t="inlineStr">
        <is>
          <t>NORBERG</t>
        </is>
      </c>
      <c r="G3320" t="n">
        <v>1.2</v>
      </c>
      <c r="H3320" t="n">
        <v>0</v>
      </c>
      <c r="I3320" t="n">
        <v>0</v>
      </c>
      <c r="J3320" t="n">
        <v>0</v>
      </c>
      <c r="K3320" t="n">
        <v>0</v>
      </c>
      <c r="L3320" t="n">
        <v>0</v>
      </c>
      <c r="M3320" t="n">
        <v>0</v>
      </c>
      <c r="N3320" t="n">
        <v>0</v>
      </c>
      <c r="O3320" t="n">
        <v>0</v>
      </c>
      <c r="P3320" t="n">
        <v>0</v>
      </c>
      <c r="Q3320" t="n">
        <v>0</v>
      </c>
      <c r="R3320" s="2" t="inlineStr"/>
    </row>
    <row r="3321" ht="15" customHeight="1">
      <c r="A3321" t="inlineStr">
        <is>
          <t>A 32606-2023</t>
        </is>
      </c>
      <c r="B3321" s="1" t="n">
        <v>45121</v>
      </c>
      <c r="C3321" s="1" t="n">
        <v>45724</v>
      </c>
      <c r="D3321" t="inlineStr">
        <is>
          <t>VÄSTMANLANDS LÄN</t>
        </is>
      </c>
      <c r="E3321" t="inlineStr">
        <is>
          <t>VÄSTERÅS</t>
        </is>
      </c>
      <c r="F3321" t="inlineStr">
        <is>
          <t>Sveaskog</t>
        </is>
      </c>
      <c r="G3321" t="n">
        <v>2</v>
      </c>
      <c r="H3321" t="n">
        <v>0</v>
      </c>
      <c r="I3321" t="n">
        <v>0</v>
      </c>
      <c r="J3321" t="n">
        <v>0</v>
      </c>
      <c r="K3321" t="n">
        <v>0</v>
      </c>
      <c r="L3321" t="n">
        <v>0</v>
      </c>
      <c r="M3321" t="n">
        <v>0</v>
      </c>
      <c r="N3321" t="n">
        <v>0</v>
      </c>
      <c r="O3321" t="n">
        <v>0</v>
      </c>
      <c r="P3321" t="n">
        <v>0</v>
      </c>
      <c r="Q3321" t="n">
        <v>0</v>
      </c>
      <c r="R3321" s="2" t="inlineStr"/>
    </row>
    <row r="3322" ht="15" customHeight="1">
      <c r="A3322" t="inlineStr">
        <is>
          <t>A 32513-2023</t>
        </is>
      </c>
      <c r="B3322" s="1" t="n">
        <v>45121</v>
      </c>
      <c r="C3322" s="1" t="n">
        <v>45724</v>
      </c>
      <c r="D3322" t="inlineStr">
        <is>
          <t>VÄSTMANLANDS LÄN</t>
        </is>
      </c>
      <c r="E3322" t="inlineStr">
        <is>
          <t>NORBERG</t>
        </is>
      </c>
      <c r="G3322" t="n">
        <v>1.6</v>
      </c>
      <c r="H3322" t="n">
        <v>0</v>
      </c>
      <c r="I3322" t="n">
        <v>0</v>
      </c>
      <c r="J3322" t="n">
        <v>0</v>
      </c>
      <c r="K3322" t="n">
        <v>0</v>
      </c>
      <c r="L3322" t="n">
        <v>0</v>
      </c>
      <c r="M3322" t="n">
        <v>0</v>
      </c>
      <c r="N3322" t="n">
        <v>0</v>
      </c>
      <c r="O3322" t="n">
        <v>0</v>
      </c>
      <c r="P3322" t="n">
        <v>0</v>
      </c>
      <c r="Q3322" t="n">
        <v>0</v>
      </c>
      <c r="R3322" s="2" t="inlineStr"/>
    </row>
    <row r="3323" ht="15" customHeight="1">
      <c r="A3323" t="inlineStr">
        <is>
          <t>A 32604-2023</t>
        </is>
      </c>
      <c r="B3323" s="1" t="n">
        <v>45121</v>
      </c>
      <c r="C3323" s="1" t="n">
        <v>45724</v>
      </c>
      <c r="D3323" t="inlineStr">
        <is>
          <t>VÄSTMANLANDS LÄN</t>
        </is>
      </c>
      <c r="E3323" t="inlineStr">
        <is>
          <t>VÄSTERÅS</t>
        </is>
      </c>
      <c r="F3323" t="inlineStr">
        <is>
          <t>Sveaskog</t>
        </is>
      </c>
      <c r="G3323" t="n">
        <v>1.4</v>
      </c>
      <c r="H3323" t="n">
        <v>0</v>
      </c>
      <c r="I3323" t="n">
        <v>0</v>
      </c>
      <c r="J3323" t="n">
        <v>0</v>
      </c>
      <c r="K3323" t="n">
        <v>0</v>
      </c>
      <c r="L3323" t="n">
        <v>0</v>
      </c>
      <c r="M3323" t="n">
        <v>0</v>
      </c>
      <c r="N3323" t="n">
        <v>0</v>
      </c>
      <c r="O3323" t="n">
        <v>0</v>
      </c>
      <c r="P3323" t="n">
        <v>0</v>
      </c>
      <c r="Q3323" t="n">
        <v>0</v>
      </c>
      <c r="R3323" s="2" t="inlineStr"/>
    </row>
    <row r="3324" ht="15" customHeight="1">
      <c r="A3324" t="inlineStr">
        <is>
          <t>A 32516-2023</t>
        </is>
      </c>
      <c r="B3324" s="1" t="n">
        <v>45121</v>
      </c>
      <c r="C3324" s="1" t="n">
        <v>45724</v>
      </c>
      <c r="D3324" t="inlineStr">
        <is>
          <t>VÄSTMANLANDS LÄN</t>
        </is>
      </c>
      <c r="E3324" t="inlineStr">
        <is>
          <t>NORBERG</t>
        </is>
      </c>
      <c r="G3324" t="n">
        <v>1.4</v>
      </c>
      <c r="H3324" t="n">
        <v>0</v>
      </c>
      <c r="I3324" t="n">
        <v>0</v>
      </c>
      <c r="J3324" t="n">
        <v>0</v>
      </c>
      <c r="K3324" t="n">
        <v>0</v>
      </c>
      <c r="L3324" t="n">
        <v>0</v>
      </c>
      <c r="M3324" t="n">
        <v>0</v>
      </c>
      <c r="N3324" t="n">
        <v>0</v>
      </c>
      <c r="O3324" t="n">
        <v>0</v>
      </c>
      <c r="P3324" t="n">
        <v>0</v>
      </c>
      <c r="Q3324" t="n">
        <v>0</v>
      </c>
      <c r="R3324" s="2" t="inlineStr"/>
    </row>
    <row r="3325" ht="15" customHeight="1">
      <c r="A3325" t="inlineStr">
        <is>
          <t>A 32637-2023</t>
        </is>
      </c>
      <c r="B3325" s="1" t="n">
        <v>45121</v>
      </c>
      <c r="C3325" s="1" t="n">
        <v>45724</v>
      </c>
      <c r="D3325" t="inlineStr">
        <is>
          <t>VÄSTMANLANDS LÄN</t>
        </is>
      </c>
      <c r="E3325" t="inlineStr">
        <is>
          <t>VÄSTERÅS</t>
        </is>
      </c>
      <c r="G3325" t="n">
        <v>3.5</v>
      </c>
      <c r="H3325" t="n">
        <v>0</v>
      </c>
      <c r="I3325" t="n">
        <v>0</v>
      </c>
      <c r="J3325" t="n">
        <v>0</v>
      </c>
      <c r="K3325" t="n">
        <v>0</v>
      </c>
      <c r="L3325" t="n">
        <v>0</v>
      </c>
      <c r="M3325" t="n">
        <v>0</v>
      </c>
      <c r="N3325" t="n">
        <v>0</v>
      </c>
      <c r="O3325" t="n">
        <v>0</v>
      </c>
      <c r="P3325" t="n">
        <v>0</v>
      </c>
      <c r="Q3325" t="n">
        <v>0</v>
      </c>
      <c r="R3325" s="2" t="inlineStr"/>
    </row>
    <row r="3326" ht="15" customHeight="1">
      <c r="A3326" t="inlineStr">
        <is>
          <t>A 32635-2023</t>
        </is>
      </c>
      <c r="B3326" s="1" t="n">
        <v>45121</v>
      </c>
      <c r="C3326" s="1" t="n">
        <v>45724</v>
      </c>
      <c r="D3326" t="inlineStr">
        <is>
          <t>VÄSTMANLANDS LÄN</t>
        </is>
      </c>
      <c r="E3326" t="inlineStr">
        <is>
          <t>VÄSTERÅS</t>
        </is>
      </c>
      <c r="G3326" t="n">
        <v>1</v>
      </c>
      <c r="H3326" t="n">
        <v>0</v>
      </c>
      <c r="I3326" t="n">
        <v>0</v>
      </c>
      <c r="J3326" t="n">
        <v>0</v>
      </c>
      <c r="K3326" t="n">
        <v>0</v>
      </c>
      <c r="L3326" t="n">
        <v>0</v>
      </c>
      <c r="M3326" t="n">
        <v>0</v>
      </c>
      <c r="N3326" t="n">
        <v>0</v>
      </c>
      <c r="O3326" t="n">
        <v>0</v>
      </c>
      <c r="P3326" t="n">
        <v>0</v>
      </c>
      <c r="Q3326" t="n">
        <v>0</v>
      </c>
      <c r="R3326" s="2" t="inlineStr"/>
    </row>
    <row r="3327" ht="15" customHeight="1">
      <c r="A3327" t="inlineStr">
        <is>
          <t>A 33909-2023</t>
        </is>
      </c>
      <c r="B3327" s="1" t="n">
        <v>45122</v>
      </c>
      <c r="C3327" s="1" t="n">
        <v>45724</v>
      </c>
      <c r="D3327" t="inlineStr">
        <is>
          <t>VÄSTMANLANDS LÄN</t>
        </is>
      </c>
      <c r="E3327" t="inlineStr">
        <is>
          <t>NORBERG</t>
        </is>
      </c>
      <c r="G3327" t="n">
        <v>10.8</v>
      </c>
      <c r="H3327" t="n">
        <v>0</v>
      </c>
      <c r="I3327" t="n">
        <v>0</v>
      </c>
      <c r="J3327" t="n">
        <v>0</v>
      </c>
      <c r="K3327" t="n">
        <v>0</v>
      </c>
      <c r="L3327" t="n">
        <v>0</v>
      </c>
      <c r="M3327" t="n">
        <v>0</v>
      </c>
      <c r="N3327" t="n">
        <v>0</v>
      </c>
      <c r="O3327" t="n">
        <v>0</v>
      </c>
      <c r="P3327" t="n">
        <v>0</v>
      </c>
      <c r="Q3327" t="n">
        <v>0</v>
      </c>
      <c r="R3327" s="2" t="inlineStr"/>
    </row>
    <row r="3328" ht="15" customHeight="1">
      <c r="A3328" t="inlineStr">
        <is>
          <t>A 32998-2023</t>
        </is>
      </c>
      <c r="B3328" s="1" t="n">
        <v>45125</v>
      </c>
      <c r="C3328" s="1" t="n">
        <v>45724</v>
      </c>
      <c r="D3328" t="inlineStr">
        <is>
          <t>VÄSTMANLANDS LÄN</t>
        </is>
      </c>
      <c r="E3328" t="inlineStr">
        <is>
          <t>VÄSTERÅS</t>
        </is>
      </c>
      <c r="F3328" t="inlineStr">
        <is>
          <t>Sveaskog</t>
        </is>
      </c>
      <c r="G3328" t="n">
        <v>0.6</v>
      </c>
      <c r="H3328" t="n">
        <v>0</v>
      </c>
      <c r="I3328" t="n">
        <v>0</v>
      </c>
      <c r="J3328" t="n">
        <v>0</v>
      </c>
      <c r="K3328" t="n">
        <v>0</v>
      </c>
      <c r="L3328" t="n">
        <v>0</v>
      </c>
      <c r="M3328" t="n">
        <v>0</v>
      </c>
      <c r="N3328" t="n">
        <v>0</v>
      </c>
      <c r="O3328" t="n">
        <v>0</v>
      </c>
      <c r="P3328" t="n">
        <v>0</v>
      </c>
      <c r="Q3328" t="n">
        <v>0</v>
      </c>
      <c r="R3328" s="2" t="inlineStr"/>
    </row>
    <row r="3329" ht="15" customHeight="1">
      <c r="A3329" t="inlineStr">
        <is>
          <t>A 32945-2023</t>
        </is>
      </c>
      <c r="B3329" s="1" t="n">
        <v>45125</v>
      </c>
      <c r="C3329" s="1" t="n">
        <v>45724</v>
      </c>
      <c r="D3329" t="inlineStr">
        <is>
          <t>VÄSTMANLANDS LÄN</t>
        </is>
      </c>
      <c r="E3329" t="inlineStr">
        <is>
          <t>SALA</t>
        </is>
      </c>
      <c r="G3329" t="n">
        <v>1.5</v>
      </c>
      <c r="H3329" t="n">
        <v>0</v>
      </c>
      <c r="I3329" t="n">
        <v>0</v>
      </c>
      <c r="J3329" t="n">
        <v>0</v>
      </c>
      <c r="K3329" t="n">
        <v>0</v>
      </c>
      <c r="L3329" t="n">
        <v>0</v>
      </c>
      <c r="M3329" t="n">
        <v>0</v>
      </c>
      <c r="N3329" t="n">
        <v>0</v>
      </c>
      <c r="O3329" t="n">
        <v>0</v>
      </c>
      <c r="P3329" t="n">
        <v>0</v>
      </c>
      <c r="Q3329" t="n">
        <v>0</v>
      </c>
      <c r="R3329" s="2" t="inlineStr"/>
    </row>
    <row r="3330" ht="15" customHeight="1">
      <c r="A3330" t="inlineStr">
        <is>
          <t>A 33007-2023</t>
        </is>
      </c>
      <c r="B3330" s="1" t="n">
        <v>45125</v>
      </c>
      <c r="C3330" s="1" t="n">
        <v>45724</v>
      </c>
      <c r="D3330" t="inlineStr">
        <is>
          <t>VÄSTMANLANDS LÄN</t>
        </is>
      </c>
      <c r="E3330" t="inlineStr">
        <is>
          <t>FAGERSTA</t>
        </is>
      </c>
      <c r="F3330" t="inlineStr">
        <is>
          <t>Sveaskog</t>
        </is>
      </c>
      <c r="G3330" t="n">
        <v>3.7</v>
      </c>
      <c r="H3330" t="n">
        <v>0</v>
      </c>
      <c r="I3330" t="n">
        <v>0</v>
      </c>
      <c r="J3330" t="n">
        <v>0</v>
      </c>
      <c r="K3330" t="n">
        <v>0</v>
      </c>
      <c r="L3330" t="n">
        <v>0</v>
      </c>
      <c r="M3330" t="n">
        <v>0</v>
      </c>
      <c r="N3330" t="n">
        <v>0</v>
      </c>
      <c r="O3330" t="n">
        <v>0</v>
      </c>
      <c r="P3330" t="n">
        <v>0</v>
      </c>
      <c r="Q3330" t="n">
        <v>0</v>
      </c>
      <c r="R3330" s="2" t="inlineStr"/>
    </row>
    <row r="3331" ht="15" customHeight="1">
      <c r="A3331" t="inlineStr">
        <is>
          <t>A 32997-2023</t>
        </is>
      </c>
      <c r="B3331" s="1" t="n">
        <v>45125</v>
      </c>
      <c r="C3331" s="1" t="n">
        <v>45724</v>
      </c>
      <c r="D3331" t="inlineStr">
        <is>
          <t>VÄSTMANLANDS LÄN</t>
        </is>
      </c>
      <c r="E3331" t="inlineStr">
        <is>
          <t>VÄSTERÅS</t>
        </is>
      </c>
      <c r="F3331" t="inlineStr">
        <is>
          <t>Sveaskog</t>
        </is>
      </c>
      <c r="G3331" t="n">
        <v>0.8</v>
      </c>
      <c r="H3331" t="n">
        <v>0</v>
      </c>
      <c r="I3331" t="n">
        <v>0</v>
      </c>
      <c r="J3331" t="n">
        <v>0</v>
      </c>
      <c r="K3331" t="n">
        <v>0</v>
      </c>
      <c r="L3331" t="n">
        <v>0</v>
      </c>
      <c r="M3331" t="n">
        <v>0</v>
      </c>
      <c r="N3331" t="n">
        <v>0</v>
      </c>
      <c r="O3331" t="n">
        <v>0</v>
      </c>
      <c r="P3331" t="n">
        <v>0</v>
      </c>
      <c r="Q3331" t="n">
        <v>0</v>
      </c>
      <c r="R3331" s="2" t="inlineStr"/>
    </row>
    <row r="3332" ht="15" customHeight="1">
      <c r="A3332" t="inlineStr">
        <is>
          <t>A 33086-2023</t>
        </is>
      </c>
      <c r="B3332" s="1" t="n">
        <v>45126</v>
      </c>
      <c r="C3332" s="1" t="n">
        <v>45724</v>
      </c>
      <c r="D3332" t="inlineStr">
        <is>
          <t>VÄSTMANLANDS LÄN</t>
        </is>
      </c>
      <c r="E3332" t="inlineStr">
        <is>
          <t>SKINNSKATTEBERG</t>
        </is>
      </c>
      <c r="G3332" t="n">
        <v>3.8</v>
      </c>
      <c r="H3332" t="n">
        <v>0</v>
      </c>
      <c r="I3332" t="n">
        <v>0</v>
      </c>
      <c r="J3332" t="n">
        <v>0</v>
      </c>
      <c r="K3332" t="n">
        <v>0</v>
      </c>
      <c r="L3332" t="n">
        <v>0</v>
      </c>
      <c r="M3332" t="n">
        <v>0</v>
      </c>
      <c r="N3332" t="n">
        <v>0</v>
      </c>
      <c r="O3332" t="n">
        <v>0</v>
      </c>
      <c r="P3332" t="n">
        <v>0</v>
      </c>
      <c r="Q3332" t="n">
        <v>0</v>
      </c>
      <c r="R3332" s="2" t="inlineStr"/>
    </row>
    <row r="3333" ht="15" customHeight="1">
      <c r="A3333" t="inlineStr">
        <is>
          <t>A 33152-2023</t>
        </is>
      </c>
      <c r="B3333" s="1" t="n">
        <v>45126</v>
      </c>
      <c r="C3333" s="1" t="n">
        <v>45724</v>
      </c>
      <c r="D3333" t="inlineStr">
        <is>
          <t>VÄSTMANLANDS LÄN</t>
        </is>
      </c>
      <c r="E3333" t="inlineStr">
        <is>
          <t>SALA</t>
        </is>
      </c>
      <c r="F3333" t="inlineStr">
        <is>
          <t>Sveaskog</t>
        </is>
      </c>
      <c r="G3333" t="n">
        <v>1.3</v>
      </c>
      <c r="H3333" t="n">
        <v>0</v>
      </c>
      <c r="I3333" t="n">
        <v>0</v>
      </c>
      <c r="J3333" t="n">
        <v>0</v>
      </c>
      <c r="K3333" t="n">
        <v>0</v>
      </c>
      <c r="L3333" t="n">
        <v>0</v>
      </c>
      <c r="M3333" t="n">
        <v>0</v>
      </c>
      <c r="N3333" t="n">
        <v>0</v>
      </c>
      <c r="O3333" t="n">
        <v>0</v>
      </c>
      <c r="P3333" t="n">
        <v>0</v>
      </c>
      <c r="Q3333" t="n">
        <v>0</v>
      </c>
      <c r="R3333" s="2" t="inlineStr"/>
    </row>
    <row r="3334" ht="15" customHeight="1">
      <c r="A3334" t="inlineStr">
        <is>
          <t>A 33151-2023</t>
        </is>
      </c>
      <c r="B3334" s="1" t="n">
        <v>45126</v>
      </c>
      <c r="C3334" s="1" t="n">
        <v>45724</v>
      </c>
      <c r="D3334" t="inlineStr">
        <is>
          <t>VÄSTMANLANDS LÄN</t>
        </is>
      </c>
      <c r="E3334" t="inlineStr">
        <is>
          <t>SALA</t>
        </is>
      </c>
      <c r="F3334" t="inlineStr">
        <is>
          <t>Sveaskog</t>
        </is>
      </c>
      <c r="G3334" t="n">
        <v>1.6</v>
      </c>
      <c r="H3334" t="n">
        <v>0</v>
      </c>
      <c r="I3334" t="n">
        <v>0</v>
      </c>
      <c r="J3334" t="n">
        <v>0</v>
      </c>
      <c r="K3334" t="n">
        <v>0</v>
      </c>
      <c r="L3334" t="n">
        <v>0</v>
      </c>
      <c r="M3334" t="n">
        <v>0</v>
      </c>
      <c r="N3334" t="n">
        <v>0</v>
      </c>
      <c r="O3334" t="n">
        <v>0</v>
      </c>
      <c r="P3334" t="n">
        <v>0</v>
      </c>
      <c r="Q3334" t="n">
        <v>0</v>
      </c>
      <c r="R3334" s="2" t="inlineStr"/>
    </row>
    <row r="3335" ht="15" customHeight="1">
      <c r="A3335" t="inlineStr">
        <is>
          <t>A 33180-2023</t>
        </is>
      </c>
      <c r="B3335" s="1" t="n">
        <v>45127</v>
      </c>
      <c r="C3335" s="1" t="n">
        <v>45724</v>
      </c>
      <c r="D3335" t="inlineStr">
        <is>
          <t>VÄSTMANLANDS LÄN</t>
        </is>
      </c>
      <c r="E3335" t="inlineStr">
        <is>
          <t>SALA</t>
        </is>
      </c>
      <c r="G3335" t="n">
        <v>2.5</v>
      </c>
      <c r="H3335" t="n">
        <v>0</v>
      </c>
      <c r="I3335" t="n">
        <v>0</v>
      </c>
      <c r="J3335" t="n">
        <v>0</v>
      </c>
      <c r="K3335" t="n">
        <v>0</v>
      </c>
      <c r="L3335" t="n">
        <v>0</v>
      </c>
      <c r="M3335" t="n">
        <v>0</v>
      </c>
      <c r="N3335" t="n">
        <v>0</v>
      </c>
      <c r="O3335" t="n">
        <v>0</v>
      </c>
      <c r="P3335" t="n">
        <v>0</v>
      </c>
      <c r="Q3335" t="n">
        <v>0</v>
      </c>
      <c r="R3335" s="2" t="inlineStr"/>
    </row>
    <row r="3336" ht="15" customHeight="1">
      <c r="A3336" t="inlineStr">
        <is>
          <t>A 33273-2023</t>
        </is>
      </c>
      <c r="B3336" s="1" t="n">
        <v>45127</v>
      </c>
      <c r="C3336" s="1" t="n">
        <v>45724</v>
      </c>
      <c r="D3336" t="inlineStr">
        <is>
          <t>VÄSTMANLANDS LÄN</t>
        </is>
      </c>
      <c r="E3336" t="inlineStr">
        <is>
          <t>SALA</t>
        </is>
      </c>
      <c r="G3336" t="n">
        <v>2.6</v>
      </c>
      <c r="H3336" t="n">
        <v>0</v>
      </c>
      <c r="I3336" t="n">
        <v>0</v>
      </c>
      <c r="J3336" t="n">
        <v>0</v>
      </c>
      <c r="K3336" t="n">
        <v>0</v>
      </c>
      <c r="L3336" t="n">
        <v>0</v>
      </c>
      <c r="M3336" t="n">
        <v>0</v>
      </c>
      <c r="N3336" t="n">
        <v>0</v>
      </c>
      <c r="O3336" t="n">
        <v>0</v>
      </c>
      <c r="P3336" t="n">
        <v>0</v>
      </c>
      <c r="Q3336" t="n">
        <v>0</v>
      </c>
      <c r="R3336" s="2" t="inlineStr"/>
    </row>
    <row r="3337" ht="15" customHeight="1">
      <c r="A3337" t="inlineStr">
        <is>
          <t>A 33357-2023</t>
        </is>
      </c>
      <c r="B3337" s="1" t="n">
        <v>45128</v>
      </c>
      <c r="C3337" s="1" t="n">
        <v>45724</v>
      </c>
      <c r="D3337" t="inlineStr">
        <is>
          <t>VÄSTMANLANDS LÄN</t>
        </is>
      </c>
      <c r="E3337" t="inlineStr">
        <is>
          <t>FAGERSTA</t>
        </is>
      </c>
      <c r="F3337" t="inlineStr">
        <is>
          <t>Sveaskog</t>
        </is>
      </c>
      <c r="G3337" t="n">
        <v>1.8</v>
      </c>
      <c r="H3337" t="n">
        <v>0</v>
      </c>
      <c r="I3337" t="n">
        <v>0</v>
      </c>
      <c r="J3337" t="n">
        <v>0</v>
      </c>
      <c r="K3337" t="n">
        <v>0</v>
      </c>
      <c r="L3337" t="n">
        <v>0</v>
      </c>
      <c r="M3337" t="n">
        <v>0</v>
      </c>
      <c r="N3337" t="n">
        <v>0</v>
      </c>
      <c r="O3337" t="n">
        <v>0</v>
      </c>
      <c r="P3337" t="n">
        <v>0</v>
      </c>
      <c r="Q3337" t="n">
        <v>0</v>
      </c>
      <c r="R3337" s="2" t="inlineStr"/>
    </row>
    <row r="3338" ht="15" customHeight="1">
      <c r="A3338" t="inlineStr">
        <is>
          <t>A 33406-2023</t>
        </is>
      </c>
      <c r="B3338" s="1" t="n">
        <v>45128</v>
      </c>
      <c r="C3338" s="1" t="n">
        <v>45724</v>
      </c>
      <c r="D3338" t="inlineStr">
        <is>
          <t>VÄSTMANLANDS LÄN</t>
        </is>
      </c>
      <c r="E3338" t="inlineStr">
        <is>
          <t>SKINNSKATTEBERG</t>
        </is>
      </c>
      <c r="G3338" t="n">
        <v>5.9</v>
      </c>
      <c r="H3338" t="n">
        <v>0</v>
      </c>
      <c r="I3338" t="n">
        <v>0</v>
      </c>
      <c r="J3338" t="n">
        <v>0</v>
      </c>
      <c r="K3338" t="n">
        <v>0</v>
      </c>
      <c r="L3338" t="n">
        <v>0</v>
      </c>
      <c r="M3338" t="n">
        <v>0</v>
      </c>
      <c r="N3338" t="n">
        <v>0</v>
      </c>
      <c r="O3338" t="n">
        <v>0</v>
      </c>
      <c r="P3338" t="n">
        <v>0</v>
      </c>
      <c r="Q3338" t="n">
        <v>0</v>
      </c>
      <c r="R3338" s="2" t="inlineStr"/>
    </row>
    <row r="3339" ht="15" customHeight="1">
      <c r="A3339" t="inlineStr">
        <is>
          <t>A 33378-2023</t>
        </is>
      </c>
      <c r="B3339" s="1" t="n">
        <v>45128</v>
      </c>
      <c r="C3339" s="1" t="n">
        <v>45724</v>
      </c>
      <c r="D3339" t="inlineStr">
        <is>
          <t>VÄSTMANLANDS LÄN</t>
        </is>
      </c>
      <c r="E3339" t="inlineStr">
        <is>
          <t>NORBERG</t>
        </is>
      </c>
      <c r="F3339" t="inlineStr">
        <is>
          <t>Sveaskog</t>
        </is>
      </c>
      <c r="G3339" t="n">
        <v>3.5</v>
      </c>
      <c r="H3339" t="n">
        <v>0</v>
      </c>
      <c r="I3339" t="n">
        <v>0</v>
      </c>
      <c r="J3339" t="n">
        <v>0</v>
      </c>
      <c r="K3339" t="n">
        <v>0</v>
      </c>
      <c r="L3339" t="n">
        <v>0</v>
      </c>
      <c r="M3339" t="n">
        <v>0</v>
      </c>
      <c r="N3339" t="n">
        <v>0</v>
      </c>
      <c r="O3339" t="n">
        <v>0</v>
      </c>
      <c r="P3339" t="n">
        <v>0</v>
      </c>
      <c r="Q3339" t="n">
        <v>0</v>
      </c>
      <c r="R3339" s="2" t="inlineStr"/>
    </row>
    <row r="3340" ht="15" customHeight="1">
      <c r="A3340" t="inlineStr">
        <is>
          <t>A 33379-2023</t>
        </is>
      </c>
      <c r="B3340" s="1" t="n">
        <v>45128</v>
      </c>
      <c r="C3340" s="1" t="n">
        <v>45724</v>
      </c>
      <c r="D3340" t="inlineStr">
        <is>
          <t>VÄSTMANLANDS LÄN</t>
        </is>
      </c>
      <c r="E3340" t="inlineStr">
        <is>
          <t>NORBERG</t>
        </is>
      </c>
      <c r="F3340" t="inlineStr">
        <is>
          <t>Sveaskog</t>
        </is>
      </c>
      <c r="G3340" t="n">
        <v>2.6</v>
      </c>
      <c r="H3340" t="n">
        <v>0</v>
      </c>
      <c r="I3340" t="n">
        <v>0</v>
      </c>
      <c r="J3340" t="n">
        <v>0</v>
      </c>
      <c r="K3340" t="n">
        <v>0</v>
      </c>
      <c r="L3340" t="n">
        <v>0</v>
      </c>
      <c r="M3340" t="n">
        <v>0</v>
      </c>
      <c r="N3340" t="n">
        <v>0</v>
      </c>
      <c r="O3340" t="n">
        <v>0</v>
      </c>
      <c r="P3340" t="n">
        <v>0</v>
      </c>
      <c r="Q3340" t="n">
        <v>0</v>
      </c>
      <c r="R3340" s="2" t="inlineStr"/>
    </row>
    <row r="3341" ht="15" customHeight="1">
      <c r="A3341" t="inlineStr">
        <is>
          <t>A 33396-2023</t>
        </is>
      </c>
      <c r="B3341" s="1" t="n">
        <v>45128</v>
      </c>
      <c r="C3341" s="1" t="n">
        <v>45724</v>
      </c>
      <c r="D3341" t="inlineStr">
        <is>
          <t>VÄSTMANLANDS LÄN</t>
        </is>
      </c>
      <c r="E3341" t="inlineStr">
        <is>
          <t>SKINNSKATTEBERG</t>
        </is>
      </c>
      <c r="G3341" t="n">
        <v>1.5</v>
      </c>
      <c r="H3341" t="n">
        <v>0</v>
      </c>
      <c r="I3341" t="n">
        <v>0</v>
      </c>
      <c r="J3341" t="n">
        <v>0</v>
      </c>
      <c r="K3341" t="n">
        <v>0</v>
      </c>
      <c r="L3341" t="n">
        <v>0</v>
      </c>
      <c r="M3341" t="n">
        <v>0</v>
      </c>
      <c r="N3341" t="n">
        <v>0</v>
      </c>
      <c r="O3341" t="n">
        <v>0</v>
      </c>
      <c r="P3341" t="n">
        <v>0</v>
      </c>
      <c r="Q3341" t="n">
        <v>0</v>
      </c>
      <c r="R3341" s="2" t="inlineStr"/>
    </row>
    <row r="3342" ht="15" customHeight="1">
      <c r="A3342" t="inlineStr">
        <is>
          <t>A 33356-2023</t>
        </is>
      </c>
      <c r="B3342" s="1" t="n">
        <v>45128</v>
      </c>
      <c r="C3342" s="1" t="n">
        <v>45724</v>
      </c>
      <c r="D3342" t="inlineStr">
        <is>
          <t>VÄSTMANLANDS LÄN</t>
        </is>
      </c>
      <c r="E3342" t="inlineStr">
        <is>
          <t>FAGERSTA</t>
        </is>
      </c>
      <c r="F3342" t="inlineStr">
        <is>
          <t>Sveaskog</t>
        </is>
      </c>
      <c r="G3342" t="n">
        <v>3.8</v>
      </c>
      <c r="H3342" t="n">
        <v>0</v>
      </c>
      <c r="I3342" t="n">
        <v>0</v>
      </c>
      <c r="J3342" t="n">
        <v>0</v>
      </c>
      <c r="K3342" t="n">
        <v>0</v>
      </c>
      <c r="L3342" t="n">
        <v>0</v>
      </c>
      <c r="M3342" t="n">
        <v>0</v>
      </c>
      <c r="N3342" t="n">
        <v>0</v>
      </c>
      <c r="O3342" t="n">
        <v>0</v>
      </c>
      <c r="P3342" t="n">
        <v>0</v>
      </c>
      <c r="Q3342" t="n">
        <v>0</v>
      </c>
      <c r="R3342" s="2" t="inlineStr"/>
    </row>
    <row r="3343" ht="15" customHeight="1">
      <c r="A3343" t="inlineStr">
        <is>
          <t>A 33376-2023</t>
        </is>
      </c>
      <c r="B3343" s="1" t="n">
        <v>45128</v>
      </c>
      <c r="C3343" s="1" t="n">
        <v>45724</v>
      </c>
      <c r="D3343" t="inlineStr">
        <is>
          <t>VÄSTMANLANDS LÄN</t>
        </is>
      </c>
      <c r="E3343" t="inlineStr">
        <is>
          <t>NORBERG</t>
        </is>
      </c>
      <c r="F3343" t="inlineStr">
        <is>
          <t>Sveaskog</t>
        </is>
      </c>
      <c r="G3343" t="n">
        <v>5.9</v>
      </c>
      <c r="H3343" t="n">
        <v>0</v>
      </c>
      <c r="I3343" t="n">
        <v>0</v>
      </c>
      <c r="J3343" t="n">
        <v>0</v>
      </c>
      <c r="K3343" t="n">
        <v>0</v>
      </c>
      <c r="L3343" t="n">
        <v>0</v>
      </c>
      <c r="M3343" t="n">
        <v>0</v>
      </c>
      <c r="N3343" t="n">
        <v>0</v>
      </c>
      <c r="O3343" t="n">
        <v>0</v>
      </c>
      <c r="P3343" t="n">
        <v>0</v>
      </c>
      <c r="Q3343" t="n">
        <v>0</v>
      </c>
      <c r="R3343" s="2" t="inlineStr"/>
    </row>
    <row r="3344" ht="15" customHeight="1">
      <c r="A3344" t="inlineStr">
        <is>
          <t>A 33527-2023</t>
        </is>
      </c>
      <c r="B3344" s="1" t="n">
        <v>45131</v>
      </c>
      <c r="C3344" s="1" t="n">
        <v>45724</v>
      </c>
      <c r="D3344" t="inlineStr">
        <is>
          <t>VÄSTMANLANDS LÄN</t>
        </is>
      </c>
      <c r="E3344" t="inlineStr">
        <is>
          <t>SALA</t>
        </is>
      </c>
      <c r="G3344" t="n">
        <v>1</v>
      </c>
      <c r="H3344" t="n">
        <v>0</v>
      </c>
      <c r="I3344" t="n">
        <v>0</v>
      </c>
      <c r="J3344" t="n">
        <v>0</v>
      </c>
      <c r="K3344" t="n">
        <v>0</v>
      </c>
      <c r="L3344" t="n">
        <v>0</v>
      </c>
      <c r="M3344" t="n">
        <v>0</v>
      </c>
      <c r="N3344" t="n">
        <v>0</v>
      </c>
      <c r="O3344" t="n">
        <v>0</v>
      </c>
      <c r="P3344" t="n">
        <v>0</v>
      </c>
      <c r="Q3344" t="n">
        <v>0</v>
      </c>
      <c r="R3344" s="2" t="inlineStr"/>
    </row>
    <row r="3345" ht="15" customHeight="1">
      <c r="A3345" t="inlineStr">
        <is>
          <t>A 33785-2023</t>
        </is>
      </c>
      <c r="B3345" s="1" t="n">
        <v>45131</v>
      </c>
      <c r="C3345" s="1" t="n">
        <v>45724</v>
      </c>
      <c r="D3345" t="inlineStr">
        <is>
          <t>VÄSTMANLANDS LÄN</t>
        </is>
      </c>
      <c r="E3345" t="inlineStr">
        <is>
          <t>FAGERSTA</t>
        </is>
      </c>
      <c r="G3345" t="n">
        <v>1</v>
      </c>
      <c r="H3345" t="n">
        <v>0</v>
      </c>
      <c r="I3345" t="n">
        <v>0</v>
      </c>
      <c r="J3345" t="n">
        <v>0</v>
      </c>
      <c r="K3345" t="n">
        <v>0</v>
      </c>
      <c r="L3345" t="n">
        <v>0</v>
      </c>
      <c r="M3345" t="n">
        <v>0</v>
      </c>
      <c r="N3345" t="n">
        <v>0</v>
      </c>
      <c r="O3345" t="n">
        <v>0</v>
      </c>
      <c r="P3345" t="n">
        <v>0</v>
      </c>
      <c r="Q3345" t="n">
        <v>0</v>
      </c>
      <c r="R3345" s="2" t="inlineStr"/>
    </row>
    <row r="3346" ht="15" customHeight="1">
      <c r="A3346" t="inlineStr">
        <is>
          <t>A 34361-2023</t>
        </is>
      </c>
      <c r="B3346" s="1" t="n">
        <v>45131</v>
      </c>
      <c r="C3346" s="1" t="n">
        <v>45724</v>
      </c>
      <c r="D3346" t="inlineStr">
        <is>
          <t>VÄSTMANLANDS LÄN</t>
        </is>
      </c>
      <c r="E3346" t="inlineStr">
        <is>
          <t>SALA</t>
        </is>
      </c>
      <c r="G3346" t="n">
        <v>2.7</v>
      </c>
      <c r="H3346" t="n">
        <v>0</v>
      </c>
      <c r="I3346" t="n">
        <v>0</v>
      </c>
      <c r="J3346" t="n">
        <v>0</v>
      </c>
      <c r="K3346" t="n">
        <v>0</v>
      </c>
      <c r="L3346" t="n">
        <v>0</v>
      </c>
      <c r="M3346" t="n">
        <v>0</v>
      </c>
      <c r="N3346" t="n">
        <v>0</v>
      </c>
      <c r="O3346" t="n">
        <v>0</v>
      </c>
      <c r="P3346" t="n">
        <v>0</v>
      </c>
      <c r="Q3346" t="n">
        <v>0</v>
      </c>
      <c r="R3346" s="2" t="inlineStr"/>
    </row>
    <row r="3347" ht="15" customHeight="1">
      <c r="A3347" t="inlineStr">
        <is>
          <t>A 33732-2023</t>
        </is>
      </c>
      <c r="B3347" s="1" t="n">
        <v>45133</v>
      </c>
      <c r="C3347" s="1" t="n">
        <v>45724</v>
      </c>
      <c r="D3347" t="inlineStr">
        <is>
          <t>VÄSTMANLANDS LÄN</t>
        </is>
      </c>
      <c r="E3347" t="inlineStr">
        <is>
          <t>SALA</t>
        </is>
      </c>
      <c r="G3347" t="n">
        <v>2</v>
      </c>
      <c r="H3347" t="n">
        <v>0</v>
      </c>
      <c r="I3347" t="n">
        <v>0</v>
      </c>
      <c r="J3347" t="n">
        <v>0</v>
      </c>
      <c r="K3347" t="n">
        <v>0</v>
      </c>
      <c r="L3347" t="n">
        <v>0</v>
      </c>
      <c r="M3347" t="n">
        <v>0</v>
      </c>
      <c r="N3347" t="n">
        <v>0</v>
      </c>
      <c r="O3347" t="n">
        <v>0</v>
      </c>
      <c r="P3347" t="n">
        <v>0</v>
      </c>
      <c r="Q3347" t="n">
        <v>0</v>
      </c>
      <c r="R3347" s="2" t="inlineStr"/>
    </row>
    <row r="3348" ht="15" customHeight="1">
      <c r="A3348" t="inlineStr">
        <is>
          <t>A 33743-2023</t>
        </is>
      </c>
      <c r="B3348" s="1" t="n">
        <v>45133</v>
      </c>
      <c r="C3348" s="1" t="n">
        <v>45724</v>
      </c>
      <c r="D3348" t="inlineStr">
        <is>
          <t>VÄSTMANLANDS LÄN</t>
        </is>
      </c>
      <c r="E3348" t="inlineStr">
        <is>
          <t>SALA</t>
        </is>
      </c>
      <c r="G3348" t="n">
        <v>4.6</v>
      </c>
      <c r="H3348" t="n">
        <v>0</v>
      </c>
      <c r="I3348" t="n">
        <v>0</v>
      </c>
      <c r="J3348" t="n">
        <v>0</v>
      </c>
      <c r="K3348" t="n">
        <v>0</v>
      </c>
      <c r="L3348" t="n">
        <v>0</v>
      </c>
      <c r="M3348" t="n">
        <v>0</v>
      </c>
      <c r="N3348" t="n">
        <v>0</v>
      </c>
      <c r="O3348" t="n">
        <v>0</v>
      </c>
      <c r="P3348" t="n">
        <v>0</v>
      </c>
      <c r="Q3348" t="n">
        <v>0</v>
      </c>
      <c r="R3348" s="2" t="inlineStr"/>
    </row>
    <row r="3349" ht="15" customHeight="1">
      <c r="A3349" t="inlineStr">
        <is>
          <t>A 34494-2023</t>
        </is>
      </c>
      <c r="B3349" s="1" t="n">
        <v>45133</v>
      </c>
      <c r="C3349" s="1" t="n">
        <v>45724</v>
      </c>
      <c r="D3349" t="inlineStr">
        <is>
          <t>VÄSTMANLANDS LÄN</t>
        </is>
      </c>
      <c r="E3349" t="inlineStr">
        <is>
          <t>SALA</t>
        </is>
      </c>
      <c r="G3349" t="n">
        <v>0.8</v>
      </c>
      <c r="H3349" t="n">
        <v>0</v>
      </c>
      <c r="I3349" t="n">
        <v>0</v>
      </c>
      <c r="J3349" t="n">
        <v>0</v>
      </c>
      <c r="K3349" t="n">
        <v>0</v>
      </c>
      <c r="L3349" t="n">
        <v>0</v>
      </c>
      <c r="M3349" t="n">
        <v>0</v>
      </c>
      <c r="N3349" t="n">
        <v>0</v>
      </c>
      <c r="O3349" t="n">
        <v>0</v>
      </c>
      <c r="P3349" t="n">
        <v>0</v>
      </c>
      <c r="Q3349" t="n">
        <v>0</v>
      </c>
      <c r="R3349" s="2" t="inlineStr"/>
    </row>
    <row r="3350" ht="15" customHeight="1">
      <c r="A3350" t="inlineStr">
        <is>
          <t>A 33900-2023</t>
        </is>
      </c>
      <c r="B3350" s="1" t="n">
        <v>45134</v>
      </c>
      <c r="C3350" s="1" t="n">
        <v>45724</v>
      </c>
      <c r="D3350" t="inlineStr">
        <is>
          <t>VÄSTMANLANDS LÄN</t>
        </is>
      </c>
      <c r="E3350" t="inlineStr">
        <is>
          <t>SKINNSKATTEBERG</t>
        </is>
      </c>
      <c r="G3350" t="n">
        <v>1.4</v>
      </c>
      <c r="H3350" t="n">
        <v>0</v>
      </c>
      <c r="I3350" t="n">
        <v>0</v>
      </c>
      <c r="J3350" t="n">
        <v>0</v>
      </c>
      <c r="K3350" t="n">
        <v>0</v>
      </c>
      <c r="L3350" t="n">
        <v>0</v>
      </c>
      <c r="M3350" t="n">
        <v>0</v>
      </c>
      <c r="N3350" t="n">
        <v>0</v>
      </c>
      <c r="O3350" t="n">
        <v>0</v>
      </c>
      <c r="P3350" t="n">
        <v>0</v>
      </c>
      <c r="Q3350" t="n">
        <v>0</v>
      </c>
      <c r="R3350" s="2" t="inlineStr"/>
    </row>
    <row r="3351" ht="15" customHeight="1">
      <c r="A3351" t="inlineStr">
        <is>
          <t>A 33896-2023</t>
        </is>
      </c>
      <c r="B3351" s="1" t="n">
        <v>45134</v>
      </c>
      <c r="C3351" s="1" t="n">
        <v>45724</v>
      </c>
      <c r="D3351" t="inlineStr">
        <is>
          <t>VÄSTMANLANDS LÄN</t>
        </is>
      </c>
      <c r="E3351" t="inlineStr">
        <is>
          <t>SKINNSKATTEBERG</t>
        </is>
      </c>
      <c r="G3351" t="n">
        <v>2.4</v>
      </c>
      <c r="H3351" t="n">
        <v>0</v>
      </c>
      <c r="I3351" t="n">
        <v>0</v>
      </c>
      <c r="J3351" t="n">
        <v>0</v>
      </c>
      <c r="K3351" t="n">
        <v>0</v>
      </c>
      <c r="L3351" t="n">
        <v>0</v>
      </c>
      <c r="M3351" t="n">
        <v>0</v>
      </c>
      <c r="N3351" t="n">
        <v>0</v>
      </c>
      <c r="O3351" t="n">
        <v>0</v>
      </c>
      <c r="P3351" t="n">
        <v>0</v>
      </c>
      <c r="Q3351" t="n">
        <v>0</v>
      </c>
      <c r="R3351" s="2" t="inlineStr"/>
    </row>
    <row r="3352" ht="15" customHeight="1">
      <c r="A3352" t="inlineStr">
        <is>
          <t>A 34215-2023</t>
        </is>
      </c>
      <c r="B3352" s="1" t="n">
        <v>45138</v>
      </c>
      <c r="C3352" s="1" t="n">
        <v>45724</v>
      </c>
      <c r="D3352" t="inlineStr">
        <is>
          <t>VÄSTMANLANDS LÄN</t>
        </is>
      </c>
      <c r="E3352" t="inlineStr">
        <is>
          <t>SALA</t>
        </is>
      </c>
      <c r="G3352" t="n">
        <v>0.9</v>
      </c>
      <c r="H3352" t="n">
        <v>0</v>
      </c>
      <c r="I3352" t="n">
        <v>0</v>
      </c>
      <c r="J3352" t="n">
        <v>0</v>
      </c>
      <c r="K3352" t="n">
        <v>0</v>
      </c>
      <c r="L3352" t="n">
        <v>0</v>
      </c>
      <c r="M3352" t="n">
        <v>0</v>
      </c>
      <c r="N3352" t="n">
        <v>0</v>
      </c>
      <c r="O3352" t="n">
        <v>0</v>
      </c>
      <c r="P3352" t="n">
        <v>0</v>
      </c>
      <c r="Q3352" t="n">
        <v>0</v>
      </c>
      <c r="R3352" s="2" t="inlineStr"/>
    </row>
    <row r="3353" ht="15" customHeight="1">
      <c r="A3353" t="inlineStr">
        <is>
          <t>A 34290-2023</t>
        </is>
      </c>
      <c r="B3353" s="1" t="n">
        <v>45138</v>
      </c>
      <c r="C3353" s="1" t="n">
        <v>45724</v>
      </c>
      <c r="D3353" t="inlineStr">
        <is>
          <t>VÄSTMANLANDS LÄN</t>
        </is>
      </c>
      <c r="E3353" t="inlineStr">
        <is>
          <t>KÖPING</t>
        </is>
      </c>
      <c r="F3353" t="inlineStr">
        <is>
          <t>Sveaskog</t>
        </is>
      </c>
      <c r="G3353" t="n">
        <v>0.7</v>
      </c>
      <c r="H3353" t="n">
        <v>0</v>
      </c>
      <c r="I3353" t="n">
        <v>0</v>
      </c>
      <c r="J3353" t="n">
        <v>0</v>
      </c>
      <c r="K3353" t="n">
        <v>0</v>
      </c>
      <c r="L3353" t="n">
        <v>0</v>
      </c>
      <c r="M3353" t="n">
        <v>0</v>
      </c>
      <c r="N3353" t="n">
        <v>0</v>
      </c>
      <c r="O3353" t="n">
        <v>0</v>
      </c>
      <c r="P3353" t="n">
        <v>0</v>
      </c>
      <c r="Q3353" t="n">
        <v>0</v>
      </c>
      <c r="R3353" s="2" t="inlineStr"/>
    </row>
    <row r="3354" ht="15" customHeight="1">
      <c r="A3354" t="inlineStr">
        <is>
          <t>A 34291-2023</t>
        </is>
      </c>
      <c r="B3354" s="1" t="n">
        <v>45138</v>
      </c>
      <c r="C3354" s="1" t="n">
        <v>45724</v>
      </c>
      <c r="D3354" t="inlineStr">
        <is>
          <t>VÄSTMANLANDS LÄN</t>
        </is>
      </c>
      <c r="E3354" t="inlineStr">
        <is>
          <t>KÖPING</t>
        </is>
      </c>
      <c r="F3354" t="inlineStr">
        <is>
          <t>Sveaskog</t>
        </is>
      </c>
      <c r="G3354" t="n">
        <v>0.6</v>
      </c>
      <c r="H3354" t="n">
        <v>0</v>
      </c>
      <c r="I3354" t="n">
        <v>0</v>
      </c>
      <c r="J3354" t="n">
        <v>0</v>
      </c>
      <c r="K3354" t="n">
        <v>0</v>
      </c>
      <c r="L3354" t="n">
        <v>0</v>
      </c>
      <c r="M3354" t="n">
        <v>0</v>
      </c>
      <c r="N3354" t="n">
        <v>0</v>
      </c>
      <c r="O3354" t="n">
        <v>0</v>
      </c>
      <c r="P3354" t="n">
        <v>0</v>
      </c>
      <c r="Q3354" t="n">
        <v>0</v>
      </c>
      <c r="R3354" s="2" t="inlineStr"/>
    </row>
    <row r="3355" ht="15" customHeight="1">
      <c r="A3355" t="inlineStr">
        <is>
          <t>A 34602-2023</t>
        </is>
      </c>
      <c r="B3355" s="1" t="n">
        <v>45140</v>
      </c>
      <c r="C3355" s="1" t="n">
        <v>45724</v>
      </c>
      <c r="D3355" t="inlineStr">
        <is>
          <t>VÄSTMANLANDS LÄN</t>
        </is>
      </c>
      <c r="E3355" t="inlineStr">
        <is>
          <t>FAGERSTA</t>
        </is>
      </c>
      <c r="F3355" t="inlineStr">
        <is>
          <t>Sveaskog</t>
        </is>
      </c>
      <c r="G3355" t="n">
        <v>1.6</v>
      </c>
      <c r="H3355" t="n">
        <v>0</v>
      </c>
      <c r="I3355" t="n">
        <v>0</v>
      </c>
      <c r="J3355" t="n">
        <v>0</v>
      </c>
      <c r="K3355" t="n">
        <v>0</v>
      </c>
      <c r="L3355" t="n">
        <v>0</v>
      </c>
      <c r="M3355" t="n">
        <v>0</v>
      </c>
      <c r="N3355" t="n">
        <v>0</v>
      </c>
      <c r="O3355" t="n">
        <v>0</v>
      </c>
      <c r="P3355" t="n">
        <v>0</v>
      </c>
      <c r="Q3355" t="n">
        <v>0</v>
      </c>
      <c r="R3355" s="2" t="inlineStr"/>
    </row>
    <row r="3356" ht="15" customHeight="1">
      <c r="A3356" t="inlineStr">
        <is>
          <t>A 34606-2023</t>
        </is>
      </c>
      <c r="B3356" s="1" t="n">
        <v>45140</v>
      </c>
      <c r="C3356" s="1" t="n">
        <v>45724</v>
      </c>
      <c r="D3356" t="inlineStr">
        <is>
          <t>VÄSTMANLANDS LÄN</t>
        </is>
      </c>
      <c r="E3356" t="inlineStr">
        <is>
          <t>SKINNSKATTEBERG</t>
        </is>
      </c>
      <c r="F3356" t="inlineStr">
        <is>
          <t>Sveaskog</t>
        </is>
      </c>
      <c r="G3356" t="n">
        <v>3.6</v>
      </c>
      <c r="H3356" t="n">
        <v>0</v>
      </c>
      <c r="I3356" t="n">
        <v>0</v>
      </c>
      <c r="J3356" t="n">
        <v>0</v>
      </c>
      <c r="K3356" t="n">
        <v>0</v>
      </c>
      <c r="L3356" t="n">
        <v>0</v>
      </c>
      <c r="M3356" t="n">
        <v>0</v>
      </c>
      <c r="N3356" t="n">
        <v>0</v>
      </c>
      <c r="O3356" t="n">
        <v>0</v>
      </c>
      <c r="P3356" t="n">
        <v>0</v>
      </c>
      <c r="Q3356" t="n">
        <v>0</v>
      </c>
      <c r="R3356" s="2" t="inlineStr"/>
    </row>
    <row r="3357" ht="15" customHeight="1">
      <c r="A3357" t="inlineStr">
        <is>
          <t>A 34600-2023</t>
        </is>
      </c>
      <c r="B3357" s="1" t="n">
        <v>45140</v>
      </c>
      <c r="C3357" s="1" t="n">
        <v>45724</v>
      </c>
      <c r="D3357" t="inlineStr">
        <is>
          <t>VÄSTMANLANDS LÄN</t>
        </is>
      </c>
      <c r="E3357" t="inlineStr">
        <is>
          <t>FAGERSTA</t>
        </is>
      </c>
      <c r="F3357" t="inlineStr">
        <is>
          <t>Sveaskog</t>
        </is>
      </c>
      <c r="G3357" t="n">
        <v>3.6</v>
      </c>
      <c r="H3357" t="n">
        <v>0</v>
      </c>
      <c r="I3357" t="n">
        <v>0</v>
      </c>
      <c r="J3357" t="n">
        <v>0</v>
      </c>
      <c r="K3357" t="n">
        <v>0</v>
      </c>
      <c r="L3357" t="n">
        <v>0</v>
      </c>
      <c r="M3357" t="n">
        <v>0</v>
      </c>
      <c r="N3357" t="n">
        <v>0</v>
      </c>
      <c r="O3357" t="n">
        <v>0</v>
      </c>
      <c r="P3357" t="n">
        <v>0</v>
      </c>
      <c r="Q3357" t="n">
        <v>0</v>
      </c>
      <c r="R3357" s="2" t="inlineStr"/>
    </row>
    <row r="3358" ht="15" customHeight="1">
      <c r="A3358" t="inlineStr">
        <is>
          <t>A 34604-2023</t>
        </is>
      </c>
      <c r="B3358" s="1" t="n">
        <v>45140</v>
      </c>
      <c r="C3358" s="1" t="n">
        <v>45724</v>
      </c>
      <c r="D3358" t="inlineStr">
        <is>
          <t>VÄSTMANLANDS LÄN</t>
        </is>
      </c>
      <c r="E3358" t="inlineStr">
        <is>
          <t>FAGERSTA</t>
        </is>
      </c>
      <c r="F3358" t="inlineStr">
        <is>
          <t>Sveaskog</t>
        </is>
      </c>
      <c r="G3358" t="n">
        <v>1.7</v>
      </c>
      <c r="H3358" t="n">
        <v>0</v>
      </c>
      <c r="I3358" t="n">
        <v>0</v>
      </c>
      <c r="J3358" t="n">
        <v>0</v>
      </c>
      <c r="K3358" t="n">
        <v>0</v>
      </c>
      <c r="L3358" t="n">
        <v>0</v>
      </c>
      <c r="M3358" t="n">
        <v>0</v>
      </c>
      <c r="N3358" t="n">
        <v>0</v>
      </c>
      <c r="O3358" t="n">
        <v>0</v>
      </c>
      <c r="P3358" t="n">
        <v>0</v>
      </c>
      <c r="Q3358" t="n">
        <v>0</v>
      </c>
      <c r="R3358" s="2" t="inlineStr"/>
    </row>
    <row r="3359" ht="15" customHeight="1">
      <c r="A3359" t="inlineStr">
        <is>
          <t>A 34599-2023</t>
        </is>
      </c>
      <c r="B3359" s="1" t="n">
        <v>45140</v>
      </c>
      <c r="C3359" s="1" t="n">
        <v>45724</v>
      </c>
      <c r="D3359" t="inlineStr">
        <is>
          <t>VÄSTMANLANDS LÄN</t>
        </is>
      </c>
      <c r="E3359" t="inlineStr">
        <is>
          <t>FAGERSTA</t>
        </is>
      </c>
      <c r="F3359" t="inlineStr">
        <is>
          <t>Sveaskog</t>
        </is>
      </c>
      <c r="G3359" t="n">
        <v>1.3</v>
      </c>
      <c r="H3359" t="n">
        <v>0</v>
      </c>
      <c r="I3359" t="n">
        <v>0</v>
      </c>
      <c r="J3359" t="n">
        <v>0</v>
      </c>
      <c r="K3359" t="n">
        <v>0</v>
      </c>
      <c r="L3359" t="n">
        <v>0</v>
      </c>
      <c r="M3359" t="n">
        <v>0</v>
      </c>
      <c r="N3359" t="n">
        <v>0</v>
      </c>
      <c r="O3359" t="n">
        <v>0</v>
      </c>
      <c r="P3359" t="n">
        <v>0</v>
      </c>
      <c r="Q3359" t="n">
        <v>0</v>
      </c>
      <c r="R3359" s="2" t="inlineStr"/>
    </row>
    <row r="3360" ht="15" customHeight="1">
      <c r="A3360" t="inlineStr">
        <is>
          <t>A 34603-2023</t>
        </is>
      </c>
      <c r="B3360" s="1" t="n">
        <v>45140</v>
      </c>
      <c r="C3360" s="1" t="n">
        <v>45724</v>
      </c>
      <c r="D3360" t="inlineStr">
        <is>
          <t>VÄSTMANLANDS LÄN</t>
        </is>
      </c>
      <c r="E3360" t="inlineStr">
        <is>
          <t>FAGERSTA</t>
        </is>
      </c>
      <c r="F3360" t="inlineStr">
        <is>
          <t>Sveaskog</t>
        </is>
      </c>
      <c r="G3360" t="n">
        <v>0.8</v>
      </c>
      <c r="H3360" t="n">
        <v>0</v>
      </c>
      <c r="I3360" t="n">
        <v>0</v>
      </c>
      <c r="J3360" t="n">
        <v>0</v>
      </c>
      <c r="K3360" t="n">
        <v>0</v>
      </c>
      <c r="L3360" t="n">
        <v>0</v>
      </c>
      <c r="M3360" t="n">
        <v>0</v>
      </c>
      <c r="N3360" t="n">
        <v>0</v>
      </c>
      <c r="O3360" t="n">
        <v>0</v>
      </c>
      <c r="P3360" t="n">
        <v>0</v>
      </c>
      <c r="Q3360" t="n">
        <v>0</v>
      </c>
      <c r="R3360" s="2" t="inlineStr"/>
    </row>
    <row r="3361" ht="15" customHeight="1">
      <c r="A3361" t="inlineStr">
        <is>
          <t>A 34605-2023</t>
        </is>
      </c>
      <c r="B3361" s="1" t="n">
        <v>45140</v>
      </c>
      <c r="C3361" s="1" t="n">
        <v>45724</v>
      </c>
      <c r="D3361" t="inlineStr">
        <is>
          <t>VÄSTMANLANDS LÄN</t>
        </is>
      </c>
      <c r="E3361" t="inlineStr">
        <is>
          <t>FAGERSTA</t>
        </is>
      </c>
      <c r="F3361" t="inlineStr">
        <is>
          <t>Sveaskog</t>
        </is>
      </c>
      <c r="G3361" t="n">
        <v>2.5</v>
      </c>
      <c r="H3361" t="n">
        <v>0</v>
      </c>
      <c r="I3361" t="n">
        <v>0</v>
      </c>
      <c r="J3361" t="n">
        <v>0</v>
      </c>
      <c r="K3361" t="n">
        <v>0</v>
      </c>
      <c r="L3361" t="n">
        <v>0</v>
      </c>
      <c r="M3361" t="n">
        <v>0</v>
      </c>
      <c r="N3361" t="n">
        <v>0</v>
      </c>
      <c r="O3361" t="n">
        <v>0</v>
      </c>
      <c r="P3361" t="n">
        <v>0</v>
      </c>
      <c r="Q3361" t="n">
        <v>0</v>
      </c>
      <c r="R3361" s="2" t="inlineStr"/>
    </row>
    <row r="3362" ht="15" customHeight="1">
      <c r="A3362" t="inlineStr">
        <is>
          <t>A 34867-2023</t>
        </is>
      </c>
      <c r="B3362" s="1" t="n">
        <v>45142</v>
      </c>
      <c r="C3362" s="1" t="n">
        <v>45724</v>
      </c>
      <c r="D3362" t="inlineStr">
        <is>
          <t>VÄSTMANLANDS LÄN</t>
        </is>
      </c>
      <c r="E3362" t="inlineStr">
        <is>
          <t>SALA</t>
        </is>
      </c>
      <c r="G3362" t="n">
        <v>1.1</v>
      </c>
      <c r="H3362" t="n">
        <v>0</v>
      </c>
      <c r="I3362" t="n">
        <v>0</v>
      </c>
      <c r="J3362" t="n">
        <v>0</v>
      </c>
      <c r="K3362" t="n">
        <v>0</v>
      </c>
      <c r="L3362" t="n">
        <v>0</v>
      </c>
      <c r="M3362" t="n">
        <v>0</v>
      </c>
      <c r="N3362" t="n">
        <v>0</v>
      </c>
      <c r="O3362" t="n">
        <v>0</v>
      </c>
      <c r="P3362" t="n">
        <v>0</v>
      </c>
      <c r="Q3362" t="n">
        <v>0</v>
      </c>
      <c r="R3362" s="2" t="inlineStr"/>
    </row>
    <row r="3363" ht="15" customHeight="1">
      <c r="A3363" t="inlineStr">
        <is>
          <t>A 34942-2023</t>
        </is>
      </c>
      <c r="B3363" s="1" t="n">
        <v>45142</v>
      </c>
      <c r="C3363" s="1" t="n">
        <v>45724</v>
      </c>
      <c r="D3363" t="inlineStr">
        <is>
          <t>VÄSTMANLANDS LÄN</t>
        </is>
      </c>
      <c r="E3363" t="inlineStr">
        <is>
          <t>FAGERSTA</t>
        </is>
      </c>
      <c r="F3363" t="inlineStr">
        <is>
          <t>Sveaskog</t>
        </is>
      </c>
      <c r="G3363" t="n">
        <v>1.9</v>
      </c>
      <c r="H3363" t="n">
        <v>0</v>
      </c>
      <c r="I3363" t="n">
        <v>0</v>
      </c>
      <c r="J3363" t="n">
        <v>0</v>
      </c>
      <c r="K3363" t="n">
        <v>0</v>
      </c>
      <c r="L3363" t="n">
        <v>0</v>
      </c>
      <c r="M3363" t="n">
        <v>0</v>
      </c>
      <c r="N3363" t="n">
        <v>0</v>
      </c>
      <c r="O3363" t="n">
        <v>0</v>
      </c>
      <c r="P3363" t="n">
        <v>0</v>
      </c>
      <c r="Q3363" t="n">
        <v>0</v>
      </c>
      <c r="R3363" s="2" t="inlineStr"/>
    </row>
    <row r="3364" ht="15" customHeight="1">
      <c r="A3364" t="inlineStr">
        <is>
          <t>A 34967-2023</t>
        </is>
      </c>
      <c r="B3364" s="1" t="n">
        <v>45142</v>
      </c>
      <c r="C3364" s="1" t="n">
        <v>45724</v>
      </c>
      <c r="D3364" t="inlineStr">
        <is>
          <t>VÄSTMANLANDS LÄN</t>
        </is>
      </c>
      <c r="E3364" t="inlineStr">
        <is>
          <t>NORBERG</t>
        </is>
      </c>
      <c r="F3364" t="inlineStr">
        <is>
          <t>Kyrkan</t>
        </is>
      </c>
      <c r="G3364" t="n">
        <v>0.6</v>
      </c>
      <c r="H3364" t="n">
        <v>0</v>
      </c>
      <c r="I3364" t="n">
        <v>0</v>
      </c>
      <c r="J3364" t="n">
        <v>0</v>
      </c>
      <c r="K3364" t="n">
        <v>0</v>
      </c>
      <c r="L3364" t="n">
        <v>0</v>
      </c>
      <c r="M3364" t="n">
        <v>0</v>
      </c>
      <c r="N3364" t="n">
        <v>0</v>
      </c>
      <c r="O3364" t="n">
        <v>0</v>
      </c>
      <c r="P3364" t="n">
        <v>0</v>
      </c>
      <c r="Q3364" t="n">
        <v>0</v>
      </c>
      <c r="R3364" s="2" t="inlineStr"/>
    </row>
    <row r="3365" ht="15" customHeight="1">
      <c r="A3365" t="inlineStr">
        <is>
          <t>A 35312-2023</t>
        </is>
      </c>
      <c r="B3365" s="1" t="n">
        <v>45145</v>
      </c>
      <c r="C3365" s="1" t="n">
        <v>45724</v>
      </c>
      <c r="D3365" t="inlineStr">
        <is>
          <t>VÄSTMANLANDS LÄN</t>
        </is>
      </c>
      <c r="E3365" t="inlineStr">
        <is>
          <t>ARBOGA</t>
        </is>
      </c>
      <c r="G3365" t="n">
        <v>1.4</v>
      </c>
      <c r="H3365" t="n">
        <v>0</v>
      </c>
      <c r="I3365" t="n">
        <v>0</v>
      </c>
      <c r="J3365" t="n">
        <v>0</v>
      </c>
      <c r="K3365" t="n">
        <v>0</v>
      </c>
      <c r="L3365" t="n">
        <v>0</v>
      </c>
      <c r="M3365" t="n">
        <v>0</v>
      </c>
      <c r="N3365" t="n">
        <v>0</v>
      </c>
      <c r="O3365" t="n">
        <v>0</v>
      </c>
      <c r="P3365" t="n">
        <v>0</v>
      </c>
      <c r="Q3365" t="n">
        <v>0</v>
      </c>
      <c r="R3365" s="2" t="inlineStr"/>
    </row>
    <row r="3366" ht="15" customHeight="1">
      <c r="A3366" t="inlineStr">
        <is>
          <t>A 35315-2023</t>
        </is>
      </c>
      <c r="B3366" s="1" t="n">
        <v>45145</v>
      </c>
      <c r="C3366" s="1" t="n">
        <v>45724</v>
      </c>
      <c r="D3366" t="inlineStr">
        <is>
          <t>VÄSTMANLANDS LÄN</t>
        </is>
      </c>
      <c r="E3366" t="inlineStr">
        <is>
          <t>ARBOGA</t>
        </is>
      </c>
      <c r="G3366" t="n">
        <v>2.3</v>
      </c>
      <c r="H3366" t="n">
        <v>0</v>
      </c>
      <c r="I3366" t="n">
        <v>0</v>
      </c>
      <c r="J3366" t="n">
        <v>0</v>
      </c>
      <c r="K3366" t="n">
        <v>0</v>
      </c>
      <c r="L3366" t="n">
        <v>0</v>
      </c>
      <c r="M3366" t="n">
        <v>0</v>
      </c>
      <c r="N3366" t="n">
        <v>0</v>
      </c>
      <c r="O3366" t="n">
        <v>0</v>
      </c>
      <c r="P3366" t="n">
        <v>0</v>
      </c>
      <c r="Q3366" t="n">
        <v>0</v>
      </c>
      <c r="R3366" s="2" t="inlineStr"/>
    </row>
    <row r="3367" ht="15" customHeight="1">
      <c r="A3367" t="inlineStr">
        <is>
          <t>A 35314-2023</t>
        </is>
      </c>
      <c r="B3367" s="1" t="n">
        <v>45145</v>
      </c>
      <c r="C3367" s="1" t="n">
        <v>45724</v>
      </c>
      <c r="D3367" t="inlineStr">
        <is>
          <t>VÄSTMANLANDS LÄN</t>
        </is>
      </c>
      <c r="E3367" t="inlineStr">
        <is>
          <t>ARBOGA</t>
        </is>
      </c>
      <c r="G3367" t="n">
        <v>1.7</v>
      </c>
      <c r="H3367" t="n">
        <v>0</v>
      </c>
      <c r="I3367" t="n">
        <v>0</v>
      </c>
      <c r="J3367" t="n">
        <v>0</v>
      </c>
      <c r="K3367" t="n">
        <v>0</v>
      </c>
      <c r="L3367" t="n">
        <v>0</v>
      </c>
      <c r="M3367" t="n">
        <v>0</v>
      </c>
      <c r="N3367" t="n">
        <v>0</v>
      </c>
      <c r="O3367" t="n">
        <v>0</v>
      </c>
      <c r="P3367" t="n">
        <v>0</v>
      </c>
      <c r="Q3367" t="n">
        <v>0</v>
      </c>
      <c r="R3367" s="2" t="inlineStr"/>
    </row>
    <row r="3368" ht="15" customHeight="1">
      <c r="A3368" t="inlineStr">
        <is>
          <t>A 35434-2023</t>
        </is>
      </c>
      <c r="B3368" s="1" t="n">
        <v>45146</v>
      </c>
      <c r="C3368" s="1" t="n">
        <v>45724</v>
      </c>
      <c r="D3368" t="inlineStr">
        <is>
          <t>VÄSTMANLANDS LÄN</t>
        </is>
      </c>
      <c r="E3368" t="inlineStr">
        <is>
          <t>SALA</t>
        </is>
      </c>
      <c r="G3368" t="n">
        <v>2.5</v>
      </c>
      <c r="H3368" t="n">
        <v>0</v>
      </c>
      <c r="I3368" t="n">
        <v>0</v>
      </c>
      <c r="J3368" t="n">
        <v>0</v>
      </c>
      <c r="K3368" t="n">
        <v>0</v>
      </c>
      <c r="L3368" t="n">
        <v>0</v>
      </c>
      <c r="M3368" t="n">
        <v>0</v>
      </c>
      <c r="N3368" t="n">
        <v>0</v>
      </c>
      <c r="O3368" t="n">
        <v>0</v>
      </c>
      <c r="P3368" t="n">
        <v>0</v>
      </c>
      <c r="Q3368" t="n">
        <v>0</v>
      </c>
      <c r="R3368" s="2" t="inlineStr"/>
    </row>
    <row r="3369" ht="15" customHeight="1">
      <c r="A3369" t="inlineStr">
        <is>
          <t>A 35577-2023</t>
        </is>
      </c>
      <c r="B3369" s="1" t="n">
        <v>45147</v>
      </c>
      <c r="C3369" s="1" t="n">
        <v>45724</v>
      </c>
      <c r="D3369" t="inlineStr">
        <is>
          <t>VÄSTMANLANDS LÄN</t>
        </is>
      </c>
      <c r="E3369" t="inlineStr">
        <is>
          <t>VÄSTERÅS</t>
        </is>
      </c>
      <c r="G3369" t="n">
        <v>2.1</v>
      </c>
      <c r="H3369" t="n">
        <v>0</v>
      </c>
      <c r="I3369" t="n">
        <v>0</v>
      </c>
      <c r="J3369" t="n">
        <v>0</v>
      </c>
      <c r="K3369" t="n">
        <v>0</v>
      </c>
      <c r="L3369" t="n">
        <v>0</v>
      </c>
      <c r="M3369" t="n">
        <v>0</v>
      </c>
      <c r="N3369" t="n">
        <v>0</v>
      </c>
      <c r="O3369" t="n">
        <v>0</v>
      </c>
      <c r="P3369" t="n">
        <v>0</v>
      </c>
      <c r="Q3369" t="n">
        <v>0</v>
      </c>
      <c r="R3369" s="2" t="inlineStr"/>
    </row>
    <row r="3370" ht="15" customHeight="1">
      <c r="A3370" t="inlineStr">
        <is>
          <t>A 35716-2023</t>
        </is>
      </c>
      <c r="B3370" s="1" t="n">
        <v>45147</v>
      </c>
      <c r="C3370" s="1" t="n">
        <v>45724</v>
      </c>
      <c r="D3370" t="inlineStr">
        <is>
          <t>VÄSTMANLANDS LÄN</t>
        </is>
      </c>
      <c r="E3370" t="inlineStr">
        <is>
          <t>KÖPING</t>
        </is>
      </c>
      <c r="G3370" t="n">
        <v>1.7</v>
      </c>
      <c r="H3370" t="n">
        <v>0</v>
      </c>
      <c r="I3370" t="n">
        <v>0</v>
      </c>
      <c r="J3370" t="n">
        <v>0</v>
      </c>
      <c r="K3370" t="n">
        <v>0</v>
      </c>
      <c r="L3370" t="n">
        <v>0</v>
      </c>
      <c r="M3370" t="n">
        <v>0</v>
      </c>
      <c r="N3370" t="n">
        <v>0</v>
      </c>
      <c r="O3370" t="n">
        <v>0</v>
      </c>
      <c r="P3370" t="n">
        <v>0</v>
      </c>
      <c r="Q3370" t="n">
        <v>0</v>
      </c>
      <c r="R3370" s="2" t="inlineStr"/>
    </row>
    <row r="3371" ht="15" customHeight="1">
      <c r="A3371" t="inlineStr">
        <is>
          <t>A 35582-2023</t>
        </is>
      </c>
      <c r="B3371" s="1" t="n">
        <v>45147</v>
      </c>
      <c r="C3371" s="1" t="n">
        <v>45724</v>
      </c>
      <c r="D3371" t="inlineStr">
        <is>
          <t>VÄSTMANLANDS LÄN</t>
        </is>
      </c>
      <c r="E3371" t="inlineStr">
        <is>
          <t>VÄSTERÅS</t>
        </is>
      </c>
      <c r="G3371" t="n">
        <v>1.9</v>
      </c>
      <c r="H3371" t="n">
        <v>0</v>
      </c>
      <c r="I3371" t="n">
        <v>0</v>
      </c>
      <c r="J3371" t="n">
        <v>0</v>
      </c>
      <c r="K3371" t="n">
        <v>0</v>
      </c>
      <c r="L3371" t="n">
        <v>0</v>
      </c>
      <c r="M3371" t="n">
        <v>0</v>
      </c>
      <c r="N3371" t="n">
        <v>0</v>
      </c>
      <c r="O3371" t="n">
        <v>0</v>
      </c>
      <c r="P3371" t="n">
        <v>0</v>
      </c>
      <c r="Q3371" t="n">
        <v>0</v>
      </c>
      <c r="R3371" s="2" t="inlineStr"/>
    </row>
    <row r="3372" ht="15" customHeight="1">
      <c r="A3372" t="inlineStr">
        <is>
          <t>A 35796-2023</t>
        </is>
      </c>
      <c r="B3372" s="1" t="n">
        <v>45147</v>
      </c>
      <c r="C3372" s="1" t="n">
        <v>45724</v>
      </c>
      <c r="D3372" t="inlineStr">
        <is>
          <t>VÄSTMANLANDS LÄN</t>
        </is>
      </c>
      <c r="E3372" t="inlineStr">
        <is>
          <t>ARBOGA</t>
        </is>
      </c>
      <c r="G3372" t="n">
        <v>3.1</v>
      </c>
      <c r="H3372" t="n">
        <v>0</v>
      </c>
      <c r="I3372" t="n">
        <v>0</v>
      </c>
      <c r="J3372" t="n">
        <v>0</v>
      </c>
      <c r="K3372" t="n">
        <v>0</v>
      </c>
      <c r="L3372" t="n">
        <v>0</v>
      </c>
      <c r="M3372" t="n">
        <v>0</v>
      </c>
      <c r="N3372" t="n">
        <v>0</v>
      </c>
      <c r="O3372" t="n">
        <v>0</v>
      </c>
      <c r="P3372" t="n">
        <v>0</v>
      </c>
      <c r="Q3372" t="n">
        <v>0</v>
      </c>
      <c r="R3372" s="2" t="inlineStr"/>
    </row>
    <row r="3373" ht="15" customHeight="1">
      <c r="A3373" t="inlineStr">
        <is>
          <t>A 36161-2023</t>
        </is>
      </c>
      <c r="B3373" s="1" t="n">
        <v>45149</v>
      </c>
      <c r="C3373" s="1" t="n">
        <v>45724</v>
      </c>
      <c r="D3373" t="inlineStr">
        <is>
          <t>VÄSTMANLANDS LÄN</t>
        </is>
      </c>
      <c r="E3373" t="inlineStr">
        <is>
          <t>KÖPING</t>
        </is>
      </c>
      <c r="F3373" t="inlineStr">
        <is>
          <t>Sveaskog</t>
        </is>
      </c>
      <c r="G3373" t="n">
        <v>1</v>
      </c>
      <c r="H3373" t="n">
        <v>0</v>
      </c>
      <c r="I3373" t="n">
        <v>0</v>
      </c>
      <c r="J3373" t="n">
        <v>0</v>
      </c>
      <c r="K3373" t="n">
        <v>0</v>
      </c>
      <c r="L3373" t="n">
        <v>0</v>
      </c>
      <c r="M3373" t="n">
        <v>0</v>
      </c>
      <c r="N3373" t="n">
        <v>0</v>
      </c>
      <c r="O3373" t="n">
        <v>0</v>
      </c>
      <c r="P3373" t="n">
        <v>0</v>
      </c>
      <c r="Q3373" t="n">
        <v>0</v>
      </c>
      <c r="R3373" s="2" t="inlineStr"/>
    </row>
    <row r="3374" ht="15" customHeight="1">
      <c r="A3374" t="inlineStr">
        <is>
          <t>A 36165-2023</t>
        </is>
      </c>
      <c r="B3374" s="1" t="n">
        <v>45149</v>
      </c>
      <c r="C3374" s="1" t="n">
        <v>45724</v>
      </c>
      <c r="D3374" t="inlineStr">
        <is>
          <t>VÄSTMANLANDS LÄN</t>
        </is>
      </c>
      <c r="E3374" t="inlineStr">
        <is>
          <t>KÖPING</t>
        </is>
      </c>
      <c r="F3374" t="inlineStr">
        <is>
          <t>Sveaskog</t>
        </is>
      </c>
      <c r="G3374" t="n">
        <v>1.3</v>
      </c>
      <c r="H3374" t="n">
        <v>0</v>
      </c>
      <c r="I3374" t="n">
        <v>0</v>
      </c>
      <c r="J3374" t="n">
        <v>0</v>
      </c>
      <c r="K3374" t="n">
        <v>0</v>
      </c>
      <c r="L3374" t="n">
        <v>0</v>
      </c>
      <c r="M3374" t="n">
        <v>0</v>
      </c>
      <c r="N3374" t="n">
        <v>0</v>
      </c>
      <c r="O3374" t="n">
        <v>0</v>
      </c>
      <c r="P3374" t="n">
        <v>0</v>
      </c>
      <c r="Q3374" t="n">
        <v>0</v>
      </c>
      <c r="R3374" s="2" t="inlineStr"/>
    </row>
    <row r="3375" ht="15" customHeight="1">
      <c r="A3375" t="inlineStr">
        <is>
          <t>A 36393-2023</t>
        </is>
      </c>
      <c r="B3375" s="1" t="n">
        <v>45152</v>
      </c>
      <c r="C3375" s="1" t="n">
        <v>45724</v>
      </c>
      <c r="D3375" t="inlineStr">
        <is>
          <t>VÄSTMANLANDS LÄN</t>
        </is>
      </c>
      <c r="E3375" t="inlineStr">
        <is>
          <t>SALA</t>
        </is>
      </c>
      <c r="G3375" t="n">
        <v>0.9</v>
      </c>
      <c r="H3375" t="n">
        <v>0</v>
      </c>
      <c r="I3375" t="n">
        <v>0</v>
      </c>
      <c r="J3375" t="n">
        <v>0</v>
      </c>
      <c r="K3375" t="n">
        <v>0</v>
      </c>
      <c r="L3375" t="n">
        <v>0</v>
      </c>
      <c r="M3375" t="n">
        <v>0</v>
      </c>
      <c r="N3375" t="n">
        <v>0</v>
      </c>
      <c r="O3375" t="n">
        <v>0</v>
      </c>
      <c r="P3375" t="n">
        <v>0</v>
      </c>
      <c r="Q3375" t="n">
        <v>0</v>
      </c>
      <c r="R3375" s="2" t="inlineStr"/>
    </row>
    <row r="3376" ht="15" customHeight="1">
      <c r="A3376" t="inlineStr">
        <is>
          <t>A 36279-2023</t>
        </is>
      </c>
      <c r="B3376" s="1" t="n">
        <v>45152</v>
      </c>
      <c r="C3376" s="1" t="n">
        <v>45724</v>
      </c>
      <c r="D3376" t="inlineStr">
        <is>
          <t>VÄSTMANLANDS LÄN</t>
        </is>
      </c>
      <c r="E3376" t="inlineStr">
        <is>
          <t>KÖPING</t>
        </is>
      </c>
      <c r="F3376" t="inlineStr">
        <is>
          <t>Sveaskog</t>
        </is>
      </c>
      <c r="G3376" t="n">
        <v>2.9</v>
      </c>
      <c r="H3376" t="n">
        <v>0</v>
      </c>
      <c r="I3376" t="n">
        <v>0</v>
      </c>
      <c r="J3376" t="n">
        <v>0</v>
      </c>
      <c r="K3376" t="n">
        <v>0</v>
      </c>
      <c r="L3376" t="n">
        <v>0</v>
      </c>
      <c r="M3376" t="n">
        <v>0</v>
      </c>
      <c r="N3376" t="n">
        <v>0</v>
      </c>
      <c r="O3376" t="n">
        <v>0</v>
      </c>
      <c r="P3376" t="n">
        <v>0</v>
      </c>
      <c r="Q3376" t="n">
        <v>0</v>
      </c>
      <c r="R3376" s="2" t="inlineStr"/>
    </row>
    <row r="3377" ht="15" customHeight="1">
      <c r="A3377" t="inlineStr">
        <is>
          <t>A 36405-2023</t>
        </is>
      </c>
      <c r="B3377" s="1" t="n">
        <v>45152</v>
      </c>
      <c r="C3377" s="1" t="n">
        <v>45724</v>
      </c>
      <c r="D3377" t="inlineStr">
        <is>
          <t>VÄSTMANLANDS LÄN</t>
        </is>
      </c>
      <c r="E3377" t="inlineStr">
        <is>
          <t>KÖPING</t>
        </is>
      </c>
      <c r="G3377" t="n">
        <v>0.9</v>
      </c>
      <c r="H3377" t="n">
        <v>0</v>
      </c>
      <c r="I3377" t="n">
        <v>0</v>
      </c>
      <c r="J3377" t="n">
        <v>0</v>
      </c>
      <c r="K3377" t="n">
        <v>0</v>
      </c>
      <c r="L3377" t="n">
        <v>0</v>
      </c>
      <c r="M3377" t="n">
        <v>0</v>
      </c>
      <c r="N3377" t="n">
        <v>0</v>
      </c>
      <c r="O3377" t="n">
        <v>0</v>
      </c>
      <c r="P3377" t="n">
        <v>0</v>
      </c>
      <c r="Q3377" t="n">
        <v>0</v>
      </c>
      <c r="R3377" s="2" t="inlineStr"/>
    </row>
    <row r="3378" ht="15" customHeight="1">
      <c r="A3378" t="inlineStr">
        <is>
          <t>A 36471-2023</t>
        </is>
      </c>
      <c r="B3378" s="1" t="n">
        <v>45152</v>
      </c>
      <c r="C3378" s="1" t="n">
        <v>45724</v>
      </c>
      <c r="D3378" t="inlineStr">
        <is>
          <t>VÄSTMANLANDS LÄN</t>
        </is>
      </c>
      <c r="E3378" t="inlineStr">
        <is>
          <t>SKINNSKATTEBERG</t>
        </is>
      </c>
      <c r="F3378" t="inlineStr">
        <is>
          <t>Sveaskog</t>
        </is>
      </c>
      <c r="G3378" t="n">
        <v>6.5</v>
      </c>
      <c r="H3378" t="n">
        <v>0</v>
      </c>
      <c r="I3378" t="n">
        <v>0</v>
      </c>
      <c r="J3378" t="n">
        <v>0</v>
      </c>
      <c r="K3378" t="n">
        <v>0</v>
      </c>
      <c r="L3378" t="n">
        <v>0</v>
      </c>
      <c r="M3378" t="n">
        <v>0</v>
      </c>
      <c r="N3378" t="n">
        <v>0</v>
      </c>
      <c r="O3378" t="n">
        <v>0</v>
      </c>
      <c r="P3378" t="n">
        <v>0</v>
      </c>
      <c r="Q3378" t="n">
        <v>0</v>
      </c>
      <c r="R3378" s="2" t="inlineStr"/>
    </row>
    <row r="3379" ht="15" customHeight="1">
      <c r="A3379" t="inlineStr">
        <is>
          <t>A 36475-2023</t>
        </is>
      </c>
      <c r="B3379" s="1" t="n">
        <v>45152</v>
      </c>
      <c r="C3379" s="1" t="n">
        <v>45724</v>
      </c>
      <c r="D3379" t="inlineStr">
        <is>
          <t>VÄSTMANLANDS LÄN</t>
        </is>
      </c>
      <c r="E3379" t="inlineStr">
        <is>
          <t>SKINNSKATTEBERG</t>
        </is>
      </c>
      <c r="F3379" t="inlineStr">
        <is>
          <t>Sveaskog</t>
        </is>
      </c>
      <c r="G3379" t="n">
        <v>0.8</v>
      </c>
      <c r="H3379" t="n">
        <v>0</v>
      </c>
      <c r="I3379" t="n">
        <v>0</v>
      </c>
      <c r="J3379" t="n">
        <v>0</v>
      </c>
      <c r="K3379" t="n">
        <v>0</v>
      </c>
      <c r="L3379" t="n">
        <v>0</v>
      </c>
      <c r="M3379" t="n">
        <v>0</v>
      </c>
      <c r="N3379" t="n">
        <v>0</v>
      </c>
      <c r="O3379" t="n">
        <v>0</v>
      </c>
      <c r="P3379" t="n">
        <v>0</v>
      </c>
      <c r="Q3379" t="n">
        <v>0</v>
      </c>
      <c r="R3379" s="2" t="inlineStr"/>
    </row>
    <row r="3380" ht="15" customHeight="1">
      <c r="A3380" t="inlineStr">
        <is>
          <t>A 36409-2023</t>
        </is>
      </c>
      <c r="B3380" s="1" t="n">
        <v>45152</v>
      </c>
      <c r="C3380" s="1" t="n">
        <v>45724</v>
      </c>
      <c r="D3380" t="inlineStr">
        <is>
          <t>VÄSTMANLANDS LÄN</t>
        </is>
      </c>
      <c r="E3380" t="inlineStr">
        <is>
          <t>KÖPING</t>
        </is>
      </c>
      <c r="G3380" t="n">
        <v>3.4</v>
      </c>
      <c r="H3380" t="n">
        <v>0</v>
      </c>
      <c r="I3380" t="n">
        <v>0</v>
      </c>
      <c r="J3380" t="n">
        <v>0</v>
      </c>
      <c r="K3380" t="n">
        <v>0</v>
      </c>
      <c r="L3380" t="n">
        <v>0</v>
      </c>
      <c r="M3380" t="n">
        <v>0</v>
      </c>
      <c r="N3380" t="n">
        <v>0</v>
      </c>
      <c r="O3380" t="n">
        <v>0</v>
      </c>
      <c r="P3380" t="n">
        <v>0</v>
      </c>
      <c r="Q3380" t="n">
        <v>0</v>
      </c>
      <c r="R3380" s="2" t="inlineStr"/>
    </row>
    <row r="3381" ht="15" customHeight="1">
      <c r="A3381" t="inlineStr">
        <is>
          <t>A 36476-2023</t>
        </is>
      </c>
      <c r="B3381" s="1" t="n">
        <v>45152</v>
      </c>
      <c r="C3381" s="1" t="n">
        <v>45724</v>
      </c>
      <c r="D3381" t="inlineStr">
        <is>
          <t>VÄSTMANLANDS LÄN</t>
        </is>
      </c>
      <c r="E3381" t="inlineStr">
        <is>
          <t>SKINNSKATTEBERG</t>
        </is>
      </c>
      <c r="F3381" t="inlineStr">
        <is>
          <t>Sveaskog</t>
        </is>
      </c>
      <c r="G3381" t="n">
        <v>1.1</v>
      </c>
      <c r="H3381" t="n">
        <v>0</v>
      </c>
      <c r="I3381" t="n">
        <v>0</v>
      </c>
      <c r="J3381" t="n">
        <v>0</v>
      </c>
      <c r="K3381" t="n">
        <v>0</v>
      </c>
      <c r="L3381" t="n">
        <v>0</v>
      </c>
      <c r="M3381" t="n">
        <v>0</v>
      </c>
      <c r="N3381" t="n">
        <v>0</v>
      </c>
      <c r="O3381" t="n">
        <v>0</v>
      </c>
      <c r="P3381" t="n">
        <v>0</v>
      </c>
      <c r="Q3381" t="n">
        <v>0</v>
      </c>
      <c r="R3381" s="2" t="inlineStr"/>
    </row>
    <row r="3382" ht="15" customHeight="1">
      <c r="A3382" t="inlineStr">
        <is>
          <t>A 36473-2023</t>
        </is>
      </c>
      <c r="B3382" s="1" t="n">
        <v>45152</v>
      </c>
      <c r="C3382" s="1" t="n">
        <v>45724</v>
      </c>
      <c r="D3382" t="inlineStr">
        <is>
          <t>VÄSTMANLANDS LÄN</t>
        </is>
      </c>
      <c r="E3382" t="inlineStr">
        <is>
          <t>SKINNSKATTEBERG</t>
        </is>
      </c>
      <c r="F3382" t="inlineStr">
        <is>
          <t>Sveaskog</t>
        </is>
      </c>
      <c r="G3382" t="n">
        <v>3.8</v>
      </c>
      <c r="H3382" t="n">
        <v>0</v>
      </c>
      <c r="I3382" t="n">
        <v>0</v>
      </c>
      <c r="J3382" t="n">
        <v>0</v>
      </c>
      <c r="K3382" t="n">
        <v>0</v>
      </c>
      <c r="L3382" t="n">
        <v>0</v>
      </c>
      <c r="M3382" t="n">
        <v>0</v>
      </c>
      <c r="N3382" t="n">
        <v>0</v>
      </c>
      <c r="O3382" t="n">
        <v>0</v>
      </c>
      <c r="P3382" t="n">
        <v>0</v>
      </c>
      <c r="Q3382" t="n">
        <v>0</v>
      </c>
      <c r="R3382" s="2" t="inlineStr"/>
    </row>
    <row r="3383" ht="15" customHeight="1">
      <c r="A3383" t="inlineStr">
        <is>
          <t>A 36529-2023</t>
        </is>
      </c>
      <c r="B3383" s="1" t="n">
        <v>45153</v>
      </c>
      <c r="C3383" s="1" t="n">
        <v>45724</v>
      </c>
      <c r="D3383" t="inlineStr">
        <is>
          <t>VÄSTMANLANDS LÄN</t>
        </is>
      </c>
      <c r="E3383" t="inlineStr">
        <is>
          <t>ARBOGA</t>
        </is>
      </c>
      <c r="G3383" t="n">
        <v>1.5</v>
      </c>
      <c r="H3383" t="n">
        <v>0</v>
      </c>
      <c r="I3383" t="n">
        <v>0</v>
      </c>
      <c r="J3383" t="n">
        <v>0</v>
      </c>
      <c r="K3383" t="n">
        <v>0</v>
      </c>
      <c r="L3383" t="n">
        <v>0</v>
      </c>
      <c r="M3383" t="n">
        <v>0</v>
      </c>
      <c r="N3383" t="n">
        <v>0</v>
      </c>
      <c r="O3383" t="n">
        <v>0</v>
      </c>
      <c r="P3383" t="n">
        <v>0</v>
      </c>
      <c r="Q3383" t="n">
        <v>0</v>
      </c>
      <c r="R3383" s="2" t="inlineStr"/>
    </row>
    <row r="3384" ht="15" customHeight="1">
      <c r="A3384" t="inlineStr">
        <is>
          <t>A 36530-2023</t>
        </is>
      </c>
      <c r="B3384" s="1" t="n">
        <v>45153</v>
      </c>
      <c r="C3384" s="1" t="n">
        <v>45724</v>
      </c>
      <c r="D3384" t="inlineStr">
        <is>
          <t>VÄSTMANLANDS LÄN</t>
        </is>
      </c>
      <c r="E3384" t="inlineStr">
        <is>
          <t>ARBOGA</t>
        </is>
      </c>
      <c r="G3384" t="n">
        <v>1.6</v>
      </c>
      <c r="H3384" t="n">
        <v>0</v>
      </c>
      <c r="I3384" t="n">
        <v>0</v>
      </c>
      <c r="J3384" t="n">
        <v>0</v>
      </c>
      <c r="K3384" t="n">
        <v>0</v>
      </c>
      <c r="L3384" t="n">
        <v>0</v>
      </c>
      <c r="M3384" t="n">
        <v>0</v>
      </c>
      <c r="N3384" t="n">
        <v>0</v>
      </c>
      <c r="O3384" t="n">
        <v>0</v>
      </c>
      <c r="P3384" t="n">
        <v>0</v>
      </c>
      <c r="Q3384" t="n">
        <v>0</v>
      </c>
      <c r="R3384" s="2" t="inlineStr"/>
    </row>
    <row r="3385" ht="15" customHeight="1">
      <c r="A3385" t="inlineStr">
        <is>
          <t>A 36641-2023</t>
        </is>
      </c>
      <c r="B3385" s="1" t="n">
        <v>45153</v>
      </c>
      <c r="C3385" s="1" t="n">
        <v>45724</v>
      </c>
      <c r="D3385" t="inlineStr">
        <is>
          <t>VÄSTMANLANDS LÄN</t>
        </is>
      </c>
      <c r="E3385" t="inlineStr">
        <is>
          <t>VÄSTERÅS</t>
        </is>
      </c>
      <c r="G3385" t="n">
        <v>0.8</v>
      </c>
      <c r="H3385" t="n">
        <v>0</v>
      </c>
      <c r="I3385" t="n">
        <v>0</v>
      </c>
      <c r="J3385" t="n">
        <v>0</v>
      </c>
      <c r="K3385" t="n">
        <v>0</v>
      </c>
      <c r="L3385" t="n">
        <v>0</v>
      </c>
      <c r="M3385" t="n">
        <v>0</v>
      </c>
      <c r="N3385" t="n">
        <v>0</v>
      </c>
      <c r="O3385" t="n">
        <v>0</v>
      </c>
      <c r="P3385" t="n">
        <v>0</v>
      </c>
      <c r="Q3385" t="n">
        <v>0</v>
      </c>
      <c r="R3385" s="2" t="inlineStr"/>
    </row>
    <row r="3386" ht="15" customHeight="1">
      <c r="A3386" t="inlineStr">
        <is>
          <t>A 36658-2023</t>
        </is>
      </c>
      <c r="B3386" s="1" t="n">
        <v>45153</v>
      </c>
      <c r="C3386" s="1" t="n">
        <v>45724</v>
      </c>
      <c r="D3386" t="inlineStr">
        <is>
          <t>VÄSTMANLANDS LÄN</t>
        </is>
      </c>
      <c r="E3386" t="inlineStr">
        <is>
          <t>KÖPING</t>
        </is>
      </c>
      <c r="G3386" t="n">
        <v>2.4</v>
      </c>
      <c r="H3386" t="n">
        <v>0</v>
      </c>
      <c r="I3386" t="n">
        <v>0</v>
      </c>
      <c r="J3386" t="n">
        <v>0</v>
      </c>
      <c r="K3386" t="n">
        <v>0</v>
      </c>
      <c r="L3386" t="n">
        <v>0</v>
      </c>
      <c r="M3386" t="n">
        <v>0</v>
      </c>
      <c r="N3386" t="n">
        <v>0</v>
      </c>
      <c r="O3386" t="n">
        <v>0</v>
      </c>
      <c r="P3386" t="n">
        <v>0</v>
      </c>
      <c r="Q3386" t="n">
        <v>0</v>
      </c>
      <c r="R3386" s="2" t="inlineStr"/>
    </row>
    <row r="3387" ht="15" customHeight="1">
      <c r="A3387" t="inlineStr">
        <is>
          <t>A 36712-2023</t>
        </is>
      </c>
      <c r="B3387" s="1" t="n">
        <v>45153</v>
      </c>
      <c r="C3387" s="1" t="n">
        <v>45724</v>
      </c>
      <c r="D3387" t="inlineStr">
        <is>
          <t>VÄSTMANLANDS LÄN</t>
        </is>
      </c>
      <c r="E3387" t="inlineStr">
        <is>
          <t>KÖPING</t>
        </is>
      </c>
      <c r="F3387" t="inlineStr">
        <is>
          <t>Sveaskog</t>
        </is>
      </c>
      <c r="G3387" t="n">
        <v>6.9</v>
      </c>
      <c r="H3387" t="n">
        <v>0</v>
      </c>
      <c r="I3387" t="n">
        <v>0</v>
      </c>
      <c r="J3387" t="n">
        <v>0</v>
      </c>
      <c r="K3387" t="n">
        <v>0</v>
      </c>
      <c r="L3387" t="n">
        <v>0</v>
      </c>
      <c r="M3387" t="n">
        <v>0</v>
      </c>
      <c r="N3387" t="n">
        <v>0</v>
      </c>
      <c r="O3387" t="n">
        <v>0</v>
      </c>
      <c r="P3387" t="n">
        <v>0</v>
      </c>
      <c r="Q3387" t="n">
        <v>0</v>
      </c>
      <c r="R3387" s="2" t="inlineStr"/>
    </row>
    <row r="3388" ht="15" customHeight="1">
      <c r="A3388" t="inlineStr">
        <is>
          <t>A 36702-2023</t>
        </is>
      </c>
      <c r="B3388" s="1" t="n">
        <v>45153</v>
      </c>
      <c r="C3388" s="1" t="n">
        <v>45724</v>
      </c>
      <c r="D3388" t="inlineStr">
        <is>
          <t>VÄSTMANLANDS LÄN</t>
        </is>
      </c>
      <c r="E3388" t="inlineStr">
        <is>
          <t>VÄSTERÅS</t>
        </is>
      </c>
      <c r="G3388" t="n">
        <v>1.6</v>
      </c>
      <c r="H3388" t="n">
        <v>0</v>
      </c>
      <c r="I3388" t="n">
        <v>0</v>
      </c>
      <c r="J3388" t="n">
        <v>0</v>
      </c>
      <c r="K3388" t="n">
        <v>0</v>
      </c>
      <c r="L3388" t="n">
        <v>0</v>
      </c>
      <c r="M3388" t="n">
        <v>0</v>
      </c>
      <c r="N3388" t="n">
        <v>0</v>
      </c>
      <c r="O3388" t="n">
        <v>0</v>
      </c>
      <c r="P3388" t="n">
        <v>0</v>
      </c>
      <c r="Q3388" t="n">
        <v>0</v>
      </c>
      <c r="R3388" s="2" t="inlineStr"/>
    </row>
    <row r="3389" ht="15" customHeight="1">
      <c r="A3389" t="inlineStr">
        <is>
          <t>A 36704-2023</t>
        </is>
      </c>
      <c r="B3389" s="1" t="n">
        <v>45153</v>
      </c>
      <c r="C3389" s="1" t="n">
        <v>45724</v>
      </c>
      <c r="D3389" t="inlineStr">
        <is>
          <t>VÄSTMANLANDS LÄN</t>
        </is>
      </c>
      <c r="E3389" t="inlineStr">
        <is>
          <t>KÖPING</t>
        </is>
      </c>
      <c r="F3389" t="inlineStr">
        <is>
          <t>Sveaskog</t>
        </is>
      </c>
      <c r="G3389" t="n">
        <v>2.7</v>
      </c>
      <c r="H3389" t="n">
        <v>0</v>
      </c>
      <c r="I3389" t="n">
        <v>0</v>
      </c>
      <c r="J3389" t="n">
        <v>0</v>
      </c>
      <c r="K3389" t="n">
        <v>0</v>
      </c>
      <c r="L3389" t="n">
        <v>0</v>
      </c>
      <c r="M3389" t="n">
        <v>0</v>
      </c>
      <c r="N3389" t="n">
        <v>0</v>
      </c>
      <c r="O3389" t="n">
        <v>0</v>
      </c>
      <c r="P3389" t="n">
        <v>0</v>
      </c>
      <c r="Q3389" t="n">
        <v>0</v>
      </c>
      <c r="R3389" s="2" t="inlineStr"/>
    </row>
    <row r="3390" ht="15" customHeight="1">
      <c r="A3390" t="inlineStr">
        <is>
          <t>A 36709-2023</t>
        </is>
      </c>
      <c r="B3390" s="1" t="n">
        <v>45153</v>
      </c>
      <c r="C3390" s="1" t="n">
        <v>45724</v>
      </c>
      <c r="D3390" t="inlineStr">
        <is>
          <t>VÄSTMANLANDS LÄN</t>
        </is>
      </c>
      <c r="E3390" t="inlineStr">
        <is>
          <t>KÖPING</t>
        </is>
      </c>
      <c r="F3390" t="inlineStr">
        <is>
          <t>Sveaskog</t>
        </is>
      </c>
      <c r="G3390" t="n">
        <v>4</v>
      </c>
      <c r="H3390" t="n">
        <v>0</v>
      </c>
      <c r="I3390" t="n">
        <v>0</v>
      </c>
      <c r="J3390" t="n">
        <v>0</v>
      </c>
      <c r="K3390" t="n">
        <v>0</v>
      </c>
      <c r="L3390" t="n">
        <v>0</v>
      </c>
      <c r="M3390" t="n">
        <v>0</v>
      </c>
      <c r="N3390" t="n">
        <v>0</v>
      </c>
      <c r="O3390" t="n">
        <v>0</v>
      </c>
      <c r="P3390" t="n">
        <v>0</v>
      </c>
      <c r="Q3390" t="n">
        <v>0</v>
      </c>
      <c r="R3390" s="2" t="inlineStr"/>
    </row>
    <row r="3391" ht="15" customHeight="1">
      <c r="A3391" t="inlineStr">
        <is>
          <t>A 36858-2023</t>
        </is>
      </c>
      <c r="B3391" s="1" t="n">
        <v>45154</v>
      </c>
      <c r="C3391" s="1" t="n">
        <v>45724</v>
      </c>
      <c r="D3391" t="inlineStr">
        <is>
          <t>VÄSTMANLANDS LÄN</t>
        </is>
      </c>
      <c r="E3391" t="inlineStr">
        <is>
          <t>SALA</t>
        </is>
      </c>
      <c r="G3391" t="n">
        <v>2.1</v>
      </c>
      <c r="H3391" t="n">
        <v>0</v>
      </c>
      <c r="I3391" t="n">
        <v>0</v>
      </c>
      <c r="J3391" t="n">
        <v>0</v>
      </c>
      <c r="K3391" t="n">
        <v>0</v>
      </c>
      <c r="L3391" t="n">
        <v>0</v>
      </c>
      <c r="M3391" t="n">
        <v>0</v>
      </c>
      <c r="N3391" t="n">
        <v>0</v>
      </c>
      <c r="O3391" t="n">
        <v>0</v>
      </c>
      <c r="P3391" t="n">
        <v>0</v>
      </c>
      <c r="Q3391" t="n">
        <v>0</v>
      </c>
      <c r="R3391" s="2" t="inlineStr"/>
    </row>
    <row r="3392" ht="15" customHeight="1">
      <c r="A3392" t="inlineStr">
        <is>
          <t>A 36905-2023</t>
        </is>
      </c>
      <c r="B3392" s="1" t="n">
        <v>45154</v>
      </c>
      <c r="C3392" s="1" t="n">
        <v>45724</v>
      </c>
      <c r="D3392" t="inlineStr">
        <is>
          <t>VÄSTMANLANDS LÄN</t>
        </is>
      </c>
      <c r="E3392" t="inlineStr">
        <is>
          <t>NORBERG</t>
        </is>
      </c>
      <c r="G3392" t="n">
        <v>0.2</v>
      </c>
      <c r="H3392" t="n">
        <v>0</v>
      </c>
      <c r="I3392" t="n">
        <v>0</v>
      </c>
      <c r="J3392" t="n">
        <v>0</v>
      </c>
      <c r="K3392" t="n">
        <v>0</v>
      </c>
      <c r="L3392" t="n">
        <v>0</v>
      </c>
      <c r="M3392" t="n">
        <v>0</v>
      </c>
      <c r="N3392" t="n">
        <v>0</v>
      </c>
      <c r="O3392" t="n">
        <v>0</v>
      </c>
      <c r="P3392" t="n">
        <v>0</v>
      </c>
      <c r="Q3392" t="n">
        <v>0</v>
      </c>
      <c r="R3392" s="2" t="inlineStr"/>
    </row>
    <row r="3393" ht="15" customHeight="1">
      <c r="A3393" t="inlineStr">
        <is>
          <t>A 37196-2023</t>
        </is>
      </c>
      <c r="B3393" s="1" t="n">
        <v>45154</v>
      </c>
      <c r="C3393" s="1" t="n">
        <v>45724</v>
      </c>
      <c r="D3393" t="inlineStr">
        <is>
          <t>VÄSTMANLANDS LÄN</t>
        </is>
      </c>
      <c r="E3393" t="inlineStr">
        <is>
          <t>SKINNSKATTEBERG</t>
        </is>
      </c>
      <c r="G3393" t="n">
        <v>5</v>
      </c>
      <c r="H3393" t="n">
        <v>0</v>
      </c>
      <c r="I3393" t="n">
        <v>0</v>
      </c>
      <c r="J3393" t="n">
        <v>0</v>
      </c>
      <c r="K3393" t="n">
        <v>0</v>
      </c>
      <c r="L3393" t="n">
        <v>0</v>
      </c>
      <c r="M3393" t="n">
        <v>0</v>
      </c>
      <c r="N3393" t="n">
        <v>0</v>
      </c>
      <c r="O3393" t="n">
        <v>0</v>
      </c>
      <c r="P3393" t="n">
        <v>0</v>
      </c>
      <c r="Q3393" t="n">
        <v>0</v>
      </c>
      <c r="R3393" s="2" t="inlineStr"/>
    </row>
    <row r="3394" ht="15" customHeight="1">
      <c r="A3394" t="inlineStr">
        <is>
          <t>A 37017-2023</t>
        </is>
      </c>
      <c r="B3394" s="1" t="n">
        <v>45155</v>
      </c>
      <c r="C3394" s="1" t="n">
        <v>45724</v>
      </c>
      <c r="D3394" t="inlineStr">
        <is>
          <t>VÄSTMANLANDS LÄN</t>
        </is>
      </c>
      <c r="E3394" t="inlineStr">
        <is>
          <t>NORBERG</t>
        </is>
      </c>
      <c r="F3394" t="inlineStr">
        <is>
          <t>Övriga Aktiebolag</t>
        </is>
      </c>
      <c r="G3394" t="n">
        <v>15.9</v>
      </c>
      <c r="H3394" t="n">
        <v>0</v>
      </c>
      <c r="I3394" t="n">
        <v>0</v>
      </c>
      <c r="J3394" t="n">
        <v>0</v>
      </c>
      <c r="K3394" t="n">
        <v>0</v>
      </c>
      <c r="L3394" t="n">
        <v>0</v>
      </c>
      <c r="M3394" t="n">
        <v>0</v>
      </c>
      <c r="N3394" t="n">
        <v>0</v>
      </c>
      <c r="O3394" t="n">
        <v>0</v>
      </c>
      <c r="P3394" t="n">
        <v>0</v>
      </c>
      <c r="Q3394" t="n">
        <v>0</v>
      </c>
      <c r="R3394" s="2" t="inlineStr"/>
    </row>
    <row r="3395" ht="15" customHeight="1">
      <c r="A3395" t="inlineStr">
        <is>
          <t>A 37007-2023</t>
        </is>
      </c>
      <c r="B3395" s="1" t="n">
        <v>45155</v>
      </c>
      <c r="C3395" s="1" t="n">
        <v>45724</v>
      </c>
      <c r="D3395" t="inlineStr">
        <is>
          <t>VÄSTMANLANDS LÄN</t>
        </is>
      </c>
      <c r="E3395" t="inlineStr">
        <is>
          <t>SKINNSKATTEBERG</t>
        </is>
      </c>
      <c r="F3395" t="inlineStr">
        <is>
          <t>Sveaskog</t>
        </is>
      </c>
      <c r="G3395" t="n">
        <v>2.3</v>
      </c>
      <c r="H3395" t="n">
        <v>0</v>
      </c>
      <c r="I3395" t="n">
        <v>0</v>
      </c>
      <c r="J3395" t="n">
        <v>0</v>
      </c>
      <c r="K3395" t="n">
        <v>0</v>
      </c>
      <c r="L3395" t="n">
        <v>0</v>
      </c>
      <c r="M3395" t="n">
        <v>0</v>
      </c>
      <c r="N3395" t="n">
        <v>0</v>
      </c>
      <c r="O3395" t="n">
        <v>0</v>
      </c>
      <c r="P3395" t="n">
        <v>0</v>
      </c>
      <c r="Q3395" t="n">
        <v>0</v>
      </c>
      <c r="R3395" s="2" t="inlineStr"/>
    </row>
    <row r="3396" ht="15" customHeight="1">
      <c r="A3396" t="inlineStr">
        <is>
          <t>A 37011-2023</t>
        </is>
      </c>
      <c r="B3396" s="1" t="n">
        <v>45155</v>
      </c>
      <c r="C3396" s="1" t="n">
        <v>45724</v>
      </c>
      <c r="D3396" t="inlineStr">
        <is>
          <t>VÄSTMANLANDS LÄN</t>
        </is>
      </c>
      <c r="E3396" t="inlineStr">
        <is>
          <t>NORBERG</t>
        </is>
      </c>
      <c r="F3396" t="inlineStr">
        <is>
          <t>Övriga Aktiebolag</t>
        </is>
      </c>
      <c r="G3396" t="n">
        <v>7.6</v>
      </c>
      <c r="H3396" t="n">
        <v>0</v>
      </c>
      <c r="I3396" t="n">
        <v>0</v>
      </c>
      <c r="J3396" t="n">
        <v>0</v>
      </c>
      <c r="K3396" t="n">
        <v>0</v>
      </c>
      <c r="L3396" t="n">
        <v>0</v>
      </c>
      <c r="M3396" t="n">
        <v>0</v>
      </c>
      <c r="N3396" t="n">
        <v>0</v>
      </c>
      <c r="O3396" t="n">
        <v>0</v>
      </c>
      <c r="P3396" t="n">
        <v>0</v>
      </c>
      <c r="Q3396" t="n">
        <v>0</v>
      </c>
      <c r="R3396" s="2" t="inlineStr"/>
    </row>
    <row r="3397" ht="15" customHeight="1">
      <c r="A3397" t="inlineStr">
        <is>
          <t>A 37006-2023</t>
        </is>
      </c>
      <c r="B3397" s="1" t="n">
        <v>45155</v>
      </c>
      <c r="C3397" s="1" t="n">
        <v>45724</v>
      </c>
      <c r="D3397" t="inlineStr">
        <is>
          <t>VÄSTMANLANDS LÄN</t>
        </is>
      </c>
      <c r="E3397" t="inlineStr">
        <is>
          <t>SKINNSKATTEBERG</t>
        </is>
      </c>
      <c r="F3397" t="inlineStr">
        <is>
          <t>Sveaskog</t>
        </is>
      </c>
      <c r="G3397" t="n">
        <v>6</v>
      </c>
      <c r="H3397" t="n">
        <v>0</v>
      </c>
      <c r="I3397" t="n">
        <v>0</v>
      </c>
      <c r="J3397" t="n">
        <v>0</v>
      </c>
      <c r="K3397" t="n">
        <v>0</v>
      </c>
      <c r="L3397" t="n">
        <v>0</v>
      </c>
      <c r="M3397" t="n">
        <v>0</v>
      </c>
      <c r="N3397" t="n">
        <v>0</v>
      </c>
      <c r="O3397" t="n">
        <v>0</v>
      </c>
      <c r="P3397" t="n">
        <v>0</v>
      </c>
      <c r="Q3397" t="n">
        <v>0</v>
      </c>
      <c r="R3397" s="2" t="inlineStr"/>
    </row>
    <row r="3398" ht="15" customHeight="1">
      <c r="A3398" t="inlineStr">
        <is>
          <t>A 37138-2023</t>
        </is>
      </c>
      <c r="B3398" s="1" t="n">
        <v>45155</v>
      </c>
      <c r="C3398" s="1" t="n">
        <v>45724</v>
      </c>
      <c r="D3398" t="inlineStr">
        <is>
          <t>VÄSTMANLANDS LÄN</t>
        </is>
      </c>
      <c r="E3398" t="inlineStr">
        <is>
          <t>SURAHAMMAR</t>
        </is>
      </c>
      <c r="G3398" t="n">
        <v>1.4</v>
      </c>
      <c r="H3398" t="n">
        <v>0</v>
      </c>
      <c r="I3398" t="n">
        <v>0</v>
      </c>
      <c r="J3398" t="n">
        <v>0</v>
      </c>
      <c r="K3398" t="n">
        <v>0</v>
      </c>
      <c r="L3398" t="n">
        <v>0</v>
      </c>
      <c r="M3398" t="n">
        <v>0</v>
      </c>
      <c r="N3398" t="n">
        <v>0</v>
      </c>
      <c r="O3398" t="n">
        <v>0</v>
      </c>
      <c r="P3398" t="n">
        <v>0</v>
      </c>
      <c r="Q3398" t="n">
        <v>0</v>
      </c>
      <c r="R3398" s="2" t="inlineStr"/>
    </row>
    <row r="3399" ht="15" customHeight="1">
      <c r="A3399" t="inlineStr">
        <is>
          <t>A 37200-2023</t>
        </is>
      </c>
      <c r="B3399" s="1" t="n">
        <v>45155</v>
      </c>
      <c r="C3399" s="1" t="n">
        <v>45724</v>
      </c>
      <c r="D3399" t="inlineStr">
        <is>
          <t>VÄSTMANLANDS LÄN</t>
        </is>
      </c>
      <c r="E3399" t="inlineStr">
        <is>
          <t>NORBERG</t>
        </is>
      </c>
      <c r="F3399" t="inlineStr">
        <is>
          <t>Sveaskog</t>
        </is>
      </c>
      <c r="G3399" t="n">
        <v>4.5</v>
      </c>
      <c r="H3399" t="n">
        <v>0</v>
      </c>
      <c r="I3399" t="n">
        <v>0</v>
      </c>
      <c r="J3399" t="n">
        <v>0</v>
      </c>
      <c r="K3399" t="n">
        <v>0</v>
      </c>
      <c r="L3399" t="n">
        <v>0</v>
      </c>
      <c r="M3399" t="n">
        <v>0</v>
      </c>
      <c r="N3399" t="n">
        <v>0</v>
      </c>
      <c r="O3399" t="n">
        <v>0</v>
      </c>
      <c r="P3399" t="n">
        <v>0</v>
      </c>
      <c r="Q3399" t="n">
        <v>0</v>
      </c>
      <c r="R3399" s="2" t="inlineStr"/>
    </row>
    <row r="3400" ht="15" customHeight="1">
      <c r="A3400" t="inlineStr">
        <is>
          <t>A 37198-2023</t>
        </is>
      </c>
      <c r="B3400" s="1" t="n">
        <v>45155</v>
      </c>
      <c r="C3400" s="1" t="n">
        <v>45724</v>
      </c>
      <c r="D3400" t="inlineStr">
        <is>
          <t>VÄSTMANLANDS LÄN</t>
        </is>
      </c>
      <c r="E3400" t="inlineStr">
        <is>
          <t>NORBERG</t>
        </is>
      </c>
      <c r="F3400" t="inlineStr">
        <is>
          <t>Sveaskog</t>
        </is>
      </c>
      <c r="G3400" t="n">
        <v>2.6</v>
      </c>
      <c r="H3400" t="n">
        <v>0</v>
      </c>
      <c r="I3400" t="n">
        <v>0</v>
      </c>
      <c r="J3400" t="n">
        <v>0</v>
      </c>
      <c r="K3400" t="n">
        <v>0</v>
      </c>
      <c r="L3400" t="n">
        <v>0</v>
      </c>
      <c r="M3400" t="n">
        <v>0</v>
      </c>
      <c r="N3400" t="n">
        <v>0</v>
      </c>
      <c r="O3400" t="n">
        <v>0</v>
      </c>
      <c r="P3400" t="n">
        <v>0</v>
      </c>
      <c r="Q3400" t="n">
        <v>0</v>
      </c>
      <c r="R3400" s="2" t="inlineStr"/>
    </row>
    <row r="3401" ht="15" customHeight="1">
      <c r="A3401" t="inlineStr">
        <is>
          <t>A 37287-2023</t>
        </is>
      </c>
      <c r="B3401" s="1" t="n">
        <v>45156</v>
      </c>
      <c r="C3401" s="1" t="n">
        <v>45724</v>
      </c>
      <c r="D3401" t="inlineStr">
        <is>
          <t>VÄSTMANLANDS LÄN</t>
        </is>
      </c>
      <c r="E3401" t="inlineStr">
        <is>
          <t>SURAHAMMAR</t>
        </is>
      </c>
      <c r="G3401" t="n">
        <v>0.6</v>
      </c>
      <c r="H3401" t="n">
        <v>0</v>
      </c>
      <c r="I3401" t="n">
        <v>0</v>
      </c>
      <c r="J3401" t="n">
        <v>0</v>
      </c>
      <c r="K3401" t="n">
        <v>0</v>
      </c>
      <c r="L3401" t="n">
        <v>0</v>
      </c>
      <c r="M3401" t="n">
        <v>0</v>
      </c>
      <c r="N3401" t="n">
        <v>0</v>
      </c>
      <c r="O3401" t="n">
        <v>0</v>
      </c>
      <c r="P3401" t="n">
        <v>0</v>
      </c>
      <c r="Q3401" t="n">
        <v>0</v>
      </c>
      <c r="R3401" s="2" t="inlineStr"/>
    </row>
    <row r="3402" ht="15" customHeight="1">
      <c r="A3402" t="inlineStr">
        <is>
          <t>A 37342-2023</t>
        </is>
      </c>
      <c r="B3402" s="1" t="n">
        <v>45156</v>
      </c>
      <c r="C3402" s="1" t="n">
        <v>45724</v>
      </c>
      <c r="D3402" t="inlineStr">
        <is>
          <t>VÄSTMANLANDS LÄN</t>
        </is>
      </c>
      <c r="E3402" t="inlineStr">
        <is>
          <t>SKINNSKATTEBERG</t>
        </is>
      </c>
      <c r="G3402" t="n">
        <v>5.9</v>
      </c>
      <c r="H3402" t="n">
        <v>0</v>
      </c>
      <c r="I3402" t="n">
        <v>0</v>
      </c>
      <c r="J3402" t="n">
        <v>0</v>
      </c>
      <c r="K3402" t="n">
        <v>0</v>
      </c>
      <c r="L3402" t="n">
        <v>0</v>
      </c>
      <c r="M3402" t="n">
        <v>0</v>
      </c>
      <c r="N3402" t="n">
        <v>0</v>
      </c>
      <c r="O3402" t="n">
        <v>0</v>
      </c>
      <c r="P3402" t="n">
        <v>0</v>
      </c>
      <c r="Q3402" t="n">
        <v>0</v>
      </c>
      <c r="R3402" s="2" t="inlineStr"/>
    </row>
    <row r="3403" ht="15" customHeight="1">
      <c r="A3403" t="inlineStr">
        <is>
          <t>A 37411-2023</t>
        </is>
      </c>
      <c r="B3403" s="1" t="n">
        <v>45156</v>
      </c>
      <c r="C3403" s="1" t="n">
        <v>45724</v>
      </c>
      <c r="D3403" t="inlineStr">
        <is>
          <t>VÄSTMANLANDS LÄN</t>
        </is>
      </c>
      <c r="E3403" t="inlineStr">
        <is>
          <t>FAGERSTA</t>
        </is>
      </c>
      <c r="F3403" t="inlineStr">
        <is>
          <t>Bergvik skog väst AB</t>
        </is>
      </c>
      <c r="G3403" t="n">
        <v>7.8</v>
      </c>
      <c r="H3403" t="n">
        <v>0</v>
      </c>
      <c r="I3403" t="n">
        <v>0</v>
      </c>
      <c r="J3403" t="n">
        <v>0</v>
      </c>
      <c r="K3403" t="n">
        <v>0</v>
      </c>
      <c r="L3403" t="n">
        <v>0</v>
      </c>
      <c r="M3403" t="n">
        <v>0</v>
      </c>
      <c r="N3403" t="n">
        <v>0</v>
      </c>
      <c r="O3403" t="n">
        <v>0</v>
      </c>
      <c r="P3403" t="n">
        <v>0</v>
      </c>
      <c r="Q3403" t="n">
        <v>0</v>
      </c>
      <c r="R3403" s="2" t="inlineStr"/>
    </row>
    <row r="3404" ht="15" customHeight="1">
      <c r="A3404" t="inlineStr">
        <is>
          <t>A 37432-2023</t>
        </is>
      </c>
      <c r="B3404" s="1" t="n">
        <v>45156</v>
      </c>
      <c r="C3404" s="1" t="n">
        <v>45724</v>
      </c>
      <c r="D3404" t="inlineStr">
        <is>
          <t>VÄSTMANLANDS LÄN</t>
        </is>
      </c>
      <c r="E3404" t="inlineStr">
        <is>
          <t>SKINNSKATTEBERG</t>
        </is>
      </c>
      <c r="F3404" t="inlineStr">
        <is>
          <t>Sveaskog</t>
        </is>
      </c>
      <c r="G3404" t="n">
        <v>2.8</v>
      </c>
      <c r="H3404" t="n">
        <v>0</v>
      </c>
      <c r="I3404" t="n">
        <v>0</v>
      </c>
      <c r="J3404" t="n">
        <v>0</v>
      </c>
      <c r="K3404" t="n">
        <v>0</v>
      </c>
      <c r="L3404" t="n">
        <v>0</v>
      </c>
      <c r="M3404" t="n">
        <v>0</v>
      </c>
      <c r="N3404" t="n">
        <v>0</v>
      </c>
      <c r="O3404" t="n">
        <v>0</v>
      </c>
      <c r="P3404" t="n">
        <v>0</v>
      </c>
      <c r="Q3404" t="n">
        <v>0</v>
      </c>
      <c r="R3404" s="2" t="inlineStr"/>
    </row>
    <row r="3405" ht="15" customHeight="1">
      <c r="A3405" t="inlineStr">
        <is>
          <t>A 37407-2023</t>
        </is>
      </c>
      <c r="B3405" s="1" t="n">
        <v>45156</v>
      </c>
      <c r="C3405" s="1" t="n">
        <v>45724</v>
      </c>
      <c r="D3405" t="inlineStr">
        <is>
          <t>VÄSTMANLANDS LÄN</t>
        </is>
      </c>
      <c r="E3405" t="inlineStr">
        <is>
          <t>HALLSTAHAMMAR</t>
        </is>
      </c>
      <c r="G3405" t="n">
        <v>3.3</v>
      </c>
      <c r="H3405" t="n">
        <v>0</v>
      </c>
      <c r="I3405" t="n">
        <v>0</v>
      </c>
      <c r="J3405" t="n">
        <v>0</v>
      </c>
      <c r="K3405" t="n">
        <v>0</v>
      </c>
      <c r="L3405" t="n">
        <v>0</v>
      </c>
      <c r="M3405" t="n">
        <v>0</v>
      </c>
      <c r="N3405" t="n">
        <v>0</v>
      </c>
      <c r="O3405" t="n">
        <v>0</v>
      </c>
      <c r="P3405" t="n">
        <v>0</v>
      </c>
      <c r="Q3405" t="n">
        <v>0</v>
      </c>
      <c r="R3405" s="2" t="inlineStr"/>
    </row>
    <row r="3406" ht="15" customHeight="1">
      <c r="A3406" t="inlineStr">
        <is>
          <t>A 37437-2023</t>
        </is>
      </c>
      <c r="B3406" s="1" t="n">
        <v>45156</v>
      </c>
      <c r="C3406" s="1" t="n">
        <v>45724</v>
      </c>
      <c r="D3406" t="inlineStr">
        <is>
          <t>VÄSTMANLANDS LÄN</t>
        </is>
      </c>
      <c r="E3406" t="inlineStr">
        <is>
          <t>SKINNSKATTEBERG</t>
        </is>
      </c>
      <c r="F3406" t="inlineStr">
        <is>
          <t>Sveaskog</t>
        </is>
      </c>
      <c r="G3406" t="n">
        <v>2.5</v>
      </c>
      <c r="H3406" t="n">
        <v>0</v>
      </c>
      <c r="I3406" t="n">
        <v>0</v>
      </c>
      <c r="J3406" t="n">
        <v>0</v>
      </c>
      <c r="K3406" t="n">
        <v>0</v>
      </c>
      <c r="L3406" t="n">
        <v>0</v>
      </c>
      <c r="M3406" t="n">
        <v>0</v>
      </c>
      <c r="N3406" t="n">
        <v>0</v>
      </c>
      <c r="O3406" t="n">
        <v>0</v>
      </c>
      <c r="P3406" t="n">
        <v>0</v>
      </c>
      <c r="Q3406" t="n">
        <v>0</v>
      </c>
      <c r="R3406" s="2" t="inlineStr"/>
    </row>
    <row r="3407" ht="15" customHeight="1">
      <c r="A3407" t="inlineStr">
        <is>
          <t>A 37635-2023</t>
        </is>
      </c>
      <c r="B3407" s="1" t="n">
        <v>45159</v>
      </c>
      <c r="C3407" s="1" t="n">
        <v>45724</v>
      </c>
      <c r="D3407" t="inlineStr">
        <is>
          <t>VÄSTMANLANDS LÄN</t>
        </is>
      </c>
      <c r="E3407" t="inlineStr">
        <is>
          <t>SURAHAMMAR</t>
        </is>
      </c>
      <c r="G3407" t="n">
        <v>1</v>
      </c>
      <c r="H3407" t="n">
        <v>0</v>
      </c>
      <c r="I3407" t="n">
        <v>0</v>
      </c>
      <c r="J3407" t="n">
        <v>0</v>
      </c>
      <c r="K3407" t="n">
        <v>0</v>
      </c>
      <c r="L3407" t="n">
        <v>0</v>
      </c>
      <c r="M3407" t="n">
        <v>0</v>
      </c>
      <c r="N3407" t="n">
        <v>0</v>
      </c>
      <c r="O3407" t="n">
        <v>0</v>
      </c>
      <c r="P3407" t="n">
        <v>0</v>
      </c>
      <c r="Q3407" t="n">
        <v>0</v>
      </c>
      <c r="R3407" s="2" t="inlineStr"/>
    </row>
    <row r="3408" ht="15" customHeight="1">
      <c r="A3408" t="inlineStr">
        <is>
          <t>A 37639-2023</t>
        </is>
      </c>
      <c r="B3408" s="1" t="n">
        <v>45159</v>
      </c>
      <c r="C3408" s="1" t="n">
        <v>45724</v>
      </c>
      <c r="D3408" t="inlineStr">
        <is>
          <t>VÄSTMANLANDS LÄN</t>
        </is>
      </c>
      <c r="E3408" t="inlineStr">
        <is>
          <t>SURAHAMMAR</t>
        </is>
      </c>
      <c r="G3408" t="n">
        <v>4.9</v>
      </c>
      <c r="H3408" t="n">
        <v>0</v>
      </c>
      <c r="I3408" t="n">
        <v>0</v>
      </c>
      <c r="J3408" t="n">
        <v>0</v>
      </c>
      <c r="K3408" t="n">
        <v>0</v>
      </c>
      <c r="L3408" t="n">
        <v>0</v>
      </c>
      <c r="M3408" t="n">
        <v>0</v>
      </c>
      <c r="N3408" t="n">
        <v>0</v>
      </c>
      <c r="O3408" t="n">
        <v>0</v>
      </c>
      <c r="P3408" t="n">
        <v>0</v>
      </c>
      <c r="Q3408" t="n">
        <v>0</v>
      </c>
      <c r="R3408" s="2" t="inlineStr"/>
    </row>
    <row r="3409" ht="15" customHeight="1">
      <c r="A3409" t="inlineStr">
        <is>
          <t>A 37601-2023</t>
        </is>
      </c>
      <c r="B3409" s="1" t="n">
        <v>45159</v>
      </c>
      <c r="C3409" s="1" t="n">
        <v>45724</v>
      </c>
      <c r="D3409" t="inlineStr">
        <is>
          <t>VÄSTMANLANDS LÄN</t>
        </is>
      </c>
      <c r="E3409" t="inlineStr">
        <is>
          <t>ARBOGA</t>
        </is>
      </c>
      <c r="G3409" t="n">
        <v>7.3</v>
      </c>
      <c r="H3409" t="n">
        <v>0</v>
      </c>
      <c r="I3409" t="n">
        <v>0</v>
      </c>
      <c r="J3409" t="n">
        <v>0</v>
      </c>
      <c r="K3409" t="n">
        <v>0</v>
      </c>
      <c r="L3409" t="n">
        <v>0</v>
      </c>
      <c r="M3409" t="n">
        <v>0</v>
      </c>
      <c r="N3409" t="n">
        <v>0</v>
      </c>
      <c r="O3409" t="n">
        <v>0</v>
      </c>
      <c r="P3409" t="n">
        <v>0</v>
      </c>
      <c r="Q3409" t="n">
        <v>0</v>
      </c>
      <c r="R3409" s="2" t="inlineStr"/>
    </row>
    <row r="3410" ht="15" customHeight="1">
      <c r="A3410" t="inlineStr">
        <is>
          <t>A 37669-2023</t>
        </is>
      </c>
      <c r="B3410" s="1" t="n">
        <v>45159</v>
      </c>
      <c r="C3410" s="1" t="n">
        <v>45724</v>
      </c>
      <c r="D3410" t="inlineStr">
        <is>
          <t>VÄSTMANLANDS LÄN</t>
        </is>
      </c>
      <c r="E3410" t="inlineStr">
        <is>
          <t>KÖPING</t>
        </is>
      </c>
      <c r="G3410" t="n">
        <v>3</v>
      </c>
      <c r="H3410" t="n">
        <v>0</v>
      </c>
      <c r="I3410" t="n">
        <v>0</v>
      </c>
      <c r="J3410" t="n">
        <v>0</v>
      </c>
      <c r="K3410" t="n">
        <v>0</v>
      </c>
      <c r="L3410" t="n">
        <v>0</v>
      </c>
      <c r="M3410" t="n">
        <v>0</v>
      </c>
      <c r="N3410" t="n">
        <v>0</v>
      </c>
      <c r="O3410" t="n">
        <v>0</v>
      </c>
      <c r="P3410" t="n">
        <v>0</v>
      </c>
      <c r="Q3410" t="n">
        <v>0</v>
      </c>
      <c r="R3410" s="2" t="inlineStr"/>
    </row>
    <row r="3411" ht="15" customHeight="1">
      <c r="A3411" t="inlineStr">
        <is>
          <t>A 37752-2023</t>
        </is>
      </c>
      <c r="B3411" s="1" t="n">
        <v>45159</v>
      </c>
      <c r="C3411" s="1" t="n">
        <v>45724</v>
      </c>
      <c r="D3411" t="inlineStr">
        <is>
          <t>VÄSTMANLANDS LÄN</t>
        </is>
      </c>
      <c r="E3411" t="inlineStr">
        <is>
          <t>KÖPING</t>
        </is>
      </c>
      <c r="G3411" t="n">
        <v>1.6</v>
      </c>
      <c r="H3411" t="n">
        <v>0</v>
      </c>
      <c r="I3411" t="n">
        <v>0</v>
      </c>
      <c r="J3411" t="n">
        <v>0</v>
      </c>
      <c r="K3411" t="n">
        <v>0</v>
      </c>
      <c r="L3411" t="n">
        <v>0</v>
      </c>
      <c r="M3411" t="n">
        <v>0</v>
      </c>
      <c r="N3411" t="n">
        <v>0</v>
      </c>
      <c r="O3411" t="n">
        <v>0</v>
      </c>
      <c r="P3411" t="n">
        <v>0</v>
      </c>
      <c r="Q3411" t="n">
        <v>0</v>
      </c>
      <c r="R3411" s="2" t="inlineStr"/>
    </row>
    <row r="3412" ht="15" customHeight="1">
      <c r="A3412" t="inlineStr">
        <is>
          <t>A 38055-2023</t>
        </is>
      </c>
      <c r="B3412" s="1" t="n">
        <v>45160</v>
      </c>
      <c r="C3412" s="1" t="n">
        <v>45724</v>
      </c>
      <c r="D3412" t="inlineStr">
        <is>
          <t>VÄSTMANLANDS LÄN</t>
        </is>
      </c>
      <c r="E3412" t="inlineStr">
        <is>
          <t>KÖPING</t>
        </is>
      </c>
      <c r="G3412" t="n">
        <v>2.8</v>
      </c>
      <c r="H3412" t="n">
        <v>0</v>
      </c>
      <c r="I3412" t="n">
        <v>0</v>
      </c>
      <c r="J3412" t="n">
        <v>0</v>
      </c>
      <c r="K3412" t="n">
        <v>0</v>
      </c>
      <c r="L3412" t="n">
        <v>0</v>
      </c>
      <c r="M3412" t="n">
        <v>0</v>
      </c>
      <c r="N3412" t="n">
        <v>0</v>
      </c>
      <c r="O3412" t="n">
        <v>0</v>
      </c>
      <c r="P3412" t="n">
        <v>0</v>
      </c>
      <c r="Q3412" t="n">
        <v>0</v>
      </c>
      <c r="R3412" s="2" t="inlineStr"/>
    </row>
    <row r="3413" ht="15" customHeight="1">
      <c r="A3413" t="inlineStr">
        <is>
          <t>A 37880-2023</t>
        </is>
      </c>
      <c r="B3413" s="1" t="n">
        <v>45160</v>
      </c>
      <c r="C3413" s="1" t="n">
        <v>45724</v>
      </c>
      <c r="D3413" t="inlineStr">
        <is>
          <t>VÄSTMANLANDS LÄN</t>
        </is>
      </c>
      <c r="E3413" t="inlineStr">
        <is>
          <t>SKINNSKATTEBERG</t>
        </is>
      </c>
      <c r="G3413" t="n">
        <v>1.2</v>
      </c>
      <c r="H3413" t="n">
        <v>0</v>
      </c>
      <c r="I3413" t="n">
        <v>0</v>
      </c>
      <c r="J3413" t="n">
        <v>0</v>
      </c>
      <c r="K3413" t="n">
        <v>0</v>
      </c>
      <c r="L3413" t="n">
        <v>0</v>
      </c>
      <c r="M3413" t="n">
        <v>0</v>
      </c>
      <c r="N3413" t="n">
        <v>0</v>
      </c>
      <c r="O3413" t="n">
        <v>0</v>
      </c>
      <c r="P3413" t="n">
        <v>0</v>
      </c>
      <c r="Q3413" t="n">
        <v>0</v>
      </c>
      <c r="R3413" s="2" t="inlineStr"/>
    </row>
    <row r="3414" ht="15" customHeight="1">
      <c r="A3414" t="inlineStr">
        <is>
          <t>A 37955-2023</t>
        </is>
      </c>
      <c r="B3414" s="1" t="n">
        <v>45160</v>
      </c>
      <c r="C3414" s="1" t="n">
        <v>45724</v>
      </c>
      <c r="D3414" t="inlineStr">
        <is>
          <t>VÄSTMANLANDS LÄN</t>
        </is>
      </c>
      <c r="E3414" t="inlineStr">
        <is>
          <t>FAGERSTA</t>
        </is>
      </c>
      <c r="G3414" t="n">
        <v>1.8</v>
      </c>
      <c r="H3414" t="n">
        <v>0</v>
      </c>
      <c r="I3414" t="n">
        <v>0</v>
      </c>
      <c r="J3414" t="n">
        <v>0</v>
      </c>
      <c r="K3414" t="n">
        <v>0</v>
      </c>
      <c r="L3414" t="n">
        <v>0</v>
      </c>
      <c r="M3414" t="n">
        <v>0</v>
      </c>
      <c r="N3414" t="n">
        <v>0</v>
      </c>
      <c r="O3414" t="n">
        <v>0</v>
      </c>
      <c r="P3414" t="n">
        <v>0</v>
      </c>
      <c r="Q3414" t="n">
        <v>0</v>
      </c>
      <c r="R3414" s="2" t="inlineStr"/>
    </row>
    <row r="3415" ht="15" customHeight="1">
      <c r="A3415" t="inlineStr">
        <is>
          <t>A 38436-2023</t>
        </is>
      </c>
      <c r="B3415" s="1" t="n">
        <v>45160</v>
      </c>
      <c r="C3415" s="1" t="n">
        <v>45724</v>
      </c>
      <c r="D3415" t="inlineStr">
        <is>
          <t>VÄSTMANLANDS LÄN</t>
        </is>
      </c>
      <c r="E3415" t="inlineStr">
        <is>
          <t>VÄSTERÅS</t>
        </is>
      </c>
      <c r="G3415" t="n">
        <v>1</v>
      </c>
      <c r="H3415" t="n">
        <v>0</v>
      </c>
      <c r="I3415" t="n">
        <v>0</v>
      </c>
      <c r="J3415" t="n">
        <v>0</v>
      </c>
      <c r="K3415" t="n">
        <v>0</v>
      </c>
      <c r="L3415" t="n">
        <v>0</v>
      </c>
      <c r="M3415" t="n">
        <v>0</v>
      </c>
      <c r="N3415" t="n">
        <v>0</v>
      </c>
      <c r="O3415" t="n">
        <v>0</v>
      </c>
      <c r="P3415" t="n">
        <v>0</v>
      </c>
      <c r="Q3415" t="n">
        <v>0</v>
      </c>
      <c r="R3415" s="2" t="inlineStr"/>
    </row>
    <row r="3416" ht="15" customHeight="1">
      <c r="A3416" t="inlineStr">
        <is>
          <t>A 38432-2023</t>
        </is>
      </c>
      <c r="B3416" s="1" t="n">
        <v>45160</v>
      </c>
      <c r="C3416" s="1" t="n">
        <v>45724</v>
      </c>
      <c r="D3416" t="inlineStr">
        <is>
          <t>VÄSTMANLANDS LÄN</t>
        </is>
      </c>
      <c r="E3416" t="inlineStr">
        <is>
          <t>VÄSTERÅS</t>
        </is>
      </c>
      <c r="G3416" t="n">
        <v>1.6</v>
      </c>
      <c r="H3416" t="n">
        <v>0</v>
      </c>
      <c r="I3416" t="n">
        <v>0</v>
      </c>
      <c r="J3416" t="n">
        <v>0</v>
      </c>
      <c r="K3416" t="n">
        <v>0</v>
      </c>
      <c r="L3416" t="n">
        <v>0</v>
      </c>
      <c r="M3416" t="n">
        <v>0</v>
      </c>
      <c r="N3416" t="n">
        <v>0</v>
      </c>
      <c r="O3416" t="n">
        <v>0</v>
      </c>
      <c r="P3416" t="n">
        <v>0</v>
      </c>
      <c r="Q3416" t="n">
        <v>0</v>
      </c>
      <c r="R3416" s="2" t="inlineStr"/>
    </row>
    <row r="3417" ht="15" customHeight="1">
      <c r="A3417" t="inlineStr">
        <is>
          <t>A 38308-2023</t>
        </is>
      </c>
      <c r="B3417" s="1" t="n">
        <v>45161</v>
      </c>
      <c r="C3417" s="1" t="n">
        <v>45724</v>
      </c>
      <c r="D3417" t="inlineStr">
        <is>
          <t>VÄSTMANLANDS LÄN</t>
        </is>
      </c>
      <c r="E3417" t="inlineStr">
        <is>
          <t>KUNGSÖR</t>
        </is>
      </c>
      <c r="G3417" t="n">
        <v>2.9</v>
      </c>
      <c r="H3417" t="n">
        <v>0</v>
      </c>
      <c r="I3417" t="n">
        <v>0</v>
      </c>
      <c r="J3417" t="n">
        <v>0</v>
      </c>
      <c r="K3417" t="n">
        <v>0</v>
      </c>
      <c r="L3417" t="n">
        <v>0</v>
      </c>
      <c r="M3417" t="n">
        <v>0</v>
      </c>
      <c r="N3417" t="n">
        <v>0</v>
      </c>
      <c r="O3417" t="n">
        <v>0</v>
      </c>
      <c r="P3417" t="n">
        <v>0</v>
      </c>
      <c r="Q3417" t="n">
        <v>0</v>
      </c>
      <c r="R3417" s="2" t="inlineStr"/>
    </row>
    <row r="3418" ht="15" customHeight="1">
      <c r="A3418" t="inlineStr">
        <is>
          <t>A 38773-2023</t>
        </is>
      </c>
      <c r="B3418" s="1" t="n">
        <v>45161</v>
      </c>
      <c r="C3418" s="1" t="n">
        <v>45724</v>
      </c>
      <c r="D3418" t="inlineStr">
        <is>
          <t>VÄSTMANLANDS LÄN</t>
        </is>
      </c>
      <c r="E3418" t="inlineStr">
        <is>
          <t>SALA</t>
        </is>
      </c>
      <c r="G3418" t="n">
        <v>12.5</v>
      </c>
      <c r="H3418" t="n">
        <v>0</v>
      </c>
      <c r="I3418" t="n">
        <v>0</v>
      </c>
      <c r="J3418" t="n">
        <v>0</v>
      </c>
      <c r="K3418" t="n">
        <v>0</v>
      </c>
      <c r="L3418" t="n">
        <v>0</v>
      </c>
      <c r="M3418" t="n">
        <v>0</v>
      </c>
      <c r="N3418" t="n">
        <v>0</v>
      </c>
      <c r="O3418" t="n">
        <v>0</v>
      </c>
      <c r="P3418" t="n">
        <v>0</v>
      </c>
      <c r="Q3418" t="n">
        <v>0</v>
      </c>
      <c r="R3418" s="2" t="inlineStr"/>
    </row>
    <row r="3419" ht="15" customHeight="1">
      <c r="A3419" t="inlineStr">
        <is>
          <t>A 38561-2023</t>
        </is>
      </c>
      <c r="B3419" s="1" t="n">
        <v>45162</v>
      </c>
      <c r="C3419" s="1" t="n">
        <v>45724</v>
      </c>
      <c r="D3419" t="inlineStr">
        <is>
          <t>VÄSTMANLANDS LÄN</t>
        </is>
      </c>
      <c r="E3419" t="inlineStr">
        <is>
          <t>SALA</t>
        </is>
      </c>
      <c r="G3419" t="n">
        <v>2.9</v>
      </c>
      <c r="H3419" t="n">
        <v>0</v>
      </c>
      <c r="I3419" t="n">
        <v>0</v>
      </c>
      <c r="J3419" t="n">
        <v>0</v>
      </c>
      <c r="K3419" t="n">
        <v>0</v>
      </c>
      <c r="L3419" t="n">
        <v>0</v>
      </c>
      <c r="M3419" t="n">
        <v>0</v>
      </c>
      <c r="N3419" t="n">
        <v>0</v>
      </c>
      <c r="O3419" t="n">
        <v>0</v>
      </c>
      <c r="P3419" t="n">
        <v>0</v>
      </c>
      <c r="Q3419" t="n">
        <v>0</v>
      </c>
      <c r="R3419" s="2" t="inlineStr"/>
    </row>
    <row r="3420" ht="15" customHeight="1">
      <c r="A3420" t="inlineStr">
        <is>
          <t>A 38581-2023</t>
        </is>
      </c>
      <c r="B3420" s="1" t="n">
        <v>45162</v>
      </c>
      <c r="C3420" s="1" t="n">
        <v>45724</v>
      </c>
      <c r="D3420" t="inlineStr">
        <is>
          <t>VÄSTMANLANDS LÄN</t>
        </is>
      </c>
      <c r="E3420" t="inlineStr">
        <is>
          <t>VÄSTERÅS</t>
        </is>
      </c>
      <c r="G3420" t="n">
        <v>1</v>
      </c>
      <c r="H3420" t="n">
        <v>0</v>
      </c>
      <c r="I3420" t="n">
        <v>0</v>
      </c>
      <c r="J3420" t="n">
        <v>0</v>
      </c>
      <c r="K3420" t="n">
        <v>0</v>
      </c>
      <c r="L3420" t="n">
        <v>0</v>
      </c>
      <c r="M3420" t="n">
        <v>0</v>
      </c>
      <c r="N3420" t="n">
        <v>0</v>
      </c>
      <c r="O3420" t="n">
        <v>0</v>
      </c>
      <c r="P3420" t="n">
        <v>0</v>
      </c>
      <c r="Q3420" t="n">
        <v>0</v>
      </c>
      <c r="R3420" s="2" t="inlineStr"/>
    </row>
    <row r="3421" ht="15" customHeight="1">
      <c r="A3421" t="inlineStr">
        <is>
          <t>A 39011-2023</t>
        </is>
      </c>
      <c r="B3421" s="1" t="n">
        <v>45162</v>
      </c>
      <c r="C3421" s="1" t="n">
        <v>45724</v>
      </c>
      <c r="D3421" t="inlineStr">
        <is>
          <t>VÄSTMANLANDS LÄN</t>
        </is>
      </c>
      <c r="E3421" t="inlineStr">
        <is>
          <t>SALA</t>
        </is>
      </c>
      <c r="G3421" t="n">
        <v>1.6</v>
      </c>
      <c r="H3421" t="n">
        <v>0</v>
      </c>
      <c r="I3421" t="n">
        <v>0</v>
      </c>
      <c r="J3421" t="n">
        <v>0</v>
      </c>
      <c r="K3421" t="n">
        <v>0</v>
      </c>
      <c r="L3421" t="n">
        <v>0</v>
      </c>
      <c r="M3421" t="n">
        <v>0</v>
      </c>
      <c r="N3421" t="n">
        <v>0</v>
      </c>
      <c r="O3421" t="n">
        <v>0</v>
      </c>
      <c r="P3421" t="n">
        <v>0</v>
      </c>
      <c r="Q3421" t="n">
        <v>0</v>
      </c>
      <c r="R3421" s="2" t="inlineStr"/>
    </row>
    <row r="3422" ht="15" customHeight="1">
      <c r="A3422" t="inlineStr">
        <is>
          <t>A 38521-2023</t>
        </is>
      </c>
      <c r="B3422" s="1" t="n">
        <v>45162</v>
      </c>
      <c r="C3422" s="1" t="n">
        <v>45724</v>
      </c>
      <c r="D3422" t="inlineStr">
        <is>
          <t>VÄSTMANLANDS LÄN</t>
        </is>
      </c>
      <c r="E3422" t="inlineStr">
        <is>
          <t>SKINNSKATTEBERG</t>
        </is>
      </c>
      <c r="F3422" t="inlineStr">
        <is>
          <t>Sveaskog</t>
        </is>
      </c>
      <c r="G3422" t="n">
        <v>2.5</v>
      </c>
      <c r="H3422" t="n">
        <v>0</v>
      </c>
      <c r="I3422" t="n">
        <v>0</v>
      </c>
      <c r="J3422" t="n">
        <v>0</v>
      </c>
      <c r="K3422" t="n">
        <v>0</v>
      </c>
      <c r="L3422" t="n">
        <v>0</v>
      </c>
      <c r="M3422" t="n">
        <v>0</v>
      </c>
      <c r="N3422" t="n">
        <v>0</v>
      </c>
      <c r="O3422" t="n">
        <v>0</v>
      </c>
      <c r="P3422" t="n">
        <v>0</v>
      </c>
      <c r="Q3422" t="n">
        <v>0</v>
      </c>
      <c r="R3422" s="2" t="inlineStr"/>
    </row>
    <row r="3423" ht="15" customHeight="1">
      <c r="A3423" t="inlineStr">
        <is>
          <t>A 38538-2023</t>
        </is>
      </c>
      <c r="B3423" s="1" t="n">
        <v>45162</v>
      </c>
      <c r="C3423" s="1" t="n">
        <v>45724</v>
      </c>
      <c r="D3423" t="inlineStr">
        <is>
          <t>VÄSTMANLANDS LÄN</t>
        </is>
      </c>
      <c r="E3423" t="inlineStr">
        <is>
          <t>VÄSTERÅS</t>
        </is>
      </c>
      <c r="G3423" t="n">
        <v>0.8</v>
      </c>
      <c r="H3423" t="n">
        <v>0</v>
      </c>
      <c r="I3423" t="n">
        <v>0</v>
      </c>
      <c r="J3423" t="n">
        <v>0</v>
      </c>
      <c r="K3423" t="n">
        <v>0</v>
      </c>
      <c r="L3423" t="n">
        <v>0</v>
      </c>
      <c r="M3423" t="n">
        <v>0</v>
      </c>
      <c r="N3423" t="n">
        <v>0</v>
      </c>
      <c r="O3423" t="n">
        <v>0</v>
      </c>
      <c r="P3423" t="n">
        <v>0</v>
      </c>
      <c r="Q3423" t="n">
        <v>0</v>
      </c>
      <c r="R3423" s="2" t="inlineStr"/>
    </row>
    <row r="3424" ht="15" customHeight="1">
      <c r="A3424" t="inlineStr">
        <is>
          <t>A 38714-2023</t>
        </is>
      </c>
      <c r="B3424" s="1" t="n">
        <v>45163</v>
      </c>
      <c r="C3424" s="1" t="n">
        <v>45724</v>
      </c>
      <c r="D3424" t="inlineStr">
        <is>
          <t>VÄSTMANLANDS LÄN</t>
        </is>
      </c>
      <c r="E3424" t="inlineStr">
        <is>
          <t>SKINNSKATTEBERG</t>
        </is>
      </c>
      <c r="F3424" t="inlineStr">
        <is>
          <t>Sveaskog</t>
        </is>
      </c>
      <c r="G3424" t="n">
        <v>4.3</v>
      </c>
      <c r="H3424" t="n">
        <v>0</v>
      </c>
      <c r="I3424" t="n">
        <v>0</v>
      </c>
      <c r="J3424" t="n">
        <v>0</v>
      </c>
      <c r="K3424" t="n">
        <v>0</v>
      </c>
      <c r="L3424" t="n">
        <v>0</v>
      </c>
      <c r="M3424" t="n">
        <v>0</v>
      </c>
      <c r="N3424" t="n">
        <v>0</v>
      </c>
      <c r="O3424" t="n">
        <v>0</v>
      </c>
      <c r="P3424" t="n">
        <v>0</v>
      </c>
      <c r="Q3424" t="n">
        <v>0</v>
      </c>
      <c r="R3424" s="2" t="inlineStr"/>
    </row>
    <row r="3425" ht="15" customHeight="1">
      <c r="A3425" t="inlineStr">
        <is>
          <t>A 38739-2023</t>
        </is>
      </c>
      <c r="B3425" s="1" t="n">
        <v>45163</v>
      </c>
      <c r="C3425" s="1" t="n">
        <v>45724</v>
      </c>
      <c r="D3425" t="inlineStr">
        <is>
          <t>VÄSTMANLANDS LÄN</t>
        </is>
      </c>
      <c r="E3425" t="inlineStr">
        <is>
          <t>SKINNSKATTEBERG</t>
        </is>
      </c>
      <c r="F3425" t="inlineStr">
        <is>
          <t>Sveaskog</t>
        </is>
      </c>
      <c r="G3425" t="n">
        <v>3</v>
      </c>
      <c r="H3425" t="n">
        <v>0</v>
      </c>
      <c r="I3425" t="n">
        <v>0</v>
      </c>
      <c r="J3425" t="n">
        <v>0</v>
      </c>
      <c r="K3425" t="n">
        <v>0</v>
      </c>
      <c r="L3425" t="n">
        <v>0</v>
      </c>
      <c r="M3425" t="n">
        <v>0</v>
      </c>
      <c r="N3425" t="n">
        <v>0</v>
      </c>
      <c r="O3425" t="n">
        <v>0</v>
      </c>
      <c r="P3425" t="n">
        <v>0</v>
      </c>
      <c r="Q3425" t="n">
        <v>0</v>
      </c>
      <c r="R3425" s="2" t="inlineStr"/>
    </row>
    <row r="3426" ht="15" customHeight="1">
      <c r="A3426" t="inlineStr">
        <is>
          <t>A 38731-2023</t>
        </is>
      </c>
      <c r="B3426" s="1" t="n">
        <v>45163</v>
      </c>
      <c r="C3426" s="1" t="n">
        <v>45724</v>
      </c>
      <c r="D3426" t="inlineStr">
        <is>
          <t>VÄSTMANLANDS LÄN</t>
        </is>
      </c>
      <c r="E3426" t="inlineStr">
        <is>
          <t>SKINNSKATTEBERG</t>
        </is>
      </c>
      <c r="F3426" t="inlineStr">
        <is>
          <t>Sveaskog</t>
        </is>
      </c>
      <c r="G3426" t="n">
        <v>1.6</v>
      </c>
      <c r="H3426" t="n">
        <v>0</v>
      </c>
      <c r="I3426" t="n">
        <v>0</v>
      </c>
      <c r="J3426" t="n">
        <v>0</v>
      </c>
      <c r="K3426" t="n">
        <v>0</v>
      </c>
      <c r="L3426" t="n">
        <v>0</v>
      </c>
      <c r="M3426" t="n">
        <v>0</v>
      </c>
      <c r="N3426" t="n">
        <v>0</v>
      </c>
      <c r="O3426" t="n">
        <v>0</v>
      </c>
      <c r="P3426" t="n">
        <v>0</v>
      </c>
      <c r="Q3426" t="n">
        <v>0</v>
      </c>
      <c r="R3426" s="2" t="inlineStr"/>
    </row>
    <row r="3427" ht="15" customHeight="1">
      <c r="A3427" t="inlineStr">
        <is>
          <t>A 38748-2023</t>
        </is>
      </c>
      <c r="B3427" s="1" t="n">
        <v>45163</v>
      </c>
      <c r="C3427" s="1" t="n">
        <v>45724</v>
      </c>
      <c r="D3427" t="inlineStr">
        <is>
          <t>VÄSTMANLANDS LÄN</t>
        </is>
      </c>
      <c r="E3427" t="inlineStr">
        <is>
          <t>VÄSTERÅS</t>
        </is>
      </c>
      <c r="G3427" t="n">
        <v>3</v>
      </c>
      <c r="H3427" t="n">
        <v>0</v>
      </c>
      <c r="I3427" t="n">
        <v>0</v>
      </c>
      <c r="J3427" t="n">
        <v>0</v>
      </c>
      <c r="K3427" t="n">
        <v>0</v>
      </c>
      <c r="L3427" t="n">
        <v>0</v>
      </c>
      <c r="M3427" t="n">
        <v>0</v>
      </c>
      <c r="N3427" t="n">
        <v>0</v>
      </c>
      <c r="O3427" t="n">
        <v>0</v>
      </c>
      <c r="P3427" t="n">
        <v>0</v>
      </c>
      <c r="Q3427" t="n">
        <v>0</v>
      </c>
      <c r="R3427" s="2" t="inlineStr"/>
    </row>
    <row r="3428" ht="15" customHeight="1">
      <c r="A3428" t="inlineStr">
        <is>
          <t>A 38802-2023</t>
        </is>
      </c>
      <c r="B3428" s="1" t="n">
        <v>45163</v>
      </c>
      <c r="C3428" s="1" t="n">
        <v>45724</v>
      </c>
      <c r="D3428" t="inlineStr">
        <is>
          <t>VÄSTMANLANDS LÄN</t>
        </is>
      </c>
      <c r="E3428" t="inlineStr">
        <is>
          <t>VÄSTERÅS</t>
        </is>
      </c>
      <c r="G3428" t="n">
        <v>0.9</v>
      </c>
      <c r="H3428" t="n">
        <v>0</v>
      </c>
      <c r="I3428" t="n">
        <v>0</v>
      </c>
      <c r="J3428" t="n">
        <v>0</v>
      </c>
      <c r="K3428" t="n">
        <v>0</v>
      </c>
      <c r="L3428" t="n">
        <v>0</v>
      </c>
      <c r="M3428" t="n">
        <v>0</v>
      </c>
      <c r="N3428" t="n">
        <v>0</v>
      </c>
      <c r="O3428" t="n">
        <v>0</v>
      </c>
      <c r="P3428" t="n">
        <v>0</v>
      </c>
      <c r="Q3428" t="n">
        <v>0</v>
      </c>
      <c r="R3428" s="2" t="inlineStr"/>
    </row>
    <row r="3429" ht="15" customHeight="1">
      <c r="A3429" t="inlineStr">
        <is>
          <t>A 38709-2023</t>
        </is>
      </c>
      <c r="B3429" s="1" t="n">
        <v>45163</v>
      </c>
      <c r="C3429" s="1" t="n">
        <v>45724</v>
      </c>
      <c r="D3429" t="inlineStr">
        <is>
          <t>VÄSTMANLANDS LÄN</t>
        </is>
      </c>
      <c r="E3429" t="inlineStr">
        <is>
          <t>VÄSTERÅS</t>
        </is>
      </c>
      <c r="G3429" t="n">
        <v>1.7</v>
      </c>
      <c r="H3429" t="n">
        <v>0</v>
      </c>
      <c r="I3429" t="n">
        <v>0</v>
      </c>
      <c r="J3429" t="n">
        <v>0</v>
      </c>
      <c r="K3429" t="n">
        <v>0</v>
      </c>
      <c r="L3429" t="n">
        <v>0</v>
      </c>
      <c r="M3429" t="n">
        <v>0</v>
      </c>
      <c r="N3429" t="n">
        <v>0</v>
      </c>
      <c r="O3429" t="n">
        <v>0</v>
      </c>
      <c r="P3429" t="n">
        <v>0</v>
      </c>
      <c r="Q3429" t="n">
        <v>0</v>
      </c>
      <c r="R3429" s="2" t="inlineStr"/>
    </row>
    <row r="3430" ht="15" customHeight="1">
      <c r="A3430" t="inlineStr">
        <is>
          <t>A 39604-2023</t>
        </is>
      </c>
      <c r="B3430" s="1" t="n">
        <v>45163</v>
      </c>
      <c r="C3430" s="1" t="n">
        <v>45724</v>
      </c>
      <c r="D3430" t="inlineStr">
        <is>
          <t>VÄSTMANLANDS LÄN</t>
        </is>
      </c>
      <c r="E3430" t="inlineStr">
        <is>
          <t>SALA</t>
        </is>
      </c>
      <c r="G3430" t="n">
        <v>2.7</v>
      </c>
      <c r="H3430" t="n">
        <v>0</v>
      </c>
      <c r="I3430" t="n">
        <v>0</v>
      </c>
      <c r="J3430" t="n">
        <v>0</v>
      </c>
      <c r="K3430" t="n">
        <v>0</v>
      </c>
      <c r="L3430" t="n">
        <v>0</v>
      </c>
      <c r="M3430" t="n">
        <v>0</v>
      </c>
      <c r="N3430" t="n">
        <v>0</v>
      </c>
      <c r="O3430" t="n">
        <v>0</v>
      </c>
      <c r="P3430" t="n">
        <v>0</v>
      </c>
      <c r="Q3430" t="n">
        <v>0</v>
      </c>
      <c r="R3430" s="2" t="inlineStr"/>
    </row>
    <row r="3431" ht="15" customHeight="1">
      <c r="A3431" t="inlineStr">
        <is>
          <t>A 39269-2023</t>
        </is>
      </c>
      <c r="B3431" s="1" t="n">
        <v>45166</v>
      </c>
      <c r="C3431" s="1" t="n">
        <v>45724</v>
      </c>
      <c r="D3431" t="inlineStr">
        <is>
          <t>VÄSTMANLANDS LÄN</t>
        </is>
      </c>
      <c r="E3431" t="inlineStr">
        <is>
          <t>KUNGSÖR</t>
        </is>
      </c>
      <c r="G3431" t="n">
        <v>3.3</v>
      </c>
      <c r="H3431" t="n">
        <v>0</v>
      </c>
      <c r="I3431" t="n">
        <v>0</v>
      </c>
      <c r="J3431" t="n">
        <v>0</v>
      </c>
      <c r="K3431" t="n">
        <v>0</v>
      </c>
      <c r="L3431" t="n">
        <v>0</v>
      </c>
      <c r="M3431" t="n">
        <v>0</v>
      </c>
      <c r="N3431" t="n">
        <v>0</v>
      </c>
      <c r="O3431" t="n">
        <v>0</v>
      </c>
      <c r="P3431" t="n">
        <v>0</v>
      </c>
      <c r="Q3431" t="n">
        <v>0</v>
      </c>
      <c r="R3431" s="2" t="inlineStr"/>
    </row>
    <row r="3432" ht="15" customHeight="1">
      <c r="A3432" t="inlineStr">
        <is>
          <t>A 39267-2023</t>
        </is>
      </c>
      <c r="B3432" s="1" t="n">
        <v>45166</v>
      </c>
      <c r="C3432" s="1" t="n">
        <v>45724</v>
      </c>
      <c r="D3432" t="inlineStr">
        <is>
          <t>VÄSTMANLANDS LÄN</t>
        </is>
      </c>
      <c r="E3432" t="inlineStr">
        <is>
          <t>HALLSTAHAMMAR</t>
        </is>
      </c>
      <c r="G3432" t="n">
        <v>1.8</v>
      </c>
      <c r="H3432" t="n">
        <v>0</v>
      </c>
      <c r="I3432" t="n">
        <v>0</v>
      </c>
      <c r="J3432" t="n">
        <v>0</v>
      </c>
      <c r="K3432" t="n">
        <v>0</v>
      </c>
      <c r="L3432" t="n">
        <v>0</v>
      </c>
      <c r="M3432" t="n">
        <v>0</v>
      </c>
      <c r="N3432" t="n">
        <v>0</v>
      </c>
      <c r="O3432" t="n">
        <v>0</v>
      </c>
      <c r="P3432" t="n">
        <v>0</v>
      </c>
      <c r="Q3432" t="n">
        <v>0</v>
      </c>
      <c r="R3432" s="2" t="inlineStr"/>
    </row>
    <row r="3433" ht="15" customHeight="1">
      <c r="A3433" t="inlineStr">
        <is>
          <t>A 39646-2023</t>
        </is>
      </c>
      <c r="B3433" s="1" t="n">
        <v>45166</v>
      </c>
      <c r="C3433" s="1" t="n">
        <v>45724</v>
      </c>
      <c r="D3433" t="inlineStr">
        <is>
          <t>VÄSTMANLANDS LÄN</t>
        </is>
      </c>
      <c r="E3433" t="inlineStr">
        <is>
          <t>KÖPING</t>
        </is>
      </c>
      <c r="G3433" t="n">
        <v>9.300000000000001</v>
      </c>
      <c r="H3433" t="n">
        <v>0</v>
      </c>
      <c r="I3433" t="n">
        <v>0</v>
      </c>
      <c r="J3433" t="n">
        <v>0</v>
      </c>
      <c r="K3433" t="n">
        <v>0</v>
      </c>
      <c r="L3433" t="n">
        <v>0</v>
      </c>
      <c r="M3433" t="n">
        <v>0</v>
      </c>
      <c r="N3433" t="n">
        <v>0</v>
      </c>
      <c r="O3433" t="n">
        <v>0</v>
      </c>
      <c r="P3433" t="n">
        <v>0</v>
      </c>
      <c r="Q3433" t="n">
        <v>0</v>
      </c>
      <c r="R3433" s="2" t="inlineStr"/>
    </row>
    <row r="3434" ht="15" customHeight="1">
      <c r="A3434" t="inlineStr">
        <is>
          <t>A 39717-2023</t>
        </is>
      </c>
      <c r="B3434" s="1" t="n">
        <v>45167</v>
      </c>
      <c r="C3434" s="1" t="n">
        <v>45724</v>
      </c>
      <c r="D3434" t="inlineStr">
        <is>
          <t>VÄSTMANLANDS LÄN</t>
        </is>
      </c>
      <c r="E3434" t="inlineStr">
        <is>
          <t>KUNGSÖR</t>
        </is>
      </c>
      <c r="G3434" t="n">
        <v>2.3</v>
      </c>
      <c r="H3434" t="n">
        <v>0</v>
      </c>
      <c r="I3434" t="n">
        <v>0</v>
      </c>
      <c r="J3434" t="n">
        <v>0</v>
      </c>
      <c r="K3434" t="n">
        <v>0</v>
      </c>
      <c r="L3434" t="n">
        <v>0</v>
      </c>
      <c r="M3434" t="n">
        <v>0</v>
      </c>
      <c r="N3434" t="n">
        <v>0</v>
      </c>
      <c r="O3434" t="n">
        <v>0</v>
      </c>
      <c r="P3434" t="n">
        <v>0</v>
      </c>
      <c r="Q3434" t="n">
        <v>0</v>
      </c>
      <c r="R3434" s="2" t="inlineStr"/>
    </row>
    <row r="3435" ht="15" customHeight="1">
      <c r="A3435" t="inlineStr">
        <is>
          <t>A 39682-2023</t>
        </is>
      </c>
      <c r="B3435" s="1" t="n">
        <v>45167</v>
      </c>
      <c r="C3435" s="1" t="n">
        <v>45724</v>
      </c>
      <c r="D3435" t="inlineStr">
        <is>
          <t>VÄSTMANLANDS LÄN</t>
        </is>
      </c>
      <c r="E3435" t="inlineStr">
        <is>
          <t>KUNGSÖR</t>
        </is>
      </c>
      <c r="G3435" t="n">
        <v>9.800000000000001</v>
      </c>
      <c r="H3435" t="n">
        <v>0</v>
      </c>
      <c r="I3435" t="n">
        <v>0</v>
      </c>
      <c r="J3435" t="n">
        <v>0</v>
      </c>
      <c r="K3435" t="n">
        <v>0</v>
      </c>
      <c r="L3435" t="n">
        <v>0</v>
      </c>
      <c r="M3435" t="n">
        <v>0</v>
      </c>
      <c r="N3435" t="n">
        <v>0</v>
      </c>
      <c r="O3435" t="n">
        <v>0</v>
      </c>
      <c r="P3435" t="n">
        <v>0</v>
      </c>
      <c r="Q3435" t="n">
        <v>0</v>
      </c>
      <c r="R3435" s="2" t="inlineStr"/>
    </row>
    <row r="3436" ht="15" customHeight="1">
      <c r="A3436" t="inlineStr">
        <is>
          <t>A 39714-2023</t>
        </is>
      </c>
      <c r="B3436" s="1" t="n">
        <v>45167</v>
      </c>
      <c r="C3436" s="1" t="n">
        <v>45724</v>
      </c>
      <c r="D3436" t="inlineStr">
        <is>
          <t>VÄSTMANLANDS LÄN</t>
        </is>
      </c>
      <c r="E3436" t="inlineStr">
        <is>
          <t>SALA</t>
        </is>
      </c>
      <c r="G3436" t="n">
        <v>1.3</v>
      </c>
      <c r="H3436" t="n">
        <v>0</v>
      </c>
      <c r="I3436" t="n">
        <v>0</v>
      </c>
      <c r="J3436" t="n">
        <v>0</v>
      </c>
      <c r="K3436" t="n">
        <v>0</v>
      </c>
      <c r="L3436" t="n">
        <v>0</v>
      </c>
      <c r="M3436" t="n">
        <v>0</v>
      </c>
      <c r="N3436" t="n">
        <v>0</v>
      </c>
      <c r="O3436" t="n">
        <v>0</v>
      </c>
      <c r="P3436" t="n">
        <v>0</v>
      </c>
      <c r="Q3436" t="n">
        <v>0</v>
      </c>
      <c r="R3436" s="2" t="inlineStr"/>
    </row>
    <row r="3437" ht="15" customHeight="1">
      <c r="A3437" t="inlineStr">
        <is>
          <t>A 39708-2023</t>
        </is>
      </c>
      <c r="B3437" s="1" t="n">
        <v>45167</v>
      </c>
      <c r="C3437" s="1" t="n">
        <v>45724</v>
      </c>
      <c r="D3437" t="inlineStr">
        <is>
          <t>VÄSTMANLANDS LÄN</t>
        </is>
      </c>
      <c r="E3437" t="inlineStr">
        <is>
          <t>SALA</t>
        </is>
      </c>
      <c r="G3437" t="n">
        <v>5.3</v>
      </c>
      <c r="H3437" t="n">
        <v>0</v>
      </c>
      <c r="I3437" t="n">
        <v>0</v>
      </c>
      <c r="J3437" t="n">
        <v>0</v>
      </c>
      <c r="K3437" t="n">
        <v>0</v>
      </c>
      <c r="L3437" t="n">
        <v>0</v>
      </c>
      <c r="M3437" t="n">
        <v>0</v>
      </c>
      <c r="N3437" t="n">
        <v>0</v>
      </c>
      <c r="O3437" t="n">
        <v>0</v>
      </c>
      <c r="P3437" t="n">
        <v>0</v>
      </c>
      <c r="Q3437" t="n">
        <v>0</v>
      </c>
      <c r="R3437" s="2" t="inlineStr"/>
    </row>
    <row r="3438" ht="15" customHeight="1">
      <c r="A3438" t="inlineStr">
        <is>
          <t>A 39713-2023</t>
        </is>
      </c>
      <c r="B3438" s="1" t="n">
        <v>45167</v>
      </c>
      <c r="C3438" s="1" t="n">
        <v>45724</v>
      </c>
      <c r="D3438" t="inlineStr">
        <is>
          <t>VÄSTMANLANDS LÄN</t>
        </is>
      </c>
      <c r="E3438" t="inlineStr">
        <is>
          <t>SALA</t>
        </is>
      </c>
      <c r="G3438" t="n">
        <v>3.1</v>
      </c>
      <c r="H3438" t="n">
        <v>0</v>
      </c>
      <c r="I3438" t="n">
        <v>0</v>
      </c>
      <c r="J3438" t="n">
        <v>0</v>
      </c>
      <c r="K3438" t="n">
        <v>0</v>
      </c>
      <c r="L3438" t="n">
        <v>0</v>
      </c>
      <c r="M3438" t="n">
        <v>0</v>
      </c>
      <c r="N3438" t="n">
        <v>0</v>
      </c>
      <c r="O3438" t="n">
        <v>0</v>
      </c>
      <c r="P3438" t="n">
        <v>0</v>
      </c>
      <c r="Q3438" t="n">
        <v>0</v>
      </c>
      <c r="R3438" s="2" t="inlineStr"/>
    </row>
    <row r="3439" ht="15" customHeight="1">
      <c r="A3439" t="inlineStr">
        <is>
          <t>A 39780-2023</t>
        </is>
      </c>
      <c r="B3439" s="1" t="n">
        <v>45167</v>
      </c>
      <c r="C3439" s="1" t="n">
        <v>45724</v>
      </c>
      <c r="D3439" t="inlineStr">
        <is>
          <t>VÄSTMANLANDS LÄN</t>
        </is>
      </c>
      <c r="E3439" t="inlineStr">
        <is>
          <t>ARBOGA</t>
        </is>
      </c>
      <c r="G3439" t="n">
        <v>7.1</v>
      </c>
      <c r="H3439" t="n">
        <v>0</v>
      </c>
      <c r="I3439" t="n">
        <v>0</v>
      </c>
      <c r="J3439" t="n">
        <v>0</v>
      </c>
      <c r="K3439" t="n">
        <v>0</v>
      </c>
      <c r="L3439" t="n">
        <v>0</v>
      </c>
      <c r="M3439" t="n">
        <v>0</v>
      </c>
      <c r="N3439" t="n">
        <v>0</v>
      </c>
      <c r="O3439" t="n">
        <v>0</v>
      </c>
      <c r="P3439" t="n">
        <v>0</v>
      </c>
      <c r="Q3439" t="n">
        <v>0</v>
      </c>
      <c r="R3439" s="2" t="inlineStr"/>
    </row>
    <row r="3440" ht="15" customHeight="1">
      <c r="A3440" t="inlineStr">
        <is>
          <t>A 39720-2023</t>
        </is>
      </c>
      <c r="B3440" s="1" t="n">
        <v>45167</v>
      </c>
      <c r="C3440" s="1" t="n">
        <v>45724</v>
      </c>
      <c r="D3440" t="inlineStr">
        <is>
          <t>VÄSTMANLANDS LÄN</t>
        </is>
      </c>
      <c r="E3440" t="inlineStr">
        <is>
          <t>KUNGSÖR</t>
        </is>
      </c>
      <c r="G3440" t="n">
        <v>2.8</v>
      </c>
      <c r="H3440" t="n">
        <v>0</v>
      </c>
      <c r="I3440" t="n">
        <v>0</v>
      </c>
      <c r="J3440" t="n">
        <v>0</v>
      </c>
      <c r="K3440" t="n">
        <v>0</v>
      </c>
      <c r="L3440" t="n">
        <v>0</v>
      </c>
      <c r="M3440" t="n">
        <v>0</v>
      </c>
      <c r="N3440" t="n">
        <v>0</v>
      </c>
      <c r="O3440" t="n">
        <v>0</v>
      </c>
      <c r="P3440" t="n">
        <v>0</v>
      </c>
      <c r="Q3440" t="n">
        <v>0</v>
      </c>
      <c r="R3440" s="2" t="inlineStr"/>
    </row>
    <row r="3441" ht="15" customHeight="1">
      <c r="A3441" t="inlineStr">
        <is>
          <t>A 40138-2023</t>
        </is>
      </c>
      <c r="B3441" s="1" t="n">
        <v>45169</v>
      </c>
      <c r="C3441" s="1" t="n">
        <v>45724</v>
      </c>
      <c r="D3441" t="inlineStr">
        <is>
          <t>VÄSTMANLANDS LÄN</t>
        </is>
      </c>
      <c r="E3441" t="inlineStr">
        <is>
          <t>NORBERG</t>
        </is>
      </c>
      <c r="F3441" t="inlineStr">
        <is>
          <t>Sveaskog</t>
        </is>
      </c>
      <c r="G3441" t="n">
        <v>2.8</v>
      </c>
      <c r="H3441" t="n">
        <v>0</v>
      </c>
      <c r="I3441" t="n">
        <v>0</v>
      </c>
      <c r="J3441" t="n">
        <v>0</v>
      </c>
      <c r="K3441" t="n">
        <v>0</v>
      </c>
      <c r="L3441" t="n">
        <v>0</v>
      </c>
      <c r="M3441" t="n">
        <v>0</v>
      </c>
      <c r="N3441" t="n">
        <v>0</v>
      </c>
      <c r="O3441" t="n">
        <v>0</v>
      </c>
      <c r="P3441" t="n">
        <v>0</v>
      </c>
      <c r="Q3441" t="n">
        <v>0</v>
      </c>
      <c r="R3441" s="2" t="inlineStr"/>
    </row>
    <row r="3442" ht="15" customHeight="1">
      <c r="A3442" t="inlineStr">
        <is>
          <t>A 40144-2023</t>
        </is>
      </c>
      <c r="B3442" s="1" t="n">
        <v>45169</v>
      </c>
      <c r="C3442" s="1" t="n">
        <v>45724</v>
      </c>
      <c r="D3442" t="inlineStr">
        <is>
          <t>VÄSTMANLANDS LÄN</t>
        </is>
      </c>
      <c r="E3442" t="inlineStr">
        <is>
          <t>NORBERG</t>
        </is>
      </c>
      <c r="F3442" t="inlineStr">
        <is>
          <t>Sveaskog</t>
        </is>
      </c>
      <c r="G3442" t="n">
        <v>5.5</v>
      </c>
      <c r="H3442" t="n">
        <v>0</v>
      </c>
      <c r="I3442" t="n">
        <v>0</v>
      </c>
      <c r="J3442" t="n">
        <v>0</v>
      </c>
      <c r="K3442" t="n">
        <v>0</v>
      </c>
      <c r="L3442" t="n">
        <v>0</v>
      </c>
      <c r="M3442" t="n">
        <v>0</v>
      </c>
      <c r="N3442" t="n">
        <v>0</v>
      </c>
      <c r="O3442" t="n">
        <v>0</v>
      </c>
      <c r="P3442" t="n">
        <v>0</v>
      </c>
      <c r="Q3442" t="n">
        <v>0</v>
      </c>
      <c r="R3442" s="2" t="inlineStr"/>
    </row>
    <row r="3443" ht="15" customHeight="1">
      <c r="A3443" t="inlineStr">
        <is>
          <t>A 40301-2023</t>
        </is>
      </c>
      <c r="B3443" s="1" t="n">
        <v>45169</v>
      </c>
      <c r="C3443" s="1" t="n">
        <v>45724</v>
      </c>
      <c r="D3443" t="inlineStr">
        <is>
          <t>VÄSTMANLANDS LÄN</t>
        </is>
      </c>
      <c r="E3443" t="inlineStr">
        <is>
          <t>SKINNSKATTEBERG</t>
        </is>
      </c>
      <c r="G3443" t="n">
        <v>3.4</v>
      </c>
      <c r="H3443" t="n">
        <v>0</v>
      </c>
      <c r="I3443" t="n">
        <v>0</v>
      </c>
      <c r="J3443" t="n">
        <v>0</v>
      </c>
      <c r="K3443" t="n">
        <v>0</v>
      </c>
      <c r="L3443" t="n">
        <v>0</v>
      </c>
      <c r="M3443" t="n">
        <v>0</v>
      </c>
      <c r="N3443" t="n">
        <v>0</v>
      </c>
      <c r="O3443" t="n">
        <v>0</v>
      </c>
      <c r="P3443" t="n">
        <v>0</v>
      </c>
      <c r="Q3443" t="n">
        <v>0</v>
      </c>
      <c r="R3443" s="2" t="inlineStr"/>
    </row>
    <row r="3444" ht="15" customHeight="1">
      <c r="A3444" t="inlineStr">
        <is>
          <t>A 40238-2023</t>
        </is>
      </c>
      <c r="B3444" s="1" t="n">
        <v>45169</v>
      </c>
      <c r="C3444" s="1" t="n">
        <v>45724</v>
      </c>
      <c r="D3444" t="inlineStr">
        <is>
          <t>VÄSTMANLANDS LÄN</t>
        </is>
      </c>
      <c r="E3444" t="inlineStr">
        <is>
          <t>ARBOGA</t>
        </is>
      </c>
      <c r="G3444" t="n">
        <v>2.8</v>
      </c>
      <c r="H3444" t="n">
        <v>0</v>
      </c>
      <c r="I3444" t="n">
        <v>0</v>
      </c>
      <c r="J3444" t="n">
        <v>0</v>
      </c>
      <c r="K3444" t="n">
        <v>0</v>
      </c>
      <c r="L3444" t="n">
        <v>0</v>
      </c>
      <c r="M3444" t="n">
        <v>0</v>
      </c>
      <c r="N3444" t="n">
        <v>0</v>
      </c>
      <c r="O3444" t="n">
        <v>0</v>
      </c>
      <c r="P3444" t="n">
        <v>0</v>
      </c>
      <c r="Q3444" t="n">
        <v>0</v>
      </c>
      <c r="R3444" s="2" t="inlineStr"/>
    </row>
    <row r="3445" ht="15" customHeight="1">
      <c r="A3445" t="inlineStr">
        <is>
          <t>A 40304-2023</t>
        </is>
      </c>
      <c r="B3445" s="1" t="n">
        <v>45169</v>
      </c>
      <c r="C3445" s="1" t="n">
        <v>45724</v>
      </c>
      <c r="D3445" t="inlineStr">
        <is>
          <t>VÄSTMANLANDS LÄN</t>
        </is>
      </c>
      <c r="E3445" t="inlineStr">
        <is>
          <t>VÄSTERÅS</t>
        </is>
      </c>
      <c r="F3445" t="inlineStr">
        <is>
          <t>Sveaskog</t>
        </is>
      </c>
      <c r="G3445" t="n">
        <v>2.1</v>
      </c>
      <c r="H3445" t="n">
        <v>0</v>
      </c>
      <c r="I3445" t="n">
        <v>0</v>
      </c>
      <c r="J3445" t="n">
        <v>0</v>
      </c>
      <c r="K3445" t="n">
        <v>0</v>
      </c>
      <c r="L3445" t="n">
        <v>0</v>
      </c>
      <c r="M3445" t="n">
        <v>0</v>
      </c>
      <c r="N3445" t="n">
        <v>0</v>
      </c>
      <c r="O3445" t="n">
        <v>0</v>
      </c>
      <c r="P3445" t="n">
        <v>0</v>
      </c>
      <c r="Q3445" t="n">
        <v>0</v>
      </c>
      <c r="R3445" s="2" t="inlineStr"/>
    </row>
    <row r="3446" ht="15" customHeight="1">
      <c r="A3446" t="inlineStr">
        <is>
          <t>A 40140-2023</t>
        </is>
      </c>
      <c r="B3446" s="1" t="n">
        <v>45169</v>
      </c>
      <c r="C3446" s="1" t="n">
        <v>45724</v>
      </c>
      <c r="D3446" t="inlineStr">
        <is>
          <t>VÄSTMANLANDS LÄN</t>
        </is>
      </c>
      <c r="E3446" t="inlineStr">
        <is>
          <t>NORBERG</t>
        </is>
      </c>
      <c r="F3446" t="inlineStr">
        <is>
          <t>Sveaskog</t>
        </is>
      </c>
      <c r="G3446" t="n">
        <v>1.7</v>
      </c>
      <c r="H3446" t="n">
        <v>0</v>
      </c>
      <c r="I3446" t="n">
        <v>0</v>
      </c>
      <c r="J3446" t="n">
        <v>0</v>
      </c>
      <c r="K3446" t="n">
        <v>0</v>
      </c>
      <c r="L3446" t="n">
        <v>0</v>
      </c>
      <c r="M3446" t="n">
        <v>0</v>
      </c>
      <c r="N3446" t="n">
        <v>0</v>
      </c>
      <c r="O3446" t="n">
        <v>0</v>
      </c>
      <c r="P3446" t="n">
        <v>0</v>
      </c>
      <c r="Q3446" t="n">
        <v>0</v>
      </c>
      <c r="R3446" s="2" t="inlineStr"/>
    </row>
    <row r="3447" ht="15" customHeight="1">
      <c r="A3447" t="inlineStr">
        <is>
          <t>A 40145-2023</t>
        </is>
      </c>
      <c r="B3447" s="1" t="n">
        <v>45169</v>
      </c>
      <c r="C3447" s="1" t="n">
        <v>45724</v>
      </c>
      <c r="D3447" t="inlineStr">
        <is>
          <t>VÄSTMANLANDS LÄN</t>
        </is>
      </c>
      <c r="E3447" t="inlineStr">
        <is>
          <t>NORBERG</t>
        </is>
      </c>
      <c r="F3447" t="inlineStr">
        <is>
          <t>Sveaskog</t>
        </is>
      </c>
      <c r="G3447" t="n">
        <v>1.7</v>
      </c>
      <c r="H3447" t="n">
        <v>0</v>
      </c>
      <c r="I3447" t="n">
        <v>0</v>
      </c>
      <c r="J3447" t="n">
        <v>0</v>
      </c>
      <c r="K3447" t="n">
        <v>0</v>
      </c>
      <c r="L3447" t="n">
        <v>0</v>
      </c>
      <c r="M3447" t="n">
        <v>0</v>
      </c>
      <c r="N3447" t="n">
        <v>0</v>
      </c>
      <c r="O3447" t="n">
        <v>0</v>
      </c>
      <c r="P3447" t="n">
        <v>0</v>
      </c>
      <c r="Q3447" t="n">
        <v>0</v>
      </c>
      <c r="R3447" s="2" t="inlineStr"/>
    </row>
    <row r="3448" ht="15" customHeight="1">
      <c r="A3448" t="inlineStr">
        <is>
          <t>A 40141-2023</t>
        </is>
      </c>
      <c r="B3448" s="1" t="n">
        <v>45169</v>
      </c>
      <c r="C3448" s="1" t="n">
        <v>45724</v>
      </c>
      <c r="D3448" t="inlineStr">
        <is>
          <t>VÄSTMANLANDS LÄN</t>
        </is>
      </c>
      <c r="E3448" t="inlineStr">
        <is>
          <t>NORBERG</t>
        </is>
      </c>
      <c r="F3448" t="inlineStr">
        <is>
          <t>Sveaskog</t>
        </is>
      </c>
      <c r="G3448" t="n">
        <v>1.6</v>
      </c>
      <c r="H3448" t="n">
        <v>0</v>
      </c>
      <c r="I3448" t="n">
        <v>0</v>
      </c>
      <c r="J3448" t="n">
        <v>0</v>
      </c>
      <c r="K3448" t="n">
        <v>0</v>
      </c>
      <c r="L3448" t="n">
        <v>0</v>
      </c>
      <c r="M3448" t="n">
        <v>0</v>
      </c>
      <c r="N3448" t="n">
        <v>0</v>
      </c>
      <c r="O3448" t="n">
        <v>0</v>
      </c>
      <c r="P3448" t="n">
        <v>0</v>
      </c>
      <c r="Q3448" t="n">
        <v>0</v>
      </c>
      <c r="R3448" s="2" t="inlineStr"/>
    </row>
    <row r="3449" ht="15" customHeight="1">
      <c r="A3449" t="inlineStr">
        <is>
          <t>A 40153-2023</t>
        </is>
      </c>
      <c r="B3449" s="1" t="n">
        <v>45169</v>
      </c>
      <c r="C3449" s="1" t="n">
        <v>45724</v>
      </c>
      <c r="D3449" t="inlineStr">
        <is>
          <t>VÄSTMANLANDS LÄN</t>
        </is>
      </c>
      <c r="E3449" t="inlineStr">
        <is>
          <t>NORBERG</t>
        </is>
      </c>
      <c r="F3449" t="inlineStr">
        <is>
          <t>Sveaskog</t>
        </is>
      </c>
      <c r="G3449" t="n">
        <v>4.5</v>
      </c>
      <c r="H3449" t="n">
        <v>0</v>
      </c>
      <c r="I3449" t="n">
        <v>0</v>
      </c>
      <c r="J3449" t="n">
        <v>0</v>
      </c>
      <c r="K3449" t="n">
        <v>0</v>
      </c>
      <c r="L3449" t="n">
        <v>0</v>
      </c>
      <c r="M3449" t="n">
        <v>0</v>
      </c>
      <c r="N3449" t="n">
        <v>0</v>
      </c>
      <c r="O3449" t="n">
        <v>0</v>
      </c>
      <c r="P3449" t="n">
        <v>0</v>
      </c>
      <c r="Q3449" t="n">
        <v>0</v>
      </c>
      <c r="R3449" s="2" t="inlineStr"/>
    </row>
    <row r="3450" ht="15" customHeight="1">
      <c r="A3450" t="inlineStr">
        <is>
          <t>A 40254-2023</t>
        </is>
      </c>
      <c r="B3450" s="1" t="n">
        <v>45169</v>
      </c>
      <c r="C3450" s="1" t="n">
        <v>45724</v>
      </c>
      <c r="D3450" t="inlineStr">
        <is>
          <t>VÄSTMANLANDS LÄN</t>
        </is>
      </c>
      <c r="E3450" t="inlineStr">
        <is>
          <t>ARBOGA</t>
        </is>
      </c>
      <c r="G3450" t="n">
        <v>2.6</v>
      </c>
      <c r="H3450" t="n">
        <v>0</v>
      </c>
      <c r="I3450" t="n">
        <v>0</v>
      </c>
      <c r="J3450" t="n">
        <v>0</v>
      </c>
      <c r="K3450" t="n">
        <v>0</v>
      </c>
      <c r="L3450" t="n">
        <v>0</v>
      </c>
      <c r="M3450" t="n">
        <v>0</v>
      </c>
      <c r="N3450" t="n">
        <v>0</v>
      </c>
      <c r="O3450" t="n">
        <v>0</v>
      </c>
      <c r="P3450" t="n">
        <v>0</v>
      </c>
      <c r="Q3450" t="n">
        <v>0</v>
      </c>
      <c r="R3450" s="2" t="inlineStr"/>
    </row>
    <row r="3451" ht="15" customHeight="1">
      <c r="A3451" t="inlineStr">
        <is>
          <t>A 40262-2023</t>
        </is>
      </c>
      <c r="B3451" s="1" t="n">
        <v>45169</v>
      </c>
      <c r="C3451" s="1" t="n">
        <v>45724</v>
      </c>
      <c r="D3451" t="inlineStr">
        <is>
          <t>VÄSTMANLANDS LÄN</t>
        </is>
      </c>
      <c r="E3451" t="inlineStr">
        <is>
          <t>ARBOGA</t>
        </is>
      </c>
      <c r="G3451" t="n">
        <v>2.6</v>
      </c>
      <c r="H3451" t="n">
        <v>0</v>
      </c>
      <c r="I3451" t="n">
        <v>0</v>
      </c>
      <c r="J3451" t="n">
        <v>0</v>
      </c>
      <c r="K3451" t="n">
        <v>0</v>
      </c>
      <c r="L3451" t="n">
        <v>0</v>
      </c>
      <c r="M3451" t="n">
        <v>0</v>
      </c>
      <c r="N3451" t="n">
        <v>0</v>
      </c>
      <c r="O3451" t="n">
        <v>0</v>
      </c>
      <c r="P3451" t="n">
        <v>0</v>
      </c>
      <c r="Q3451" t="n">
        <v>0</v>
      </c>
      <c r="R3451" s="2" t="inlineStr"/>
    </row>
    <row r="3452" ht="15" customHeight="1">
      <c r="A3452" t="inlineStr">
        <is>
          <t>A 40150-2023</t>
        </is>
      </c>
      <c r="B3452" s="1" t="n">
        <v>45169</v>
      </c>
      <c r="C3452" s="1" t="n">
        <v>45724</v>
      </c>
      <c r="D3452" t="inlineStr">
        <is>
          <t>VÄSTMANLANDS LÄN</t>
        </is>
      </c>
      <c r="E3452" t="inlineStr">
        <is>
          <t>NORBERG</t>
        </is>
      </c>
      <c r="F3452" t="inlineStr">
        <is>
          <t>Sveaskog</t>
        </is>
      </c>
      <c r="G3452" t="n">
        <v>3.1</v>
      </c>
      <c r="H3452" t="n">
        <v>0</v>
      </c>
      <c r="I3452" t="n">
        <v>0</v>
      </c>
      <c r="J3452" t="n">
        <v>0</v>
      </c>
      <c r="K3452" t="n">
        <v>0</v>
      </c>
      <c r="L3452" t="n">
        <v>0</v>
      </c>
      <c r="M3452" t="n">
        <v>0</v>
      </c>
      <c r="N3452" t="n">
        <v>0</v>
      </c>
      <c r="O3452" t="n">
        <v>0</v>
      </c>
      <c r="P3452" t="n">
        <v>0</v>
      </c>
      <c r="Q3452" t="n">
        <v>0</v>
      </c>
      <c r="R3452" s="2" t="inlineStr"/>
    </row>
    <row r="3453" ht="15" customHeight="1">
      <c r="A3453" t="inlineStr">
        <is>
          <t>A 40154-2023</t>
        </is>
      </c>
      <c r="B3453" s="1" t="n">
        <v>45169</v>
      </c>
      <c r="C3453" s="1" t="n">
        <v>45724</v>
      </c>
      <c r="D3453" t="inlineStr">
        <is>
          <t>VÄSTMANLANDS LÄN</t>
        </is>
      </c>
      <c r="E3453" t="inlineStr">
        <is>
          <t>NORBERG</t>
        </is>
      </c>
      <c r="F3453" t="inlineStr">
        <is>
          <t>Sveaskog</t>
        </is>
      </c>
      <c r="G3453" t="n">
        <v>4.6</v>
      </c>
      <c r="H3453" t="n">
        <v>0</v>
      </c>
      <c r="I3453" t="n">
        <v>0</v>
      </c>
      <c r="J3453" t="n">
        <v>0</v>
      </c>
      <c r="K3453" t="n">
        <v>0</v>
      </c>
      <c r="L3453" t="n">
        <v>0</v>
      </c>
      <c r="M3453" t="n">
        <v>0</v>
      </c>
      <c r="N3453" t="n">
        <v>0</v>
      </c>
      <c r="O3453" t="n">
        <v>0</v>
      </c>
      <c r="P3453" t="n">
        <v>0</v>
      </c>
      <c r="Q3453" t="n">
        <v>0</v>
      </c>
      <c r="R3453" s="2" t="inlineStr"/>
    </row>
    <row r="3454" ht="15" customHeight="1">
      <c r="A3454" t="inlineStr">
        <is>
          <t>A 40956-2023</t>
        </is>
      </c>
      <c r="B3454" s="1" t="n">
        <v>45169</v>
      </c>
      <c r="C3454" s="1" t="n">
        <v>45724</v>
      </c>
      <c r="D3454" t="inlineStr">
        <is>
          <t>VÄSTMANLANDS LÄN</t>
        </is>
      </c>
      <c r="E3454" t="inlineStr">
        <is>
          <t>SURAHAMMAR</t>
        </is>
      </c>
      <c r="F3454" t="inlineStr">
        <is>
          <t>Bergvik skog väst AB</t>
        </is>
      </c>
      <c r="G3454" t="n">
        <v>7.6</v>
      </c>
      <c r="H3454" t="n">
        <v>0</v>
      </c>
      <c r="I3454" t="n">
        <v>0</v>
      </c>
      <c r="J3454" t="n">
        <v>0</v>
      </c>
      <c r="K3454" t="n">
        <v>0</v>
      </c>
      <c r="L3454" t="n">
        <v>0</v>
      </c>
      <c r="M3454" t="n">
        <v>0</v>
      </c>
      <c r="N3454" t="n">
        <v>0</v>
      </c>
      <c r="O3454" t="n">
        <v>0</v>
      </c>
      <c r="P3454" t="n">
        <v>0</v>
      </c>
      <c r="Q3454" t="n">
        <v>0</v>
      </c>
      <c r="R3454" s="2" t="inlineStr"/>
    </row>
    <row r="3455" ht="15" customHeight="1">
      <c r="A3455" t="inlineStr">
        <is>
          <t>A 40214-2023</t>
        </is>
      </c>
      <c r="B3455" s="1" t="n">
        <v>45169</v>
      </c>
      <c r="C3455" s="1" t="n">
        <v>45724</v>
      </c>
      <c r="D3455" t="inlineStr">
        <is>
          <t>VÄSTMANLANDS LÄN</t>
        </is>
      </c>
      <c r="E3455" t="inlineStr">
        <is>
          <t>SALA</t>
        </is>
      </c>
      <c r="G3455" t="n">
        <v>5.5</v>
      </c>
      <c r="H3455" t="n">
        <v>0</v>
      </c>
      <c r="I3455" t="n">
        <v>0</v>
      </c>
      <c r="J3455" t="n">
        <v>0</v>
      </c>
      <c r="K3455" t="n">
        <v>0</v>
      </c>
      <c r="L3455" t="n">
        <v>0</v>
      </c>
      <c r="M3455" t="n">
        <v>0</v>
      </c>
      <c r="N3455" t="n">
        <v>0</v>
      </c>
      <c r="O3455" t="n">
        <v>0</v>
      </c>
      <c r="P3455" t="n">
        <v>0</v>
      </c>
      <c r="Q3455" t="n">
        <v>0</v>
      </c>
      <c r="R3455" s="2" t="inlineStr"/>
    </row>
    <row r="3456" ht="15" customHeight="1">
      <c r="A3456" t="inlineStr">
        <is>
          <t>A 40320-2023</t>
        </is>
      </c>
      <c r="B3456" s="1" t="n">
        <v>45169</v>
      </c>
      <c r="C3456" s="1" t="n">
        <v>45724</v>
      </c>
      <c r="D3456" t="inlineStr">
        <is>
          <t>VÄSTMANLANDS LÄN</t>
        </is>
      </c>
      <c r="E3456" t="inlineStr">
        <is>
          <t>SKINNSKATTEBERG</t>
        </is>
      </c>
      <c r="G3456" t="n">
        <v>0.6</v>
      </c>
      <c r="H3456" t="n">
        <v>0</v>
      </c>
      <c r="I3456" t="n">
        <v>0</v>
      </c>
      <c r="J3456" t="n">
        <v>0</v>
      </c>
      <c r="K3456" t="n">
        <v>0</v>
      </c>
      <c r="L3456" t="n">
        <v>0</v>
      </c>
      <c r="M3456" t="n">
        <v>0</v>
      </c>
      <c r="N3456" t="n">
        <v>0</v>
      </c>
      <c r="O3456" t="n">
        <v>0</v>
      </c>
      <c r="P3456" t="n">
        <v>0</v>
      </c>
      <c r="Q3456" t="n">
        <v>0</v>
      </c>
      <c r="R3456" s="2" t="inlineStr"/>
    </row>
    <row r="3457" ht="15" customHeight="1">
      <c r="A3457" t="inlineStr">
        <is>
          <t>A 40517-2023</t>
        </is>
      </c>
      <c r="B3457" s="1" t="n">
        <v>45170</v>
      </c>
      <c r="C3457" s="1" t="n">
        <v>45724</v>
      </c>
      <c r="D3457" t="inlineStr">
        <is>
          <t>VÄSTMANLANDS LÄN</t>
        </is>
      </c>
      <c r="E3457" t="inlineStr">
        <is>
          <t>SKINNSKATTEBERG</t>
        </is>
      </c>
      <c r="F3457" t="inlineStr">
        <is>
          <t>Sveaskog</t>
        </is>
      </c>
      <c r="G3457" t="n">
        <v>0.8</v>
      </c>
      <c r="H3457" t="n">
        <v>0</v>
      </c>
      <c r="I3457" t="n">
        <v>0</v>
      </c>
      <c r="J3457" t="n">
        <v>0</v>
      </c>
      <c r="K3457" t="n">
        <v>0</v>
      </c>
      <c r="L3457" t="n">
        <v>0</v>
      </c>
      <c r="M3457" t="n">
        <v>0</v>
      </c>
      <c r="N3457" t="n">
        <v>0</v>
      </c>
      <c r="O3457" t="n">
        <v>0</v>
      </c>
      <c r="P3457" t="n">
        <v>0</v>
      </c>
      <c r="Q3457" t="n">
        <v>0</v>
      </c>
      <c r="R3457" s="2" t="inlineStr"/>
    </row>
    <row r="3458" ht="15" customHeight="1">
      <c r="A3458" t="inlineStr">
        <is>
          <t>A 40545-2023</t>
        </is>
      </c>
      <c r="B3458" s="1" t="n">
        <v>45170</v>
      </c>
      <c r="C3458" s="1" t="n">
        <v>45724</v>
      </c>
      <c r="D3458" t="inlineStr">
        <is>
          <t>VÄSTMANLANDS LÄN</t>
        </is>
      </c>
      <c r="E3458" t="inlineStr">
        <is>
          <t>SKINNSKATTEBERG</t>
        </is>
      </c>
      <c r="F3458" t="inlineStr">
        <is>
          <t>Sveaskog</t>
        </is>
      </c>
      <c r="G3458" t="n">
        <v>0.6</v>
      </c>
      <c r="H3458" t="n">
        <v>0</v>
      </c>
      <c r="I3458" t="n">
        <v>0</v>
      </c>
      <c r="J3458" t="n">
        <v>0</v>
      </c>
      <c r="K3458" t="n">
        <v>0</v>
      </c>
      <c r="L3458" t="n">
        <v>0</v>
      </c>
      <c r="M3458" t="n">
        <v>0</v>
      </c>
      <c r="N3458" t="n">
        <v>0</v>
      </c>
      <c r="O3458" t="n">
        <v>0</v>
      </c>
      <c r="P3458" t="n">
        <v>0</v>
      </c>
      <c r="Q3458" t="n">
        <v>0</v>
      </c>
      <c r="R3458" s="2" t="inlineStr"/>
    </row>
    <row r="3459" ht="15" customHeight="1">
      <c r="A3459" t="inlineStr">
        <is>
          <t>A 40445-2023</t>
        </is>
      </c>
      <c r="B3459" s="1" t="n">
        <v>45170</v>
      </c>
      <c r="C3459" s="1" t="n">
        <v>45724</v>
      </c>
      <c r="D3459" t="inlineStr">
        <is>
          <t>VÄSTMANLANDS LÄN</t>
        </is>
      </c>
      <c r="E3459" t="inlineStr">
        <is>
          <t>SURAHAMMAR</t>
        </is>
      </c>
      <c r="G3459" t="n">
        <v>15.6</v>
      </c>
      <c r="H3459" t="n">
        <v>0</v>
      </c>
      <c r="I3459" t="n">
        <v>0</v>
      </c>
      <c r="J3459" t="n">
        <v>0</v>
      </c>
      <c r="K3459" t="n">
        <v>0</v>
      </c>
      <c r="L3459" t="n">
        <v>0</v>
      </c>
      <c r="M3459" t="n">
        <v>0</v>
      </c>
      <c r="N3459" t="n">
        <v>0</v>
      </c>
      <c r="O3459" t="n">
        <v>0</v>
      </c>
      <c r="P3459" t="n">
        <v>0</v>
      </c>
      <c r="Q3459" t="n">
        <v>0</v>
      </c>
      <c r="R3459" s="2" t="inlineStr"/>
    </row>
    <row r="3460" ht="15" customHeight="1">
      <c r="A3460" t="inlineStr">
        <is>
          <t>A 40495-2023</t>
        </is>
      </c>
      <c r="B3460" s="1" t="n">
        <v>45170</v>
      </c>
      <c r="C3460" s="1" t="n">
        <v>45724</v>
      </c>
      <c r="D3460" t="inlineStr">
        <is>
          <t>VÄSTMANLANDS LÄN</t>
        </is>
      </c>
      <c r="E3460" t="inlineStr">
        <is>
          <t>SKINNSKATTEBERG</t>
        </is>
      </c>
      <c r="F3460" t="inlineStr">
        <is>
          <t>Sveaskog</t>
        </is>
      </c>
      <c r="G3460" t="n">
        <v>6.5</v>
      </c>
      <c r="H3460" t="n">
        <v>0</v>
      </c>
      <c r="I3460" t="n">
        <v>0</v>
      </c>
      <c r="J3460" t="n">
        <v>0</v>
      </c>
      <c r="K3460" t="n">
        <v>0</v>
      </c>
      <c r="L3460" t="n">
        <v>0</v>
      </c>
      <c r="M3460" t="n">
        <v>0</v>
      </c>
      <c r="N3460" t="n">
        <v>0</v>
      </c>
      <c r="O3460" t="n">
        <v>0</v>
      </c>
      <c r="P3460" t="n">
        <v>0</v>
      </c>
      <c r="Q3460" t="n">
        <v>0</v>
      </c>
      <c r="R3460" s="2" t="inlineStr"/>
    </row>
    <row r="3461" ht="15" customHeight="1">
      <c r="A3461" t="inlineStr">
        <is>
          <t>A 40521-2023</t>
        </is>
      </c>
      <c r="B3461" s="1" t="n">
        <v>45170</v>
      </c>
      <c r="C3461" s="1" t="n">
        <v>45724</v>
      </c>
      <c r="D3461" t="inlineStr">
        <is>
          <t>VÄSTMANLANDS LÄN</t>
        </is>
      </c>
      <c r="E3461" t="inlineStr">
        <is>
          <t>SKINNSKATTEBERG</t>
        </is>
      </c>
      <c r="F3461" t="inlineStr">
        <is>
          <t>Sveaskog</t>
        </is>
      </c>
      <c r="G3461" t="n">
        <v>2.4</v>
      </c>
      <c r="H3461" t="n">
        <v>0</v>
      </c>
      <c r="I3461" t="n">
        <v>0</v>
      </c>
      <c r="J3461" t="n">
        <v>0</v>
      </c>
      <c r="K3461" t="n">
        <v>0</v>
      </c>
      <c r="L3461" t="n">
        <v>0</v>
      </c>
      <c r="M3461" t="n">
        <v>0</v>
      </c>
      <c r="N3461" t="n">
        <v>0</v>
      </c>
      <c r="O3461" t="n">
        <v>0</v>
      </c>
      <c r="P3461" t="n">
        <v>0</v>
      </c>
      <c r="Q3461" t="n">
        <v>0</v>
      </c>
      <c r="R3461" s="2" t="inlineStr"/>
    </row>
    <row r="3462" ht="15" customHeight="1">
      <c r="A3462" t="inlineStr">
        <is>
          <t>A 40539-2023</t>
        </is>
      </c>
      <c r="B3462" s="1" t="n">
        <v>45170</v>
      </c>
      <c r="C3462" s="1" t="n">
        <v>45724</v>
      </c>
      <c r="D3462" t="inlineStr">
        <is>
          <t>VÄSTMANLANDS LÄN</t>
        </is>
      </c>
      <c r="E3462" t="inlineStr">
        <is>
          <t>SKINNSKATTEBERG</t>
        </is>
      </c>
      <c r="F3462" t="inlineStr">
        <is>
          <t>Sveaskog</t>
        </is>
      </c>
      <c r="G3462" t="n">
        <v>1.8</v>
      </c>
      <c r="H3462" t="n">
        <v>0</v>
      </c>
      <c r="I3462" t="n">
        <v>0</v>
      </c>
      <c r="J3462" t="n">
        <v>0</v>
      </c>
      <c r="K3462" t="n">
        <v>0</v>
      </c>
      <c r="L3462" t="n">
        <v>0</v>
      </c>
      <c r="M3462" t="n">
        <v>0</v>
      </c>
      <c r="N3462" t="n">
        <v>0</v>
      </c>
      <c r="O3462" t="n">
        <v>0</v>
      </c>
      <c r="P3462" t="n">
        <v>0</v>
      </c>
      <c r="Q3462" t="n">
        <v>0</v>
      </c>
      <c r="R3462" s="2" t="inlineStr"/>
    </row>
    <row r="3463" ht="15" customHeight="1">
      <c r="A3463" t="inlineStr">
        <is>
          <t>A 40690-2023</t>
        </is>
      </c>
      <c r="B3463" s="1" t="n">
        <v>45170</v>
      </c>
      <c r="C3463" s="1" t="n">
        <v>45724</v>
      </c>
      <c r="D3463" t="inlineStr">
        <is>
          <t>VÄSTMANLANDS LÄN</t>
        </is>
      </c>
      <c r="E3463" t="inlineStr">
        <is>
          <t>KÖPING</t>
        </is>
      </c>
      <c r="F3463" t="inlineStr">
        <is>
          <t>Sveaskog</t>
        </is>
      </c>
      <c r="G3463" t="n">
        <v>1.6</v>
      </c>
      <c r="H3463" t="n">
        <v>0</v>
      </c>
      <c r="I3463" t="n">
        <v>0</v>
      </c>
      <c r="J3463" t="n">
        <v>0</v>
      </c>
      <c r="K3463" t="n">
        <v>0</v>
      </c>
      <c r="L3463" t="n">
        <v>0</v>
      </c>
      <c r="M3463" t="n">
        <v>0</v>
      </c>
      <c r="N3463" t="n">
        <v>0</v>
      </c>
      <c r="O3463" t="n">
        <v>0</v>
      </c>
      <c r="P3463" t="n">
        <v>0</v>
      </c>
      <c r="Q3463" t="n">
        <v>0</v>
      </c>
      <c r="R3463" s="2" t="inlineStr"/>
    </row>
    <row r="3464" ht="15" customHeight="1">
      <c r="A3464" t="inlineStr">
        <is>
          <t>A 40497-2023</t>
        </is>
      </c>
      <c r="B3464" s="1" t="n">
        <v>45170</v>
      </c>
      <c r="C3464" s="1" t="n">
        <v>45724</v>
      </c>
      <c r="D3464" t="inlineStr">
        <is>
          <t>VÄSTMANLANDS LÄN</t>
        </is>
      </c>
      <c r="E3464" t="inlineStr">
        <is>
          <t>SKINNSKATTEBERG</t>
        </is>
      </c>
      <c r="F3464" t="inlineStr">
        <is>
          <t>Sveaskog</t>
        </is>
      </c>
      <c r="G3464" t="n">
        <v>1.3</v>
      </c>
      <c r="H3464" t="n">
        <v>0</v>
      </c>
      <c r="I3464" t="n">
        <v>0</v>
      </c>
      <c r="J3464" t="n">
        <v>0</v>
      </c>
      <c r="K3464" t="n">
        <v>0</v>
      </c>
      <c r="L3464" t="n">
        <v>0</v>
      </c>
      <c r="M3464" t="n">
        <v>0</v>
      </c>
      <c r="N3464" t="n">
        <v>0</v>
      </c>
      <c r="O3464" t="n">
        <v>0</v>
      </c>
      <c r="P3464" t="n">
        <v>0</v>
      </c>
      <c r="Q3464" t="n">
        <v>0</v>
      </c>
      <c r="R3464" s="2" t="inlineStr"/>
    </row>
    <row r="3465" ht="15" customHeight="1">
      <c r="A3465" t="inlineStr">
        <is>
          <t>A 40519-2023</t>
        </is>
      </c>
      <c r="B3465" s="1" t="n">
        <v>45170</v>
      </c>
      <c r="C3465" s="1" t="n">
        <v>45724</v>
      </c>
      <c r="D3465" t="inlineStr">
        <is>
          <t>VÄSTMANLANDS LÄN</t>
        </is>
      </c>
      <c r="E3465" t="inlineStr">
        <is>
          <t>SKINNSKATTEBERG</t>
        </is>
      </c>
      <c r="F3465" t="inlineStr">
        <is>
          <t>Sveaskog</t>
        </is>
      </c>
      <c r="G3465" t="n">
        <v>1.3</v>
      </c>
      <c r="H3465" t="n">
        <v>0</v>
      </c>
      <c r="I3465" t="n">
        <v>0</v>
      </c>
      <c r="J3465" t="n">
        <v>0</v>
      </c>
      <c r="K3465" t="n">
        <v>0</v>
      </c>
      <c r="L3465" t="n">
        <v>0</v>
      </c>
      <c r="M3465" t="n">
        <v>0</v>
      </c>
      <c r="N3465" t="n">
        <v>0</v>
      </c>
      <c r="O3465" t="n">
        <v>0</v>
      </c>
      <c r="P3465" t="n">
        <v>0</v>
      </c>
      <c r="Q3465" t="n">
        <v>0</v>
      </c>
      <c r="R3465" s="2" t="inlineStr"/>
    </row>
    <row r="3466" ht="15" customHeight="1">
      <c r="A3466" t="inlineStr">
        <is>
          <t>A 40546-2023</t>
        </is>
      </c>
      <c r="B3466" s="1" t="n">
        <v>45170</v>
      </c>
      <c r="C3466" s="1" t="n">
        <v>45724</v>
      </c>
      <c r="D3466" t="inlineStr">
        <is>
          <t>VÄSTMANLANDS LÄN</t>
        </is>
      </c>
      <c r="E3466" t="inlineStr">
        <is>
          <t>SKINNSKATTEBERG</t>
        </is>
      </c>
      <c r="F3466" t="inlineStr">
        <is>
          <t>Sveaskog</t>
        </is>
      </c>
      <c r="G3466" t="n">
        <v>0.6</v>
      </c>
      <c r="H3466" t="n">
        <v>0</v>
      </c>
      <c r="I3466" t="n">
        <v>0</v>
      </c>
      <c r="J3466" t="n">
        <v>0</v>
      </c>
      <c r="K3466" t="n">
        <v>0</v>
      </c>
      <c r="L3466" t="n">
        <v>0</v>
      </c>
      <c r="M3466" t="n">
        <v>0</v>
      </c>
      <c r="N3466" t="n">
        <v>0</v>
      </c>
      <c r="O3466" t="n">
        <v>0</v>
      </c>
      <c r="P3466" t="n">
        <v>0</v>
      </c>
      <c r="Q3466" t="n">
        <v>0</v>
      </c>
      <c r="R3466" s="2" t="inlineStr"/>
    </row>
    <row r="3467" ht="15" customHeight="1">
      <c r="A3467" t="inlineStr">
        <is>
          <t>A 40693-2023</t>
        </is>
      </c>
      <c r="B3467" s="1" t="n">
        <v>45170</v>
      </c>
      <c r="C3467" s="1" t="n">
        <v>45724</v>
      </c>
      <c r="D3467" t="inlineStr">
        <is>
          <t>VÄSTMANLANDS LÄN</t>
        </is>
      </c>
      <c r="E3467" t="inlineStr">
        <is>
          <t>KÖPING</t>
        </is>
      </c>
      <c r="F3467" t="inlineStr">
        <is>
          <t>Sveaskog</t>
        </is>
      </c>
      <c r="G3467" t="n">
        <v>1.7</v>
      </c>
      <c r="H3467" t="n">
        <v>0</v>
      </c>
      <c r="I3467" t="n">
        <v>0</v>
      </c>
      <c r="J3467" t="n">
        <v>0</v>
      </c>
      <c r="K3467" t="n">
        <v>0</v>
      </c>
      <c r="L3467" t="n">
        <v>0</v>
      </c>
      <c r="M3467" t="n">
        <v>0</v>
      </c>
      <c r="N3467" t="n">
        <v>0</v>
      </c>
      <c r="O3467" t="n">
        <v>0</v>
      </c>
      <c r="P3467" t="n">
        <v>0</v>
      </c>
      <c r="Q3467" t="n">
        <v>0</v>
      </c>
      <c r="R3467" s="2" t="inlineStr"/>
    </row>
    <row r="3468" ht="15" customHeight="1">
      <c r="A3468" t="inlineStr">
        <is>
          <t>A 40893-2023</t>
        </is>
      </c>
      <c r="B3468" s="1" t="n">
        <v>45173</v>
      </c>
      <c r="C3468" s="1" t="n">
        <v>45724</v>
      </c>
      <c r="D3468" t="inlineStr">
        <is>
          <t>VÄSTMANLANDS LÄN</t>
        </is>
      </c>
      <c r="E3468" t="inlineStr">
        <is>
          <t>NORBERG</t>
        </is>
      </c>
      <c r="G3468" t="n">
        <v>0.7</v>
      </c>
      <c r="H3468" t="n">
        <v>0</v>
      </c>
      <c r="I3468" t="n">
        <v>0</v>
      </c>
      <c r="J3468" t="n">
        <v>0</v>
      </c>
      <c r="K3468" t="n">
        <v>0</v>
      </c>
      <c r="L3468" t="n">
        <v>0</v>
      </c>
      <c r="M3468" t="n">
        <v>0</v>
      </c>
      <c r="N3468" t="n">
        <v>0</v>
      </c>
      <c r="O3468" t="n">
        <v>0</v>
      </c>
      <c r="P3468" t="n">
        <v>0</v>
      </c>
      <c r="Q3468" t="n">
        <v>0</v>
      </c>
      <c r="R3468" s="2" t="inlineStr"/>
    </row>
    <row r="3469" ht="15" customHeight="1">
      <c r="A3469" t="inlineStr">
        <is>
          <t>A 41613-2023</t>
        </is>
      </c>
      <c r="B3469" s="1" t="n">
        <v>45173</v>
      </c>
      <c r="C3469" s="1" t="n">
        <v>45724</v>
      </c>
      <c r="D3469" t="inlineStr">
        <is>
          <t>VÄSTMANLANDS LÄN</t>
        </is>
      </c>
      <c r="E3469" t="inlineStr">
        <is>
          <t>SALA</t>
        </is>
      </c>
      <c r="G3469" t="n">
        <v>0.7</v>
      </c>
      <c r="H3469" t="n">
        <v>0</v>
      </c>
      <c r="I3469" t="n">
        <v>0</v>
      </c>
      <c r="J3469" t="n">
        <v>0</v>
      </c>
      <c r="K3469" t="n">
        <v>0</v>
      </c>
      <c r="L3469" t="n">
        <v>0</v>
      </c>
      <c r="M3469" t="n">
        <v>0</v>
      </c>
      <c r="N3469" t="n">
        <v>0</v>
      </c>
      <c r="O3469" t="n">
        <v>0</v>
      </c>
      <c r="P3469" t="n">
        <v>0</v>
      </c>
      <c r="Q3469" t="n">
        <v>0</v>
      </c>
      <c r="R3469" s="2" t="inlineStr"/>
    </row>
    <row r="3470" ht="15" customHeight="1">
      <c r="A3470" t="inlineStr">
        <is>
          <t>A 41619-2023</t>
        </is>
      </c>
      <c r="B3470" s="1" t="n">
        <v>45173</v>
      </c>
      <c r="C3470" s="1" t="n">
        <v>45724</v>
      </c>
      <c r="D3470" t="inlineStr">
        <is>
          <t>VÄSTMANLANDS LÄN</t>
        </is>
      </c>
      <c r="E3470" t="inlineStr">
        <is>
          <t>SALA</t>
        </is>
      </c>
      <c r="G3470" t="n">
        <v>1</v>
      </c>
      <c r="H3470" t="n">
        <v>0</v>
      </c>
      <c r="I3470" t="n">
        <v>0</v>
      </c>
      <c r="J3470" t="n">
        <v>0</v>
      </c>
      <c r="K3470" t="n">
        <v>0</v>
      </c>
      <c r="L3470" t="n">
        <v>0</v>
      </c>
      <c r="M3470" t="n">
        <v>0</v>
      </c>
      <c r="N3470" t="n">
        <v>0</v>
      </c>
      <c r="O3470" t="n">
        <v>0</v>
      </c>
      <c r="P3470" t="n">
        <v>0</v>
      </c>
      <c r="Q3470" t="n">
        <v>0</v>
      </c>
      <c r="R3470" s="2" t="inlineStr"/>
    </row>
    <row r="3471" ht="15" customHeight="1">
      <c r="A3471" t="inlineStr">
        <is>
          <t>A 41333-2023</t>
        </is>
      </c>
      <c r="B3471" s="1" t="n">
        <v>45174</v>
      </c>
      <c r="C3471" s="1" t="n">
        <v>45724</v>
      </c>
      <c r="D3471" t="inlineStr">
        <is>
          <t>VÄSTMANLANDS LÄN</t>
        </is>
      </c>
      <c r="E3471" t="inlineStr">
        <is>
          <t>SKINNSKATTEBERG</t>
        </is>
      </c>
      <c r="F3471" t="inlineStr">
        <is>
          <t>Sveaskog</t>
        </is>
      </c>
      <c r="G3471" t="n">
        <v>0.6</v>
      </c>
      <c r="H3471" t="n">
        <v>0</v>
      </c>
      <c r="I3471" t="n">
        <v>0</v>
      </c>
      <c r="J3471" t="n">
        <v>0</v>
      </c>
      <c r="K3471" t="n">
        <v>0</v>
      </c>
      <c r="L3471" t="n">
        <v>0</v>
      </c>
      <c r="M3471" t="n">
        <v>0</v>
      </c>
      <c r="N3471" t="n">
        <v>0</v>
      </c>
      <c r="O3471" t="n">
        <v>0</v>
      </c>
      <c r="P3471" t="n">
        <v>0</v>
      </c>
      <c r="Q3471" t="n">
        <v>0</v>
      </c>
      <c r="R3471" s="2" t="inlineStr"/>
    </row>
    <row r="3472" ht="15" customHeight="1">
      <c r="A3472" t="inlineStr">
        <is>
          <t>A 41341-2023</t>
        </is>
      </c>
      <c r="B3472" s="1" t="n">
        <v>45174</v>
      </c>
      <c r="C3472" s="1" t="n">
        <v>45724</v>
      </c>
      <c r="D3472" t="inlineStr">
        <is>
          <t>VÄSTMANLANDS LÄN</t>
        </is>
      </c>
      <c r="E3472" t="inlineStr">
        <is>
          <t>VÄSTERÅS</t>
        </is>
      </c>
      <c r="G3472" t="n">
        <v>2.9</v>
      </c>
      <c r="H3472" t="n">
        <v>0</v>
      </c>
      <c r="I3472" t="n">
        <v>0</v>
      </c>
      <c r="J3472" t="n">
        <v>0</v>
      </c>
      <c r="K3472" t="n">
        <v>0</v>
      </c>
      <c r="L3472" t="n">
        <v>0</v>
      </c>
      <c r="M3472" t="n">
        <v>0</v>
      </c>
      <c r="N3472" t="n">
        <v>0</v>
      </c>
      <c r="O3472" t="n">
        <v>0</v>
      </c>
      <c r="P3472" t="n">
        <v>0</v>
      </c>
      <c r="Q3472" t="n">
        <v>0</v>
      </c>
      <c r="R3472" s="2" t="inlineStr"/>
    </row>
    <row r="3473" ht="15" customHeight="1">
      <c r="A3473" t="inlineStr">
        <is>
          <t>A 41334-2023</t>
        </is>
      </c>
      <c r="B3473" s="1" t="n">
        <v>45174</v>
      </c>
      <c r="C3473" s="1" t="n">
        <v>45724</v>
      </c>
      <c r="D3473" t="inlineStr">
        <is>
          <t>VÄSTMANLANDS LÄN</t>
        </is>
      </c>
      <c r="E3473" t="inlineStr">
        <is>
          <t>SKINNSKATTEBERG</t>
        </is>
      </c>
      <c r="F3473" t="inlineStr">
        <is>
          <t>Sveaskog</t>
        </is>
      </c>
      <c r="G3473" t="n">
        <v>4.5</v>
      </c>
      <c r="H3473" t="n">
        <v>0</v>
      </c>
      <c r="I3473" t="n">
        <v>0</v>
      </c>
      <c r="J3473" t="n">
        <v>0</v>
      </c>
      <c r="K3473" t="n">
        <v>0</v>
      </c>
      <c r="L3473" t="n">
        <v>0</v>
      </c>
      <c r="M3473" t="n">
        <v>0</v>
      </c>
      <c r="N3473" t="n">
        <v>0</v>
      </c>
      <c r="O3473" t="n">
        <v>0</v>
      </c>
      <c r="P3473" t="n">
        <v>0</v>
      </c>
      <c r="Q3473" t="n">
        <v>0</v>
      </c>
      <c r="R3473" s="2" t="inlineStr"/>
    </row>
    <row r="3474" ht="15" customHeight="1">
      <c r="A3474" t="inlineStr">
        <is>
          <t>A 41332-2023</t>
        </is>
      </c>
      <c r="B3474" s="1" t="n">
        <v>45174</v>
      </c>
      <c r="C3474" s="1" t="n">
        <v>45724</v>
      </c>
      <c r="D3474" t="inlineStr">
        <is>
          <t>VÄSTMANLANDS LÄN</t>
        </is>
      </c>
      <c r="E3474" t="inlineStr">
        <is>
          <t>SKINNSKATTEBERG</t>
        </is>
      </c>
      <c r="F3474" t="inlineStr">
        <is>
          <t>Sveaskog</t>
        </is>
      </c>
      <c r="G3474" t="n">
        <v>0.8</v>
      </c>
      <c r="H3474" t="n">
        <v>0</v>
      </c>
      <c r="I3474" t="n">
        <v>0</v>
      </c>
      <c r="J3474" t="n">
        <v>0</v>
      </c>
      <c r="K3474" t="n">
        <v>0</v>
      </c>
      <c r="L3474" t="n">
        <v>0</v>
      </c>
      <c r="M3474" t="n">
        <v>0</v>
      </c>
      <c r="N3474" t="n">
        <v>0</v>
      </c>
      <c r="O3474" t="n">
        <v>0</v>
      </c>
      <c r="P3474" t="n">
        <v>0</v>
      </c>
      <c r="Q3474" t="n">
        <v>0</v>
      </c>
      <c r="R3474" s="2" t="inlineStr"/>
    </row>
    <row r="3475" ht="15" customHeight="1">
      <c r="A3475" t="inlineStr">
        <is>
          <t>A 41340-2023</t>
        </is>
      </c>
      <c r="B3475" s="1" t="n">
        <v>45174</v>
      </c>
      <c r="C3475" s="1" t="n">
        <v>45724</v>
      </c>
      <c r="D3475" t="inlineStr">
        <is>
          <t>VÄSTMANLANDS LÄN</t>
        </is>
      </c>
      <c r="E3475" t="inlineStr">
        <is>
          <t>VÄSTERÅS</t>
        </is>
      </c>
      <c r="G3475" t="n">
        <v>3.4</v>
      </c>
      <c r="H3475" t="n">
        <v>0</v>
      </c>
      <c r="I3475" t="n">
        <v>0</v>
      </c>
      <c r="J3475" t="n">
        <v>0</v>
      </c>
      <c r="K3475" t="n">
        <v>0</v>
      </c>
      <c r="L3475" t="n">
        <v>0</v>
      </c>
      <c r="M3475" t="n">
        <v>0</v>
      </c>
      <c r="N3475" t="n">
        <v>0</v>
      </c>
      <c r="O3475" t="n">
        <v>0</v>
      </c>
      <c r="P3475" t="n">
        <v>0</v>
      </c>
      <c r="Q3475" t="n">
        <v>0</v>
      </c>
      <c r="R3475" s="2" t="inlineStr"/>
    </row>
    <row r="3476" ht="15" customHeight="1">
      <c r="A3476" t="inlineStr">
        <is>
          <t>A 41344-2023</t>
        </is>
      </c>
      <c r="B3476" s="1" t="n">
        <v>45174</v>
      </c>
      <c r="C3476" s="1" t="n">
        <v>45724</v>
      </c>
      <c r="D3476" t="inlineStr">
        <is>
          <t>VÄSTMANLANDS LÄN</t>
        </is>
      </c>
      <c r="E3476" t="inlineStr">
        <is>
          <t>VÄSTERÅS</t>
        </is>
      </c>
      <c r="G3476" t="n">
        <v>0.6</v>
      </c>
      <c r="H3476" t="n">
        <v>0</v>
      </c>
      <c r="I3476" t="n">
        <v>0</v>
      </c>
      <c r="J3476" t="n">
        <v>0</v>
      </c>
      <c r="K3476" t="n">
        <v>0</v>
      </c>
      <c r="L3476" t="n">
        <v>0</v>
      </c>
      <c r="M3476" t="n">
        <v>0</v>
      </c>
      <c r="N3476" t="n">
        <v>0</v>
      </c>
      <c r="O3476" t="n">
        <v>0</v>
      </c>
      <c r="P3476" t="n">
        <v>0</v>
      </c>
      <c r="Q3476" t="n">
        <v>0</v>
      </c>
      <c r="R3476" s="2" t="inlineStr"/>
    </row>
    <row r="3477" ht="15" customHeight="1">
      <c r="A3477" t="inlineStr">
        <is>
          <t>A 41343-2023</t>
        </is>
      </c>
      <c r="B3477" s="1" t="n">
        <v>45174</v>
      </c>
      <c r="C3477" s="1" t="n">
        <v>45724</v>
      </c>
      <c r="D3477" t="inlineStr">
        <is>
          <t>VÄSTMANLANDS LÄN</t>
        </is>
      </c>
      <c r="E3477" t="inlineStr">
        <is>
          <t>VÄSTERÅS</t>
        </is>
      </c>
      <c r="G3477" t="n">
        <v>1</v>
      </c>
      <c r="H3477" t="n">
        <v>0</v>
      </c>
      <c r="I3477" t="n">
        <v>0</v>
      </c>
      <c r="J3477" t="n">
        <v>0</v>
      </c>
      <c r="K3477" t="n">
        <v>0</v>
      </c>
      <c r="L3477" t="n">
        <v>0</v>
      </c>
      <c r="M3477" t="n">
        <v>0</v>
      </c>
      <c r="N3477" t="n">
        <v>0</v>
      </c>
      <c r="O3477" t="n">
        <v>0</v>
      </c>
      <c r="P3477" t="n">
        <v>0</v>
      </c>
      <c r="Q3477" t="n">
        <v>0</v>
      </c>
      <c r="R3477" s="2" t="inlineStr"/>
    </row>
    <row r="3478" ht="15" customHeight="1">
      <c r="A3478" t="inlineStr">
        <is>
          <t>A 41562-2023</t>
        </is>
      </c>
      <c r="B3478" s="1" t="n">
        <v>45175</v>
      </c>
      <c r="C3478" s="1" t="n">
        <v>45724</v>
      </c>
      <c r="D3478" t="inlineStr">
        <is>
          <t>VÄSTMANLANDS LÄN</t>
        </is>
      </c>
      <c r="E3478" t="inlineStr">
        <is>
          <t>SKINNSKATTEBERG</t>
        </is>
      </c>
      <c r="G3478" t="n">
        <v>1.3</v>
      </c>
      <c r="H3478" t="n">
        <v>0</v>
      </c>
      <c r="I3478" t="n">
        <v>0</v>
      </c>
      <c r="J3478" t="n">
        <v>0</v>
      </c>
      <c r="K3478" t="n">
        <v>0</v>
      </c>
      <c r="L3478" t="n">
        <v>0</v>
      </c>
      <c r="M3478" t="n">
        <v>0</v>
      </c>
      <c r="N3478" t="n">
        <v>0</v>
      </c>
      <c r="O3478" t="n">
        <v>0</v>
      </c>
      <c r="P3478" t="n">
        <v>0</v>
      </c>
      <c r="Q3478" t="n">
        <v>0</v>
      </c>
      <c r="R3478" s="2" t="inlineStr"/>
    </row>
    <row r="3479" ht="15" customHeight="1">
      <c r="A3479" t="inlineStr">
        <is>
          <t>A 41443-2023</t>
        </is>
      </c>
      <c r="B3479" s="1" t="n">
        <v>45175</v>
      </c>
      <c r="C3479" s="1" t="n">
        <v>45724</v>
      </c>
      <c r="D3479" t="inlineStr">
        <is>
          <t>VÄSTMANLANDS LÄN</t>
        </is>
      </c>
      <c r="E3479" t="inlineStr">
        <is>
          <t>KUNGSÖR</t>
        </is>
      </c>
      <c r="F3479" t="inlineStr">
        <is>
          <t>Allmännings- och besparingsskogar</t>
        </is>
      </c>
      <c r="G3479" t="n">
        <v>4.1</v>
      </c>
      <c r="H3479" t="n">
        <v>0</v>
      </c>
      <c r="I3479" t="n">
        <v>0</v>
      </c>
      <c r="J3479" t="n">
        <v>0</v>
      </c>
      <c r="K3479" t="n">
        <v>0</v>
      </c>
      <c r="L3479" t="n">
        <v>0</v>
      </c>
      <c r="M3479" t="n">
        <v>0</v>
      </c>
      <c r="N3479" t="n">
        <v>0</v>
      </c>
      <c r="O3479" t="n">
        <v>0</v>
      </c>
      <c r="P3479" t="n">
        <v>0</v>
      </c>
      <c r="Q3479" t="n">
        <v>0</v>
      </c>
      <c r="R3479" s="2" t="inlineStr"/>
    </row>
    <row r="3480" ht="15" customHeight="1">
      <c r="A3480" t="inlineStr">
        <is>
          <t>A 41491-2023</t>
        </is>
      </c>
      <c r="B3480" s="1" t="n">
        <v>45175</v>
      </c>
      <c r="C3480" s="1" t="n">
        <v>45724</v>
      </c>
      <c r="D3480" t="inlineStr">
        <is>
          <t>VÄSTMANLANDS LÄN</t>
        </is>
      </c>
      <c r="E3480" t="inlineStr">
        <is>
          <t>FAGERSTA</t>
        </is>
      </c>
      <c r="F3480" t="inlineStr">
        <is>
          <t>Kommuner</t>
        </is>
      </c>
      <c r="G3480" t="n">
        <v>4</v>
      </c>
      <c r="H3480" t="n">
        <v>0</v>
      </c>
      <c r="I3480" t="n">
        <v>0</v>
      </c>
      <c r="J3480" t="n">
        <v>0</v>
      </c>
      <c r="K3480" t="n">
        <v>0</v>
      </c>
      <c r="L3480" t="n">
        <v>0</v>
      </c>
      <c r="M3480" t="n">
        <v>0</v>
      </c>
      <c r="N3480" t="n">
        <v>0</v>
      </c>
      <c r="O3480" t="n">
        <v>0</v>
      </c>
      <c r="P3480" t="n">
        <v>0</v>
      </c>
      <c r="Q3480" t="n">
        <v>0</v>
      </c>
      <c r="R3480" s="2" t="inlineStr"/>
    </row>
    <row r="3481" ht="15" customHeight="1">
      <c r="A3481" t="inlineStr">
        <is>
          <t>A 41446-2023</t>
        </is>
      </c>
      <c r="B3481" s="1" t="n">
        <v>45175</v>
      </c>
      <c r="C3481" s="1" t="n">
        <v>45724</v>
      </c>
      <c r="D3481" t="inlineStr">
        <is>
          <t>VÄSTMANLANDS LÄN</t>
        </is>
      </c>
      <c r="E3481" t="inlineStr">
        <is>
          <t>KUNGSÖR</t>
        </is>
      </c>
      <c r="F3481" t="inlineStr">
        <is>
          <t>Allmännings- och besparingsskogar</t>
        </is>
      </c>
      <c r="G3481" t="n">
        <v>8.4</v>
      </c>
      <c r="H3481" t="n">
        <v>0</v>
      </c>
      <c r="I3481" t="n">
        <v>0</v>
      </c>
      <c r="J3481" t="n">
        <v>0</v>
      </c>
      <c r="K3481" t="n">
        <v>0</v>
      </c>
      <c r="L3481" t="n">
        <v>0</v>
      </c>
      <c r="M3481" t="n">
        <v>0</v>
      </c>
      <c r="N3481" t="n">
        <v>0</v>
      </c>
      <c r="O3481" t="n">
        <v>0</v>
      </c>
      <c r="P3481" t="n">
        <v>0</v>
      </c>
      <c r="Q3481" t="n">
        <v>0</v>
      </c>
      <c r="R3481" s="2" t="inlineStr"/>
    </row>
    <row r="3482" ht="15" customHeight="1">
      <c r="A3482" t="inlineStr">
        <is>
          <t>A 41452-2023</t>
        </is>
      </c>
      <c r="B3482" s="1" t="n">
        <v>45175</v>
      </c>
      <c r="C3482" s="1" t="n">
        <v>45724</v>
      </c>
      <c r="D3482" t="inlineStr">
        <is>
          <t>VÄSTMANLANDS LÄN</t>
        </is>
      </c>
      <c r="E3482" t="inlineStr">
        <is>
          <t>ARBOGA</t>
        </is>
      </c>
      <c r="F3482" t="inlineStr">
        <is>
          <t>Allmännings- och besparingsskogar</t>
        </is>
      </c>
      <c r="G3482" t="n">
        <v>1.2</v>
      </c>
      <c r="H3482" t="n">
        <v>0</v>
      </c>
      <c r="I3482" t="n">
        <v>0</v>
      </c>
      <c r="J3482" t="n">
        <v>0</v>
      </c>
      <c r="K3482" t="n">
        <v>0</v>
      </c>
      <c r="L3482" t="n">
        <v>0</v>
      </c>
      <c r="M3482" t="n">
        <v>0</v>
      </c>
      <c r="N3482" t="n">
        <v>0</v>
      </c>
      <c r="O3482" t="n">
        <v>0</v>
      </c>
      <c r="P3482" t="n">
        <v>0</v>
      </c>
      <c r="Q3482" t="n">
        <v>0</v>
      </c>
      <c r="R3482" s="2" t="inlineStr"/>
    </row>
    <row r="3483" ht="15" customHeight="1">
      <c r="A3483" t="inlineStr">
        <is>
          <t>A 42312-2023</t>
        </is>
      </c>
      <c r="B3483" s="1" t="n">
        <v>45175</v>
      </c>
      <c r="C3483" s="1" t="n">
        <v>45724</v>
      </c>
      <c r="D3483" t="inlineStr">
        <is>
          <t>VÄSTMANLANDS LÄN</t>
        </is>
      </c>
      <c r="E3483" t="inlineStr">
        <is>
          <t>SALA</t>
        </is>
      </c>
      <c r="G3483" t="n">
        <v>2.2</v>
      </c>
      <c r="H3483" t="n">
        <v>0</v>
      </c>
      <c r="I3483" t="n">
        <v>0</v>
      </c>
      <c r="J3483" t="n">
        <v>0</v>
      </c>
      <c r="K3483" t="n">
        <v>0</v>
      </c>
      <c r="L3483" t="n">
        <v>0</v>
      </c>
      <c r="M3483" t="n">
        <v>0</v>
      </c>
      <c r="N3483" t="n">
        <v>0</v>
      </c>
      <c r="O3483" t="n">
        <v>0</v>
      </c>
      <c r="P3483" t="n">
        <v>0</v>
      </c>
      <c r="Q3483" t="n">
        <v>0</v>
      </c>
      <c r="R3483" s="2" t="inlineStr"/>
    </row>
    <row r="3484" ht="15" customHeight="1">
      <c r="A3484" t="inlineStr">
        <is>
          <t>A 41797-2023</t>
        </is>
      </c>
      <c r="B3484" s="1" t="n">
        <v>45176</v>
      </c>
      <c r="C3484" s="1" t="n">
        <v>45724</v>
      </c>
      <c r="D3484" t="inlineStr">
        <is>
          <t>VÄSTMANLANDS LÄN</t>
        </is>
      </c>
      <c r="E3484" t="inlineStr">
        <is>
          <t>SKINNSKATTEBERG</t>
        </is>
      </c>
      <c r="G3484" t="n">
        <v>5.7</v>
      </c>
      <c r="H3484" t="n">
        <v>0</v>
      </c>
      <c r="I3484" t="n">
        <v>0</v>
      </c>
      <c r="J3484" t="n">
        <v>0</v>
      </c>
      <c r="K3484" t="n">
        <v>0</v>
      </c>
      <c r="L3484" t="n">
        <v>0</v>
      </c>
      <c r="M3484" t="n">
        <v>0</v>
      </c>
      <c r="N3484" t="n">
        <v>0</v>
      </c>
      <c r="O3484" t="n">
        <v>0</v>
      </c>
      <c r="P3484" t="n">
        <v>0</v>
      </c>
      <c r="Q3484" t="n">
        <v>0</v>
      </c>
      <c r="R3484" s="2" t="inlineStr"/>
    </row>
    <row r="3485" ht="15" customHeight="1">
      <c r="A3485" t="inlineStr">
        <is>
          <t>A 41812-2023</t>
        </is>
      </c>
      <c r="B3485" s="1" t="n">
        <v>45176</v>
      </c>
      <c r="C3485" s="1" t="n">
        <v>45724</v>
      </c>
      <c r="D3485" t="inlineStr">
        <is>
          <t>VÄSTMANLANDS LÄN</t>
        </is>
      </c>
      <c r="E3485" t="inlineStr">
        <is>
          <t>KÖPING</t>
        </is>
      </c>
      <c r="G3485" t="n">
        <v>2.6</v>
      </c>
      <c r="H3485" t="n">
        <v>0</v>
      </c>
      <c r="I3485" t="n">
        <v>0</v>
      </c>
      <c r="J3485" t="n">
        <v>0</v>
      </c>
      <c r="K3485" t="n">
        <v>0</v>
      </c>
      <c r="L3485" t="n">
        <v>0</v>
      </c>
      <c r="M3485" t="n">
        <v>0</v>
      </c>
      <c r="N3485" t="n">
        <v>0</v>
      </c>
      <c r="O3485" t="n">
        <v>0</v>
      </c>
      <c r="P3485" t="n">
        <v>0</v>
      </c>
      <c r="Q3485" t="n">
        <v>0</v>
      </c>
      <c r="R3485" s="2" t="inlineStr"/>
    </row>
    <row r="3486" ht="15" customHeight="1">
      <c r="A3486" t="inlineStr">
        <is>
          <t>A 41866-2023</t>
        </is>
      </c>
      <c r="B3486" s="1" t="n">
        <v>45176</v>
      </c>
      <c r="C3486" s="1" t="n">
        <v>45724</v>
      </c>
      <c r="D3486" t="inlineStr">
        <is>
          <t>VÄSTMANLANDS LÄN</t>
        </is>
      </c>
      <c r="E3486" t="inlineStr">
        <is>
          <t>SKINNSKATTEBERG</t>
        </is>
      </c>
      <c r="F3486" t="inlineStr">
        <is>
          <t>Sveaskog</t>
        </is>
      </c>
      <c r="G3486" t="n">
        <v>1.1</v>
      </c>
      <c r="H3486" t="n">
        <v>0</v>
      </c>
      <c r="I3486" t="n">
        <v>0</v>
      </c>
      <c r="J3486" t="n">
        <v>0</v>
      </c>
      <c r="K3486" t="n">
        <v>0</v>
      </c>
      <c r="L3486" t="n">
        <v>0</v>
      </c>
      <c r="M3486" t="n">
        <v>0</v>
      </c>
      <c r="N3486" t="n">
        <v>0</v>
      </c>
      <c r="O3486" t="n">
        <v>0</v>
      </c>
      <c r="P3486" t="n">
        <v>0</v>
      </c>
      <c r="Q3486" t="n">
        <v>0</v>
      </c>
      <c r="R3486" s="2" t="inlineStr"/>
    </row>
    <row r="3487" ht="15" customHeight="1">
      <c r="A3487" t="inlineStr">
        <is>
          <t>A 41815-2023</t>
        </is>
      </c>
      <c r="B3487" s="1" t="n">
        <v>45176</v>
      </c>
      <c r="C3487" s="1" t="n">
        <v>45724</v>
      </c>
      <c r="D3487" t="inlineStr">
        <is>
          <t>VÄSTMANLANDS LÄN</t>
        </is>
      </c>
      <c r="E3487" t="inlineStr">
        <is>
          <t>KÖPING</t>
        </is>
      </c>
      <c r="G3487" t="n">
        <v>0.7</v>
      </c>
      <c r="H3487" t="n">
        <v>0</v>
      </c>
      <c r="I3487" t="n">
        <v>0</v>
      </c>
      <c r="J3487" t="n">
        <v>0</v>
      </c>
      <c r="K3487" t="n">
        <v>0</v>
      </c>
      <c r="L3487" t="n">
        <v>0</v>
      </c>
      <c r="M3487" t="n">
        <v>0</v>
      </c>
      <c r="N3487" t="n">
        <v>0</v>
      </c>
      <c r="O3487" t="n">
        <v>0</v>
      </c>
      <c r="P3487" t="n">
        <v>0</v>
      </c>
      <c r="Q3487" t="n">
        <v>0</v>
      </c>
      <c r="R3487" s="2" t="inlineStr"/>
    </row>
    <row r="3488" ht="15" customHeight="1">
      <c r="A3488" t="inlineStr">
        <is>
          <t>A 41818-2023</t>
        </is>
      </c>
      <c r="B3488" s="1" t="n">
        <v>45176</v>
      </c>
      <c r="C3488" s="1" t="n">
        <v>45724</v>
      </c>
      <c r="D3488" t="inlineStr">
        <is>
          <t>VÄSTMANLANDS LÄN</t>
        </is>
      </c>
      <c r="E3488" t="inlineStr">
        <is>
          <t>KÖPING</t>
        </is>
      </c>
      <c r="G3488" t="n">
        <v>1.8</v>
      </c>
      <c r="H3488" t="n">
        <v>0</v>
      </c>
      <c r="I3488" t="n">
        <v>0</v>
      </c>
      <c r="J3488" t="n">
        <v>0</v>
      </c>
      <c r="K3488" t="n">
        <v>0</v>
      </c>
      <c r="L3488" t="n">
        <v>0</v>
      </c>
      <c r="M3488" t="n">
        <v>0</v>
      </c>
      <c r="N3488" t="n">
        <v>0</v>
      </c>
      <c r="O3488" t="n">
        <v>0</v>
      </c>
      <c r="P3488" t="n">
        <v>0</v>
      </c>
      <c r="Q3488" t="n">
        <v>0</v>
      </c>
      <c r="R3488" s="2" t="inlineStr"/>
    </row>
    <row r="3489" ht="15" customHeight="1">
      <c r="A3489" t="inlineStr">
        <is>
          <t>A 42476-2023</t>
        </is>
      </c>
      <c r="B3489" s="1" t="n">
        <v>45176</v>
      </c>
      <c r="C3489" s="1" t="n">
        <v>45724</v>
      </c>
      <c r="D3489" t="inlineStr">
        <is>
          <t>VÄSTMANLANDS LÄN</t>
        </is>
      </c>
      <c r="E3489" t="inlineStr">
        <is>
          <t>VÄSTERÅS</t>
        </is>
      </c>
      <c r="G3489" t="n">
        <v>3.2</v>
      </c>
      <c r="H3489" t="n">
        <v>0</v>
      </c>
      <c r="I3489" t="n">
        <v>0</v>
      </c>
      <c r="J3489" t="n">
        <v>0</v>
      </c>
      <c r="K3489" t="n">
        <v>0</v>
      </c>
      <c r="L3489" t="n">
        <v>0</v>
      </c>
      <c r="M3489" t="n">
        <v>0</v>
      </c>
      <c r="N3489" t="n">
        <v>0</v>
      </c>
      <c r="O3489" t="n">
        <v>0</v>
      </c>
      <c r="P3489" t="n">
        <v>0</v>
      </c>
      <c r="Q3489" t="n">
        <v>0</v>
      </c>
      <c r="R3489" s="2" t="inlineStr"/>
    </row>
    <row r="3490" ht="15" customHeight="1">
      <c r="A3490" t="inlineStr">
        <is>
          <t>A 42090-2023</t>
        </is>
      </c>
      <c r="B3490" s="1" t="n">
        <v>45177</v>
      </c>
      <c r="C3490" s="1" t="n">
        <v>45724</v>
      </c>
      <c r="D3490" t="inlineStr">
        <is>
          <t>VÄSTMANLANDS LÄN</t>
        </is>
      </c>
      <c r="E3490" t="inlineStr">
        <is>
          <t>VÄSTERÅS</t>
        </is>
      </c>
      <c r="F3490" t="inlineStr">
        <is>
          <t>Sveaskog</t>
        </is>
      </c>
      <c r="G3490" t="n">
        <v>3.1</v>
      </c>
      <c r="H3490" t="n">
        <v>0</v>
      </c>
      <c r="I3490" t="n">
        <v>0</v>
      </c>
      <c r="J3490" t="n">
        <v>0</v>
      </c>
      <c r="K3490" t="n">
        <v>0</v>
      </c>
      <c r="L3490" t="n">
        <v>0</v>
      </c>
      <c r="M3490" t="n">
        <v>0</v>
      </c>
      <c r="N3490" t="n">
        <v>0</v>
      </c>
      <c r="O3490" t="n">
        <v>0</v>
      </c>
      <c r="P3490" t="n">
        <v>0</v>
      </c>
      <c r="Q3490" t="n">
        <v>0</v>
      </c>
      <c r="R3490" s="2" t="inlineStr"/>
    </row>
    <row r="3491" ht="15" customHeight="1">
      <c r="A3491" t="inlineStr">
        <is>
          <t>A 42082-2023</t>
        </is>
      </c>
      <c r="B3491" s="1" t="n">
        <v>45177</v>
      </c>
      <c r="C3491" s="1" t="n">
        <v>45724</v>
      </c>
      <c r="D3491" t="inlineStr">
        <is>
          <t>VÄSTMANLANDS LÄN</t>
        </is>
      </c>
      <c r="E3491" t="inlineStr">
        <is>
          <t>SKINNSKATTEBERG</t>
        </is>
      </c>
      <c r="F3491" t="inlineStr">
        <is>
          <t>Sveaskog</t>
        </is>
      </c>
      <c r="G3491" t="n">
        <v>2.7</v>
      </c>
      <c r="H3491" t="n">
        <v>0</v>
      </c>
      <c r="I3491" t="n">
        <v>0</v>
      </c>
      <c r="J3491" t="n">
        <v>0</v>
      </c>
      <c r="K3491" t="n">
        <v>0</v>
      </c>
      <c r="L3491" t="n">
        <v>0</v>
      </c>
      <c r="M3491" t="n">
        <v>0</v>
      </c>
      <c r="N3491" t="n">
        <v>0</v>
      </c>
      <c r="O3491" t="n">
        <v>0</v>
      </c>
      <c r="P3491" t="n">
        <v>0</v>
      </c>
      <c r="Q3491" t="n">
        <v>0</v>
      </c>
      <c r="R3491" s="2" t="inlineStr"/>
    </row>
    <row r="3492" ht="15" customHeight="1">
      <c r="A3492" t="inlineStr">
        <is>
          <t>A 42092-2023</t>
        </is>
      </c>
      <c r="B3492" s="1" t="n">
        <v>45177</v>
      </c>
      <c r="C3492" s="1" t="n">
        <v>45724</v>
      </c>
      <c r="D3492" t="inlineStr">
        <is>
          <t>VÄSTMANLANDS LÄN</t>
        </is>
      </c>
      <c r="E3492" t="inlineStr">
        <is>
          <t>SKINNSKATTEBERG</t>
        </is>
      </c>
      <c r="F3492" t="inlineStr">
        <is>
          <t>Sveaskog</t>
        </is>
      </c>
      <c r="G3492" t="n">
        <v>2.7</v>
      </c>
      <c r="H3492" t="n">
        <v>0</v>
      </c>
      <c r="I3492" t="n">
        <v>0</v>
      </c>
      <c r="J3492" t="n">
        <v>0</v>
      </c>
      <c r="K3492" t="n">
        <v>0</v>
      </c>
      <c r="L3492" t="n">
        <v>0</v>
      </c>
      <c r="M3492" t="n">
        <v>0</v>
      </c>
      <c r="N3492" t="n">
        <v>0</v>
      </c>
      <c r="O3492" t="n">
        <v>0</v>
      </c>
      <c r="P3492" t="n">
        <v>0</v>
      </c>
      <c r="Q3492" t="n">
        <v>0</v>
      </c>
      <c r="R3492" s="2" t="inlineStr"/>
    </row>
    <row r="3493" ht="15" customHeight="1">
      <c r="A3493" t="inlineStr">
        <is>
          <t>A 42087-2023</t>
        </is>
      </c>
      <c r="B3493" s="1" t="n">
        <v>45177</v>
      </c>
      <c r="C3493" s="1" t="n">
        <v>45724</v>
      </c>
      <c r="D3493" t="inlineStr">
        <is>
          <t>VÄSTMANLANDS LÄN</t>
        </is>
      </c>
      <c r="E3493" t="inlineStr">
        <is>
          <t>SKINNSKATTEBERG</t>
        </is>
      </c>
      <c r="F3493" t="inlineStr">
        <is>
          <t>Sveaskog</t>
        </is>
      </c>
      <c r="G3493" t="n">
        <v>2.8</v>
      </c>
      <c r="H3493" t="n">
        <v>0</v>
      </c>
      <c r="I3493" t="n">
        <v>0</v>
      </c>
      <c r="J3493" t="n">
        <v>0</v>
      </c>
      <c r="K3493" t="n">
        <v>0</v>
      </c>
      <c r="L3493" t="n">
        <v>0</v>
      </c>
      <c r="M3493" t="n">
        <v>0</v>
      </c>
      <c r="N3493" t="n">
        <v>0</v>
      </c>
      <c r="O3493" t="n">
        <v>0</v>
      </c>
      <c r="P3493" t="n">
        <v>0</v>
      </c>
      <c r="Q3493" t="n">
        <v>0</v>
      </c>
      <c r="R3493" s="2" t="inlineStr"/>
    </row>
    <row r="3494" ht="15" customHeight="1">
      <c r="A3494" t="inlineStr">
        <is>
          <t>A 42091-2023</t>
        </is>
      </c>
      <c r="B3494" s="1" t="n">
        <v>45177</v>
      </c>
      <c r="C3494" s="1" t="n">
        <v>45724</v>
      </c>
      <c r="D3494" t="inlineStr">
        <is>
          <t>VÄSTMANLANDS LÄN</t>
        </is>
      </c>
      <c r="E3494" t="inlineStr">
        <is>
          <t>VÄSTERÅS</t>
        </is>
      </c>
      <c r="F3494" t="inlineStr">
        <is>
          <t>Sveaskog</t>
        </is>
      </c>
      <c r="G3494" t="n">
        <v>1.3</v>
      </c>
      <c r="H3494" t="n">
        <v>0</v>
      </c>
      <c r="I3494" t="n">
        <v>0</v>
      </c>
      <c r="J3494" t="n">
        <v>0</v>
      </c>
      <c r="K3494" t="n">
        <v>0</v>
      </c>
      <c r="L3494" t="n">
        <v>0</v>
      </c>
      <c r="M3494" t="n">
        <v>0</v>
      </c>
      <c r="N3494" t="n">
        <v>0</v>
      </c>
      <c r="O3494" t="n">
        <v>0</v>
      </c>
      <c r="P3494" t="n">
        <v>0</v>
      </c>
      <c r="Q3494" t="n">
        <v>0</v>
      </c>
      <c r="R3494" s="2" t="inlineStr"/>
    </row>
    <row r="3495" ht="15" customHeight="1">
      <c r="A3495" t="inlineStr">
        <is>
          <t>A 42093-2023</t>
        </is>
      </c>
      <c r="B3495" s="1" t="n">
        <v>45177</v>
      </c>
      <c r="C3495" s="1" t="n">
        <v>45724</v>
      </c>
      <c r="D3495" t="inlineStr">
        <is>
          <t>VÄSTMANLANDS LÄN</t>
        </is>
      </c>
      <c r="E3495" t="inlineStr">
        <is>
          <t>SKINNSKATTEBERG</t>
        </is>
      </c>
      <c r="F3495" t="inlineStr">
        <is>
          <t>Sveaskog</t>
        </is>
      </c>
      <c r="G3495" t="n">
        <v>0.6</v>
      </c>
      <c r="H3495" t="n">
        <v>0</v>
      </c>
      <c r="I3495" t="n">
        <v>0</v>
      </c>
      <c r="J3495" t="n">
        <v>0</v>
      </c>
      <c r="K3495" t="n">
        <v>0</v>
      </c>
      <c r="L3495" t="n">
        <v>0</v>
      </c>
      <c r="M3495" t="n">
        <v>0</v>
      </c>
      <c r="N3495" t="n">
        <v>0</v>
      </c>
      <c r="O3495" t="n">
        <v>0</v>
      </c>
      <c r="P3495" t="n">
        <v>0</v>
      </c>
      <c r="Q3495" t="n">
        <v>0</v>
      </c>
      <c r="R3495" s="2" t="inlineStr"/>
    </row>
    <row r="3496" ht="15" customHeight="1">
      <c r="A3496" t="inlineStr">
        <is>
          <t>A 42195-2023</t>
        </is>
      </c>
      <c r="B3496" s="1" t="n">
        <v>45179</v>
      </c>
      <c r="C3496" s="1" t="n">
        <v>45724</v>
      </c>
      <c r="D3496" t="inlineStr">
        <is>
          <t>VÄSTMANLANDS LÄN</t>
        </is>
      </c>
      <c r="E3496" t="inlineStr">
        <is>
          <t>NORBERG</t>
        </is>
      </c>
      <c r="F3496" t="inlineStr">
        <is>
          <t>Sveaskog</t>
        </is>
      </c>
      <c r="G3496" t="n">
        <v>1.1</v>
      </c>
      <c r="H3496" t="n">
        <v>0</v>
      </c>
      <c r="I3496" t="n">
        <v>0</v>
      </c>
      <c r="J3496" t="n">
        <v>0</v>
      </c>
      <c r="K3496" t="n">
        <v>0</v>
      </c>
      <c r="L3496" t="n">
        <v>0</v>
      </c>
      <c r="M3496" t="n">
        <v>0</v>
      </c>
      <c r="N3496" t="n">
        <v>0</v>
      </c>
      <c r="O3496" t="n">
        <v>0</v>
      </c>
      <c r="P3496" t="n">
        <v>0</v>
      </c>
      <c r="Q3496" t="n">
        <v>0</v>
      </c>
      <c r="R3496" s="2" t="inlineStr"/>
    </row>
    <row r="3497" ht="15" customHeight="1">
      <c r="A3497" t="inlineStr">
        <is>
          <t>A 42197-2023</t>
        </is>
      </c>
      <c r="B3497" s="1" t="n">
        <v>45179</v>
      </c>
      <c r="C3497" s="1" t="n">
        <v>45724</v>
      </c>
      <c r="D3497" t="inlineStr">
        <is>
          <t>VÄSTMANLANDS LÄN</t>
        </is>
      </c>
      <c r="E3497" t="inlineStr">
        <is>
          <t>NORBERG</t>
        </is>
      </c>
      <c r="F3497" t="inlineStr">
        <is>
          <t>Sveaskog</t>
        </is>
      </c>
      <c r="G3497" t="n">
        <v>10.5</v>
      </c>
      <c r="H3497" t="n">
        <v>0</v>
      </c>
      <c r="I3497" t="n">
        <v>0</v>
      </c>
      <c r="J3497" t="n">
        <v>0</v>
      </c>
      <c r="K3497" t="n">
        <v>0</v>
      </c>
      <c r="L3497" t="n">
        <v>0</v>
      </c>
      <c r="M3497" t="n">
        <v>0</v>
      </c>
      <c r="N3497" t="n">
        <v>0</v>
      </c>
      <c r="O3497" t="n">
        <v>0</v>
      </c>
      <c r="P3497" t="n">
        <v>0</v>
      </c>
      <c r="Q3497" t="n">
        <v>0</v>
      </c>
      <c r="R3497" s="2" t="inlineStr"/>
    </row>
    <row r="3498" ht="15" customHeight="1">
      <c r="A3498" t="inlineStr">
        <is>
          <t>A 42198-2023</t>
        </is>
      </c>
      <c r="B3498" s="1" t="n">
        <v>45179</v>
      </c>
      <c r="C3498" s="1" t="n">
        <v>45724</v>
      </c>
      <c r="D3498" t="inlineStr">
        <is>
          <t>VÄSTMANLANDS LÄN</t>
        </is>
      </c>
      <c r="E3498" t="inlineStr">
        <is>
          <t>NORBERG</t>
        </is>
      </c>
      <c r="F3498" t="inlineStr">
        <is>
          <t>Sveaskog</t>
        </is>
      </c>
      <c r="G3498" t="n">
        <v>4.1</v>
      </c>
      <c r="H3498" t="n">
        <v>0</v>
      </c>
      <c r="I3498" t="n">
        <v>0</v>
      </c>
      <c r="J3498" t="n">
        <v>0</v>
      </c>
      <c r="K3498" t="n">
        <v>0</v>
      </c>
      <c r="L3498" t="n">
        <v>0</v>
      </c>
      <c r="M3498" t="n">
        <v>0</v>
      </c>
      <c r="N3498" t="n">
        <v>0</v>
      </c>
      <c r="O3498" t="n">
        <v>0</v>
      </c>
      <c r="P3498" t="n">
        <v>0</v>
      </c>
      <c r="Q3498" t="n">
        <v>0</v>
      </c>
      <c r="R3498" s="2" t="inlineStr"/>
    </row>
    <row r="3499" ht="15" customHeight="1">
      <c r="A3499" t="inlineStr">
        <is>
          <t>A 42938-2023</t>
        </is>
      </c>
      <c r="B3499" s="1" t="n">
        <v>45179</v>
      </c>
      <c r="C3499" s="1" t="n">
        <v>45724</v>
      </c>
      <c r="D3499" t="inlineStr">
        <is>
          <t>VÄSTMANLANDS LÄN</t>
        </is>
      </c>
      <c r="E3499" t="inlineStr">
        <is>
          <t>SALA</t>
        </is>
      </c>
      <c r="G3499" t="n">
        <v>10.9</v>
      </c>
      <c r="H3499" t="n">
        <v>0</v>
      </c>
      <c r="I3499" t="n">
        <v>0</v>
      </c>
      <c r="J3499" t="n">
        <v>0</v>
      </c>
      <c r="K3499" t="n">
        <v>0</v>
      </c>
      <c r="L3499" t="n">
        <v>0</v>
      </c>
      <c r="M3499" t="n">
        <v>0</v>
      </c>
      <c r="N3499" t="n">
        <v>0</v>
      </c>
      <c r="O3499" t="n">
        <v>0</v>
      </c>
      <c r="P3499" t="n">
        <v>0</v>
      </c>
      <c r="Q3499" t="n">
        <v>0</v>
      </c>
      <c r="R3499" s="2" t="inlineStr"/>
    </row>
    <row r="3500" ht="15" customHeight="1">
      <c r="A3500" t="inlineStr">
        <is>
          <t>A 42984-2023</t>
        </is>
      </c>
      <c r="B3500" s="1" t="n">
        <v>45179</v>
      </c>
      <c r="C3500" s="1" t="n">
        <v>45724</v>
      </c>
      <c r="D3500" t="inlineStr">
        <is>
          <t>VÄSTMANLANDS LÄN</t>
        </is>
      </c>
      <c r="E3500" t="inlineStr">
        <is>
          <t>SALA</t>
        </is>
      </c>
      <c r="G3500" t="n">
        <v>1.1</v>
      </c>
      <c r="H3500" t="n">
        <v>0</v>
      </c>
      <c r="I3500" t="n">
        <v>0</v>
      </c>
      <c r="J3500" t="n">
        <v>0</v>
      </c>
      <c r="K3500" t="n">
        <v>0</v>
      </c>
      <c r="L3500" t="n">
        <v>0</v>
      </c>
      <c r="M3500" t="n">
        <v>0</v>
      </c>
      <c r="N3500" t="n">
        <v>0</v>
      </c>
      <c r="O3500" t="n">
        <v>0</v>
      </c>
      <c r="P3500" t="n">
        <v>0</v>
      </c>
      <c r="Q3500" t="n">
        <v>0</v>
      </c>
      <c r="R3500" s="2" t="inlineStr"/>
    </row>
    <row r="3501" ht="15" customHeight="1">
      <c r="A3501" t="inlineStr">
        <is>
          <t>A 42991-2023</t>
        </is>
      </c>
      <c r="B3501" s="1" t="n">
        <v>45179</v>
      </c>
      <c r="C3501" s="1" t="n">
        <v>45724</v>
      </c>
      <c r="D3501" t="inlineStr">
        <is>
          <t>VÄSTMANLANDS LÄN</t>
        </is>
      </c>
      <c r="E3501" t="inlineStr">
        <is>
          <t>SALA</t>
        </is>
      </c>
      <c r="G3501" t="n">
        <v>3.6</v>
      </c>
      <c r="H3501" t="n">
        <v>0</v>
      </c>
      <c r="I3501" t="n">
        <v>0</v>
      </c>
      <c r="J3501" t="n">
        <v>0</v>
      </c>
      <c r="K3501" t="n">
        <v>0</v>
      </c>
      <c r="L3501" t="n">
        <v>0</v>
      </c>
      <c r="M3501" t="n">
        <v>0</v>
      </c>
      <c r="N3501" t="n">
        <v>0</v>
      </c>
      <c r="O3501" t="n">
        <v>0</v>
      </c>
      <c r="P3501" t="n">
        <v>0</v>
      </c>
      <c r="Q3501" t="n">
        <v>0</v>
      </c>
      <c r="R3501" s="2" t="inlineStr"/>
    </row>
    <row r="3502" ht="15" customHeight="1">
      <c r="A3502" t="inlineStr">
        <is>
          <t>A 42253-2023</t>
        </is>
      </c>
      <c r="B3502" s="1" t="n">
        <v>45180</v>
      </c>
      <c r="C3502" s="1" t="n">
        <v>45724</v>
      </c>
      <c r="D3502" t="inlineStr">
        <is>
          <t>VÄSTMANLANDS LÄN</t>
        </is>
      </c>
      <c r="E3502" t="inlineStr">
        <is>
          <t>VÄSTERÅS</t>
        </is>
      </c>
      <c r="G3502" t="n">
        <v>3.1</v>
      </c>
      <c r="H3502" t="n">
        <v>0</v>
      </c>
      <c r="I3502" t="n">
        <v>0</v>
      </c>
      <c r="J3502" t="n">
        <v>0</v>
      </c>
      <c r="K3502" t="n">
        <v>0</v>
      </c>
      <c r="L3502" t="n">
        <v>0</v>
      </c>
      <c r="M3502" t="n">
        <v>0</v>
      </c>
      <c r="N3502" t="n">
        <v>0</v>
      </c>
      <c r="O3502" t="n">
        <v>0</v>
      </c>
      <c r="P3502" t="n">
        <v>0</v>
      </c>
      <c r="Q3502" t="n">
        <v>0</v>
      </c>
      <c r="R3502" s="2" t="inlineStr"/>
    </row>
    <row r="3503" ht="15" customHeight="1">
      <c r="A3503" t="inlineStr">
        <is>
          <t>A 42251-2023</t>
        </is>
      </c>
      <c r="B3503" s="1" t="n">
        <v>45180</v>
      </c>
      <c r="C3503" s="1" t="n">
        <v>45724</v>
      </c>
      <c r="D3503" t="inlineStr">
        <is>
          <t>VÄSTMANLANDS LÄN</t>
        </is>
      </c>
      <c r="E3503" t="inlineStr">
        <is>
          <t>VÄSTERÅS</t>
        </is>
      </c>
      <c r="G3503" t="n">
        <v>2</v>
      </c>
      <c r="H3503" t="n">
        <v>0</v>
      </c>
      <c r="I3503" t="n">
        <v>0</v>
      </c>
      <c r="J3503" t="n">
        <v>0</v>
      </c>
      <c r="K3503" t="n">
        <v>0</v>
      </c>
      <c r="L3503" t="n">
        <v>0</v>
      </c>
      <c r="M3503" t="n">
        <v>0</v>
      </c>
      <c r="N3503" t="n">
        <v>0</v>
      </c>
      <c r="O3503" t="n">
        <v>0</v>
      </c>
      <c r="P3503" t="n">
        <v>0</v>
      </c>
      <c r="Q3503" t="n">
        <v>0</v>
      </c>
      <c r="R3503" s="2" t="inlineStr"/>
    </row>
    <row r="3504" ht="15" customHeight="1">
      <c r="A3504" t="inlineStr">
        <is>
          <t>A 42257-2023</t>
        </is>
      </c>
      <c r="B3504" s="1" t="n">
        <v>45180</v>
      </c>
      <c r="C3504" s="1" t="n">
        <v>45724</v>
      </c>
      <c r="D3504" t="inlineStr">
        <is>
          <t>VÄSTMANLANDS LÄN</t>
        </is>
      </c>
      <c r="E3504" t="inlineStr">
        <is>
          <t>VÄSTERÅS</t>
        </is>
      </c>
      <c r="G3504" t="n">
        <v>2.1</v>
      </c>
      <c r="H3504" t="n">
        <v>0</v>
      </c>
      <c r="I3504" t="n">
        <v>0</v>
      </c>
      <c r="J3504" t="n">
        <v>0</v>
      </c>
      <c r="K3504" t="n">
        <v>0</v>
      </c>
      <c r="L3504" t="n">
        <v>0</v>
      </c>
      <c r="M3504" t="n">
        <v>0</v>
      </c>
      <c r="N3504" t="n">
        <v>0</v>
      </c>
      <c r="O3504" t="n">
        <v>0</v>
      </c>
      <c r="P3504" t="n">
        <v>0</v>
      </c>
      <c r="Q3504" t="n">
        <v>0</v>
      </c>
      <c r="R3504" s="2" t="inlineStr"/>
    </row>
    <row r="3505" ht="15" customHeight="1">
      <c r="A3505" t="inlineStr">
        <is>
          <t>A 42425-2023</t>
        </is>
      </c>
      <c r="B3505" s="1" t="n">
        <v>45180</v>
      </c>
      <c r="C3505" s="1" t="n">
        <v>45724</v>
      </c>
      <c r="D3505" t="inlineStr">
        <is>
          <t>VÄSTMANLANDS LÄN</t>
        </is>
      </c>
      <c r="E3505" t="inlineStr">
        <is>
          <t>SKINNSKATTEBERG</t>
        </is>
      </c>
      <c r="G3505" t="n">
        <v>1</v>
      </c>
      <c r="H3505" t="n">
        <v>0</v>
      </c>
      <c r="I3505" t="n">
        <v>0</v>
      </c>
      <c r="J3505" t="n">
        <v>0</v>
      </c>
      <c r="K3505" t="n">
        <v>0</v>
      </c>
      <c r="L3505" t="n">
        <v>0</v>
      </c>
      <c r="M3505" t="n">
        <v>0</v>
      </c>
      <c r="N3505" t="n">
        <v>0</v>
      </c>
      <c r="O3505" t="n">
        <v>0</v>
      </c>
      <c r="P3505" t="n">
        <v>0</v>
      </c>
      <c r="Q3505" t="n">
        <v>0</v>
      </c>
      <c r="R3505" s="2" t="inlineStr"/>
    </row>
    <row r="3506" ht="15" customHeight="1">
      <c r="A3506" t="inlineStr">
        <is>
          <t>A 42262-2023</t>
        </is>
      </c>
      <c r="B3506" s="1" t="n">
        <v>45180</v>
      </c>
      <c r="C3506" s="1" t="n">
        <v>45724</v>
      </c>
      <c r="D3506" t="inlineStr">
        <is>
          <t>VÄSTMANLANDS LÄN</t>
        </is>
      </c>
      <c r="E3506" t="inlineStr">
        <is>
          <t>VÄSTERÅS</t>
        </is>
      </c>
      <c r="G3506" t="n">
        <v>3</v>
      </c>
      <c r="H3506" t="n">
        <v>0</v>
      </c>
      <c r="I3506" t="n">
        <v>0</v>
      </c>
      <c r="J3506" t="n">
        <v>0</v>
      </c>
      <c r="K3506" t="n">
        <v>0</v>
      </c>
      <c r="L3506" t="n">
        <v>0</v>
      </c>
      <c r="M3506" t="n">
        <v>0</v>
      </c>
      <c r="N3506" t="n">
        <v>0</v>
      </c>
      <c r="O3506" t="n">
        <v>0</v>
      </c>
      <c r="P3506" t="n">
        <v>0</v>
      </c>
      <c r="Q3506" t="n">
        <v>0</v>
      </c>
      <c r="R3506" s="2" t="inlineStr"/>
    </row>
    <row r="3507" ht="15" customHeight="1">
      <c r="A3507" t="inlineStr">
        <is>
          <t>A 42976-2023</t>
        </is>
      </c>
      <c r="B3507" s="1" t="n">
        <v>45182</v>
      </c>
      <c r="C3507" s="1" t="n">
        <v>45724</v>
      </c>
      <c r="D3507" t="inlineStr">
        <is>
          <t>VÄSTMANLANDS LÄN</t>
        </is>
      </c>
      <c r="E3507" t="inlineStr">
        <is>
          <t>SKINNSKATTEBERG</t>
        </is>
      </c>
      <c r="F3507" t="inlineStr">
        <is>
          <t>Sveaskog</t>
        </is>
      </c>
      <c r="G3507" t="n">
        <v>2</v>
      </c>
      <c r="H3507" t="n">
        <v>0</v>
      </c>
      <c r="I3507" t="n">
        <v>0</v>
      </c>
      <c r="J3507" t="n">
        <v>0</v>
      </c>
      <c r="K3507" t="n">
        <v>0</v>
      </c>
      <c r="L3507" t="n">
        <v>0</v>
      </c>
      <c r="M3507" t="n">
        <v>0</v>
      </c>
      <c r="N3507" t="n">
        <v>0</v>
      </c>
      <c r="O3507" t="n">
        <v>0</v>
      </c>
      <c r="P3507" t="n">
        <v>0</v>
      </c>
      <c r="Q3507" t="n">
        <v>0</v>
      </c>
      <c r="R3507" s="2" t="inlineStr"/>
    </row>
    <row r="3508" ht="15" customHeight="1">
      <c r="A3508" t="inlineStr">
        <is>
          <t>A 42973-2023</t>
        </is>
      </c>
      <c r="B3508" s="1" t="n">
        <v>45182</v>
      </c>
      <c r="C3508" s="1" t="n">
        <v>45724</v>
      </c>
      <c r="D3508" t="inlineStr">
        <is>
          <t>VÄSTMANLANDS LÄN</t>
        </is>
      </c>
      <c r="E3508" t="inlineStr">
        <is>
          <t>SKINNSKATTEBERG</t>
        </is>
      </c>
      <c r="F3508" t="inlineStr">
        <is>
          <t>Sveaskog</t>
        </is>
      </c>
      <c r="G3508" t="n">
        <v>5.8</v>
      </c>
      <c r="H3508" t="n">
        <v>0</v>
      </c>
      <c r="I3508" t="n">
        <v>0</v>
      </c>
      <c r="J3508" t="n">
        <v>0</v>
      </c>
      <c r="K3508" t="n">
        <v>0</v>
      </c>
      <c r="L3508" t="n">
        <v>0</v>
      </c>
      <c r="M3508" t="n">
        <v>0</v>
      </c>
      <c r="N3508" t="n">
        <v>0</v>
      </c>
      <c r="O3508" t="n">
        <v>0</v>
      </c>
      <c r="P3508" t="n">
        <v>0</v>
      </c>
      <c r="Q3508" t="n">
        <v>0</v>
      </c>
      <c r="R3508" s="2" t="inlineStr"/>
    </row>
    <row r="3509" ht="15" customHeight="1">
      <c r="A3509" t="inlineStr">
        <is>
          <t>A 43025-2023</t>
        </is>
      </c>
      <c r="B3509" s="1" t="n">
        <v>45182</v>
      </c>
      <c r="C3509" s="1" t="n">
        <v>45724</v>
      </c>
      <c r="D3509" t="inlineStr">
        <is>
          <t>VÄSTMANLANDS LÄN</t>
        </is>
      </c>
      <c r="E3509" t="inlineStr">
        <is>
          <t>VÄSTERÅS</t>
        </is>
      </c>
      <c r="G3509" t="n">
        <v>0.8</v>
      </c>
      <c r="H3509" t="n">
        <v>0</v>
      </c>
      <c r="I3509" t="n">
        <v>0</v>
      </c>
      <c r="J3509" t="n">
        <v>0</v>
      </c>
      <c r="K3509" t="n">
        <v>0</v>
      </c>
      <c r="L3509" t="n">
        <v>0</v>
      </c>
      <c r="M3509" t="n">
        <v>0</v>
      </c>
      <c r="N3509" t="n">
        <v>0</v>
      </c>
      <c r="O3509" t="n">
        <v>0</v>
      </c>
      <c r="P3509" t="n">
        <v>0</v>
      </c>
      <c r="Q3509" t="n">
        <v>0</v>
      </c>
      <c r="R3509" s="2" t="inlineStr"/>
    </row>
    <row r="3510" ht="15" customHeight="1">
      <c r="A3510" t="inlineStr">
        <is>
          <t>A 44247-2023</t>
        </is>
      </c>
      <c r="B3510" s="1" t="n">
        <v>45182</v>
      </c>
      <c r="C3510" s="1" t="n">
        <v>45724</v>
      </c>
      <c r="D3510" t="inlineStr">
        <is>
          <t>VÄSTMANLANDS LÄN</t>
        </is>
      </c>
      <c r="E3510" t="inlineStr">
        <is>
          <t>SALA</t>
        </is>
      </c>
      <c r="G3510" t="n">
        <v>1.7</v>
      </c>
      <c r="H3510" t="n">
        <v>0</v>
      </c>
      <c r="I3510" t="n">
        <v>0</v>
      </c>
      <c r="J3510" t="n">
        <v>0</v>
      </c>
      <c r="K3510" t="n">
        <v>0</v>
      </c>
      <c r="L3510" t="n">
        <v>0</v>
      </c>
      <c r="M3510" t="n">
        <v>0</v>
      </c>
      <c r="N3510" t="n">
        <v>0</v>
      </c>
      <c r="O3510" t="n">
        <v>0</v>
      </c>
      <c r="P3510" t="n">
        <v>0</v>
      </c>
      <c r="Q3510" t="n">
        <v>0</v>
      </c>
      <c r="R3510" s="2" t="inlineStr"/>
    </row>
    <row r="3511" ht="15" customHeight="1">
      <c r="A3511" t="inlineStr">
        <is>
          <t>A 43188-2023</t>
        </is>
      </c>
      <c r="B3511" s="1" t="n">
        <v>45183</v>
      </c>
      <c r="C3511" s="1" t="n">
        <v>45724</v>
      </c>
      <c r="D3511" t="inlineStr">
        <is>
          <t>VÄSTMANLANDS LÄN</t>
        </is>
      </c>
      <c r="E3511" t="inlineStr">
        <is>
          <t>SALA</t>
        </is>
      </c>
      <c r="G3511" t="n">
        <v>1.2</v>
      </c>
      <c r="H3511" t="n">
        <v>0</v>
      </c>
      <c r="I3511" t="n">
        <v>0</v>
      </c>
      <c r="J3511" t="n">
        <v>0</v>
      </c>
      <c r="K3511" t="n">
        <v>0</v>
      </c>
      <c r="L3511" t="n">
        <v>0</v>
      </c>
      <c r="M3511" t="n">
        <v>0</v>
      </c>
      <c r="N3511" t="n">
        <v>0</v>
      </c>
      <c r="O3511" t="n">
        <v>0</v>
      </c>
      <c r="P3511" t="n">
        <v>0</v>
      </c>
      <c r="Q3511" t="n">
        <v>0</v>
      </c>
      <c r="R3511" s="2" t="inlineStr"/>
    </row>
    <row r="3512" ht="15" customHeight="1">
      <c r="A3512" t="inlineStr">
        <is>
          <t>A 43184-2023</t>
        </is>
      </c>
      <c r="B3512" s="1" t="n">
        <v>45183</v>
      </c>
      <c r="C3512" s="1" t="n">
        <v>45724</v>
      </c>
      <c r="D3512" t="inlineStr">
        <is>
          <t>VÄSTMANLANDS LÄN</t>
        </is>
      </c>
      <c r="E3512" t="inlineStr">
        <is>
          <t>SALA</t>
        </is>
      </c>
      <c r="G3512" t="n">
        <v>1.6</v>
      </c>
      <c r="H3512" t="n">
        <v>0</v>
      </c>
      <c r="I3512" t="n">
        <v>0</v>
      </c>
      <c r="J3512" t="n">
        <v>0</v>
      </c>
      <c r="K3512" t="n">
        <v>0</v>
      </c>
      <c r="L3512" t="n">
        <v>0</v>
      </c>
      <c r="M3512" t="n">
        <v>0</v>
      </c>
      <c r="N3512" t="n">
        <v>0</v>
      </c>
      <c r="O3512" t="n">
        <v>0</v>
      </c>
      <c r="P3512" t="n">
        <v>0</v>
      </c>
      <c r="Q3512" t="n">
        <v>0</v>
      </c>
      <c r="R3512" s="2" t="inlineStr"/>
    </row>
    <row r="3513" ht="15" customHeight="1">
      <c r="A3513" t="inlineStr">
        <is>
          <t>A 43205-2023</t>
        </is>
      </c>
      <c r="B3513" s="1" t="n">
        <v>45183</v>
      </c>
      <c r="C3513" s="1" t="n">
        <v>45724</v>
      </c>
      <c r="D3513" t="inlineStr">
        <is>
          <t>VÄSTMANLANDS LÄN</t>
        </is>
      </c>
      <c r="E3513" t="inlineStr">
        <is>
          <t>SALA</t>
        </is>
      </c>
      <c r="G3513" t="n">
        <v>2.1</v>
      </c>
      <c r="H3513" t="n">
        <v>0</v>
      </c>
      <c r="I3513" t="n">
        <v>0</v>
      </c>
      <c r="J3513" t="n">
        <v>0</v>
      </c>
      <c r="K3513" t="n">
        <v>0</v>
      </c>
      <c r="L3513" t="n">
        <v>0</v>
      </c>
      <c r="M3513" t="n">
        <v>0</v>
      </c>
      <c r="N3513" t="n">
        <v>0</v>
      </c>
      <c r="O3513" t="n">
        <v>0</v>
      </c>
      <c r="P3513" t="n">
        <v>0</v>
      </c>
      <c r="Q3513" t="n">
        <v>0</v>
      </c>
      <c r="R3513" s="2" t="inlineStr"/>
    </row>
    <row r="3514" ht="15" customHeight="1">
      <c r="A3514" t="inlineStr">
        <is>
          <t>A 43176-2023</t>
        </is>
      </c>
      <c r="B3514" s="1" t="n">
        <v>45183</v>
      </c>
      <c r="C3514" s="1" t="n">
        <v>45724</v>
      </c>
      <c r="D3514" t="inlineStr">
        <is>
          <t>VÄSTMANLANDS LÄN</t>
        </is>
      </c>
      <c r="E3514" t="inlineStr">
        <is>
          <t>SALA</t>
        </is>
      </c>
      <c r="G3514" t="n">
        <v>1.2</v>
      </c>
      <c r="H3514" t="n">
        <v>0</v>
      </c>
      <c r="I3514" t="n">
        <v>0</v>
      </c>
      <c r="J3514" t="n">
        <v>0</v>
      </c>
      <c r="K3514" t="n">
        <v>0</v>
      </c>
      <c r="L3514" t="n">
        <v>0</v>
      </c>
      <c r="M3514" t="n">
        <v>0</v>
      </c>
      <c r="N3514" t="n">
        <v>0</v>
      </c>
      <c r="O3514" t="n">
        <v>0</v>
      </c>
      <c r="P3514" t="n">
        <v>0</v>
      </c>
      <c r="Q3514" t="n">
        <v>0</v>
      </c>
      <c r="R3514" s="2" t="inlineStr"/>
    </row>
    <row r="3515" ht="15" customHeight="1">
      <c r="A3515" t="inlineStr">
        <is>
          <t>A 43187-2023</t>
        </is>
      </c>
      <c r="B3515" s="1" t="n">
        <v>45183</v>
      </c>
      <c r="C3515" s="1" t="n">
        <v>45724</v>
      </c>
      <c r="D3515" t="inlineStr">
        <is>
          <t>VÄSTMANLANDS LÄN</t>
        </is>
      </c>
      <c r="E3515" t="inlineStr">
        <is>
          <t>SALA</t>
        </is>
      </c>
      <c r="G3515" t="n">
        <v>1.6</v>
      </c>
      <c r="H3515" t="n">
        <v>0</v>
      </c>
      <c r="I3515" t="n">
        <v>0</v>
      </c>
      <c r="J3515" t="n">
        <v>0</v>
      </c>
      <c r="K3515" t="n">
        <v>0</v>
      </c>
      <c r="L3515" t="n">
        <v>0</v>
      </c>
      <c r="M3515" t="n">
        <v>0</v>
      </c>
      <c r="N3515" t="n">
        <v>0</v>
      </c>
      <c r="O3515" t="n">
        <v>0</v>
      </c>
      <c r="P3515" t="n">
        <v>0</v>
      </c>
      <c r="Q3515" t="n">
        <v>0</v>
      </c>
      <c r="R3515" s="2" t="inlineStr"/>
    </row>
    <row r="3516" ht="15" customHeight="1">
      <c r="A3516" t="inlineStr">
        <is>
          <t>A 43363-2023</t>
        </is>
      </c>
      <c r="B3516" s="1" t="n">
        <v>45183</v>
      </c>
      <c r="C3516" s="1" t="n">
        <v>45724</v>
      </c>
      <c r="D3516" t="inlineStr">
        <is>
          <t>VÄSTMANLANDS LÄN</t>
        </is>
      </c>
      <c r="E3516" t="inlineStr">
        <is>
          <t>SALA</t>
        </is>
      </c>
      <c r="G3516" t="n">
        <v>1.1</v>
      </c>
      <c r="H3516" t="n">
        <v>0</v>
      </c>
      <c r="I3516" t="n">
        <v>0</v>
      </c>
      <c r="J3516" t="n">
        <v>0</v>
      </c>
      <c r="K3516" t="n">
        <v>0</v>
      </c>
      <c r="L3516" t="n">
        <v>0</v>
      </c>
      <c r="M3516" t="n">
        <v>0</v>
      </c>
      <c r="N3516" t="n">
        <v>0</v>
      </c>
      <c r="O3516" t="n">
        <v>0</v>
      </c>
      <c r="P3516" t="n">
        <v>0</v>
      </c>
      <c r="Q3516" t="n">
        <v>0</v>
      </c>
      <c r="R3516" s="2" t="inlineStr"/>
    </row>
    <row r="3517" ht="15" customHeight="1">
      <c r="A3517" t="inlineStr">
        <is>
          <t>A 43332-2023</t>
        </is>
      </c>
      <c r="B3517" s="1" t="n">
        <v>45183</v>
      </c>
      <c r="C3517" s="1" t="n">
        <v>45724</v>
      </c>
      <c r="D3517" t="inlineStr">
        <is>
          <t>VÄSTMANLANDS LÄN</t>
        </is>
      </c>
      <c r="E3517" t="inlineStr">
        <is>
          <t>VÄSTERÅS</t>
        </is>
      </c>
      <c r="G3517" t="n">
        <v>10.3</v>
      </c>
      <c r="H3517" t="n">
        <v>0</v>
      </c>
      <c r="I3517" t="n">
        <v>0</v>
      </c>
      <c r="J3517" t="n">
        <v>0</v>
      </c>
      <c r="K3517" t="n">
        <v>0</v>
      </c>
      <c r="L3517" t="n">
        <v>0</v>
      </c>
      <c r="M3517" t="n">
        <v>0</v>
      </c>
      <c r="N3517" t="n">
        <v>0</v>
      </c>
      <c r="O3517" t="n">
        <v>0</v>
      </c>
      <c r="P3517" t="n">
        <v>0</v>
      </c>
      <c r="Q3517" t="n">
        <v>0</v>
      </c>
      <c r="R3517" s="2" t="inlineStr"/>
    </row>
    <row r="3518" ht="15" customHeight="1">
      <c r="A3518" t="inlineStr">
        <is>
          <t>A 43362-2023</t>
        </is>
      </c>
      <c r="B3518" s="1" t="n">
        <v>45183</v>
      </c>
      <c r="C3518" s="1" t="n">
        <v>45724</v>
      </c>
      <c r="D3518" t="inlineStr">
        <is>
          <t>VÄSTMANLANDS LÄN</t>
        </is>
      </c>
      <c r="E3518" t="inlineStr">
        <is>
          <t>SALA</t>
        </is>
      </c>
      <c r="G3518" t="n">
        <v>2</v>
      </c>
      <c r="H3518" t="n">
        <v>0</v>
      </c>
      <c r="I3518" t="n">
        <v>0</v>
      </c>
      <c r="J3518" t="n">
        <v>0</v>
      </c>
      <c r="K3518" t="n">
        <v>0</v>
      </c>
      <c r="L3518" t="n">
        <v>0</v>
      </c>
      <c r="M3518" t="n">
        <v>0</v>
      </c>
      <c r="N3518" t="n">
        <v>0</v>
      </c>
      <c r="O3518" t="n">
        <v>0</v>
      </c>
      <c r="P3518" t="n">
        <v>0</v>
      </c>
      <c r="Q3518" t="n">
        <v>0</v>
      </c>
      <c r="R3518" s="2" t="inlineStr"/>
    </row>
    <row r="3519" ht="15" customHeight="1">
      <c r="A3519" t="inlineStr">
        <is>
          <t>A 43564-2023</t>
        </is>
      </c>
      <c r="B3519" s="1" t="n">
        <v>45184</v>
      </c>
      <c r="C3519" s="1" t="n">
        <v>45724</v>
      </c>
      <c r="D3519" t="inlineStr">
        <is>
          <t>VÄSTMANLANDS LÄN</t>
        </is>
      </c>
      <c r="E3519" t="inlineStr">
        <is>
          <t>ARBOGA</t>
        </is>
      </c>
      <c r="G3519" t="n">
        <v>5.4</v>
      </c>
      <c r="H3519" t="n">
        <v>0</v>
      </c>
      <c r="I3519" t="n">
        <v>0</v>
      </c>
      <c r="J3519" t="n">
        <v>0</v>
      </c>
      <c r="K3519" t="n">
        <v>0</v>
      </c>
      <c r="L3519" t="n">
        <v>0</v>
      </c>
      <c r="M3519" t="n">
        <v>0</v>
      </c>
      <c r="N3519" t="n">
        <v>0</v>
      </c>
      <c r="O3519" t="n">
        <v>0</v>
      </c>
      <c r="P3519" t="n">
        <v>0</v>
      </c>
      <c r="Q3519" t="n">
        <v>0</v>
      </c>
      <c r="R3519" s="2" t="inlineStr"/>
    </row>
    <row r="3520" ht="15" customHeight="1">
      <c r="A3520" t="inlineStr">
        <is>
          <t>A 44713-2023</t>
        </is>
      </c>
      <c r="B3520" s="1" t="n">
        <v>45184</v>
      </c>
      <c r="C3520" s="1" t="n">
        <v>45724</v>
      </c>
      <c r="D3520" t="inlineStr">
        <is>
          <t>VÄSTMANLANDS LÄN</t>
        </is>
      </c>
      <c r="E3520" t="inlineStr">
        <is>
          <t>SALA</t>
        </is>
      </c>
      <c r="F3520" t="inlineStr">
        <is>
          <t>Kyrkan</t>
        </is>
      </c>
      <c r="G3520" t="n">
        <v>7.6</v>
      </c>
      <c r="H3520" t="n">
        <v>0</v>
      </c>
      <c r="I3520" t="n">
        <v>0</v>
      </c>
      <c r="J3520" t="n">
        <v>0</v>
      </c>
      <c r="K3520" t="n">
        <v>0</v>
      </c>
      <c r="L3520" t="n">
        <v>0</v>
      </c>
      <c r="M3520" t="n">
        <v>0</v>
      </c>
      <c r="N3520" t="n">
        <v>0</v>
      </c>
      <c r="O3520" t="n">
        <v>0</v>
      </c>
      <c r="P3520" t="n">
        <v>0</v>
      </c>
      <c r="Q3520" t="n">
        <v>0</v>
      </c>
      <c r="R3520" s="2" t="inlineStr"/>
    </row>
    <row r="3521" ht="15" customHeight="1">
      <c r="A3521" t="inlineStr">
        <is>
          <t>A 43602-2023</t>
        </is>
      </c>
      <c r="B3521" s="1" t="n">
        <v>45184</v>
      </c>
      <c r="C3521" s="1" t="n">
        <v>45724</v>
      </c>
      <c r="D3521" t="inlineStr">
        <is>
          <t>VÄSTMANLANDS LÄN</t>
        </is>
      </c>
      <c r="E3521" t="inlineStr">
        <is>
          <t>ARBOGA</t>
        </is>
      </c>
      <c r="G3521" t="n">
        <v>3.2</v>
      </c>
      <c r="H3521" t="n">
        <v>0</v>
      </c>
      <c r="I3521" t="n">
        <v>0</v>
      </c>
      <c r="J3521" t="n">
        <v>0</v>
      </c>
      <c r="K3521" t="n">
        <v>0</v>
      </c>
      <c r="L3521" t="n">
        <v>0</v>
      </c>
      <c r="M3521" t="n">
        <v>0</v>
      </c>
      <c r="N3521" t="n">
        <v>0</v>
      </c>
      <c r="O3521" t="n">
        <v>0</v>
      </c>
      <c r="P3521" t="n">
        <v>0</v>
      </c>
      <c r="Q3521" t="n">
        <v>0</v>
      </c>
      <c r="R3521" s="2" t="inlineStr"/>
    </row>
    <row r="3522" ht="15" customHeight="1">
      <c r="A3522" t="inlineStr">
        <is>
          <t>A 44720-2023</t>
        </is>
      </c>
      <c r="B3522" s="1" t="n">
        <v>45184</v>
      </c>
      <c r="C3522" s="1" t="n">
        <v>45724</v>
      </c>
      <c r="D3522" t="inlineStr">
        <is>
          <t>VÄSTMANLANDS LÄN</t>
        </is>
      </c>
      <c r="E3522" t="inlineStr">
        <is>
          <t>SALA</t>
        </is>
      </c>
      <c r="F3522" t="inlineStr">
        <is>
          <t>Kyrkan</t>
        </is>
      </c>
      <c r="G3522" t="n">
        <v>2.3</v>
      </c>
      <c r="H3522" t="n">
        <v>0</v>
      </c>
      <c r="I3522" t="n">
        <v>0</v>
      </c>
      <c r="J3522" t="n">
        <v>0</v>
      </c>
      <c r="K3522" t="n">
        <v>0</v>
      </c>
      <c r="L3522" t="n">
        <v>0</v>
      </c>
      <c r="M3522" t="n">
        <v>0</v>
      </c>
      <c r="N3522" t="n">
        <v>0</v>
      </c>
      <c r="O3522" t="n">
        <v>0</v>
      </c>
      <c r="P3522" t="n">
        <v>0</v>
      </c>
      <c r="Q3522" t="n">
        <v>0</v>
      </c>
      <c r="R3522" s="2" t="inlineStr"/>
    </row>
    <row r="3523" ht="15" customHeight="1">
      <c r="A3523" t="inlineStr">
        <is>
          <t>A 43806-2023</t>
        </is>
      </c>
      <c r="B3523" s="1" t="n">
        <v>45187</v>
      </c>
      <c r="C3523" s="1" t="n">
        <v>45724</v>
      </c>
      <c r="D3523" t="inlineStr">
        <is>
          <t>VÄSTMANLANDS LÄN</t>
        </is>
      </c>
      <c r="E3523" t="inlineStr">
        <is>
          <t>ARBOGA</t>
        </is>
      </c>
      <c r="F3523" t="inlineStr">
        <is>
          <t>Sveaskog</t>
        </is>
      </c>
      <c r="G3523" t="n">
        <v>0.8</v>
      </c>
      <c r="H3523" t="n">
        <v>0</v>
      </c>
      <c r="I3523" t="n">
        <v>0</v>
      </c>
      <c r="J3523" t="n">
        <v>0</v>
      </c>
      <c r="K3523" t="n">
        <v>0</v>
      </c>
      <c r="L3523" t="n">
        <v>0</v>
      </c>
      <c r="M3523" t="n">
        <v>0</v>
      </c>
      <c r="N3523" t="n">
        <v>0</v>
      </c>
      <c r="O3523" t="n">
        <v>0</v>
      </c>
      <c r="P3523" t="n">
        <v>0</v>
      </c>
      <c r="Q3523" t="n">
        <v>0</v>
      </c>
      <c r="R3523" s="2" t="inlineStr"/>
    </row>
    <row r="3524" ht="15" customHeight="1">
      <c r="A3524" t="inlineStr">
        <is>
          <t>A 43812-2023</t>
        </is>
      </c>
      <c r="B3524" s="1" t="n">
        <v>45187</v>
      </c>
      <c r="C3524" s="1" t="n">
        <v>45724</v>
      </c>
      <c r="D3524" t="inlineStr">
        <is>
          <t>VÄSTMANLANDS LÄN</t>
        </is>
      </c>
      <c r="E3524" t="inlineStr">
        <is>
          <t>ARBOGA</t>
        </is>
      </c>
      <c r="F3524" t="inlineStr">
        <is>
          <t>Sveaskog</t>
        </is>
      </c>
      <c r="G3524" t="n">
        <v>1</v>
      </c>
      <c r="H3524" t="n">
        <v>0</v>
      </c>
      <c r="I3524" t="n">
        <v>0</v>
      </c>
      <c r="J3524" t="n">
        <v>0</v>
      </c>
      <c r="K3524" t="n">
        <v>0</v>
      </c>
      <c r="L3524" t="n">
        <v>0</v>
      </c>
      <c r="M3524" t="n">
        <v>0</v>
      </c>
      <c r="N3524" t="n">
        <v>0</v>
      </c>
      <c r="O3524" t="n">
        <v>0</v>
      </c>
      <c r="P3524" t="n">
        <v>0</v>
      </c>
      <c r="Q3524" t="n">
        <v>0</v>
      </c>
      <c r="R3524" s="2" t="inlineStr"/>
    </row>
    <row r="3525" ht="15" customHeight="1">
      <c r="A3525" t="inlineStr">
        <is>
          <t>A 43813-2023</t>
        </is>
      </c>
      <c r="B3525" s="1" t="n">
        <v>45187</v>
      </c>
      <c r="C3525" s="1" t="n">
        <v>45724</v>
      </c>
      <c r="D3525" t="inlineStr">
        <is>
          <t>VÄSTMANLANDS LÄN</t>
        </is>
      </c>
      <c r="E3525" t="inlineStr">
        <is>
          <t>ARBOGA</t>
        </is>
      </c>
      <c r="F3525" t="inlineStr">
        <is>
          <t>Sveaskog</t>
        </is>
      </c>
      <c r="G3525" t="n">
        <v>0.5</v>
      </c>
      <c r="H3525" t="n">
        <v>0</v>
      </c>
      <c r="I3525" t="n">
        <v>0</v>
      </c>
      <c r="J3525" t="n">
        <v>0</v>
      </c>
      <c r="K3525" t="n">
        <v>0</v>
      </c>
      <c r="L3525" t="n">
        <v>0</v>
      </c>
      <c r="M3525" t="n">
        <v>0</v>
      </c>
      <c r="N3525" t="n">
        <v>0</v>
      </c>
      <c r="O3525" t="n">
        <v>0</v>
      </c>
      <c r="P3525" t="n">
        <v>0</v>
      </c>
      <c r="Q3525" t="n">
        <v>0</v>
      </c>
      <c r="R3525" s="2" t="inlineStr"/>
    </row>
    <row r="3526" ht="15" customHeight="1">
      <c r="A3526" t="inlineStr">
        <is>
          <t>A 43753-2023</t>
        </is>
      </c>
      <c r="B3526" s="1" t="n">
        <v>45187</v>
      </c>
      <c r="C3526" s="1" t="n">
        <v>45724</v>
      </c>
      <c r="D3526" t="inlineStr">
        <is>
          <t>VÄSTMANLANDS LÄN</t>
        </is>
      </c>
      <c r="E3526" t="inlineStr">
        <is>
          <t>VÄSTERÅS</t>
        </is>
      </c>
      <c r="G3526" t="n">
        <v>1.8</v>
      </c>
      <c r="H3526" t="n">
        <v>0</v>
      </c>
      <c r="I3526" t="n">
        <v>0</v>
      </c>
      <c r="J3526" t="n">
        <v>0</v>
      </c>
      <c r="K3526" t="n">
        <v>0</v>
      </c>
      <c r="L3526" t="n">
        <v>0</v>
      </c>
      <c r="M3526" t="n">
        <v>0</v>
      </c>
      <c r="N3526" t="n">
        <v>0</v>
      </c>
      <c r="O3526" t="n">
        <v>0</v>
      </c>
      <c r="P3526" t="n">
        <v>0</v>
      </c>
      <c r="Q3526" t="n">
        <v>0</v>
      </c>
      <c r="R3526" s="2" t="inlineStr"/>
    </row>
    <row r="3527" ht="15" customHeight="1">
      <c r="A3527" t="inlineStr">
        <is>
          <t>A 44297-2023</t>
        </is>
      </c>
      <c r="B3527" s="1" t="n">
        <v>45188</v>
      </c>
      <c r="C3527" s="1" t="n">
        <v>45724</v>
      </c>
      <c r="D3527" t="inlineStr">
        <is>
          <t>VÄSTMANLANDS LÄN</t>
        </is>
      </c>
      <c r="E3527" t="inlineStr">
        <is>
          <t>SALA</t>
        </is>
      </c>
      <c r="G3527" t="n">
        <v>2.7</v>
      </c>
      <c r="H3527" t="n">
        <v>0</v>
      </c>
      <c r="I3527" t="n">
        <v>0</v>
      </c>
      <c r="J3527" t="n">
        <v>0</v>
      </c>
      <c r="K3527" t="n">
        <v>0</v>
      </c>
      <c r="L3527" t="n">
        <v>0</v>
      </c>
      <c r="M3527" t="n">
        <v>0</v>
      </c>
      <c r="N3527" t="n">
        <v>0</v>
      </c>
      <c r="O3527" t="n">
        <v>0</v>
      </c>
      <c r="P3527" t="n">
        <v>0</v>
      </c>
      <c r="Q3527" t="n">
        <v>0</v>
      </c>
      <c r="R3527" s="2" t="inlineStr"/>
    </row>
    <row r="3528" ht="15" customHeight="1">
      <c r="A3528" t="inlineStr">
        <is>
          <t>A 44586-2023</t>
        </is>
      </c>
      <c r="B3528" s="1" t="n">
        <v>45189</v>
      </c>
      <c r="C3528" s="1" t="n">
        <v>45724</v>
      </c>
      <c r="D3528" t="inlineStr">
        <is>
          <t>VÄSTMANLANDS LÄN</t>
        </is>
      </c>
      <c r="E3528" t="inlineStr">
        <is>
          <t>KÖPING</t>
        </is>
      </c>
      <c r="G3528" t="n">
        <v>3.2</v>
      </c>
      <c r="H3528" t="n">
        <v>0</v>
      </c>
      <c r="I3528" t="n">
        <v>0</v>
      </c>
      <c r="J3528" t="n">
        <v>0</v>
      </c>
      <c r="K3528" t="n">
        <v>0</v>
      </c>
      <c r="L3528" t="n">
        <v>0</v>
      </c>
      <c r="M3528" t="n">
        <v>0</v>
      </c>
      <c r="N3528" t="n">
        <v>0</v>
      </c>
      <c r="O3528" t="n">
        <v>0</v>
      </c>
      <c r="P3528" t="n">
        <v>0</v>
      </c>
      <c r="Q3528" t="n">
        <v>0</v>
      </c>
      <c r="R3528" s="2" t="inlineStr"/>
    </row>
    <row r="3529" ht="15" customHeight="1">
      <c r="A3529" t="inlineStr">
        <is>
          <t>A 44604-2023</t>
        </is>
      </c>
      <c r="B3529" s="1" t="n">
        <v>45189</v>
      </c>
      <c r="C3529" s="1" t="n">
        <v>45724</v>
      </c>
      <c r="D3529" t="inlineStr">
        <is>
          <t>VÄSTMANLANDS LÄN</t>
        </is>
      </c>
      <c r="E3529" t="inlineStr">
        <is>
          <t>KÖPING</t>
        </is>
      </c>
      <c r="G3529" t="n">
        <v>0.9</v>
      </c>
      <c r="H3529" t="n">
        <v>0</v>
      </c>
      <c r="I3529" t="n">
        <v>0</v>
      </c>
      <c r="J3529" t="n">
        <v>0</v>
      </c>
      <c r="K3529" t="n">
        <v>0</v>
      </c>
      <c r="L3529" t="n">
        <v>0</v>
      </c>
      <c r="M3529" t="n">
        <v>0</v>
      </c>
      <c r="N3529" t="n">
        <v>0</v>
      </c>
      <c r="O3529" t="n">
        <v>0</v>
      </c>
      <c r="P3529" t="n">
        <v>0</v>
      </c>
      <c r="Q3529" t="n">
        <v>0</v>
      </c>
      <c r="R3529" s="2" t="inlineStr"/>
    </row>
    <row r="3530" ht="15" customHeight="1">
      <c r="A3530" t="inlineStr">
        <is>
          <t>A 44621-2023</t>
        </is>
      </c>
      <c r="B3530" s="1" t="n">
        <v>45189</v>
      </c>
      <c r="C3530" s="1" t="n">
        <v>45724</v>
      </c>
      <c r="D3530" t="inlineStr">
        <is>
          <t>VÄSTMANLANDS LÄN</t>
        </is>
      </c>
      <c r="E3530" t="inlineStr">
        <is>
          <t>KÖPING</t>
        </is>
      </c>
      <c r="G3530" t="n">
        <v>2</v>
      </c>
      <c r="H3530" t="n">
        <v>0</v>
      </c>
      <c r="I3530" t="n">
        <v>0</v>
      </c>
      <c r="J3530" t="n">
        <v>0</v>
      </c>
      <c r="K3530" t="n">
        <v>0</v>
      </c>
      <c r="L3530" t="n">
        <v>0</v>
      </c>
      <c r="M3530" t="n">
        <v>0</v>
      </c>
      <c r="N3530" t="n">
        <v>0</v>
      </c>
      <c r="O3530" t="n">
        <v>0</v>
      </c>
      <c r="P3530" t="n">
        <v>0</v>
      </c>
      <c r="Q3530" t="n">
        <v>0</v>
      </c>
      <c r="R3530" s="2" t="inlineStr"/>
    </row>
    <row r="3531" ht="15" customHeight="1">
      <c r="A3531" t="inlineStr">
        <is>
          <t>A 44616-2023</t>
        </is>
      </c>
      <c r="B3531" s="1" t="n">
        <v>45189</v>
      </c>
      <c r="C3531" s="1" t="n">
        <v>45724</v>
      </c>
      <c r="D3531" t="inlineStr">
        <is>
          <t>VÄSTMANLANDS LÄN</t>
        </is>
      </c>
      <c r="E3531" t="inlineStr">
        <is>
          <t>KÖPING</t>
        </is>
      </c>
      <c r="G3531" t="n">
        <v>2</v>
      </c>
      <c r="H3531" t="n">
        <v>0</v>
      </c>
      <c r="I3531" t="n">
        <v>0</v>
      </c>
      <c r="J3531" t="n">
        <v>0</v>
      </c>
      <c r="K3531" t="n">
        <v>0</v>
      </c>
      <c r="L3531" t="n">
        <v>0</v>
      </c>
      <c r="M3531" t="n">
        <v>0</v>
      </c>
      <c r="N3531" t="n">
        <v>0</v>
      </c>
      <c r="O3531" t="n">
        <v>0</v>
      </c>
      <c r="P3531" t="n">
        <v>0</v>
      </c>
      <c r="Q3531" t="n">
        <v>0</v>
      </c>
      <c r="R3531" s="2" t="inlineStr"/>
    </row>
    <row r="3532" ht="15" customHeight="1">
      <c r="A3532" t="inlineStr">
        <is>
          <t>A 44582-2023</t>
        </is>
      </c>
      <c r="B3532" s="1" t="n">
        <v>45189</v>
      </c>
      <c r="C3532" s="1" t="n">
        <v>45724</v>
      </c>
      <c r="D3532" t="inlineStr">
        <is>
          <t>VÄSTMANLANDS LÄN</t>
        </is>
      </c>
      <c r="E3532" t="inlineStr">
        <is>
          <t>KÖPING</t>
        </is>
      </c>
      <c r="G3532" t="n">
        <v>1.7</v>
      </c>
      <c r="H3532" t="n">
        <v>0</v>
      </c>
      <c r="I3532" t="n">
        <v>0</v>
      </c>
      <c r="J3532" t="n">
        <v>0</v>
      </c>
      <c r="K3532" t="n">
        <v>0</v>
      </c>
      <c r="L3532" t="n">
        <v>0</v>
      </c>
      <c r="M3532" t="n">
        <v>0</v>
      </c>
      <c r="N3532" t="n">
        <v>0</v>
      </c>
      <c r="O3532" t="n">
        <v>0</v>
      </c>
      <c r="P3532" t="n">
        <v>0</v>
      </c>
      <c r="Q3532" t="n">
        <v>0</v>
      </c>
      <c r="R3532" s="2" t="inlineStr"/>
    </row>
    <row r="3533" ht="15" customHeight="1">
      <c r="A3533" t="inlineStr">
        <is>
          <t>A 46006-2023</t>
        </is>
      </c>
      <c r="B3533" s="1" t="n">
        <v>45189</v>
      </c>
      <c r="C3533" s="1" t="n">
        <v>45724</v>
      </c>
      <c r="D3533" t="inlineStr">
        <is>
          <t>VÄSTMANLANDS LÄN</t>
        </is>
      </c>
      <c r="E3533" t="inlineStr">
        <is>
          <t>FAGERSTA</t>
        </is>
      </c>
      <c r="G3533" t="n">
        <v>6.4</v>
      </c>
      <c r="H3533" t="n">
        <v>0</v>
      </c>
      <c r="I3533" t="n">
        <v>0</v>
      </c>
      <c r="J3533" t="n">
        <v>0</v>
      </c>
      <c r="K3533" t="n">
        <v>0</v>
      </c>
      <c r="L3533" t="n">
        <v>0</v>
      </c>
      <c r="M3533" t="n">
        <v>0</v>
      </c>
      <c r="N3533" t="n">
        <v>0</v>
      </c>
      <c r="O3533" t="n">
        <v>0</v>
      </c>
      <c r="P3533" t="n">
        <v>0</v>
      </c>
      <c r="Q3533" t="n">
        <v>0</v>
      </c>
      <c r="R3533" s="2" t="inlineStr"/>
    </row>
    <row r="3534" ht="15" customHeight="1">
      <c r="A3534" t="inlineStr">
        <is>
          <t>A 44846-2023</t>
        </is>
      </c>
      <c r="B3534" s="1" t="n">
        <v>45190</v>
      </c>
      <c r="C3534" s="1" t="n">
        <v>45724</v>
      </c>
      <c r="D3534" t="inlineStr">
        <is>
          <t>VÄSTMANLANDS LÄN</t>
        </is>
      </c>
      <c r="E3534" t="inlineStr">
        <is>
          <t>SALA</t>
        </is>
      </c>
      <c r="G3534" t="n">
        <v>0.6</v>
      </c>
      <c r="H3534" t="n">
        <v>0</v>
      </c>
      <c r="I3534" t="n">
        <v>0</v>
      </c>
      <c r="J3534" t="n">
        <v>0</v>
      </c>
      <c r="K3534" t="n">
        <v>0</v>
      </c>
      <c r="L3534" t="n">
        <v>0</v>
      </c>
      <c r="M3534" t="n">
        <v>0</v>
      </c>
      <c r="N3534" t="n">
        <v>0</v>
      </c>
      <c r="O3534" t="n">
        <v>0</v>
      </c>
      <c r="P3534" t="n">
        <v>0</v>
      </c>
      <c r="Q3534" t="n">
        <v>0</v>
      </c>
      <c r="R3534" s="2" t="inlineStr"/>
    </row>
    <row r="3535" ht="15" customHeight="1">
      <c r="A3535" t="inlineStr">
        <is>
          <t>A 44857-2023</t>
        </is>
      </c>
      <c r="B3535" s="1" t="n">
        <v>45190</v>
      </c>
      <c r="C3535" s="1" t="n">
        <v>45724</v>
      </c>
      <c r="D3535" t="inlineStr">
        <is>
          <t>VÄSTMANLANDS LÄN</t>
        </is>
      </c>
      <c r="E3535" t="inlineStr">
        <is>
          <t>SALA</t>
        </is>
      </c>
      <c r="G3535" t="n">
        <v>1</v>
      </c>
      <c r="H3535" t="n">
        <v>0</v>
      </c>
      <c r="I3535" t="n">
        <v>0</v>
      </c>
      <c r="J3535" t="n">
        <v>0</v>
      </c>
      <c r="K3535" t="n">
        <v>0</v>
      </c>
      <c r="L3535" t="n">
        <v>0</v>
      </c>
      <c r="M3535" t="n">
        <v>0</v>
      </c>
      <c r="N3535" t="n">
        <v>0</v>
      </c>
      <c r="O3535" t="n">
        <v>0</v>
      </c>
      <c r="P3535" t="n">
        <v>0</v>
      </c>
      <c r="Q3535" t="n">
        <v>0</v>
      </c>
      <c r="R3535" s="2" t="inlineStr"/>
    </row>
    <row r="3536" ht="15" customHeight="1">
      <c r="A3536" t="inlineStr">
        <is>
          <t>A 44906-2023</t>
        </is>
      </c>
      <c r="B3536" s="1" t="n">
        <v>45190</v>
      </c>
      <c r="C3536" s="1" t="n">
        <v>45724</v>
      </c>
      <c r="D3536" t="inlineStr">
        <is>
          <t>VÄSTMANLANDS LÄN</t>
        </is>
      </c>
      <c r="E3536" t="inlineStr">
        <is>
          <t>SKINNSKATTEBERG</t>
        </is>
      </c>
      <c r="F3536" t="inlineStr">
        <is>
          <t>Sveaskog</t>
        </is>
      </c>
      <c r="G3536" t="n">
        <v>1.8</v>
      </c>
      <c r="H3536" t="n">
        <v>0</v>
      </c>
      <c r="I3536" t="n">
        <v>0</v>
      </c>
      <c r="J3536" t="n">
        <v>0</v>
      </c>
      <c r="K3536" t="n">
        <v>0</v>
      </c>
      <c r="L3536" t="n">
        <v>0</v>
      </c>
      <c r="M3536" t="n">
        <v>0</v>
      </c>
      <c r="N3536" t="n">
        <v>0</v>
      </c>
      <c r="O3536" t="n">
        <v>0</v>
      </c>
      <c r="P3536" t="n">
        <v>0</v>
      </c>
      <c r="Q3536" t="n">
        <v>0</v>
      </c>
      <c r="R3536" s="2" t="inlineStr"/>
    </row>
    <row r="3537" ht="15" customHeight="1">
      <c r="A3537" t="inlineStr">
        <is>
          <t>A 44814-2023</t>
        </is>
      </c>
      <c r="B3537" s="1" t="n">
        <v>45190</v>
      </c>
      <c r="C3537" s="1" t="n">
        <v>45724</v>
      </c>
      <c r="D3537" t="inlineStr">
        <is>
          <t>VÄSTMANLANDS LÄN</t>
        </is>
      </c>
      <c r="E3537" t="inlineStr">
        <is>
          <t>KÖPING</t>
        </is>
      </c>
      <c r="G3537" t="n">
        <v>24.2</v>
      </c>
      <c r="H3537" t="n">
        <v>0</v>
      </c>
      <c r="I3537" t="n">
        <v>0</v>
      </c>
      <c r="J3537" t="n">
        <v>0</v>
      </c>
      <c r="K3537" t="n">
        <v>0</v>
      </c>
      <c r="L3537" t="n">
        <v>0</v>
      </c>
      <c r="M3537" t="n">
        <v>0</v>
      </c>
      <c r="N3537" t="n">
        <v>0</v>
      </c>
      <c r="O3537" t="n">
        <v>0</v>
      </c>
      <c r="P3537" t="n">
        <v>0</v>
      </c>
      <c r="Q3537" t="n">
        <v>0</v>
      </c>
      <c r="R3537" s="2" t="inlineStr"/>
    </row>
    <row r="3538" ht="15" customHeight="1">
      <c r="A3538" t="inlineStr">
        <is>
          <t>A 44914-2023</t>
        </is>
      </c>
      <c r="B3538" s="1" t="n">
        <v>45190</v>
      </c>
      <c r="C3538" s="1" t="n">
        <v>45724</v>
      </c>
      <c r="D3538" t="inlineStr">
        <is>
          <t>VÄSTMANLANDS LÄN</t>
        </is>
      </c>
      <c r="E3538" t="inlineStr">
        <is>
          <t>SKINNSKATTEBERG</t>
        </is>
      </c>
      <c r="F3538" t="inlineStr">
        <is>
          <t>Sveaskog</t>
        </is>
      </c>
      <c r="G3538" t="n">
        <v>3.1</v>
      </c>
      <c r="H3538" t="n">
        <v>0</v>
      </c>
      <c r="I3538" t="n">
        <v>0</v>
      </c>
      <c r="J3538" t="n">
        <v>0</v>
      </c>
      <c r="K3538" t="n">
        <v>0</v>
      </c>
      <c r="L3538" t="n">
        <v>0</v>
      </c>
      <c r="M3538" t="n">
        <v>0</v>
      </c>
      <c r="N3538" t="n">
        <v>0</v>
      </c>
      <c r="O3538" t="n">
        <v>0</v>
      </c>
      <c r="P3538" t="n">
        <v>0</v>
      </c>
      <c r="Q3538" t="n">
        <v>0</v>
      </c>
      <c r="R3538" s="2" t="inlineStr"/>
    </row>
    <row r="3539" ht="15" customHeight="1">
      <c r="A3539" t="inlineStr">
        <is>
          <t>A 44903-2023</t>
        </is>
      </c>
      <c r="B3539" s="1" t="n">
        <v>45190</v>
      </c>
      <c r="C3539" s="1" t="n">
        <v>45724</v>
      </c>
      <c r="D3539" t="inlineStr">
        <is>
          <t>VÄSTMANLANDS LÄN</t>
        </is>
      </c>
      <c r="E3539" t="inlineStr">
        <is>
          <t>SKINNSKATTEBERG</t>
        </is>
      </c>
      <c r="F3539" t="inlineStr">
        <is>
          <t>Sveaskog</t>
        </is>
      </c>
      <c r="G3539" t="n">
        <v>7.9</v>
      </c>
      <c r="H3539" t="n">
        <v>0</v>
      </c>
      <c r="I3539" t="n">
        <v>0</v>
      </c>
      <c r="J3539" t="n">
        <v>0</v>
      </c>
      <c r="K3539" t="n">
        <v>0</v>
      </c>
      <c r="L3539" t="n">
        <v>0</v>
      </c>
      <c r="M3539" t="n">
        <v>0</v>
      </c>
      <c r="N3539" t="n">
        <v>0</v>
      </c>
      <c r="O3539" t="n">
        <v>0</v>
      </c>
      <c r="P3539" t="n">
        <v>0</v>
      </c>
      <c r="Q3539" t="n">
        <v>0</v>
      </c>
      <c r="R3539" s="2" t="inlineStr"/>
    </row>
    <row r="3540" ht="15" customHeight="1">
      <c r="A3540" t="inlineStr">
        <is>
          <t>A 45051-2023</t>
        </is>
      </c>
      <c r="B3540" s="1" t="n">
        <v>45191</v>
      </c>
      <c r="C3540" s="1" t="n">
        <v>45724</v>
      </c>
      <c r="D3540" t="inlineStr">
        <is>
          <t>VÄSTMANLANDS LÄN</t>
        </is>
      </c>
      <c r="E3540" t="inlineStr">
        <is>
          <t>NORBERG</t>
        </is>
      </c>
      <c r="F3540" t="inlineStr">
        <is>
          <t>Bergvik skog väst AB</t>
        </is>
      </c>
      <c r="G3540" t="n">
        <v>8.9</v>
      </c>
      <c r="H3540" t="n">
        <v>0</v>
      </c>
      <c r="I3540" t="n">
        <v>0</v>
      </c>
      <c r="J3540" t="n">
        <v>0</v>
      </c>
      <c r="K3540" t="n">
        <v>0</v>
      </c>
      <c r="L3540" t="n">
        <v>0</v>
      </c>
      <c r="M3540" t="n">
        <v>0</v>
      </c>
      <c r="N3540" t="n">
        <v>0</v>
      </c>
      <c r="O3540" t="n">
        <v>0</v>
      </c>
      <c r="P3540" t="n">
        <v>0</v>
      </c>
      <c r="Q3540" t="n">
        <v>0</v>
      </c>
      <c r="R3540" s="2" t="inlineStr"/>
    </row>
    <row r="3541" ht="15" customHeight="1">
      <c r="A3541" t="inlineStr">
        <is>
          <t>A 45065-2023</t>
        </is>
      </c>
      <c r="B3541" s="1" t="n">
        <v>45191</v>
      </c>
      <c r="C3541" s="1" t="n">
        <v>45724</v>
      </c>
      <c r="D3541" t="inlineStr">
        <is>
          <t>VÄSTMANLANDS LÄN</t>
        </is>
      </c>
      <c r="E3541" t="inlineStr">
        <is>
          <t>NORBERG</t>
        </is>
      </c>
      <c r="F3541" t="inlineStr">
        <is>
          <t>Bergvik skog väst AB</t>
        </is>
      </c>
      <c r="G3541" t="n">
        <v>4.5</v>
      </c>
      <c r="H3541" t="n">
        <v>0</v>
      </c>
      <c r="I3541" t="n">
        <v>0</v>
      </c>
      <c r="J3541" t="n">
        <v>0</v>
      </c>
      <c r="K3541" t="n">
        <v>0</v>
      </c>
      <c r="L3541" t="n">
        <v>0</v>
      </c>
      <c r="M3541" t="n">
        <v>0</v>
      </c>
      <c r="N3541" t="n">
        <v>0</v>
      </c>
      <c r="O3541" t="n">
        <v>0</v>
      </c>
      <c r="P3541" t="n">
        <v>0</v>
      </c>
      <c r="Q3541" t="n">
        <v>0</v>
      </c>
      <c r="R3541" s="2" t="inlineStr"/>
    </row>
    <row r="3542" ht="15" customHeight="1">
      <c r="A3542" t="inlineStr">
        <is>
          <t>A 45240-2023</t>
        </is>
      </c>
      <c r="B3542" s="1" t="n">
        <v>45191</v>
      </c>
      <c r="C3542" s="1" t="n">
        <v>45724</v>
      </c>
      <c r="D3542" t="inlineStr">
        <is>
          <t>VÄSTMANLANDS LÄN</t>
        </is>
      </c>
      <c r="E3542" t="inlineStr">
        <is>
          <t>HALLSTAHAMMAR</t>
        </is>
      </c>
      <c r="G3542" t="n">
        <v>3.7</v>
      </c>
      <c r="H3542" t="n">
        <v>0</v>
      </c>
      <c r="I3542" t="n">
        <v>0</v>
      </c>
      <c r="J3542" t="n">
        <v>0</v>
      </c>
      <c r="K3542" t="n">
        <v>0</v>
      </c>
      <c r="L3542" t="n">
        <v>0</v>
      </c>
      <c r="M3542" t="n">
        <v>0</v>
      </c>
      <c r="N3542" t="n">
        <v>0</v>
      </c>
      <c r="O3542" t="n">
        <v>0</v>
      </c>
      <c r="P3542" t="n">
        <v>0</v>
      </c>
      <c r="Q3542" t="n">
        <v>0</v>
      </c>
      <c r="R3542" s="2" t="inlineStr"/>
    </row>
    <row r="3543" ht="15" customHeight="1">
      <c r="A3543" t="inlineStr">
        <is>
          <t>A 45308-2023</t>
        </is>
      </c>
      <c r="B3543" s="1" t="n">
        <v>45191</v>
      </c>
      <c r="C3543" s="1" t="n">
        <v>45724</v>
      </c>
      <c r="D3543" t="inlineStr">
        <is>
          <t>VÄSTMANLANDS LÄN</t>
        </is>
      </c>
      <c r="E3543" t="inlineStr">
        <is>
          <t>KÖPING</t>
        </is>
      </c>
      <c r="G3543" t="n">
        <v>5</v>
      </c>
      <c r="H3543" t="n">
        <v>0</v>
      </c>
      <c r="I3543" t="n">
        <v>0</v>
      </c>
      <c r="J3543" t="n">
        <v>0</v>
      </c>
      <c r="K3543" t="n">
        <v>0</v>
      </c>
      <c r="L3543" t="n">
        <v>0</v>
      </c>
      <c r="M3543" t="n">
        <v>0</v>
      </c>
      <c r="N3543" t="n">
        <v>0</v>
      </c>
      <c r="O3543" t="n">
        <v>0</v>
      </c>
      <c r="P3543" t="n">
        <v>0</v>
      </c>
      <c r="Q3543" t="n">
        <v>0</v>
      </c>
      <c r="R3543" s="2" t="inlineStr"/>
    </row>
    <row r="3544" ht="15" customHeight="1">
      <c r="A3544" t="inlineStr">
        <is>
          <t>A 45066-2023</t>
        </is>
      </c>
      <c r="B3544" s="1" t="n">
        <v>45191</v>
      </c>
      <c r="C3544" s="1" t="n">
        <v>45724</v>
      </c>
      <c r="D3544" t="inlineStr">
        <is>
          <t>VÄSTMANLANDS LÄN</t>
        </is>
      </c>
      <c r="E3544" t="inlineStr">
        <is>
          <t>NORBERG</t>
        </is>
      </c>
      <c r="F3544" t="inlineStr">
        <is>
          <t>Bergvik skog väst AB</t>
        </is>
      </c>
      <c r="G3544" t="n">
        <v>3.7</v>
      </c>
      <c r="H3544" t="n">
        <v>0</v>
      </c>
      <c r="I3544" t="n">
        <v>0</v>
      </c>
      <c r="J3544" t="n">
        <v>0</v>
      </c>
      <c r="K3544" t="n">
        <v>0</v>
      </c>
      <c r="L3544" t="n">
        <v>0</v>
      </c>
      <c r="M3544" t="n">
        <v>0</v>
      </c>
      <c r="N3544" t="n">
        <v>0</v>
      </c>
      <c r="O3544" t="n">
        <v>0</v>
      </c>
      <c r="P3544" t="n">
        <v>0</v>
      </c>
      <c r="Q3544" t="n">
        <v>0</v>
      </c>
      <c r="R3544" s="2" t="inlineStr"/>
    </row>
    <row r="3545" ht="15" customHeight="1">
      <c r="A3545" t="inlineStr">
        <is>
          <t>A 45294-2023</t>
        </is>
      </c>
      <c r="B3545" s="1" t="n">
        <v>45191</v>
      </c>
      <c r="C3545" s="1" t="n">
        <v>45724</v>
      </c>
      <c r="D3545" t="inlineStr">
        <is>
          <t>VÄSTMANLANDS LÄN</t>
        </is>
      </c>
      <c r="E3545" t="inlineStr">
        <is>
          <t>VÄSTERÅS</t>
        </is>
      </c>
      <c r="G3545" t="n">
        <v>1.6</v>
      </c>
      <c r="H3545" t="n">
        <v>0</v>
      </c>
      <c r="I3545" t="n">
        <v>0</v>
      </c>
      <c r="J3545" t="n">
        <v>0</v>
      </c>
      <c r="K3545" t="n">
        <v>0</v>
      </c>
      <c r="L3545" t="n">
        <v>0</v>
      </c>
      <c r="M3545" t="n">
        <v>0</v>
      </c>
      <c r="N3545" t="n">
        <v>0</v>
      </c>
      <c r="O3545" t="n">
        <v>0</v>
      </c>
      <c r="P3545" t="n">
        <v>0</v>
      </c>
      <c r="Q3545" t="n">
        <v>0</v>
      </c>
      <c r="R3545" s="2" t="inlineStr"/>
    </row>
    <row r="3546" ht="15" customHeight="1">
      <c r="A3546" t="inlineStr">
        <is>
          <t>A 46352-2023</t>
        </is>
      </c>
      <c r="B3546" s="1" t="n">
        <v>45192</v>
      </c>
      <c r="C3546" s="1" t="n">
        <v>45724</v>
      </c>
      <c r="D3546" t="inlineStr">
        <is>
          <t>VÄSTMANLANDS LÄN</t>
        </is>
      </c>
      <c r="E3546" t="inlineStr">
        <is>
          <t>SALA</t>
        </is>
      </c>
      <c r="G3546" t="n">
        <v>1.9</v>
      </c>
      <c r="H3546" t="n">
        <v>0</v>
      </c>
      <c r="I3546" t="n">
        <v>0</v>
      </c>
      <c r="J3546" t="n">
        <v>0</v>
      </c>
      <c r="K3546" t="n">
        <v>0</v>
      </c>
      <c r="L3546" t="n">
        <v>0</v>
      </c>
      <c r="M3546" t="n">
        <v>0</v>
      </c>
      <c r="N3546" t="n">
        <v>0</v>
      </c>
      <c r="O3546" t="n">
        <v>0</v>
      </c>
      <c r="P3546" t="n">
        <v>0</v>
      </c>
      <c r="Q3546" t="n">
        <v>0</v>
      </c>
      <c r="R3546" s="2" t="inlineStr"/>
    </row>
    <row r="3547" ht="15" customHeight="1">
      <c r="A3547" t="inlineStr">
        <is>
          <t>A 46355-2023</t>
        </is>
      </c>
      <c r="B3547" s="1" t="n">
        <v>45192</v>
      </c>
      <c r="C3547" s="1" t="n">
        <v>45724</v>
      </c>
      <c r="D3547" t="inlineStr">
        <is>
          <t>VÄSTMANLANDS LÄN</t>
        </is>
      </c>
      <c r="E3547" t="inlineStr">
        <is>
          <t>SALA</t>
        </is>
      </c>
      <c r="G3547" t="n">
        <v>12</v>
      </c>
      <c r="H3547" t="n">
        <v>0</v>
      </c>
      <c r="I3547" t="n">
        <v>0</v>
      </c>
      <c r="J3547" t="n">
        <v>0</v>
      </c>
      <c r="K3547" t="n">
        <v>0</v>
      </c>
      <c r="L3547" t="n">
        <v>0</v>
      </c>
      <c r="M3547" t="n">
        <v>0</v>
      </c>
      <c r="N3547" t="n">
        <v>0</v>
      </c>
      <c r="O3547" t="n">
        <v>0</v>
      </c>
      <c r="P3547" t="n">
        <v>0</v>
      </c>
      <c r="Q3547" t="n">
        <v>0</v>
      </c>
      <c r="R3547" s="2" t="inlineStr"/>
    </row>
    <row r="3548" ht="15" customHeight="1">
      <c r="A3548" t="inlineStr">
        <is>
          <t>A 46350-2023</t>
        </is>
      </c>
      <c r="B3548" s="1" t="n">
        <v>45192</v>
      </c>
      <c r="C3548" s="1" t="n">
        <v>45724</v>
      </c>
      <c r="D3548" t="inlineStr">
        <is>
          <t>VÄSTMANLANDS LÄN</t>
        </is>
      </c>
      <c r="E3548" t="inlineStr">
        <is>
          <t>SALA</t>
        </is>
      </c>
      <c r="G3548" t="n">
        <v>4.8</v>
      </c>
      <c r="H3548" t="n">
        <v>0</v>
      </c>
      <c r="I3548" t="n">
        <v>0</v>
      </c>
      <c r="J3548" t="n">
        <v>0</v>
      </c>
      <c r="K3548" t="n">
        <v>0</v>
      </c>
      <c r="L3548" t="n">
        <v>0</v>
      </c>
      <c r="M3548" t="n">
        <v>0</v>
      </c>
      <c r="N3548" t="n">
        <v>0</v>
      </c>
      <c r="O3548" t="n">
        <v>0</v>
      </c>
      <c r="P3548" t="n">
        <v>0</v>
      </c>
      <c r="Q3548" t="n">
        <v>0</v>
      </c>
      <c r="R3548" s="2" t="inlineStr"/>
    </row>
    <row r="3549" ht="15" customHeight="1">
      <c r="A3549" t="inlineStr">
        <is>
          <t>A 45376-2023</t>
        </is>
      </c>
      <c r="B3549" s="1" t="n">
        <v>45193</v>
      </c>
      <c r="C3549" s="1" t="n">
        <v>45724</v>
      </c>
      <c r="D3549" t="inlineStr">
        <is>
          <t>VÄSTMANLANDS LÄN</t>
        </is>
      </c>
      <c r="E3549" t="inlineStr">
        <is>
          <t>SKINNSKATTEBERG</t>
        </is>
      </c>
      <c r="F3549" t="inlineStr">
        <is>
          <t>Sveaskog</t>
        </is>
      </c>
      <c r="G3549" t="n">
        <v>2.6</v>
      </c>
      <c r="H3549" t="n">
        <v>0</v>
      </c>
      <c r="I3549" t="n">
        <v>0</v>
      </c>
      <c r="J3549" t="n">
        <v>0</v>
      </c>
      <c r="K3549" t="n">
        <v>0</v>
      </c>
      <c r="L3549" t="n">
        <v>0</v>
      </c>
      <c r="M3549" t="n">
        <v>0</v>
      </c>
      <c r="N3549" t="n">
        <v>0</v>
      </c>
      <c r="O3549" t="n">
        <v>0</v>
      </c>
      <c r="P3549" t="n">
        <v>0</v>
      </c>
      <c r="Q3549" t="n">
        <v>0</v>
      </c>
      <c r="R3549" s="2" t="inlineStr"/>
    </row>
    <row r="3550" ht="15" customHeight="1">
      <c r="A3550" t="inlineStr">
        <is>
          <t>A 45390-2023</t>
        </is>
      </c>
      <c r="B3550" s="1" t="n">
        <v>45194</v>
      </c>
      <c r="C3550" s="1" t="n">
        <v>45724</v>
      </c>
      <c r="D3550" t="inlineStr">
        <is>
          <t>VÄSTMANLANDS LÄN</t>
        </is>
      </c>
      <c r="E3550" t="inlineStr">
        <is>
          <t>FAGERSTA</t>
        </is>
      </c>
      <c r="G3550" t="n">
        <v>8.4</v>
      </c>
      <c r="H3550" t="n">
        <v>0</v>
      </c>
      <c r="I3550" t="n">
        <v>0</v>
      </c>
      <c r="J3550" t="n">
        <v>0</v>
      </c>
      <c r="K3550" t="n">
        <v>0</v>
      </c>
      <c r="L3550" t="n">
        <v>0</v>
      </c>
      <c r="M3550" t="n">
        <v>0</v>
      </c>
      <c r="N3550" t="n">
        <v>0</v>
      </c>
      <c r="O3550" t="n">
        <v>0</v>
      </c>
      <c r="P3550" t="n">
        <v>0</v>
      </c>
      <c r="Q3550" t="n">
        <v>0</v>
      </c>
      <c r="R3550" s="2" t="inlineStr"/>
    </row>
    <row r="3551" ht="15" customHeight="1">
      <c r="A3551" t="inlineStr">
        <is>
          <t>A 45375-2023</t>
        </is>
      </c>
      <c r="B3551" s="1" t="n">
        <v>45193</v>
      </c>
      <c r="C3551" s="1" t="n">
        <v>45724</v>
      </c>
      <c r="D3551" t="inlineStr">
        <is>
          <t>VÄSTMANLANDS LÄN</t>
        </is>
      </c>
      <c r="E3551" t="inlineStr">
        <is>
          <t>SKINNSKATTEBERG</t>
        </is>
      </c>
      <c r="F3551" t="inlineStr">
        <is>
          <t>Sveaskog</t>
        </is>
      </c>
      <c r="G3551" t="n">
        <v>5.2</v>
      </c>
      <c r="H3551" t="n">
        <v>0</v>
      </c>
      <c r="I3551" t="n">
        <v>0</v>
      </c>
      <c r="J3551" t="n">
        <v>0</v>
      </c>
      <c r="K3551" t="n">
        <v>0</v>
      </c>
      <c r="L3551" t="n">
        <v>0</v>
      </c>
      <c r="M3551" t="n">
        <v>0</v>
      </c>
      <c r="N3551" t="n">
        <v>0</v>
      </c>
      <c r="O3551" t="n">
        <v>0</v>
      </c>
      <c r="P3551" t="n">
        <v>0</v>
      </c>
      <c r="Q3551" t="n">
        <v>0</v>
      </c>
      <c r="R3551" s="2" t="inlineStr"/>
    </row>
    <row r="3552" ht="15" customHeight="1">
      <c r="A3552" t="inlineStr">
        <is>
          <t>A 45511-2023</t>
        </is>
      </c>
      <c r="B3552" s="1" t="n">
        <v>45194</v>
      </c>
      <c r="C3552" s="1" t="n">
        <v>45724</v>
      </c>
      <c r="D3552" t="inlineStr">
        <is>
          <t>VÄSTMANLANDS LÄN</t>
        </is>
      </c>
      <c r="E3552" t="inlineStr">
        <is>
          <t>SKINNSKATTEBERG</t>
        </is>
      </c>
      <c r="G3552" t="n">
        <v>2.8</v>
      </c>
      <c r="H3552" t="n">
        <v>0</v>
      </c>
      <c r="I3552" t="n">
        <v>0</v>
      </c>
      <c r="J3552" t="n">
        <v>0</v>
      </c>
      <c r="K3552" t="n">
        <v>0</v>
      </c>
      <c r="L3552" t="n">
        <v>0</v>
      </c>
      <c r="M3552" t="n">
        <v>0</v>
      </c>
      <c r="N3552" t="n">
        <v>0</v>
      </c>
      <c r="O3552" t="n">
        <v>0</v>
      </c>
      <c r="P3552" t="n">
        <v>0</v>
      </c>
      <c r="Q3552" t="n">
        <v>0</v>
      </c>
      <c r="R3552" s="2" t="inlineStr"/>
    </row>
    <row r="3553" ht="15" customHeight="1">
      <c r="A3553" t="inlineStr">
        <is>
          <t>A 45492-2023</t>
        </is>
      </c>
      <c r="B3553" s="1" t="n">
        <v>45194</v>
      </c>
      <c r="C3553" s="1" t="n">
        <v>45724</v>
      </c>
      <c r="D3553" t="inlineStr">
        <is>
          <t>VÄSTMANLANDS LÄN</t>
        </is>
      </c>
      <c r="E3553" t="inlineStr">
        <is>
          <t>ARBOGA</t>
        </is>
      </c>
      <c r="G3553" t="n">
        <v>2.8</v>
      </c>
      <c r="H3553" t="n">
        <v>0</v>
      </c>
      <c r="I3553" t="n">
        <v>0</v>
      </c>
      <c r="J3553" t="n">
        <v>0</v>
      </c>
      <c r="K3553" t="n">
        <v>0</v>
      </c>
      <c r="L3553" t="n">
        <v>0</v>
      </c>
      <c r="M3553" t="n">
        <v>0</v>
      </c>
      <c r="N3553" t="n">
        <v>0</v>
      </c>
      <c r="O3553" t="n">
        <v>0</v>
      </c>
      <c r="P3553" t="n">
        <v>0</v>
      </c>
      <c r="Q3553" t="n">
        <v>0</v>
      </c>
      <c r="R3553" s="2" t="inlineStr"/>
    </row>
    <row r="3554" ht="15" customHeight="1">
      <c r="A3554" t="inlineStr">
        <is>
          <t>A 45531-2023</t>
        </is>
      </c>
      <c r="B3554" s="1" t="n">
        <v>45194</v>
      </c>
      <c r="C3554" s="1" t="n">
        <v>45724</v>
      </c>
      <c r="D3554" t="inlineStr">
        <is>
          <t>VÄSTMANLANDS LÄN</t>
        </is>
      </c>
      <c r="E3554" t="inlineStr">
        <is>
          <t>SALA</t>
        </is>
      </c>
      <c r="G3554" t="n">
        <v>0.7</v>
      </c>
      <c r="H3554" t="n">
        <v>0</v>
      </c>
      <c r="I3554" t="n">
        <v>0</v>
      </c>
      <c r="J3554" t="n">
        <v>0</v>
      </c>
      <c r="K3554" t="n">
        <v>0</v>
      </c>
      <c r="L3554" t="n">
        <v>0</v>
      </c>
      <c r="M3554" t="n">
        <v>0</v>
      </c>
      <c r="N3554" t="n">
        <v>0</v>
      </c>
      <c r="O3554" t="n">
        <v>0</v>
      </c>
      <c r="P3554" t="n">
        <v>0</v>
      </c>
      <c r="Q3554" t="n">
        <v>0</v>
      </c>
      <c r="R3554" s="2" t="inlineStr"/>
    </row>
    <row r="3555" ht="15" customHeight="1">
      <c r="A3555" t="inlineStr">
        <is>
          <t>A 45602-2023</t>
        </is>
      </c>
      <c r="B3555" s="1" t="n">
        <v>45194</v>
      </c>
      <c r="C3555" s="1" t="n">
        <v>45724</v>
      </c>
      <c r="D3555" t="inlineStr">
        <is>
          <t>VÄSTMANLANDS LÄN</t>
        </is>
      </c>
      <c r="E3555" t="inlineStr">
        <is>
          <t>SALA</t>
        </is>
      </c>
      <c r="G3555" t="n">
        <v>1.9</v>
      </c>
      <c r="H3555" t="n">
        <v>0</v>
      </c>
      <c r="I3555" t="n">
        <v>0</v>
      </c>
      <c r="J3555" t="n">
        <v>0</v>
      </c>
      <c r="K3555" t="n">
        <v>0</v>
      </c>
      <c r="L3555" t="n">
        <v>0</v>
      </c>
      <c r="M3555" t="n">
        <v>0</v>
      </c>
      <c r="N3555" t="n">
        <v>0</v>
      </c>
      <c r="O3555" t="n">
        <v>0</v>
      </c>
      <c r="P3555" t="n">
        <v>0</v>
      </c>
      <c r="Q3555" t="n">
        <v>0</v>
      </c>
      <c r="R3555" s="2" t="inlineStr"/>
    </row>
    <row r="3556" ht="15" customHeight="1">
      <c r="A3556" t="inlineStr">
        <is>
          <t>A 46599-2023</t>
        </is>
      </c>
      <c r="B3556" s="1" t="n">
        <v>45194</v>
      </c>
      <c r="C3556" s="1" t="n">
        <v>45724</v>
      </c>
      <c r="D3556" t="inlineStr">
        <is>
          <t>VÄSTMANLANDS LÄN</t>
        </is>
      </c>
      <c r="E3556" t="inlineStr">
        <is>
          <t>KÖPING</t>
        </is>
      </c>
      <c r="G3556" t="n">
        <v>6.8</v>
      </c>
      <c r="H3556" t="n">
        <v>0</v>
      </c>
      <c r="I3556" t="n">
        <v>0</v>
      </c>
      <c r="J3556" t="n">
        <v>0</v>
      </c>
      <c r="K3556" t="n">
        <v>0</v>
      </c>
      <c r="L3556" t="n">
        <v>0</v>
      </c>
      <c r="M3556" t="n">
        <v>0</v>
      </c>
      <c r="N3556" t="n">
        <v>0</v>
      </c>
      <c r="O3556" t="n">
        <v>0</v>
      </c>
      <c r="P3556" t="n">
        <v>0</v>
      </c>
      <c r="Q3556" t="n">
        <v>0</v>
      </c>
      <c r="R3556" s="2" t="inlineStr"/>
    </row>
    <row r="3557" ht="15" customHeight="1">
      <c r="A3557" t="inlineStr">
        <is>
          <t>A 45790-2023</t>
        </is>
      </c>
      <c r="B3557" s="1" t="n">
        <v>45195</v>
      </c>
      <c r="C3557" s="1" t="n">
        <v>45724</v>
      </c>
      <c r="D3557" t="inlineStr">
        <is>
          <t>VÄSTMANLANDS LÄN</t>
        </is>
      </c>
      <c r="E3557" t="inlineStr">
        <is>
          <t>SALA</t>
        </is>
      </c>
      <c r="G3557" t="n">
        <v>5.7</v>
      </c>
      <c r="H3557" t="n">
        <v>0</v>
      </c>
      <c r="I3557" t="n">
        <v>0</v>
      </c>
      <c r="J3557" t="n">
        <v>0</v>
      </c>
      <c r="K3557" t="n">
        <v>0</v>
      </c>
      <c r="L3557" t="n">
        <v>0</v>
      </c>
      <c r="M3557" t="n">
        <v>0</v>
      </c>
      <c r="N3557" t="n">
        <v>0</v>
      </c>
      <c r="O3557" t="n">
        <v>0</v>
      </c>
      <c r="P3557" t="n">
        <v>0</v>
      </c>
      <c r="Q3557" t="n">
        <v>0</v>
      </c>
      <c r="R3557" s="2" t="inlineStr"/>
    </row>
    <row r="3558" ht="15" customHeight="1">
      <c r="A3558" t="inlineStr">
        <is>
          <t>A 45901-2023</t>
        </is>
      </c>
      <c r="B3558" s="1" t="n">
        <v>45195</v>
      </c>
      <c r="C3558" s="1" t="n">
        <v>45724</v>
      </c>
      <c r="D3558" t="inlineStr">
        <is>
          <t>VÄSTMANLANDS LÄN</t>
        </is>
      </c>
      <c r="E3558" t="inlineStr">
        <is>
          <t>KÖPING</t>
        </is>
      </c>
      <c r="F3558" t="inlineStr">
        <is>
          <t>Sveaskog</t>
        </is>
      </c>
      <c r="G3558" t="n">
        <v>3.4</v>
      </c>
      <c r="H3558" t="n">
        <v>0</v>
      </c>
      <c r="I3558" t="n">
        <v>0</v>
      </c>
      <c r="J3558" t="n">
        <v>0</v>
      </c>
      <c r="K3558" t="n">
        <v>0</v>
      </c>
      <c r="L3558" t="n">
        <v>0</v>
      </c>
      <c r="M3558" t="n">
        <v>0</v>
      </c>
      <c r="N3558" t="n">
        <v>0</v>
      </c>
      <c r="O3558" t="n">
        <v>0</v>
      </c>
      <c r="P3558" t="n">
        <v>0</v>
      </c>
      <c r="Q3558" t="n">
        <v>0</v>
      </c>
      <c r="R3558" s="2" t="inlineStr"/>
    </row>
    <row r="3559" ht="15" customHeight="1">
      <c r="A3559" t="inlineStr">
        <is>
          <t>A 45905-2023</t>
        </is>
      </c>
      <c r="B3559" s="1" t="n">
        <v>45195</v>
      </c>
      <c r="C3559" s="1" t="n">
        <v>45724</v>
      </c>
      <c r="D3559" t="inlineStr">
        <is>
          <t>VÄSTMANLANDS LÄN</t>
        </is>
      </c>
      <c r="E3559" t="inlineStr">
        <is>
          <t>KÖPING</t>
        </is>
      </c>
      <c r="F3559" t="inlineStr">
        <is>
          <t>Sveaskog</t>
        </is>
      </c>
      <c r="G3559" t="n">
        <v>6.4</v>
      </c>
      <c r="H3559" t="n">
        <v>0</v>
      </c>
      <c r="I3559" t="n">
        <v>0</v>
      </c>
      <c r="J3559" t="n">
        <v>0</v>
      </c>
      <c r="K3559" t="n">
        <v>0</v>
      </c>
      <c r="L3559" t="n">
        <v>0</v>
      </c>
      <c r="M3559" t="n">
        <v>0</v>
      </c>
      <c r="N3559" t="n">
        <v>0</v>
      </c>
      <c r="O3559" t="n">
        <v>0</v>
      </c>
      <c r="P3559" t="n">
        <v>0</v>
      </c>
      <c r="Q3559" t="n">
        <v>0</v>
      </c>
      <c r="R3559" s="2" t="inlineStr"/>
    </row>
    <row r="3560" ht="15" customHeight="1">
      <c r="A3560" t="inlineStr">
        <is>
          <t>A 45902-2023</t>
        </is>
      </c>
      <c r="B3560" s="1" t="n">
        <v>45195</v>
      </c>
      <c r="C3560" s="1" t="n">
        <v>45724</v>
      </c>
      <c r="D3560" t="inlineStr">
        <is>
          <t>VÄSTMANLANDS LÄN</t>
        </is>
      </c>
      <c r="E3560" t="inlineStr">
        <is>
          <t>KÖPING</t>
        </is>
      </c>
      <c r="F3560" t="inlineStr">
        <is>
          <t>Sveaskog</t>
        </is>
      </c>
      <c r="G3560" t="n">
        <v>1.2</v>
      </c>
      <c r="H3560" t="n">
        <v>0</v>
      </c>
      <c r="I3560" t="n">
        <v>0</v>
      </c>
      <c r="J3560" t="n">
        <v>0</v>
      </c>
      <c r="K3560" t="n">
        <v>0</v>
      </c>
      <c r="L3560" t="n">
        <v>0</v>
      </c>
      <c r="M3560" t="n">
        <v>0</v>
      </c>
      <c r="N3560" t="n">
        <v>0</v>
      </c>
      <c r="O3560" t="n">
        <v>0</v>
      </c>
      <c r="P3560" t="n">
        <v>0</v>
      </c>
      <c r="Q3560" t="n">
        <v>0</v>
      </c>
      <c r="R3560" s="2" t="inlineStr"/>
    </row>
    <row r="3561" ht="15" customHeight="1">
      <c r="A3561" t="inlineStr">
        <is>
          <t>A 45867-2023</t>
        </is>
      </c>
      <c r="B3561" s="1" t="n">
        <v>45195</v>
      </c>
      <c r="C3561" s="1" t="n">
        <v>45724</v>
      </c>
      <c r="D3561" t="inlineStr">
        <is>
          <t>VÄSTMANLANDS LÄN</t>
        </is>
      </c>
      <c r="E3561" t="inlineStr">
        <is>
          <t>SKINNSKATTEBERG</t>
        </is>
      </c>
      <c r="F3561" t="inlineStr">
        <is>
          <t>Sveaskog</t>
        </is>
      </c>
      <c r="G3561" t="n">
        <v>4.4</v>
      </c>
      <c r="H3561" t="n">
        <v>0</v>
      </c>
      <c r="I3561" t="n">
        <v>0</v>
      </c>
      <c r="J3561" t="n">
        <v>0</v>
      </c>
      <c r="K3561" t="n">
        <v>0</v>
      </c>
      <c r="L3561" t="n">
        <v>0</v>
      </c>
      <c r="M3561" t="n">
        <v>0</v>
      </c>
      <c r="N3561" t="n">
        <v>0</v>
      </c>
      <c r="O3561" t="n">
        <v>0</v>
      </c>
      <c r="P3561" t="n">
        <v>0</v>
      </c>
      <c r="Q3561" t="n">
        <v>0</v>
      </c>
      <c r="R3561" s="2" t="inlineStr"/>
    </row>
    <row r="3562" ht="15" customHeight="1">
      <c r="A3562" t="inlineStr">
        <is>
          <t>A 46041-2023</t>
        </is>
      </c>
      <c r="B3562" s="1" t="n">
        <v>45196</v>
      </c>
      <c r="C3562" s="1" t="n">
        <v>45724</v>
      </c>
      <c r="D3562" t="inlineStr">
        <is>
          <t>VÄSTMANLANDS LÄN</t>
        </is>
      </c>
      <c r="E3562" t="inlineStr">
        <is>
          <t>NORBERG</t>
        </is>
      </c>
      <c r="F3562" t="inlineStr">
        <is>
          <t>Bergvik skog väst AB</t>
        </is>
      </c>
      <c r="G3562" t="n">
        <v>3.1</v>
      </c>
      <c r="H3562" t="n">
        <v>0</v>
      </c>
      <c r="I3562" t="n">
        <v>0</v>
      </c>
      <c r="J3562" t="n">
        <v>0</v>
      </c>
      <c r="K3562" t="n">
        <v>0</v>
      </c>
      <c r="L3562" t="n">
        <v>0</v>
      </c>
      <c r="M3562" t="n">
        <v>0</v>
      </c>
      <c r="N3562" t="n">
        <v>0</v>
      </c>
      <c r="O3562" t="n">
        <v>0</v>
      </c>
      <c r="P3562" t="n">
        <v>0</v>
      </c>
      <c r="Q3562" t="n">
        <v>0</v>
      </c>
      <c r="R3562" s="2" t="inlineStr"/>
    </row>
    <row r="3563" ht="15" customHeight="1">
      <c r="A3563" t="inlineStr">
        <is>
          <t>A 46036-2023</t>
        </is>
      </c>
      <c r="B3563" s="1" t="n">
        <v>45196</v>
      </c>
      <c r="C3563" s="1" t="n">
        <v>45724</v>
      </c>
      <c r="D3563" t="inlineStr">
        <is>
          <t>VÄSTMANLANDS LÄN</t>
        </is>
      </c>
      <c r="E3563" t="inlineStr">
        <is>
          <t>NORBERG</t>
        </is>
      </c>
      <c r="F3563" t="inlineStr">
        <is>
          <t>Bergvik skog väst AB</t>
        </is>
      </c>
      <c r="G3563" t="n">
        <v>3.6</v>
      </c>
      <c r="H3563" t="n">
        <v>0</v>
      </c>
      <c r="I3563" t="n">
        <v>0</v>
      </c>
      <c r="J3563" t="n">
        <v>0</v>
      </c>
      <c r="K3563" t="n">
        <v>0</v>
      </c>
      <c r="L3563" t="n">
        <v>0</v>
      </c>
      <c r="M3563" t="n">
        <v>0</v>
      </c>
      <c r="N3563" t="n">
        <v>0</v>
      </c>
      <c r="O3563" t="n">
        <v>0</v>
      </c>
      <c r="P3563" t="n">
        <v>0</v>
      </c>
      <c r="Q3563" t="n">
        <v>0</v>
      </c>
      <c r="R3563" s="2" t="inlineStr"/>
    </row>
    <row r="3564" ht="15" customHeight="1">
      <c r="A3564" t="inlineStr">
        <is>
          <t>A 46045-2023</t>
        </is>
      </c>
      <c r="B3564" s="1" t="n">
        <v>45196</v>
      </c>
      <c r="C3564" s="1" t="n">
        <v>45724</v>
      </c>
      <c r="D3564" t="inlineStr">
        <is>
          <t>VÄSTMANLANDS LÄN</t>
        </is>
      </c>
      <c r="E3564" t="inlineStr">
        <is>
          <t>NORBERG</t>
        </is>
      </c>
      <c r="F3564" t="inlineStr">
        <is>
          <t>Bergvik skog väst AB</t>
        </is>
      </c>
      <c r="G3564" t="n">
        <v>2.2</v>
      </c>
      <c r="H3564" t="n">
        <v>0</v>
      </c>
      <c r="I3564" t="n">
        <v>0</v>
      </c>
      <c r="J3564" t="n">
        <v>0</v>
      </c>
      <c r="K3564" t="n">
        <v>0</v>
      </c>
      <c r="L3564" t="n">
        <v>0</v>
      </c>
      <c r="M3564" t="n">
        <v>0</v>
      </c>
      <c r="N3564" t="n">
        <v>0</v>
      </c>
      <c r="O3564" t="n">
        <v>0</v>
      </c>
      <c r="P3564" t="n">
        <v>0</v>
      </c>
      <c r="Q3564" t="n">
        <v>0</v>
      </c>
      <c r="R3564" s="2" t="inlineStr"/>
    </row>
    <row r="3565" ht="15" customHeight="1">
      <c r="A3565" t="inlineStr">
        <is>
          <t>A 46189-2023</t>
        </is>
      </c>
      <c r="B3565" s="1" t="n">
        <v>45196</v>
      </c>
      <c r="C3565" s="1" t="n">
        <v>45724</v>
      </c>
      <c r="D3565" t="inlineStr">
        <is>
          <t>VÄSTMANLANDS LÄN</t>
        </is>
      </c>
      <c r="E3565" t="inlineStr">
        <is>
          <t>VÄSTERÅS</t>
        </is>
      </c>
      <c r="G3565" t="n">
        <v>0.5</v>
      </c>
      <c r="H3565" t="n">
        <v>0</v>
      </c>
      <c r="I3565" t="n">
        <v>0</v>
      </c>
      <c r="J3565" t="n">
        <v>0</v>
      </c>
      <c r="K3565" t="n">
        <v>0</v>
      </c>
      <c r="L3565" t="n">
        <v>0</v>
      </c>
      <c r="M3565" t="n">
        <v>0</v>
      </c>
      <c r="N3565" t="n">
        <v>0</v>
      </c>
      <c r="O3565" t="n">
        <v>0</v>
      </c>
      <c r="P3565" t="n">
        <v>0</v>
      </c>
      <c r="Q3565" t="n">
        <v>0</v>
      </c>
      <c r="R3565" s="2" t="inlineStr"/>
    </row>
    <row r="3566" ht="15" customHeight="1">
      <c r="A3566" t="inlineStr">
        <is>
          <t>A 46226-2023</t>
        </is>
      </c>
      <c r="B3566" s="1" t="n">
        <v>45196</v>
      </c>
      <c r="C3566" s="1" t="n">
        <v>45724</v>
      </c>
      <c r="D3566" t="inlineStr">
        <is>
          <t>VÄSTMANLANDS LÄN</t>
        </is>
      </c>
      <c r="E3566" t="inlineStr">
        <is>
          <t>SALA</t>
        </is>
      </c>
      <c r="G3566" t="n">
        <v>1.3</v>
      </c>
      <c r="H3566" t="n">
        <v>0</v>
      </c>
      <c r="I3566" t="n">
        <v>0</v>
      </c>
      <c r="J3566" t="n">
        <v>0</v>
      </c>
      <c r="K3566" t="n">
        <v>0</v>
      </c>
      <c r="L3566" t="n">
        <v>0</v>
      </c>
      <c r="M3566" t="n">
        <v>0</v>
      </c>
      <c r="N3566" t="n">
        <v>0</v>
      </c>
      <c r="O3566" t="n">
        <v>0</v>
      </c>
      <c r="P3566" t="n">
        <v>0</v>
      </c>
      <c r="Q3566" t="n">
        <v>0</v>
      </c>
      <c r="R3566" s="2" t="inlineStr"/>
    </row>
    <row r="3567" ht="15" customHeight="1">
      <c r="A3567" t="inlineStr">
        <is>
          <t>A 46664-2023</t>
        </is>
      </c>
      <c r="B3567" s="1" t="n">
        <v>45198</v>
      </c>
      <c r="C3567" s="1" t="n">
        <v>45724</v>
      </c>
      <c r="D3567" t="inlineStr">
        <is>
          <t>VÄSTMANLANDS LÄN</t>
        </is>
      </c>
      <c r="E3567" t="inlineStr">
        <is>
          <t>NORBERG</t>
        </is>
      </c>
      <c r="G3567" t="n">
        <v>1.8</v>
      </c>
      <c r="H3567" t="n">
        <v>0</v>
      </c>
      <c r="I3567" t="n">
        <v>0</v>
      </c>
      <c r="J3567" t="n">
        <v>0</v>
      </c>
      <c r="K3567" t="n">
        <v>0</v>
      </c>
      <c r="L3567" t="n">
        <v>0</v>
      </c>
      <c r="M3567" t="n">
        <v>0</v>
      </c>
      <c r="N3567" t="n">
        <v>0</v>
      </c>
      <c r="O3567" t="n">
        <v>0</v>
      </c>
      <c r="P3567" t="n">
        <v>0</v>
      </c>
      <c r="Q3567" t="n">
        <v>0</v>
      </c>
      <c r="R3567" s="2" t="inlineStr"/>
    </row>
    <row r="3568" ht="15" customHeight="1">
      <c r="A3568" t="inlineStr">
        <is>
          <t>A 46674-2023</t>
        </is>
      </c>
      <c r="B3568" s="1" t="n">
        <v>45198</v>
      </c>
      <c r="C3568" s="1" t="n">
        <v>45724</v>
      </c>
      <c r="D3568" t="inlineStr">
        <is>
          <t>VÄSTMANLANDS LÄN</t>
        </is>
      </c>
      <c r="E3568" t="inlineStr">
        <is>
          <t>ARBOGA</t>
        </is>
      </c>
      <c r="G3568" t="n">
        <v>9</v>
      </c>
      <c r="H3568" t="n">
        <v>0</v>
      </c>
      <c r="I3568" t="n">
        <v>0</v>
      </c>
      <c r="J3568" t="n">
        <v>0</v>
      </c>
      <c r="K3568" t="n">
        <v>0</v>
      </c>
      <c r="L3568" t="n">
        <v>0</v>
      </c>
      <c r="M3568" t="n">
        <v>0</v>
      </c>
      <c r="N3568" t="n">
        <v>0</v>
      </c>
      <c r="O3568" t="n">
        <v>0</v>
      </c>
      <c r="P3568" t="n">
        <v>0</v>
      </c>
      <c r="Q3568" t="n">
        <v>0</v>
      </c>
      <c r="R3568" s="2" t="inlineStr"/>
    </row>
    <row r="3569" ht="15" customHeight="1">
      <c r="A3569" t="inlineStr">
        <is>
          <t>A 46760-2023</t>
        </is>
      </c>
      <c r="B3569" s="1" t="n">
        <v>45198</v>
      </c>
      <c r="C3569" s="1" t="n">
        <v>45724</v>
      </c>
      <c r="D3569" t="inlineStr">
        <is>
          <t>VÄSTMANLANDS LÄN</t>
        </is>
      </c>
      <c r="E3569" t="inlineStr">
        <is>
          <t>SKINNSKATTEBERG</t>
        </is>
      </c>
      <c r="F3569" t="inlineStr">
        <is>
          <t>Sveaskog</t>
        </is>
      </c>
      <c r="G3569" t="n">
        <v>2.1</v>
      </c>
      <c r="H3569" t="n">
        <v>0</v>
      </c>
      <c r="I3569" t="n">
        <v>0</v>
      </c>
      <c r="J3569" t="n">
        <v>0</v>
      </c>
      <c r="K3569" t="n">
        <v>0</v>
      </c>
      <c r="L3569" t="n">
        <v>0</v>
      </c>
      <c r="M3569" t="n">
        <v>0</v>
      </c>
      <c r="N3569" t="n">
        <v>0</v>
      </c>
      <c r="O3569" t="n">
        <v>0</v>
      </c>
      <c r="P3569" t="n">
        <v>0</v>
      </c>
      <c r="Q3569" t="n">
        <v>0</v>
      </c>
      <c r="R3569" s="2" t="inlineStr"/>
    </row>
    <row r="3570" ht="15" customHeight="1">
      <c r="A3570" t="inlineStr">
        <is>
          <t>A 47693-2023</t>
        </is>
      </c>
      <c r="B3570" s="1" t="n">
        <v>45198</v>
      </c>
      <c r="C3570" s="1" t="n">
        <v>45724</v>
      </c>
      <c r="D3570" t="inlineStr">
        <is>
          <t>VÄSTMANLANDS LÄN</t>
        </is>
      </c>
      <c r="E3570" t="inlineStr">
        <is>
          <t>SKINNSKATTEBERG</t>
        </is>
      </c>
      <c r="G3570" t="n">
        <v>1.6</v>
      </c>
      <c r="H3570" t="n">
        <v>0</v>
      </c>
      <c r="I3570" t="n">
        <v>0</v>
      </c>
      <c r="J3570" t="n">
        <v>0</v>
      </c>
      <c r="K3570" t="n">
        <v>0</v>
      </c>
      <c r="L3570" t="n">
        <v>0</v>
      </c>
      <c r="M3570" t="n">
        <v>0</v>
      </c>
      <c r="N3570" t="n">
        <v>0</v>
      </c>
      <c r="O3570" t="n">
        <v>0</v>
      </c>
      <c r="P3570" t="n">
        <v>0</v>
      </c>
      <c r="Q3570" t="n">
        <v>0</v>
      </c>
      <c r="R3570" s="2" t="inlineStr"/>
    </row>
    <row r="3571" ht="15" customHeight="1">
      <c r="A3571" t="inlineStr">
        <is>
          <t>A 47689-2023</t>
        </is>
      </c>
      <c r="B3571" s="1" t="n">
        <v>45198</v>
      </c>
      <c r="C3571" s="1" t="n">
        <v>45724</v>
      </c>
      <c r="D3571" t="inlineStr">
        <is>
          <t>VÄSTMANLANDS LÄN</t>
        </is>
      </c>
      <c r="E3571" t="inlineStr">
        <is>
          <t>SKINNSKATTEBERG</t>
        </is>
      </c>
      <c r="G3571" t="n">
        <v>0.7</v>
      </c>
      <c r="H3571" t="n">
        <v>0</v>
      </c>
      <c r="I3571" t="n">
        <v>0</v>
      </c>
      <c r="J3571" t="n">
        <v>0</v>
      </c>
      <c r="K3571" t="n">
        <v>0</v>
      </c>
      <c r="L3571" t="n">
        <v>0</v>
      </c>
      <c r="M3571" t="n">
        <v>0</v>
      </c>
      <c r="N3571" t="n">
        <v>0</v>
      </c>
      <c r="O3571" t="n">
        <v>0</v>
      </c>
      <c r="P3571" t="n">
        <v>0</v>
      </c>
      <c r="Q3571" t="n">
        <v>0</v>
      </c>
      <c r="R3571" s="2" t="inlineStr"/>
    </row>
    <row r="3572" ht="15" customHeight="1">
      <c r="A3572" t="inlineStr">
        <is>
          <t>A 47681-2023</t>
        </is>
      </c>
      <c r="B3572" s="1" t="n">
        <v>45198</v>
      </c>
      <c r="C3572" s="1" t="n">
        <v>45724</v>
      </c>
      <c r="D3572" t="inlineStr">
        <is>
          <t>VÄSTMANLANDS LÄN</t>
        </is>
      </c>
      <c r="E3572" t="inlineStr">
        <is>
          <t>SKINNSKATTEBERG</t>
        </is>
      </c>
      <c r="G3572" t="n">
        <v>4.5</v>
      </c>
      <c r="H3572" t="n">
        <v>0</v>
      </c>
      <c r="I3572" t="n">
        <v>0</v>
      </c>
      <c r="J3572" t="n">
        <v>0</v>
      </c>
      <c r="K3572" t="n">
        <v>0</v>
      </c>
      <c r="L3572" t="n">
        <v>0</v>
      </c>
      <c r="M3572" t="n">
        <v>0</v>
      </c>
      <c r="N3572" t="n">
        <v>0</v>
      </c>
      <c r="O3572" t="n">
        <v>0</v>
      </c>
      <c r="P3572" t="n">
        <v>0</v>
      </c>
      <c r="Q3572" t="n">
        <v>0</v>
      </c>
      <c r="R3572" s="2" t="inlineStr"/>
    </row>
    <row r="3573" ht="15" customHeight="1">
      <c r="A3573" t="inlineStr">
        <is>
          <t>A 46864-2023</t>
        </is>
      </c>
      <c r="B3573" s="1" t="n">
        <v>45200</v>
      </c>
      <c r="C3573" s="1" t="n">
        <v>45724</v>
      </c>
      <c r="D3573" t="inlineStr">
        <is>
          <t>VÄSTMANLANDS LÄN</t>
        </is>
      </c>
      <c r="E3573" t="inlineStr">
        <is>
          <t>NORBERG</t>
        </is>
      </c>
      <c r="F3573" t="inlineStr">
        <is>
          <t>Sveaskog</t>
        </is>
      </c>
      <c r="G3573" t="n">
        <v>4.4</v>
      </c>
      <c r="H3573" t="n">
        <v>0</v>
      </c>
      <c r="I3573" t="n">
        <v>0</v>
      </c>
      <c r="J3573" t="n">
        <v>0</v>
      </c>
      <c r="K3573" t="n">
        <v>0</v>
      </c>
      <c r="L3573" t="n">
        <v>0</v>
      </c>
      <c r="M3573" t="n">
        <v>0</v>
      </c>
      <c r="N3573" t="n">
        <v>0</v>
      </c>
      <c r="O3573" t="n">
        <v>0</v>
      </c>
      <c r="P3573" t="n">
        <v>0</v>
      </c>
      <c r="Q3573" t="n">
        <v>0</v>
      </c>
      <c r="R3573" s="2" t="inlineStr"/>
    </row>
    <row r="3574" ht="15" customHeight="1">
      <c r="A3574" t="inlineStr">
        <is>
          <t>A 46865-2023</t>
        </is>
      </c>
      <c r="B3574" s="1" t="n">
        <v>45200</v>
      </c>
      <c r="C3574" s="1" t="n">
        <v>45724</v>
      </c>
      <c r="D3574" t="inlineStr">
        <is>
          <t>VÄSTMANLANDS LÄN</t>
        </is>
      </c>
      <c r="E3574" t="inlineStr">
        <is>
          <t>NORBERG</t>
        </is>
      </c>
      <c r="F3574" t="inlineStr">
        <is>
          <t>Sveaskog</t>
        </is>
      </c>
      <c r="G3574" t="n">
        <v>5.4</v>
      </c>
      <c r="H3574" t="n">
        <v>0</v>
      </c>
      <c r="I3574" t="n">
        <v>0</v>
      </c>
      <c r="J3574" t="n">
        <v>0</v>
      </c>
      <c r="K3574" t="n">
        <v>0</v>
      </c>
      <c r="L3574" t="n">
        <v>0</v>
      </c>
      <c r="M3574" t="n">
        <v>0</v>
      </c>
      <c r="N3574" t="n">
        <v>0</v>
      </c>
      <c r="O3574" t="n">
        <v>0</v>
      </c>
      <c r="P3574" t="n">
        <v>0</v>
      </c>
      <c r="Q3574" t="n">
        <v>0</v>
      </c>
      <c r="R3574" s="2" t="inlineStr"/>
    </row>
    <row r="3575" ht="15" customHeight="1">
      <c r="A3575" t="inlineStr">
        <is>
          <t>A 47282-2023</t>
        </is>
      </c>
      <c r="B3575" s="1" t="n">
        <v>45202</v>
      </c>
      <c r="C3575" s="1" t="n">
        <v>45724</v>
      </c>
      <c r="D3575" t="inlineStr">
        <is>
          <t>VÄSTMANLANDS LÄN</t>
        </is>
      </c>
      <c r="E3575" t="inlineStr">
        <is>
          <t>KÖPING</t>
        </is>
      </c>
      <c r="G3575" t="n">
        <v>5</v>
      </c>
      <c r="H3575" t="n">
        <v>0</v>
      </c>
      <c r="I3575" t="n">
        <v>0</v>
      </c>
      <c r="J3575" t="n">
        <v>0</v>
      </c>
      <c r="K3575" t="n">
        <v>0</v>
      </c>
      <c r="L3575" t="n">
        <v>0</v>
      </c>
      <c r="M3575" t="n">
        <v>0</v>
      </c>
      <c r="N3575" t="n">
        <v>0</v>
      </c>
      <c r="O3575" t="n">
        <v>0</v>
      </c>
      <c r="P3575" t="n">
        <v>0</v>
      </c>
      <c r="Q3575" t="n">
        <v>0</v>
      </c>
      <c r="R3575" s="2" t="inlineStr"/>
    </row>
    <row r="3576" ht="15" customHeight="1">
      <c r="A3576" t="inlineStr">
        <is>
          <t>A 47501-2023</t>
        </is>
      </c>
      <c r="B3576" s="1" t="n">
        <v>45202</v>
      </c>
      <c r="C3576" s="1" t="n">
        <v>45724</v>
      </c>
      <c r="D3576" t="inlineStr">
        <is>
          <t>VÄSTMANLANDS LÄN</t>
        </is>
      </c>
      <c r="E3576" t="inlineStr">
        <is>
          <t>SALA</t>
        </is>
      </c>
      <c r="G3576" t="n">
        <v>0.9</v>
      </c>
      <c r="H3576" t="n">
        <v>0</v>
      </c>
      <c r="I3576" t="n">
        <v>0</v>
      </c>
      <c r="J3576" t="n">
        <v>0</v>
      </c>
      <c r="K3576" t="n">
        <v>0</v>
      </c>
      <c r="L3576" t="n">
        <v>0</v>
      </c>
      <c r="M3576" t="n">
        <v>0</v>
      </c>
      <c r="N3576" t="n">
        <v>0</v>
      </c>
      <c r="O3576" t="n">
        <v>0</v>
      </c>
      <c r="P3576" t="n">
        <v>0</v>
      </c>
      <c r="Q3576" t="n">
        <v>0</v>
      </c>
      <c r="R3576" s="2" t="inlineStr"/>
    </row>
    <row r="3577" ht="15" customHeight="1">
      <c r="A3577" t="inlineStr">
        <is>
          <t>A 48906-2023</t>
        </is>
      </c>
      <c r="B3577" s="1" t="n">
        <v>45203</v>
      </c>
      <c r="C3577" s="1" t="n">
        <v>45724</v>
      </c>
      <c r="D3577" t="inlineStr">
        <is>
          <t>VÄSTMANLANDS LÄN</t>
        </is>
      </c>
      <c r="E3577" t="inlineStr">
        <is>
          <t>SURAHAMMAR</t>
        </is>
      </c>
      <c r="F3577" t="inlineStr">
        <is>
          <t>Bergvik skog väst AB</t>
        </is>
      </c>
      <c r="G3577" t="n">
        <v>2.5</v>
      </c>
      <c r="H3577" t="n">
        <v>0</v>
      </c>
      <c r="I3577" t="n">
        <v>0</v>
      </c>
      <c r="J3577" t="n">
        <v>0</v>
      </c>
      <c r="K3577" t="n">
        <v>0</v>
      </c>
      <c r="L3577" t="n">
        <v>0</v>
      </c>
      <c r="M3577" t="n">
        <v>0</v>
      </c>
      <c r="N3577" t="n">
        <v>0</v>
      </c>
      <c r="O3577" t="n">
        <v>0</v>
      </c>
      <c r="P3577" t="n">
        <v>0</v>
      </c>
      <c r="Q3577" t="n">
        <v>0</v>
      </c>
      <c r="R3577" s="2" t="inlineStr"/>
      <c r="U3577">
        <f>HYPERLINK("https://klasma.github.io/Logging_1907/knärot/A 48906-2023 karta knärot.png", "A 48906-2023")</f>
        <v/>
      </c>
      <c r="V3577">
        <f>HYPERLINK("https://klasma.github.io/Logging_1907/klagomål/A 48906-2023 FSC-klagomål.docx", "A 48906-2023")</f>
        <v/>
      </c>
      <c r="W3577">
        <f>HYPERLINK("https://klasma.github.io/Logging_1907/klagomålsmail/A 48906-2023 FSC-klagomål mail.docx", "A 48906-2023")</f>
        <v/>
      </c>
      <c r="X3577">
        <f>HYPERLINK("https://klasma.github.io/Logging_1907/tillsyn/A 48906-2023 tillsynsbegäran.docx", "A 48906-2023")</f>
        <v/>
      </c>
      <c r="Y3577">
        <f>HYPERLINK("https://klasma.github.io/Logging_1907/tillsynsmail/A 48906-2023 tillsynsbegäran mail.docx", "A 48906-2023")</f>
        <v/>
      </c>
    </row>
    <row r="3578" ht="15" customHeight="1">
      <c r="A3578" t="inlineStr">
        <is>
          <t>A 48037-2023</t>
        </is>
      </c>
      <c r="B3578" s="1" t="n">
        <v>45204</v>
      </c>
      <c r="C3578" s="1" t="n">
        <v>45724</v>
      </c>
      <c r="D3578" t="inlineStr">
        <is>
          <t>VÄSTMANLANDS LÄN</t>
        </is>
      </c>
      <c r="E3578" t="inlineStr">
        <is>
          <t>SKINNSKATTEBERG</t>
        </is>
      </c>
      <c r="G3578" t="n">
        <v>2</v>
      </c>
      <c r="H3578" t="n">
        <v>0</v>
      </c>
      <c r="I3578" t="n">
        <v>0</v>
      </c>
      <c r="J3578" t="n">
        <v>0</v>
      </c>
      <c r="K3578" t="n">
        <v>0</v>
      </c>
      <c r="L3578" t="n">
        <v>0</v>
      </c>
      <c r="M3578" t="n">
        <v>0</v>
      </c>
      <c r="N3578" t="n">
        <v>0</v>
      </c>
      <c r="O3578" t="n">
        <v>0</v>
      </c>
      <c r="P3578" t="n">
        <v>0</v>
      </c>
      <c r="Q3578" t="n">
        <v>0</v>
      </c>
      <c r="R3578" s="2" t="inlineStr"/>
    </row>
    <row r="3579" ht="15" customHeight="1">
      <c r="A3579" t="inlineStr">
        <is>
          <t>A 48205-2023</t>
        </is>
      </c>
      <c r="B3579" s="1" t="n">
        <v>45205</v>
      </c>
      <c r="C3579" s="1" t="n">
        <v>45724</v>
      </c>
      <c r="D3579" t="inlineStr">
        <is>
          <t>VÄSTMANLANDS LÄN</t>
        </is>
      </c>
      <c r="E3579" t="inlineStr">
        <is>
          <t>SURAHAMMAR</t>
        </is>
      </c>
      <c r="F3579" t="inlineStr">
        <is>
          <t>Allmännings- och besparingsskogar</t>
        </is>
      </c>
      <c r="G3579" t="n">
        <v>7.6</v>
      </c>
      <c r="H3579" t="n">
        <v>0</v>
      </c>
      <c r="I3579" t="n">
        <v>0</v>
      </c>
      <c r="J3579" t="n">
        <v>0</v>
      </c>
      <c r="K3579" t="n">
        <v>0</v>
      </c>
      <c r="L3579" t="n">
        <v>0</v>
      </c>
      <c r="M3579" t="n">
        <v>0</v>
      </c>
      <c r="N3579" t="n">
        <v>0</v>
      </c>
      <c r="O3579" t="n">
        <v>0</v>
      </c>
      <c r="P3579" t="n">
        <v>0</v>
      </c>
      <c r="Q3579" t="n">
        <v>0</v>
      </c>
      <c r="R3579" s="2" t="inlineStr"/>
    </row>
    <row r="3580" ht="15" customHeight="1">
      <c r="A3580" t="inlineStr">
        <is>
          <t>A 48245-2023</t>
        </is>
      </c>
      <c r="B3580" s="1" t="n">
        <v>45205</v>
      </c>
      <c r="C3580" s="1" t="n">
        <v>45724</v>
      </c>
      <c r="D3580" t="inlineStr">
        <is>
          <t>VÄSTMANLANDS LÄN</t>
        </is>
      </c>
      <c r="E3580" t="inlineStr">
        <is>
          <t>HALLSTAHAMMAR</t>
        </is>
      </c>
      <c r="F3580" t="inlineStr">
        <is>
          <t>Allmännings- och besparingsskogar</t>
        </is>
      </c>
      <c r="G3580" t="n">
        <v>15.7</v>
      </c>
      <c r="H3580" t="n">
        <v>0</v>
      </c>
      <c r="I3580" t="n">
        <v>0</v>
      </c>
      <c r="J3580" t="n">
        <v>0</v>
      </c>
      <c r="K3580" t="n">
        <v>0</v>
      </c>
      <c r="L3580" t="n">
        <v>0</v>
      </c>
      <c r="M3580" t="n">
        <v>0</v>
      </c>
      <c r="N3580" t="n">
        <v>0</v>
      </c>
      <c r="O3580" t="n">
        <v>0</v>
      </c>
      <c r="P3580" t="n">
        <v>0</v>
      </c>
      <c r="Q3580" t="n">
        <v>0</v>
      </c>
      <c r="R3580" s="2" t="inlineStr"/>
    </row>
    <row r="3581" ht="15" customHeight="1">
      <c r="A3581" t="inlineStr">
        <is>
          <t>A 48367-2023</t>
        </is>
      </c>
      <c r="B3581" s="1" t="n">
        <v>45205</v>
      </c>
      <c r="C3581" s="1" t="n">
        <v>45724</v>
      </c>
      <c r="D3581" t="inlineStr">
        <is>
          <t>VÄSTMANLANDS LÄN</t>
        </is>
      </c>
      <c r="E3581" t="inlineStr">
        <is>
          <t>VÄSTERÅS</t>
        </is>
      </c>
      <c r="G3581" t="n">
        <v>5.9</v>
      </c>
      <c r="H3581" t="n">
        <v>0</v>
      </c>
      <c r="I3581" t="n">
        <v>0</v>
      </c>
      <c r="J3581" t="n">
        <v>0</v>
      </c>
      <c r="K3581" t="n">
        <v>0</v>
      </c>
      <c r="L3581" t="n">
        <v>0</v>
      </c>
      <c r="M3581" t="n">
        <v>0</v>
      </c>
      <c r="N3581" t="n">
        <v>0</v>
      </c>
      <c r="O3581" t="n">
        <v>0</v>
      </c>
      <c r="P3581" t="n">
        <v>0</v>
      </c>
      <c r="Q3581" t="n">
        <v>0</v>
      </c>
      <c r="R3581" s="2" t="inlineStr"/>
    </row>
    <row r="3582" ht="15" customHeight="1">
      <c r="A3582" t="inlineStr">
        <is>
          <t>A 48399-2023</t>
        </is>
      </c>
      <c r="B3582" s="1" t="n">
        <v>45205</v>
      </c>
      <c r="C3582" s="1" t="n">
        <v>45724</v>
      </c>
      <c r="D3582" t="inlineStr">
        <is>
          <t>VÄSTMANLANDS LÄN</t>
        </is>
      </c>
      <c r="E3582" t="inlineStr">
        <is>
          <t>NORBERG</t>
        </is>
      </c>
      <c r="F3582" t="inlineStr">
        <is>
          <t>Sveaskog</t>
        </is>
      </c>
      <c r="G3582" t="n">
        <v>3.3</v>
      </c>
      <c r="H3582" t="n">
        <v>0</v>
      </c>
      <c r="I3582" t="n">
        <v>0</v>
      </c>
      <c r="J3582" t="n">
        <v>0</v>
      </c>
      <c r="K3582" t="n">
        <v>0</v>
      </c>
      <c r="L3582" t="n">
        <v>0</v>
      </c>
      <c r="M3582" t="n">
        <v>0</v>
      </c>
      <c r="N3582" t="n">
        <v>0</v>
      </c>
      <c r="O3582" t="n">
        <v>0</v>
      </c>
      <c r="P3582" t="n">
        <v>0</v>
      </c>
      <c r="Q3582" t="n">
        <v>0</v>
      </c>
      <c r="R3582" s="2" t="inlineStr"/>
    </row>
    <row r="3583" ht="15" customHeight="1">
      <c r="A3583" t="inlineStr">
        <is>
          <t>A 48398-2023</t>
        </is>
      </c>
      <c r="B3583" s="1" t="n">
        <v>45205</v>
      </c>
      <c r="C3583" s="1" t="n">
        <v>45724</v>
      </c>
      <c r="D3583" t="inlineStr">
        <is>
          <t>VÄSTMANLANDS LÄN</t>
        </is>
      </c>
      <c r="E3583" t="inlineStr">
        <is>
          <t>NORBERG</t>
        </is>
      </c>
      <c r="F3583" t="inlineStr">
        <is>
          <t>Sveaskog</t>
        </is>
      </c>
      <c r="G3583" t="n">
        <v>1.7</v>
      </c>
      <c r="H3583" t="n">
        <v>0</v>
      </c>
      <c r="I3583" t="n">
        <v>0</v>
      </c>
      <c r="J3583" t="n">
        <v>0</v>
      </c>
      <c r="K3583" t="n">
        <v>0</v>
      </c>
      <c r="L3583" t="n">
        <v>0</v>
      </c>
      <c r="M3583" t="n">
        <v>0</v>
      </c>
      <c r="N3583" t="n">
        <v>0</v>
      </c>
      <c r="O3583" t="n">
        <v>0</v>
      </c>
      <c r="P3583" t="n">
        <v>0</v>
      </c>
      <c r="Q3583" t="n">
        <v>0</v>
      </c>
      <c r="R3583" s="2" t="inlineStr"/>
    </row>
    <row r="3584" ht="15" customHeight="1">
      <c r="A3584" t="inlineStr">
        <is>
          <t>A 48177-2023</t>
        </is>
      </c>
      <c r="B3584" s="1" t="n">
        <v>45205</v>
      </c>
      <c r="C3584" s="1" t="n">
        <v>45724</v>
      </c>
      <c r="D3584" t="inlineStr">
        <is>
          <t>VÄSTMANLANDS LÄN</t>
        </is>
      </c>
      <c r="E3584" t="inlineStr">
        <is>
          <t>NORBERG</t>
        </is>
      </c>
      <c r="F3584" t="inlineStr">
        <is>
          <t>Övriga Aktiebolag</t>
        </is>
      </c>
      <c r="G3584" t="n">
        <v>18.4</v>
      </c>
      <c r="H3584" t="n">
        <v>0</v>
      </c>
      <c r="I3584" t="n">
        <v>0</v>
      </c>
      <c r="J3584" t="n">
        <v>0</v>
      </c>
      <c r="K3584" t="n">
        <v>0</v>
      </c>
      <c r="L3584" t="n">
        <v>0</v>
      </c>
      <c r="M3584" t="n">
        <v>0</v>
      </c>
      <c r="N3584" t="n">
        <v>0</v>
      </c>
      <c r="O3584" t="n">
        <v>0</v>
      </c>
      <c r="P3584" t="n">
        <v>0</v>
      </c>
      <c r="Q3584" t="n">
        <v>0</v>
      </c>
      <c r="R3584" s="2" t="inlineStr"/>
    </row>
    <row r="3585" ht="15" customHeight="1">
      <c r="A3585" t="inlineStr">
        <is>
          <t>A 48325-2023</t>
        </is>
      </c>
      <c r="B3585" s="1" t="n">
        <v>45205</v>
      </c>
      <c r="C3585" s="1" t="n">
        <v>45724</v>
      </c>
      <c r="D3585" t="inlineStr">
        <is>
          <t>VÄSTMANLANDS LÄN</t>
        </is>
      </c>
      <c r="E3585" t="inlineStr">
        <is>
          <t>VÄSTERÅS</t>
        </is>
      </c>
      <c r="G3585" t="n">
        <v>6</v>
      </c>
      <c r="H3585" t="n">
        <v>0</v>
      </c>
      <c r="I3585" t="n">
        <v>0</v>
      </c>
      <c r="J3585" t="n">
        <v>0</v>
      </c>
      <c r="K3585" t="n">
        <v>0</v>
      </c>
      <c r="L3585" t="n">
        <v>0</v>
      </c>
      <c r="M3585" t="n">
        <v>0</v>
      </c>
      <c r="N3585" t="n">
        <v>0</v>
      </c>
      <c r="O3585" t="n">
        <v>0</v>
      </c>
      <c r="P3585" t="n">
        <v>0</v>
      </c>
      <c r="Q3585" t="n">
        <v>0</v>
      </c>
      <c r="R3585" s="2" t="inlineStr"/>
    </row>
    <row r="3586" ht="15" customHeight="1">
      <c r="A3586" t="inlineStr">
        <is>
          <t>A 48396-2023</t>
        </is>
      </c>
      <c r="B3586" s="1" t="n">
        <v>45205</v>
      </c>
      <c r="C3586" s="1" t="n">
        <v>45724</v>
      </c>
      <c r="D3586" t="inlineStr">
        <is>
          <t>VÄSTMANLANDS LÄN</t>
        </is>
      </c>
      <c r="E3586" t="inlineStr">
        <is>
          <t>NORBERG</t>
        </is>
      </c>
      <c r="F3586" t="inlineStr">
        <is>
          <t>Sveaskog</t>
        </is>
      </c>
      <c r="G3586" t="n">
        <v>2.4</v>
      </c>
      <c r="H3586" t="n">
        <v>0</v>
      </c>
      <c r="I3586" t="n">
        <v>0</v>
      </c>
      <c r="J3586" t="n">
        <v>0</v>
      </c>
      <c r="K3586" t="n">
        <v>0</v>
      </c>
      <c r="L3586" t="n">
        <v>0</v>
      </c>
      <c r="M3586" t="n">
        <v>0</v>
      </c>
      <c r="N3586" t="n">
        <v>0</v>
      </c>
      <c r="O3586" t="n">
        <v>0</v>
      </c>
      <c r="P3586" t="n">
        <v>0</v>
      </c>
      <c r="Q3586" t="n">
        <v>0</v>
      </c>
      <c r="R3586" s="2" t="inlineStr"/>
    </row>
    <row r="3587" ht="15" customHeight="1">
      <c r="A3587" t="inlineStr">
        <is>
          <t>A 48737-2023</t>
        </is>
      </c>
      <c r="B3587" s="1" t="n">
        <v>45208</v>
      </c>
      <c r="C3587" s="1" t="n">
        <v>45724</v>
      </c>
      <c r="D3587" t="inlineStr">
        <is>
          <t>VÄSTMANLANDS LÄN</t>
        </is>
      </c>
      <c r="E3587" t="inlineStr">
        <is>
          <t>FAGERSTA</t>
        </is>
      </c>
      <c r="G3587" t="n">
        <v>2.1</v>
      </c>
      <c r="H3587" t="n">
        <v>0</v>
      </c>
      <c r="I3587" t="n">
        <v>0</v>
      </c>
      <c r="J3587" t="n">
        <v>0</v>
      </c>
      <c r="K3587" t="n">
        <v>0</v>
      </c>
      <c r="L3587" t="n">
        <v>0</v>
      </c>
      <c r="M3587" t="n">
        <v>0</v>
      </c>
      <c r="N3587" t="n">
        <v>0</v>
      </c>
      <c r="O3587" t="n">
        <v>0</v>
      </c>
      <c r="P3587" t="n">
        <v>0</v>
      </c>
      <c r="Q3587" t="n">
        <v>0</v>
      </c>
      <c r="R3587" s="2" t="inlineStr"/>
    </row>
    <row r="3588" ht="15" customHeight="1">
      <c r="A3588" t="inlineStr">
        <is>
          <t>A 48807-2023</t>
        </is>
      </c>
      <c r="B3588" s="1" t="n">
        <v>45209</v>
      </c>
      <c r="C3588" s="1" t="n">
        <v>45724</v>
      </c>
      <c r="D3588" t="inlineStr">
        <is>
          <t>VÄSTMANLANDS LÄN</t>
        </is>
      </c>
      <c r="E3588" t="inlineStr">
        <is>
          <t>KÖPING</t>
        </is>
      </c>
      <c r="F3588" t="inlineStr">
        <is>
          <t>Sveaskog</t>
        </is>
      </c>
      <c r="G3588" t="n">
        <v>1.7</v>
      </c>
      <c r="H3588" t="n">
        <v>0</v>
      </c>
      <c r="I3588" t="n">
        <v>0</v>
      </c>
      <c r="J3588" t="n">
        <v>0</v>
      </c>
      <c r="K3588" t="n">
        <v>0</v>
      </c>
      <c r="L3588" t="n">
        <v>0</v>
      </c>
      <c r="M3588" t="n">
        <v>0</v>
      </c>
      <c r="N3588" t="n">
        <v>0</v>
      </c>
      <c r="O3588" t="n">
        <v>0</v>
      </c>
      <c r="P3588" t="n">
        <v>0</v>
      </c>
      <c r="Q3588" t="n">
        <v>0</v>
      </c>
      <c r="R3588" s="2" t="inlineStr"/>
    </row>
    <row r="3589" ht="15" customHeight="1">
      <c r="A3589" t="inlineStr">
        <is>
          <t>A 48809-2023</t>
        </is>
      </c>
      <c r="B3589" s="1" t="n">
        <v>45209</v>
      </c>
      <c r="C3589" s="1" t="n">
        <v>45724</v>
      </c>
      <c r="D3589" t="inlineStr">
        <is>
          <t>VÄSTMANLANDS LÄN</t>
        </is>
      </c>
      <c r="E3589" t="inlineStr">
        <is>
          <t>KÖPING</t>
        </is>
      </c>
      <c r="F3589" t="inlineStr">
        <is>
          <t>Sveaskog</t>
        </is>
      </c>
      <c r="G3589" t="n">
        <v>2</v>
      </c>
      <c r="H3589" t="n">
        <v>0</v>
      </c>
      <c r="I3589" t="n">
        <v>0</v>
      </c>
      <c r="J3589" t="n">
        <v>0</v>
      </c>
      <c r="K3589" t="n">
        <v>0</v>
      </c>
      <c r="L3589" t="n">
        <v>0</v>
      </c>
      <c r="M3589" t="n">
        <v>0</v>
      </c>
      <c r="N3589" t="n">
        <v>0</v>
      </c>
      <c r="O3589" t="n">
        <v>0</v>
      </c>
      <c r="P3589" t="n">
        <v>0</v>
      </c>
      <c r="Q3589" t="n">
        <v>0</v>
      </c>
      <c r="R3589" s="2" t="inlineStr"/>
    </row>
    <row r="3590" ht="15" customHeight="1">
      <c r="A3590" t="inlineStr">
        <is>
          <t>A 48810-2023</t>
        </is>
      </c>
      <c r="B3590" s="1" t="n">
        <v>45209</v>
      </c>
      <c r="C3590" s="1" t="n">
        <v>45724</v>
      </c>
      <c r="D3590" t="inlineStr">
        <is>
          <t>VÄSTMANLANDS LÄN</t>
        </is>
      </c>
      <c r="E3590" t="inlineStr">
        <is>
          <t>KÖPING</t>
        </is>
      </c>
      <c r="F3590" t="inlineStr">
        <is>
          <t>Sveaskog</t>
        </is>
      </c>
      <c r="G3590" t="n">
        <v>2.3</v>
      </c>
      <c r="H3590" t="n">
        <v>0</v>
      </c>
      <c r="I3590" t="n">
        <v>0</v>
      </c>
      <c r="J3590" t="n">
        <v>0</v>
      </c>
      <c r="K3590" t="n">
        <v>0</v>
      </c>
      <c r="L3590" t="n">
        <v>0</v>
      </c>
      <c r="M3590" t="n">
        <v>0</v>
      </c>
      <c r="N3590" t="n">
        <v>0</v>
      </c>
      <c r="O3590" t="n">
        <v>0</v>
      </c>
      <c r="P3590" t="n">
        <v>0</v>
      </c>
      <c r="Q3590" t="n">
        <v>0</v>
      </c>
      <c r="R3590" s="2" t="inlineStr"/>
    </row>
    <row r="3591" ht="15" customHeight="1">
      <c r="A3591" t="inlineStr">
        <is>
          <t>A 49005-2023</t>
        </is>
      </c>
      <c r="B3591" s="1" t="n">
        <v>45209</v>
      </c>
      <c r="C3591" s="1" t="n">
        <v>45724</v>
      </c>
      <c r="D3591" t="inlineStr">
        <is>
          <t>VÄSTMANLANDS LÄN</t>
        </is>
      </c>
      <c r="E3591" t="inlineStr">
        <is>
          <t>ARBOGA</t>
        </is>
      </c>
      <c r="G3591" t="n">
        <v>0.6</v>
      </c>
      <c r="H3591" t="n">
        <v>0</v>
      </c>
      <c r="I3591" t="n">
        <v>0</v>
      </c>
      <c r="J3591" t="n">
        <v>0</v>
      </c>
      <c r="K3591" t="n">
        <v>0</v>
      </c>
      <c r="L3591" t="n">
        <v>0</v>
      </c>
      <c r="M3591" t="n">
        <v>0</v>
      </c>
      <c r="N3591" t="n">
        <v>0</v>
      </c>
      <c r="O3591" t="n">
        <v>0</v>
      </c>
      <c r="P3591" t="n">
        <v>0</v>
      </c>
      <c r="Q3591" t="n">
        <v>0</v>
      </c>
      <c r="R3591" s="2" t="inlineStr"/>
    </row>
    <row r="3592" ht="15" customHeight="1">
      <c r="A3592" t="inlineStr">
        <is>
          <t>A 49110-2023</t>
        </is>
      </c>
      <c r="B3592" s="1" t="n">
        <v>45210</v>
      </c>
      <c r="C3592" s="1" t="n">
        <v>45724</v>
      </c>
      <c r="D3592" t="inlineStr">
        <is>
          <t>VÄSTMANLANDS LÄN</t>
        </is>
      </c>
      <c r="E3592" t="inlineStr">
        <is>
          <t>NORBERG</t>
        </is>
      </c>
      <c r="F3592" t="inlineStr">
        <is>
          <t>Bergvik skog väst AB</t>
        </is>
      </c>
      <c r="G3592" t="n">
        <v>25</v>
      </c>
      <c r="H3592" t="n">
        <v>0</v>
      </c>
      <c r="I3592" t="n">
        <v>0</v>
      </c>
      <c r="J3592" t="n">
        <v>0</v>
      </c>
      <c r="K3592" t="n">
        <v>0</v>
      </c>
      <c r="L3592" t="n">
        <v>0</v>
      </c>
      <c r="M3592" t="n">
        <v>0</v>
      </c>
      <c r="N3592" t="n">
        <v>0</v>
      </c>
      <c r="O3592" t="n">
        <v>0</v>
      </c>
      <c r="P3592" t="n">
        <v>0</v>
      </c>
      <c r="Q3592" t="n">
        <v>0</v>
      </c>
      <c r="R3592" s="2" t="inlineStr"/>
    </row>
    <row r="3593" ht="15" customHeight="1">
      <c r="A3593" t="inlineStr">
        <is>
          <t>A 49101-2023</t>
        </is>
      </c>
      <c r="B3593" s="1" t="n">
        <v>45210</v>
      </c>
      <c r="C3593" s="1" t="n">
        <v>45724</v>
      </c>
      <c r="D3593" t="inlineStr">
        <is>
          <t>VÄSTMANLANDS LÄN</t>
        </is>
      </c>
      <c r="E3593" t="inlineStr">
        <is>
          <t>NORBERG</t>
        </is>
      </c>
      <c r="F3593" t="inlineStr">
        <is>
          <t>Övriga Aktiebolag</t>
        </is>
      </c>
      <c r="G3593" t="n">
        <v>5</v>
      </c>
      <c r="H3593" t="n">
        <v>0</v>
      </c>
      <c r="I3593" t="n">
        <v>0</v>
      </c>
      <c r="J3593" t="n">
        <v>0</v>
      </c>
      <c r="K3593" t="n">
        <v>0</v>
      </c>
      <c r="L3593" t="n">
        <v>0</v>
      </c>
      <c r="M3593" t="n">
        <v>0</v>
      </c>
      <c r="N3593" t="n">
        <v>0</v>
      </c>
      <c r="O3593" t="n">
        <v>0</v>
      </c>
      <c r="P3593" t="n">
        <v>0</v>
      </c>
      <c r="Q3593" t="n">
        <v>0</v>
      </c>
      <c r="R3593" s="2" t="inlineStr"/>
    </row>
    <row r="3594" ht="15" customHeight="1">
      <c r="A3594" t="inlineStr">
        <is>
          <t>A 50876-2023</t>
        </is>
      </c>
      <c r="B3594" s="1" t="n">
        <v>45211</v>
      </c>
      <c r="C3594" s="1" t="n">
        <v>45724</v>
      </c>
      <c r="D3594" t="inlineStr">
        <is>
          <t>VÄSTMANLANDS LÄN</t>
        </is>
      </c>
      <c r="E3594" t="inlineStr">
        <is>
          <t>SALA</t>
        </is>
      </c>
      <c r="G3594" t="n">
        <v>1.9</v>
      </c>
      <c r="H3594" t="n">
        <v>0</v>
      </c>
      <c r="I3594" t="n">
        <v>0</v>
      </c>
      <c r="J3594" t="n">
        <v>0</v>
      </c>
      <c r="K3594" t="n">
        <v>0</v>
      </c>
      <c r="L3594" t="n">
        <v>0</v>
      </c>
      <c r="M3594" t="n">
        <v>0</v>
      </c>
      <c r="N3594" t="n">
        <v>0</v>
      </c>
      <c r="O3594" t="n">
        <v>0</v>
      </c>
      <c r="P3594" t="n">
        <v>0</v>
      </c>
      <c r="Q3594" t="n">
        <v>0</v>
      </c>
      <c r="R3594" s="2" t="inlineStr"/>
    </row>
    <row r="3595" ht="15" customHeight="1">
      <c r="A3595" t="inlineStr">
        <is>
          <t>A 49822-2023</t>
        </is>
      </c>
      <c r="B3595" s="1" t="n">
        <v>45212</v>
      </c>
      <c r="C3595" s="1" t="n">
        <v>45724</v>
      </c>
      <c r="D3595" t="inlineStr">
        <is>
          <t>VÄSTMANLANDS LÄN</t>
        </is>
      </c>
      <c r="E3595" t="inlineStr">
        <is>
          <t>KÖPING</t>
        </is>
      </c>
      <c r="F3595" t="inlineStr">
        <is>
          <t>Sveaskog</t>
        </is>
      </c>
      <c r="G3595" t="n">
        <v>4.6</v>
      </c>
      <c r="H3595" t="n">
        <v>0</v>
      </c>
      <c r="I3595" t="n">
        <v>0</v>
      </c>
      <c r="J3595" t="n">
        <v>0</v>
      </c>
      <c r="K3595" t="n">
        <v>0</v>
      </c>
      <c r="L3595" t="n">
        <v>0</v>
      </c>
      <c r="M3595" t="n">
        <v>0</v>
      </c>
      <c r="N3595" t="n">
        <v>0</v>
      </c>
      <c r="O3595" t="n">
        <v>0</v>
      </c>
      <c r="P3595" t="n">
        <v>0</v>
      </c>
      <c r="Q3595" t="n">
        <v>0</v>
      </c>
      <c r="R3595" s="2" t="inlineStr"/>
    </row>
    <row r="3596" ht="15" customHeight="1">
      <c r="A3596" t="inlineStr">
        <is>
          <t>A 49826-2023</t>
        </is>
      </c>
      <c r="B3596" s="1" t="n">
        <v>45212</v>
      </c>
      <c r="C3596" s="1" t="n">
        <v>45724</v>
      </c>
      <c r="D3596" t="inlineStr">
        <is>
          <t>VÄSTMANLANDS LÄN</t>
        </is>
      </c>
      <c r="E3596" t="inlineStr">
        <is>
          <t>KÖPING</t>
        </is>
      </c>
      <c r="F3596" t="inlineStr">
        <is>
          <t>Sveaskog</t>
        </is>
      </c>
      <c r="G3596" t="n">
        <v>4.1</v>
      </c>
      <c r="H3596" t="n">
        <v>0</v>
      </c>
      <c r="I3596" t="n">
        <v>0</v>
      </c>
      <c r="J3596" t="n">
        <v>0</v>
      </c>
      <c r="K3596" t="n">
        <v>0</v>
      </c>
      <c r="L3596" t="n">
        <v>0</v>
      </c>
      <c r="M3596" t="n">
        <v>0</v>
      </c>
      <c r="N3596" t="n">
        <v>0</v>
      </c>
      <c r="O3596" t="n">
        <v>0</v>
      </c>
      <c r="P3596" t="n">
        <v>0</v>
      </c>
      <c r="Q3596" t="n">
        <v>0</v>
      </c>
      <c r="R3596" s="2" t="inlineStr"/>
    </row>
    <row r="3597" ht="15" customHeight="1">
      <c r="A3597" t="inlineStr">
        <is>
          <t>A 49828-2023</t>
        </is>
      </c>
      <c r="B3597" s="1" t="n">
        <v>45212</v>
      </c>
      <c r="C3597" s="1" t="n">
        <v>45724</v>
      </c>
      <c r="D3597" t="inlineStr">
        <is>
          <t>VÄSTMANLANDS LÄN</t>
        </is>
      </c>
      <c r="E3597" t="inlineStr">
        <is>
          <t>KÖPING</t>
        </is>
      </c>
      <c r="F3597" t="inlineStr">
        <is>
          <t>Sveaskog</t>
        </is>
      </c>
      <c r="G3597" t="n">
        <v>1.5</v>
      </c>
      <c r="H3597" t="n">
        <v>0</v>
      </c>
      <c r="I3597" t="n">
        <v>0</v>
      </c>
      <c r="J3597" t="n">
        <v>0</v>
      </c>
      <c r="K3597" t="n">
        <v>0</v>
      </c>
      <c r="L3597" t="n">
        <v>0</v>
      </c>
      <c r="M3597" t="n">
        <v>0</v>
      </c>
      <c r="N3597" t="n">
        <v>0</v>
      </c>
      <c r="O3597" t="n">
        <v>0</v>
      </c>
      <c r="P3597" t="n">
        <v>0</v>
      </c>
      <c r="Q3597" t="n">
        <v>0</v>
      </c>
      <c r="R3597" s="2" t="inlineStr"/>
    </row>
    <row r="3598" ht="15" customHeight="1">
      <c r="A3598" t="inlineStr">
        <is>
          <t>A 49827-2023</t>
        </is>
      </c>
      <c r="B3598" s="1" t="n">
        <v>45212</v>
      </c>
      <c r="C3598" s="1" t="n">
        <v>45724</v>
      </c>
      <c r="D3598" t="inlineStr">
        <is>
          <t>VÄSTMANLANDS LÄN</t>
        </is>
      </c>
      <c r="E3598" t="inlineStr">
        <is>
          <t>KÖPING</t>
        </is>
      </c>
      <c r="F3598" t="inlineStr">
        <is>
          <t>Sveaskog</t>
        </is>
      </c>
      <c r="G3598" t="n">
        <v>1.5</v>
      </c>
      <c r="H3598" t="n">
        <v>0</v>
      </c>
      <c r="I3598" t="n">
        <v>0</v>
      </c>
      <c r="J3598" t="n">
        <v>0</v>
      </c>
      <c r="K3598" t="n">
        <v>0</v>
      </c>
      <c r="L3598" t="n">
        <v>0</v>
      </c>
      <c r="M3598" t="n">
        <v>0</v>
      </c>
      <c r="N3598" t="n">
        <v>0</v>
      </c>
      <c r="O3598" t="n">
        <v>0</v>
      </c>
      <c r="P3598" t="n">
        <v>0</v>
      </c>
      <c r="Q3598" t="n">
        <v>0</v>
      </c>
      <c r="R3598" s="2" t="inlineStr"/>
    </row>
    <row r="3599" ht="15" customHeight="1">
      <c r="A3599" t="inlineStr">
        <is>
          <t>A 49933-2023</t>
        </is>
      </c>
      <c r="B3599" s="1" t="n">
        <v>45215</v>
      </c>
      <c r="C3599" s="1" t="n">
        <v>45724</v>
      </c>
      <c r="D3599" t="inlineStr">
        <is>
          <t>VÄSTMANLANDS LÄN</t>
        </is>
      </c>
      <c r="E3599" t="inlineStr">
        <is>
          <t>NORBERG</t>
        </is>
      </c>
      <c r="F3599" t="inlineStr">
        <is>
          <t>Bergvik skog väst AB</t>
        </is>
      </c>
      <c r="G3599" t="n">
        <v>9.4</v>
      </c>
      <c r="H3599" t="n">
        <v>0</v>
      </c>
      <c r="I3599" t="n">
        <v>0</v>
      </c>
      <c r="J3599" t="n">
        <v>0</v>
      </c>
      <c r="K3599" t="n">
        <v>0</v>
      </c>
      <c r="L3599" t="n">
        <v>0</v>
      </c>
      <c r="M3599" t="n">
        <v>0</v>
      </c>
      <c r="N3599" t="n">
        <v>0</v>
      </c>
      <c r="O3599" t="n">
        <v>0</v>
      </c>
      <c r="P3599" t="n">
        <v>0</v>
      </c>
      <c r="Q3599" t="n">
        <v>0</v>
      </c>
      <c r="R3599" s="2" t="inlineStr"/>
    </row>
    <row r="3600" ht="15" customHeight="1">
      <c r="A3600" t="inlineStr">
        <is>
          <t>A 50198-2023</t>
        </is>
      </c>
      <c r="B3600" s="1" t="n">
        <v>45215</v>
      </c>
      <c r="C3600" s="1" t="n">
        <v>45724</v>
      </c>
      <c r="D3600" t="inlineStr">
        <is>
          <t>VÄSTMANLANDS LÄN</t>
        </is>
      </c>
      <c r="E3600" t="inlineStr">
        <is>
          <t>NORBERG</t>
        </is>
      </c>
      <c r="F3600" t="inlineStr">
        <is>
          <t>Sveaskog</t>
        </is>
      </c>
      <c r="G3600" t="n">
        <v>1.2</v>
      </c>
      <c r="H3600" t="n">
        <v>0</v>
      </c>
      <c r="I3600" t="n">
        <v>0</v>
      </c>
      <c r="J3600" t="n">
        <v>0</v>
      </c>
      <c r="K3600" t="n">
        <v>0</v>
      </c>
      <c r="L3600" t="n">
        <v>0</v>
      </c>
      <c r="M3600" t="n">
        <v>0</v>
      </c>
      <c r="N3600" t="n">
        <v>0</v>
      </c>
      <c r="O3600" t="n">
        <v>0</v>
      </c>
      <c r="P3600" t="n">
        <v>0</v>
      </c>
      <c r="Q3600" t="n">
        <v>0</v>
      </c>
      <c r="R3600" s="2" t="inlineStr"/>
    </row>
    <row r="3601" ht="15" customHeight="1">
      <c r="A3601" t="inlineStr">
        <is>
          <t>A 50422-2023</t>
        </is>
      </c>
      <c r="B3601" s="1" t="n">
        <v>45216</v>
      </c>
      <c r="C3601" s="1" t="n">
        <v>45724</v>
      </c>
      <c r="D3601" t="inlineStr">
        <is>
          <t>VÄSTMANLANDS LÄN</t>
        </is>
      </c>
      <c r="E3601" t="inlineStr">
        <is>
          <t>SKINNSKATTEBERG</t>
        </is>
      </c>
      <c r="F3601" t="inlineStr">
        <is>
          <t>Sveaskog</t>
        </is>
      </c>
      <c r="G3601" t="n">
        <v>3.7</v>
      </c>
      <c r="H3601" t="n">
        <v>0</v>
      </c>
      <c r="I3601" t="n">
        <v>0</v>
      </c>
      <c r="J3601" t="n">
        <v>0</v>
      </c>
      <c r="K3601" t="n">
        <v>0</v>
      </c>
      <c r="L3601" t="n">
        <v>0</v>
      </c>
      <c r="M3601" t="n">
        <v>0</v>
      </c>
      <c r="N3601" t="n">
        <v>0</v>
      </c>
      <c r="O3601" t="n">
        <v>0</v>
      </c>
      <c r="P3601" t="n">
        <v>0</v>
      </c>
      <c r="Q3601" t="n">
        <v>0</v>
      </c>
      <c r="R3601" s="2" t="inlineStr"/>
    </row>
    <row r="3602" ht="15" customHeight="1">
      <c r="A3602" t="inlineStr">
        <is>
          <t>A 50241-2023</t>
        </is>
      </c>
      <c r="B3602" s="1" t="n">
        <v>45216</v>
      </c>
      <c r="C3602" s="1" t="n">
        <v>45724</v>
      </c>
      <c r="D3602" t="inlineStr">
        <is>
          <t>VÄSTMANLANDS LÄN</t>
        </is>
      </c>
      <c r="E3602" t="inlineStr">
        <is>
          <t>SALA</t>
        </is>
      </c>
      <c r="G3602" t="n">
        <v>1.9</v>
      </c>
      <c r="H3602" t="n">
        <v>0</v>
      </c>
      <c r="I3602" t="n">
        <v>0</v>
      </c>
      <c r="J3602" t="n">
        <v>0</v>
      </c>
      <c r="K3602" t="n">
        <v>0</v>
      </c>
      <c r="L3602" t="n">
        <v>0</v>
      </c>
      <c r="M3602" t="n">
        <v>0</v>
      </c>
      <c r="N3602" t="n">
        <v>0</v>
      </c>
      <c r="O3602" t="n">
        <v>0</v>
      </c>
      <c r="P3602" t="n">
        <v>0</v>
      </c>
      <c r="Q3602" t="n">
        <v>0</v>
      </c>
      <c r="R3602" s="2" t="inlineStr"/>
    </row>
    <row r="3603" ht="15" customHeight="1">
      <c r="A3603" t="inlineStr">
        <is>
          <t>A 50457-2023</t>
        </is>
      </c>
      <c r="B3603" s="1" t="n">
        <v>45216</v>
      </c>
      <c r="C3603" s="1" t="n">
        <v>45724</v>
      </c>
      <c r="D3603" t="inlineStr">
        <is>
          <t>VÄSTMANLANDS LÄN</t>
        </is>
      </c>
      <c r="E3603" t="inlineStr">
        <is>
          <t>ARBOGA</t>
        </is>
      </c>
      <c r="G3603" t="n">
        <v>3.3</v>
      </c>
      <c r="H3603" t="n">
        <v>0</v>
      </c>
      <c r="I3603" t="n">
        <v>0</v>
      </c>
      <c r="J3603" t="n">
        <v>0</v>
      </c>
      <c r="K3603" t="n">
        <v>0</v>
      </c>
      <c r="L3603" t="n">
        <v>0</v>
      </c>
      <c r="M3603" t="n">
        <v>0</v>
      </c>
      <c r="N3603" t="n">
        <v>0</v>
      </c>
      <c r="O3603" t="n">
        <v>0</v>
      </c>
      <c r="P3603" t="n">
        <v>0</v>
      </c>
      <c r="Q3603" t="n">
        <v>0</v>
      </c>
      <c r="R3603" s="2" t="inlineStr"/>
    </row>
    <row r="3604" ht="15" customHeight="1">
      <c r="A3604" t="inlineStr">
        <is>
          <t>A 50409-2023</t>
        </is>
      </c>
      <c r="B3604" s="1" t="n">
        <v>45216</v>
      </c>
      <c r="C3604" s="1" t="n">
        <v>45724</v>
      </c>
      <c r="D3604" t="inlineStr">
        <is>
          <t>VÄSTMANLANDS LÄN</t>
        </is>
      </c>
      <c r="E3604" t="inlineStr">
        <is>
          <t>SKINNSKATTEBERG</t>
        </is>
      </c>
      <c r="F3604" t="inlineStr">
        <is>
          <t>Sveaskog</t>
        </is>
      </c>
      <c r="G3604" t="n">
        <v>0.9</v>
      </c>
      <c r="H3604" t="n">
        <v>0</v>
      </c>
      <c r="I3604" t="n">
        <v>0</v>
      </c>
      <c r="J3604" t="n">
        <v>0</v>
      </c>
      <c r="K3604" t="n">
        <v>0</v>
      </c>
      <c r="L3604" t="n">
        <v>0</v>
      </c>
      <c r="M3604" t="n">
        <v>0</v>
      </c>
      <c r="N3604" t="n">
        <v>0</v>
      </c>
      <c r="O3604" t="n">
        <v>0</v>
      </c>
      <c r="P3604" t="n">
        <v>0</v>
      </c>
      <c r="Q3604" t="n">
        <v>0</v>
      </c>
      <c r="R3604" s="2" t="inlineStr"/>
    </row>
    <row r="3605" ht="15" customHeight="1">
      <c r="A3605" t="inlineStr">
        <is>
          <t>A 50415-2023</t>
        </is>
      </c>
      <c r="B3605" s="1" t="n">
        <v>45216</v>
      </c>
      <c r="C3605" s="1" t="n">
        <v>45724</v>
      </c>
      <c r="D3605" t="inlineStr">
        <is>
          <t>VÄSTMANLANDS LÄN</t>
        </is>
      </c>
      <c r="E3605" t="inlineStr">
        <is>
          <t>SKINNSKATTEBERG</t>
        </is>
      </c>
      <c r="F3605" t="inlineStr">
        <is>
          <t>Sveaskog</t>
        </is>
      </c>
      <c r="G3605" t="n">
        <v>5</v>
      </c>
      <c r="H3605" t="n">
        <v>0</v>
      </c>
      <c r="I3605" t="n">
        <v>0</v>
      </c>
      <c r="J3605" t="n">
        <v>0</v>
      </c>
      <c r="K3605" t="n">
        <v>0</v>
      </c>
      <c r="L3605" t="n">
        <v>0</v>
      </c>
      <c r="M3605" t="n">
        <v>0</v>
      </c>
      <c r="N3605" t="n">
        <v>0</v>
      </c>
      <c r="O3605" t="n">
        <v>0</v>
      </c>
      <c r="P3605" t="n">
        <v>0</v>
      </c>
      <c r="Q3605" t="n">
        <v>0</v>
      </c>
      <c r="R3605" s="2" t="inlineStr"/>
    </row>
    <row r="3606" ht="15" customHeight="1">
      <c r="A3606" t="inlineStr">
        <is>
          <t>A 50407-2023</t>
        </is>
      </c>
      <c r="B3606" s="1" t="n">
        <v>45216</v>
      </c>
      <c r="C3606" s="1" t="n">
        <v>45724</v>
      </c>
      <c r="D3606" t="inlineStr">
        <is>
          <t>VÄSTMANLANDS LÄN</t>
        </is>
      </c>
      <c r="E3606" t="inlineStr">
        <is>
          <t>SKINNSKATTEBERG</t>
        </is>
      </c>
      <c r="F3606" t="inlineStr">
        <is>
          <t>Sveaskog</t>
        </is>
      </c>
      <c r="G3606" t="n">
        <v>0.9</v>
      </c>
      <c r="H3606" t="n">
        <v>0</v>
      </c>
      <c r="I3606" t="n">
        <v>0</v>
      </c>
      <c r="J3606" t="n">
        <v>0</v>
      </c>
      <c r="K3606" t="n">
        <v>0</v>
      </c>
      <c r="L3606" t="n">
        <v>0</v>
      </c>
      <c r="M3606" t="n">
        <v>0</v>
      </c>
      <c r="N3606" t="n">
        <v>0</v>
      </c>
      <c r="O3606" t="n">
        <v>0</v>
      </c>
      <c r="P3606" t="n">
        <v>0</v>
      </c>
      <c r="Q3606" t="n">
        <v>0</v>
      </c>
      <c r="R3606" s="2" t="inlineStr"/>
    </row>
    <row r="3607" ht="15" customHeight="1">
      <c r="A3607" t="inlineStr">
        <is>
          <t>A 50452-2023</t>
        </is>
      </c>
      <c r="B3607" s="1" t="n">
        <v>45216</v>
      </c>
      <c r="C3607" s="1" t="n">
        <v>45724</v>
      </c>
      <c r="D3607" t="inlineStr">
        <is>
          <t>VÄSTMANLANDS LÄN</t>
        </is>
      </c>
      <c r="E3607" t="inlineStr">
        <is>
          <t>NORBERG</t>
        </is>
      </c>
      <c r="F3607" t="inlineStr">
        <is>
          <t>Sveaskog</t>
        </is>
      </c>
      <c r="G3607" t="n">
        <v>2.2</v>
      </c>
      <c r="H3607" t="n">
        <v>0</v>
      </c>
      <c r="I3607" t="n">
        <v>0</v>
      </c>
      <c r="J3607" t="n">
        <v>0</v>
      </c>
      <c r="K3607" t="n">
        <v>0</v>
      </c>
      <c r="L3607" t="n">
        <v>0</v>
      </c>
      <c r="M3607" t="n">
        <v>0</v>
      </c>
      <c r="N3607" t="n">
        <v>0</v>
      </c>
      <c r="O3607" t="n">
        <v>0</v>
      </c>
      <c r="P3607" t="n">
        <v>0</v>
      </c>
      <c r="Q3607" t="n">
        <v>0</v>
      </c>
      <c r="R3607" s="2" t="inlineStr"/>
    </row>
    <row r="3608" ht="15" customHeight="1">
      <c r="A3608" t="inlineStr">
        <is>
          <t>A 50416-2023</t>
        </is>
      </c>
      <c r="B3608" s="1" t="n">
        <v>45216</v>
      </c>
      <c r="C3608" s="1" t="n">
        <v>45724</v>
      </c>
      <c r="D3608" t="inlineStr">
        <is>
          <t>VÄSTMANLANDS LÄN</t>
        </is>
      </c>
      <c r="E3608" t="inlineStr">
        <is>
          <t>SKINNSKATTEBERG</t>
        </is>
      </c>
      <c r="F3608" t="inlineStr">
        <is>
          <t>Sveaskog</t>
        </is>
      </c>
      <c r="G3608" t="n">
        <v>1.7</v>
      </c>
      <c r="H3608" t="n">
        <v>0</v>
      </c>
      <c r="I3608" t="n">
        <v>0</v>
      </c>
      <c r="J3608" t="n">
        <v>0</v>
      </c>
      <c r="K3608" t="n">
        <v>0</v>
      </c>
      <c r="L3608" t="n">
        <v>0</v>
      </c>
      <c r="M3608" t="n">
        <v>0</v>
      </c>
      <c r="N3608" t="n">
        <v>0</v>
      </c>
      <c r="O3608" t="n">
        <v>0</v>
      </c>
      <c r="P3608" t="n">
        <v>0</v>
      </c>
      <c r="Q3608" t="n">
        <v>0</v>
      </c>
      <c r="R3608" s="2" t="inlineStr"/>
    </row>
    <row r="3609" ht="15" customHeight="1">
      <c r="A3609" t="inlineStr">
        <is>
          <t>A 50408-2023</t>
        </is>
      </c>
      <c r="B3609" s="1" t="n">
        <v>45216</v>
      </c>
      <c r="C3609" s="1" t="n">
        <v>45724</v>
      </c>
      <c r="D3609" t="inlineStr">
        <is>
          <t>VÄSTMANLANDS LÄN</t>
        </is>
      </c>
      <c r="E3609" t="inlineStr">
        <is>
          <t>SKINNSKATTEBERG</t>
        </is>
      </c>
      <c r="F3609" t="inlineStr">
        <is>
          <t>Sveaskog</t>
        </is>
      </c>
      <c r="G3609" t="n">
        <v>2.2</v>
      </c>
      <c r="H3609" t="n">
        <v>0</v>
      </c>
      <c r="I3609" t="n">
        <v>0</v>
      </c>
      <c r="J3609" t="n">
        <v>0</v>
      </c>
      <c r="K3609" t="n">
        <v>0</v>
      </c>
      <c r="L3609" t="n">
        <v>0</v>
      </c>
      <c r="M3609" t="n">
        <v>0</v>
      </c>
      <c r="N3609" t="n">
        <v>0</v>
      </c>
      <c r="O3609" t="n">
        <v>0</v>
      </c>
      <c r="P3609" t="n">
        <v>0</v>
      </c>
      <c r="Q3609" t="n">
        <v>0</v>
      </c>
      <c r="R3609" s="2" t="inlineStr"/>
    </row>
    <row r="3610" ht="15" customHeight="1">
      <c r="A3610" t="inlineStr">
        <is>
          <t>A 50793-2023</t>
        </is>
      </c>
      <c r="B3610" s="1" t="n">
        <v>45217</v>
      </c>
      <c r="C3610" s="1" t="n">
        <v>45724</v>
      </c>
      <c r="D3610" t="inlineStr">
        <is>
          <t>VÄSTMANLANDS LÄN</t>
        </is>
      </c>
      <c r="E3610" t="inlineStr">
        <is>
          <t>VÄSTERÅS</t>
        </is>
      </c>
      <c r="G3610" t="n">
        <v>5</v>
      </c>
      <c r="H3610" t="n">
        <v>0</v>
      </c>
      <c r="I3610" t="n">
        <v>0</v>
      </c>
      <c r="J3610" t="n">
        <v>0</v>
      </c>
      <c r="K3610" t="n">
        <v>0</v>
      </c>
      <c r="L3610" t="n">
        <v>0</v>
      </c>
      <c r="M3610" t="n">
        <v>0</v>
      </c>
      <c r="N3610" t="n">
        <v>0</v>
      </c>
      <c r="O3610" t="n">
        <v>0</v>
      </c>
      <c r="P3610" t="n">
        <v>0</v>
      </c>
      <c r="Q3610" t="n">
        <v>0</v>
      </c>
      <c r="R3610" s="2" t="inlineStr"/>
    </row>
    <row r="3611" ht="15" customHeight="1">
      <c r="A3611" t="inlineStr">
        <is>
          <t>A 50641-2023</t>
        </is>
      </c>
      <c r="B3611" s="1" t="n">
        <v>45217</v>
      </c>
      <c r="C3611" s="1" t="n">
        <v>45724</v>
      </c>
      <c r="D3611" t="inlineStr">
        <is>
          <t>VÄSTMANLANDS LÄN</t>
        </is>
      </c>
      <c r="E3611" t="inlineStr">
        <is>
          <t>SKINNSKATTEBERG</t>
        </is>
      </c>
      <c r="F3611" t="inlineStr">
        <is>
          <t>Sveaskog</t>
        </is>
      </c>
      <c r="G3611" t="n">
        <v>1</v>
      </c>
      <c r="H3611" t="n">
        <v>0</v>
      </c>
      <c r="I3611" t="n">
        <v>0</v>
      </c>
      <c r="J3611" t="n">
        <v>0</v>
      </c>
      <c r="K3611" t="n">
        <v>0</v>
      </c>
      <c r="L3611" t="n">
        <v>0</v>
      </c>
      <c r="M3611" t="n">
        <v>0</v>
      </c>
      <c r="N3611" t="n">
        <v>0</v>
      </c>
      <c r="O3611" t="n">
        <v>0</v>
      </c>
      <c r="P3611" t="n">
        <v>0</v>
      </c>
      <c r="Q3611" t="n">
        <v>0</v>
      </c>
      <c r="R3611" s="2" t="inlineStr"/>
    </row>
    <row r="3612" ht="15" customHeight="1">
      <c r="A3612" t="inlineStr">
        <is>
          <t>A 50948-2023</t>
        </is>
      </c>
      <c r="B3612" s="1" t="n">
        <v>45218</v>
      </c>
      <c r="C3612" s="1" t="n">
        <v>45724</v>
      </c>
      <c r="D3612" t="inlineStr">
        <is>
          <t>VÄSTMANLANDS LÄN</t>
        </is>
      </c>
      <c r="E3612" t="inlineStr">
        <is>
          <t>VÄSTERÅS</t>
        </is>
      </c>
      <c r="G3612" t="n">
        <v>1.6</v>
      </c>
      <c r="H3612" t="n">
        <v>0</v>
      </c>
      <c r="I3612" t="n">
        <v>0</v>
      </c>
      <c r="J3612" t="n">
        <v>0</v>
      </c>
      <c r="K3612" t="n">
        <v>0</v>
      </c>
      <c r="L3612" t="n">
        <v>0</v>
      </c>
      <c r="M3612" t="n">
        <v>0</v>
      </c>
      <c r="N3612" t="n">
        <v>0</v>
      </c>
      <c r="O3612" t="n">
        <v>0</v>
      </c>
      <c r="P3612" t="n">
        <v>0</v>
      </c>
      <c r="Q3612" t="n">
        <v>0</v>
      </c>
      <c r="R3612" s="2" t="inlineStr"/>
    </row>
    <row r="3613" ht="15" customHeight="1">
      <c r="A3613" t="inlineStr">
        <is>
          <t>A 51176-2023</t>
        </is>
      </c>
      <c r="B3613" s="1" t="n">
        <v>45219</v>
      </c>
      <c r="C3613" s="1" t="n">
        <v>45724</v>
      </c>
      <c r="D3613" t="inlineStr">
        <is>
          <t>VÄSTMANLANDS LÄN</t>
        </is>
      </c>
      <c r="E3613" t="inlineStr">
        <is>
          <t>KÖPING</t>
        </is>
      </c>
      <c r="G3613" t="n">
        <v>1.4</v>
      </c>
      <c r="H3613" t="n">
        <v>0</v>
      </c>
      <c r="I3613" t="n">
        <v>0</v>
      </c>
      <c r="J3613" t="n">
        <v>0</v>
      </c>
      <c r="K3613" t="n">
        <v>0</v>
      </c>
      <c r="L3613" t="n">
        <v>0</v>
      </c>
      <c r="M3613" t="n">
        <v>0</v>
      </c>
      <c r="N3613" t="n">
        <v>0</v>
      </c>
      <c r="O3613" t="n">
        <v>0</v>
      </c>
      <c r="P3613" t="n">
        <v>0</v>
      </c>
      <c r="Q3613" t="n">
        <v>0</v>
      </c>
      <c r="R3613" s="2" t="inlineStr"/>
    </row>
    <row r="3614" ht="15" customHeight="1">
      <c r="A3614" t="inlineStr">
        <is>
          <t>A 51219-2023</t>
        </is>
      </c>
      <c r="B3614" s="1" t="n">
        <v>45219</v>
      </c>
      <c r="C3614" s="1" t="n">
        <v>45724</v>
      </c>
      <c r="D3614" t="inlineStr">
        <is>
          <t>VÄSTMANLANDS LÄN</t>
        </is>
      </c>
      <c r="E3614" t="inlineStr">
        <is>
          <t>VÄSTERÅS</t>
        </is>
      </c>
      <c r="G3614" t="n">
        <v>3.5</v>
      </c>
      <c r="H3614" t="n">
        <v>0</v>
      </c>
      <c r="I3614" t="n">
        <v>0</v>
      </c>
      <c r="J3614" t="n">
        <v>0</v>
      </c>
      <c r="K3614" t="n">
        <v>0</v>
      </c>
      <c r="L3614" t="n">
        <v>0</v>
      </c>
      <c r="M3614" t="n">
        <v>0</v>
      </c>
      <c r="N3614" t="n">
        <v>0</v>
      </c>
      <c r="O3614" t="n">
        <v>0</v>
      </c>
      <c r="P3614" t="n">
        <v>0</v>
      </c>
      <c r="Q3614" t="n">
        <v>0</v>
      </c>
      <c r="R3614" s="2" t="inlineStr"/>
    </row>
    <row r="3615" ht="15" customHeight="1">
      <c r="A3615" t="inlineStr">
        <is>
          <t>A 51223-2023</t>
        </is>
      </c>
      <c r="B3615" s="1" t="n">
        <v>45219</v>
      </c>
      <c r="C3615" s="1" t="n">
        <v>45724</v>
      </c>
      <c r="D3615" t="inlineStr">
        <is>
          <t>VÄSTMANLANDS LÄN</t>
        </is>
      </c>
      <c r="E3615" t="inlineStr">
        <is>
          <t>VÄSTERÅS</t>
        </is>
      </c>
      <c r="G3615" t="n">
        <v>7.7</v>
      </c>
      <c r="H3615" t="n">
        <v>0</v>
      </c>
      <c r="I3615" t="n">
        <v>0</v>
      </c>
      <c r="J3615" t="n">
        <v>0</v>
      </c>
      <c r="K3615" t="n">
        <v>0</v>
      </c>
      <c r="L3615" t="n">
        <v>0</v>
      </c>
      <c r="M3615" t="n">
        <v>0</v>
      </c>
      <c r="N3615" t="n">
        <v>0</v>
      </c>
      <c r="O3615" t="n">
        <v>0</v>
      </c>
      <c r="P3615" t="n">
        <v>0</v>
      </c>
      <c r="Q3615" t="n">
        <v>0</v>
      </c>
      <c r="R3615" s="2" t="inlineStr"/>
    </row>
    <row r="3616" ht="15" customHeight="1">
      <c r="A3616" t="inlineStr">
        <is>
          <t>A 51360-2023</t>
        </is>
      </c>
      <c r="B3616" s="1" t="n">
        <v>45219</v>
      </c>
      <c r="C3616" s="1" t="n">
        <v>45724</v>
      </c>
      <c r="D3616" t="inlineStr">
        <is>
          <t>VÄSTMANLANDS LÄN</t>
        </is>
      </c>
      <c r="E3616" t="inlineStr">
        <is>
          <t>KÖPING</t>
        </is>
      </c>
      <c r="F3616" t="inlineStr">
        <is>
          <t>Sveaskog</t>
        </is>
      </c>
      <c r="G3616" t="n">
        <v>1.8</v>
      </c>
      <c r="H3616" t="n">
        <v>0</v>
      </c>
      <c r="I3616" t="n">
        <v>0</v>
      </c>
      <c r="J3616" t="n">
        <v>0</v>
      </c>
      <c r="K3616" t="n">
        <v>0</v>
      </c>
      <c r="L3616" t="n">
        <v>0</v>
      </c>
      <c r="M3616" t="n">
        <v>0</v>
      </c>
      <c r="N3616" t="n">
        <v>0</v>
      </c>
      <c r="O3616" t="n">
        <v>0</v>
      </c>
      <c r="P3616" t="n">
        <v>0</v>
      </c>
      <c r="Q3616" t="n">
        <v>0</v>
      </c>
      <c r="R3616" s="2" t="inlineStr"/>
    </row>
    <row r="3617" ht="15" customHeight="1">
      <c r="A3617" t="inlineStr">
        <is>
          <t>A 51363-2023</t>
        </is>
      </c>
      <c r="B3617" s="1" t="n">
        <v>45219</v>
      </c>
      <c r="C3617" s="1" t="n">
        <v>45724</v>
      </c>
      <c r="D3617" t="inlineStr">
        <is>
          <t>VÄSTMANLANDS LÄN</t>
        </is>
      </c>
      <c r="E3617" t="inlineStr">
        <is>
          <t>KÖPING</t>
        </is>
      </c>
      <c r="F3617" t="inlineStr">
        <is>
          <t>Sveaskog</t>
        </is>
      </c>
      <c r="G3617" t="n">
        <v>0.9</v>
      </c>
      <c r="H3617" t="n">
        <v>0</v>
      </c>
      <c r="I3617" t="n">
        <v>0</v>
      </c>
      <c r="J3617" t="n">
        <v>0</v>
      </c>
      <c r="K3617" t="n">
        <v>0</v>
      </c>
      <c r="L3617" t="n">
        <v>0</v>
      </c>
      <c r="M3617" t="n">
        <v>0</v>
      </c>
      <c r="N3617" t="n">
        <v>0</v>
      </c>
      <c r="O3617" t="n">
        <v>0</v>
      </c>
      <c r="P3617" t="n">
        <v>0</v>
      </c>
      <c r="Q3617" t="n">
        <v>0</v>
      </c>
      <c r="R3617" s="2" t="inlineStr"/>
    </row>
    <row r="3618" ht="15" customHeight="1">
      <c r="A3618" t="inlineStr">
        <is>
          <t>A 51142-2023</t>
        </is>
      </c>
      <c r="B3618" s="1" t="n">
        <v>45219</v>
      </c>
      <c r="C3618" s="1" t="n">
        <v>45724</v>
      </c>
      <c r="D3618" t="inlineStr">
        <is>
          <t>VÄSTMANLANDS LÄN</t>
        </is>
      </c>
      <c r="E3618" t="inlineStr">
        <is>
          <t>VÄSTERÅS</t>
        </is>
      </c>
      <c r="G3618" t="n">
        <v>7.1</v>
      </c>
      <c r="H3618" t="n">
        <v>0</v>
      </c>
      <c r="I3618" t="n">
        <v>0</v>
      </c>
      <c r="J3618" t="n">
        <v>0</v>
      </c>
      <c r="K3618" t="n">
        <v>0</v>
      </c>
      <c r="L3618" t="n">
        <v>0</v>
      </c>
      <c r="M3618" t="n">
        <v>0</v>
      </c>
      <c r="N3618" t="n">
        <v>0</v>
      </c>
      <c r="O3618" t="n">
        <v>0</v>
      </c>
      <c r="P3618" t="n">
        <v>0</v>
      </c>
      <c r="Q3618" t="n">
        <v>0</v>
      </c>
      <c r="R3618" s="2" t="inlineStr"/>
    </row>
    <row r="3619" ht="15" customHeight="1">
      <c r="A3619" t="inlineStr">
        <is>
          <t>A 51407-2023</t>
        </is>
      </c>
      <c r="B3619" s="1" t="n">
        <v>45219</v>
      </c>
      <c r="C3619" s="1" t="n">
        <v>45724</v>
      </c>
      <c r="D3619" t="inlineStr">
        <is>
          <t>VÄSTMANLANDS LÄN</t>
        </is>
      </c>
      <c r="E3619" t="inlineStr">
        <is>
          <t>KÖPING</t>
        </is>
      </c>
      <c r="G3619" t="n">
        <v>4</v>
      </c>
      <c r="H3619" t="n">
        <v>0</v>
      </c>
      <c r="I3619" t="n">
        <v>0</v>
      </c>
      <c r="J3619" t="n">
        <v>0</v>
      </c>
      <c r="K3619" t="n">
        <v>0</v>
      </c>
      <c r="L3619" t="n">
        <v>0</v>
      </c>
      <c r="M3619" t="n">
        <v>0</v>
      </c>
      <c r="N3619" t="n">
        <v>0</v>
      </c>
      <c r="O3619" t="n">
        <v>0</v>
      </c>
      <c r="P3619" t="n">
        <v>0</v>
      </c>
      <c r="Q3619" t="n">
        <v>0</v>
      </c>
      <c r="R3619" s="2" t="inlineStr"/>
    </row>
    <row r="3620" ht="15" customHeight="1">
      <c r="A3620" t="inlineStr">
        <is>
          <t>A 51409-2023</t>
        </is>
      </c>
      <c r="B3620" s="1" t="n">
        <v>45219</v>
      </c>
      <c r="C3620" s="1" t="n">
        <v>45724</v>
      </c>
      <c r="D3620" t="inlineStr">
        <is>
          <t>VÄSTMANLANDS LÄN</t>
        </is>
      </c>
      <c r="E3620" t="inlineStr">
        <is>
          <t>KÖPING</t>
        </is>
      </c>
      <c r="G3620" t="n">
        <v>0.9</v>
      </c>
      <c r="H3620" t="n">
        <v>0</v>
      </c>
      <c r="I3620" t="n">
        <v>0</v>
      </c>
      <c r="J3620" t="n">
        <v>0</v>
      </c>
      <c r="K3620" t="n">
        <v>0</v>
      </c>
      <c r="L3620" t="n">
        <v>0</v>
      </c>
      <c r="M3620" t="n">
        <v>0</v>
      </c>
      <c r="N3620" t="n">
        <v>0</v>
      </c>
      <c r="O3620" t="n">
        <v>0</v>
      </c>
      <c r="P3620" t="n">
        <v>0</v>
      </c>
      <c r="Q3620" t="n">
        <v>0</v>
      </c>
      <c r="R3620" s="2" t="inlineStr"/>
    </row>
    <row r="3621" ht="15" customHeight="1">
      <c r="A3621" t="inlineStr">
        <is>
          <t>A 51147-2023</t>
        </is>
      </c>
      <c r="B3621" s="1" t="n">
        <v>45219</v>
      </c>
      <c r="C3621" s="1" t="n">
        <v>45724</v>
      </c>
      <c r="D3621" t="inlineStr">
        <is>
          <t>VÄSTMANLANDS LÄN</t>
        </is>
      </c>
      <c r="E3621" t="inlineStr">
        <is>
          <t>VÄSTERÅS</t>
        </is>
      </c>
      <c r="G3621" t="n">
        <v>1.4</v>
      </c>
      <c r="H3621" t="n">
        <v>0</v>
      </c>
      <c r="I3621" t="n">
        <v>0</v>
      </c>
      <c r="J3621" t="n">
        <v>0</v>
      </c>
      <c r="K3621" t="n">
        <v>0</v>
      </c>
      <c r="L3621" t="n">
        <v>0</v>
      </c>
      <c r="M3621" t="n">
        <v>0</v>
      </c>
      <c r="N3621" t="n">
        <v>0</v>
      </c>
      <c r="O3621" t="n">
        <v>0</v>
      </c>
      <c r="P3621" t="n">
        <v>0</v>
      </c>
      <c r="Q3621" t="n">
        <v>0</v>
      </c>
      <c r="R3621" s="2" t="inlineStr"/>
    </row>
    <row r="3622" ht="15" customHeight="1">
      <c r="A3622" t="inlineStr">
        <is>
          <t>A 51362-2023</t>
        </is>
      </c>
      <c r="B3622" s="1" t="n">
        <v>45219</v>
      </c>
      <c r="C3622" s="1" t="n">
        <v>45724</v>
      </c>
      <c r="D3622" t="inlineStr">
        <is>
          <t>VÄSTMANLANDS LÄN</t>
        </is>
      </c>
      <c r="E3622" t="inlineStr">
        <is>
          <t>KÖPING</t>
        </is>
      </c>
      <c r="F3622" t="inlineStr">
        <is>
          <t>Sveaskog</t>
        </is>
      </c>
      <c r="G3622" t="n">
        <v>13.1</v>
      </c>
      <c r="H3622" t="n">
        <v>0</v>
      </c>
      <c r="I3622" t="n">
        <v>0</v>
      </c>
      <c r="J3622" t="n">
        <v>0</v>
      </c>
      <c r="K3622" t="n">
        <v>0</v>
      </c>
      <c r="L3622" t="n">
        <v>0</v>
      </c>
      <c r="M3622" t="n">
        <v>0</v>
      </c>
      <c r="N3622" t="n">
        <v>0</v>
      </c>
      <c r="O3622" t="n">
        <v>0</v>
      </c>
      <c r="P3622" t="n">
        <v>0</v>
      </c>
      <c r="Q3622" t="n">
        <v>0</v>
      </c>
      <c r="R3622" s="2" t="inlineStr"/>
    </row>
    <row r="3623" ht="15" customHeight="1">
      <c r="A3623" t="inlineStr">
        <is>
          <t>A 51412-2023</t>
        </is>
      </c>
      <c r="B3623" s="1" t="n">
        <v>45219</v>
      </c>
      <c r="C3623" s="1" t="n">
        <v>45724</v>
      </c>
      <c r="D3623" t="inlineStr">
        <is>
          <t>VÄSTMANLANDS LÄN</t>
        </is>
      </c>
      <c r="E3623" t="inlineStr">
        <is>
          <t>KÖPING</t>
        </is>
      </c>
      <c r="G3623" t="n">
        <v>3.2</v>
      </c>
      <c r="H3623" t="n">
        <v>0</v>
      </c>
      <c r="I3623" t="n">
        <v>0</v>
      </c>
      <c r="J3623" t="n">
        <v>0</v>
      </c>
      <c r="K3623" t="n">
        <v>0</v>
      </c>
      <c r="L3623" t="n">
        <v>0</v>
      </c>
      <c r="M3623" t="n">
        <v>0</v>
      </c>
      <c r="N3623" t="n">
        <v>0</v>
      </c>
      <c r="O3623" t="n">
        <v>0</v>
      </c>
      <c r="P3623" t="n">
        <v>0</v>
      </c>
      <c r="Q3623" t="n">
        <v>0</v>
      </c>
      <c r="R3623" s="2" t="inlineStr"/>
    </row>
    <row r="3624" ht="15" customHeight="1">
      <c r="A3624" t="inlineStr">
        <is>
          <t>A 51388-2023</t>
        </is>
      </c>
      <c r="B3624" s="1" t="n">
        <v>45219</v>
      </c>
      <c r="C3624" s="1" t="n">
        <v>45724</v>
      </c>
      <c r="D3624" t="inlineStr">
        <is>
          <t>VÄSTMANLANDS LÄN</t>
        </is>
      </c>
      <c r="E3624" t="inlineStr">
        <is>
          <t>KÖPING</t>
        </is>
      </c>
      <c r="G3624" t="n">
        <v>0.9</v>
      </c>
      <c r="H3624" t="n">
        <v>0</v>
      </c>
      <c r="I3624" t="n">
        <v>0</v>
      </c>
      <c r="J3624" t="n">
        <v>0</v>
      </c>
      <c r="K3624" t="n">
        <v>0</v>
      </c>
      <c r="L3624" t="n">
        <v>0</v>
      </c>
      <c r="M3624" t="n">
        <v>0</v>
      </c>
      <c r="N3624" t="n">
        <v>0</v>
      </c>
      <c r="O3624" t="n">
        <v>0</v>
      </c>
      <c r="P3624" t="n">
        <v>0</v>
      </c>
      <c r="Q3624" t="n">
        <v>0</v>
      </c>
      <c r="R3624" s="2" t="inlineStr"/>
    </row>
    <row r="3625" ht="15" customHeight="1">
      <c r="A3625" t="inlineStr">
        <is>
          <t>A 51365-2023</t>
        </is>
      </c>
      <c r="B3625" s="1" t="n">
        <v>45219</v>
      </c>
      <c r="C3625" s="1" t="n">
        <v>45724</v>
      </c>
      <c r="D3625" t="inlineStr">
        <is>
          <t>VÄSTMANLANDS LÄN</t>
        </is>
      </c>
      <c r="E3625" t="inlineStr">
        <is>
          <t>KÖPING</t>
        </is>
      </c>
      <c r="F3625" t="inlineStr">
        <is>
          <t>Sveaskog</t>
        </is>
      </c>
      <c r="G3625" t="n">
        <v>1.6</v>
      </c>
      <c r="H3625" t="n">
        <v>0</v>
      </c>
      <c r="I3625" t="n">
        <v>0</v>
      </c>
      <c r="J3625" t="n">
        <v>0</v>
      </c>
      <c r="K3625" t="n">
        <v>0</v>
      </c>
      <c r="L3625" t="n">
        <v>0</v>
      </c>
      <c r="M3625" t="n">
        <v>0</v>
      </c>
      <c r="N3625" t="n">
        <v>0</v>
      </c>
      <c r="O3625" t="n">
        <v>0</v>
      </c>
      <c r="P3625" t="n">
        <v>0</v>
      </c>
      <c r="Q3625" t="n">
        <v>0</v>
      </c>
      <c r="R3625" s="2" t="inlineStr"/>
    </row>
    <row r="3626" ht="15" customHeight="1">
      <c r="A3626" t="inlineStr">
        <is>
          <t>A 51132-2023</t>
        </is>
      </c>
      <c r="B3626" s="1" t="n">
        <v>45219</v>
      </c>
      <c r="C3626" s="1" t="n">
        <v>45724</v>
      </c>
      <c r="D3626" t="inlineStr">
        <is>
          <t>VÄSTMANLANDS LÄN</t>
        </is>
      </c>
      <c r="E3626" t="inlineStr">
        <is>
          <t>KÖPING</t>
        </is>
      </c>
      <c r="G3626" t="n">
        <v>1</v>
      </c>
      <c r="H3626" t="n">
        <v>0</v>
      </c>
      <c r="I3626" t="n">
        <v>0</v>
      </c>
      <c r="J3626" t="n">
        <v>0</v>
      </c>
      <c r="K3626" t="n">
        <v>0</v>
      </c>
      <c r="L3626" t="n">
        <v>0</v>
      </c>
      <c r="M3626" t="n">
        <v>0</v>
      </c>
      <c r="N3626" t="n">
        <v>0</v>
      </c>
      <c r="O3626" t="n">
        <v>0</v>
      </c>
      <c r="P3626" t="n">
        <v>0</v>
      </c>
      <c r="Q3626" t="n">
        <v>0</v>
      </c>
      <c r="R3626" s="2" t="inlineStr"/>
    </row>
    <row r="3627" ht="15" customHeight="1">
      <c r="A3627" t="inlineStr">
        <is>
          <t>A 51203-2023</t>
        </is>
      </c>
      <c r="B3627" s="1" t="n">
        <v>45219</v>
      </c>
      <c r="C3627" s="1" t="n">
        <v>45724</v>
      </c>
      <c r="D3627" t="inlineStr">
        <is>
          <t>VÄSTMANLANDS LÄN</t>
        </is>
      </c>
      <c r="E3627" t="inlineStr">
        <is>
          <t>SALA</t>
        </is>
      </c>
      <c r="F3627" t="inlineStr">
        <is>
          <t>Kommuner</t>
        </is>
      </c>
      <c r="G3627" t="n">
        <v>2.7</v>
      </c>
      <c r="H3627" t="n">
        <v>0</v>
      </c>
      <c r="I3627" t="n">
        <v>0</v>
      </c>
      <c r="J3627" t="n">
        <v>0</v>
      </c>
      <c r="K3627" t="n">
        <v>0</v>
      </c>
      <c r="L3627" t="n">
        <v>0</v>
      </c>
      <c r="M3627" t="n">
        <v>0</v>
      </c>
      <c r="N3627" t="n">
        <v>0</v>
      </c>
      <c r="O3627" t="n">
        <v>0</v>
      </c>
      <c r="P3627" t="n">
        <v>0</v>
      </c>
      <c r="Q3627" t="n">
        <v>0</v>
      </c>
      <c r="R3627" s="2" t="inlineStr"/>
    </row>
    <row r="3628" ht="15" customHeight="1">
      <c r="A3628" t="inlineStr">
        <is>
          <t>A 51119-2023</t>
        </is>
      </c>
      <c r="B3628" s="1" t="n">
        <v>45219</v>
      </c>
      <c r="C3628" s="1" t="n">
        <v>45724</v>
      </c>
      <c r="D3628" t="inlineStr">
        <is>
          <t>VÄSTMANLANDS LÄN</t>
        </is>
      </c>
      <c r="E3628" t="inlineStr">
        <is>
          <t>KÖPING</t>
        </is>
      </c>
      <c r="G3628" t="n">
        <v>2.1</v>
      </c>
      <c r="H3628" t="n">
        <v>0</v>
      </c>
      <c r="I3628" t="n">
        <v>0</v>
      </c>
      <c r="J3628" t="n">
        <v>0</v>
      </c>
      <c r="K3628" t="n">
        <v>0</v>
      </c>
      <c r="L3628" t="n">
        <v>0</v>
      </c>
      <c r="M3628" t="n">
        <v>0</v>
      </c>
      <c r="N3628" t="n">
        <v>0</v>
      </c>
      <c r="O3628" t="n">
        <v>0</v>
      </c>
      <c r="P3628" t="n">
        <v>0</v>
      </c>
      <c r="Q3628" t="n">
        <v>0</v>
      </c>
      <c r="R3628" s="2" t="inlineStr"/>
    </row>
    <row r="3629" ht="15" customHeight="1">
      <c r="A3629" t="inlineStr">
        <is>
          <t>A 51123-2023</t>
        </is>
      </c>
      <c r="B3629" s="1" t="n">
        <v>45219</v>
      </c>
      <c r="C3629" s="1" t="n">
        <v>45724</v>
      </c>
      <c r="D3629" t="inlineStr">
        <is>
          <t>VÄSTMANLANDS LÄN</t>
        </is>
      </c>
      <c r="E3629" t="inlineStr">
        <is>
          <t>KÖPING</t>
        </is>
      </c>
      <c r="G3629" t="n">
        <v>0.7</v>
      </c>
      <c r="H3629" t="n">
        <v>0</v>
      </c>
      <c r="I3629" t="n">
        <v>0</v>
      </c>
      <c r="J3629" t="n">
        <v>0</v>
      </c>
      <c r="K3629" t="n">
        <v>0</v>
      </c>
      <c r="L3629" t="n">
        <v>0</v>
      </c>
      <c r="M3629" t="n">
        <v>0</v>
      </c>
      <c r="N3629" t="n">
        <v>0</v>
      </c>
      <c r="O3629" t="n">
        <v>0</v>
      </c>
      <c r="P3629" t="n">
        <v>0</v>
      </c>
      <c r="Q3629" t="n">
        <v>0</v>
      </c>
      <c r="R3629" s="2" t="inlineStr"/>
    </row>
    <row r="3630" ht="15" customHeight="1">
      <c r="A3630" t="inlineStr">
        <is>
          <t>A 51230-2023</t>
        </is>
      </c>
      <c r="B3630" s="1" t="n">
        <v>45219</v>
      </c>
      <c r="C3630" s="1" t="n">
        <v>45724</v>
      </c>
      <c r="D3630" t="inlineStr">
        <is>
          <t>VÄSTMANLANDS LÄN</t>
        </is>
      </c>
      <c r="E3630" t="inlineStr">
        <is>
          <t>VÄSTERÅS</t>
        </is>
      </c>
      <c r="G3630" t="n">
        <v>3</v>
      </c>
      <c r="H3630" t="n">
        <v>0</v>
      </c>
      <c r="I3630" t="n">
        <v>0</v>
      </c>
      <c r="J3630" t="n">
        <v>0</v>
      </c>
      <c r="K3630" t="n">
        <v>0</v>
      </c>
      <c r="L3630" t="n">
        <v>0</v>
      </c>
      <c r="M3630" t="n">
        <v>0</v>
      </c>
      <c r="N3630" t="n">
        <v>0</v>
      </c>
      <c r="O3630" t="n">
        <v>0</v>
      </c>
      <c r="P3630" t="n">
        <v>0</v>
      </c>
      <c r="Q3630" t="n">
        <v>0</v>
      </c>
      <c r="R3630" s="2" t="inlineStr"/>
    </row>
    <row r="3631" ht="15" customHeight="1">
      <c r="A3631" t="inlineStr">
        <is>
          <t>A 51562-2023</t>
        </is>
      </c>
      <c r="B3631" s="1" t="n">
        <v>45222</v>
      </c>
      <c r="C3631" s="1" t="n">
        <v>45724</v>
      </c>
      <c r="D3631" t="inlineStr">
        <is>
          <t>VÄSTMANLANDS LÄN</t>
        </is>
      </c>
      <c r="E3631" t="inlineStr">
        <is>
          <t>VÄSTERÅS</t>
        </is>
      </c>
      <c r="G3631" t="n">
        <v>2.6</v>
      </c>
      <c r="H3631" t="n">
        <v>0</v>
      </c>
      <c r="I3631" t="n">
        <v>0</v>
      </c>
      <c r="J3631" t="n">
        <v>0</v>
      </c>
      <c r="K3631" t="n">
        <v>0</v>
      </c>
      <c r="L3631" t="n">
        <v>0</v>
      </c>
      <c r="M3631" t="n">
        <v>0</v>
      </c>
      <c r="N3631" t="n">
        <v>0</v>
      </c>
      <c r="O3631" t="n">
        <v>0</v>
      </c>
      <c r="P3631" t="n">
        <v>0</v>
      </c>
      <c r="Q3631" t="n">
        <v>0</v>
      </c>
      <c r="R3631" s="2" t="inlineStr"/>
    </row>
    <row r="3632" ht="15" customHeight="1">
      <c r="A3632" t="inlineStr">
        <is>
          <t>A 51579-2023</t>
        </is>
      </c>
      <c r="B3632" s="1" t="n">
        <v>45222</v>
      </c>
      <c r="C3632" s="1" t="n">
        <v>45724</v>
      </c>
      <c r="D3632" t="inlineStr">
        <is>
          <t>VÄSTMANLANDS LÄN</t>
        </is>
      </c>
      <c r="E3632" t="inlineStr">
        <is>
          <t>FAGERSTA</t>
        </is>
      </c>
      <c r="G3632" t="n">
        <v>1.6</v>
      </c>
      <c r="H3632" t="n">
        <v>0</v>
      </c>
      <c r="I3632" t="n">
        <v>0</v>
      </c>
      <c r="J3632" t="n">
        <v>0</v>
      </c>
      <c r="K3632" t="n">
        <v>0</v>
      </c>
      <c r="L3632" t="n">
        <v>0</v>
      </c>
      <c r="M3632" t="n">
        <v>0</v>
      </c>
      <c r="N3632" t="n">
        <v>0</v>
      </c>
      <c r="O3632" t="n">
        <v>0</v>
      </c>
      <c r="P3632" t="n">
        <v>0</v>
      </c>
      <c r="Q3632" t="n">
        <v>0</v>
      </c>
      <c r="R3632" s="2" t="inlineStr"/>
    </row>
    <row r="3633" ht="15" customHeight="1">
      <c r="A3633" t="inlineStr">
        <is>
          <t>A 51680-2023</t>
        </is>
      </c>
      <c r="B3633" s="1" t="n">
        <v>45222</v>
      </c>
      <c r="C3633" s="1" t="n">
        <v>45724</v>
      </c>
      <c r="D3633" t="inlineStr">
        <is>
          <t>VÄSTMANLANDS LÄN</t>
        </is>
      </c>
      <c r="E3633" t="inlineStr">
        <is>
          <t>SKINNSKATTEBERG</t>
        </is>
      </c>
      <c r="F3633" t="inlineStr">
        <is>
          <t>Sveaskog</t>
        </is>
      </c>
      <c r="G3633" t="n">
        <v>1.6</v>
      </c>
      <c r="H3633" t="n">
        <v>0</v>
      </c>
      <c r="I3633" t="n">
        <v>0</v>
      </c>
      <c r="J3633" t="n">
        <v>0</v>
      </c>
      <c r="K3633" t="n">
        <v>0</v>
      </c>
      <c r="L3633" t="n">
        <v>0</v>
      </c>
      <c r="M3633" t="n">
        <v>0</v>
      </c>
      <c r="N3633" t="n">
        <v>0</v>
      </c>
      <c r="O3633" t="n">
        <v>0</v>
      </c>
      <c r="P3633" t="n">
        <v>0</v>
      </c>
      <c r="Q3633" t="n">
        <v>0</v>
      </c>
      <c r="R3633" s="2" t="inlineStr"/>
    </row>
    <row r="3634" ht="15" customHeight="1">
      <c r="A3634" t="inlineStr">
        <is>
          <t>A 51572-2023</t>
        </is>
      </c>
      <c r="B3634" s="1" t="n">
        <v>45222</v>
      </c>
      <c r="C3634" s="1" t="n">
        <v>45724</v>
      </c>
      <c r="D3634" t="inlineStr">
        <is>
          <t>VÄSTMANLANDS LÄN</t>
        </is>
      </c>
      <c r="E3634" t="inlineStr">
        <is>
          <t>VÄSTERÅS</t>
        </is>
      </c>
      <c r="G3634" t="n">
        <v>0.7</v>
      </c>
      <c r="H3634" t="n">
        <v>0</v>
      </c>
      <c r="I3634" t="n">
        <v>0</v>
      </c>
      <c r="J3634" t="n">
        <v>0</v>
      </c>
      <c r="K3634" t="n">
        <v>0</v>
      </c>
      <c r="L3634" t="n">
        <v>0</v>
      </c>
      <c r="M3634" t="n">
        <v>0</v>
      </c>
      <c r="N3634" t="n">
        <v>0</v>
      </c>
      <c r="O3634" t="n">
        <v>0</v>
      </c>
      <c r="P3634" t="n">
        <v>0</v>
      </c>
      <c r="Q3634" t="n">
        <v>0</v>
      </c>
      <c r="R3634" s="2" t="inlineStr"/>
    </row>
    <row r="3635" ht="15" customHeight="1">
      <c r="A3635" t="inlineStr">
        <is>
          <t>A 51586-2023</t>
        </is>
      </c>
      <c r="B3635" s="1" t="n">
        <v>45222</v>
      </c>
      <c r="C3635" s="1" t="n">
        <v>45724</v>
      </c>
      <c r="D3635" t="inlineStr">
        <is>
          <t>VÄSTMANLANDS LÄN</t>
        </is>
      </c>
      <c r="E3635" t="inlineStr">
        <is>
          <t>FAGERSTA</t>
        </is>
      </c>
      <c r="G3635" t="n">
        <v>1.1</v>
      </c>
      <c r="H3635" t="n">
        <v>0</v>
      </c>
      <c r="I3635" t="n">
        <v>0</v>
      </c>
      <c r="J3635" t="n">
        <v>0</v>
      </c>
      <c r="K3635" t="n">
        <v>0</v>
      </c>
      <c r="L3635" t="n">
        <v>0</v>
      </c>
      <c r="M3635" t="n">
        <v>0</v>
      </c>
      <c r="N3635" t="n">
        <v>0</v>
      </c>
      <c r="O3635" t="n">
        <v>0</v>
      </c>
      <c r="P3635" t="n">
        <v>0</v>
      </c>
      <c r="Q3635" t="n">
        <v>0</v>
      </c>
      <c r="R3635" s="2" t="inlineStr"/>
    </row>
    <row r="3636" ht="15" customHeight="1">
      <c r="A3636" t="inlineStr">
        <is>
          <t>A 51875-2023</t>
        </is>
      </c>
      <c r="B3636" s="1" t="n">
        <v>45223</v>
      </c>
      <c r="C3636" s="1" t="n">
        <v>45724</v>
      </c>
      <c r="D3636" t="inlineStr">
        <is>
          <t>VÄSTMANLANDS LÄN</t>
        </is>
      </c>
      <c r="E3636" t="inlineStr">
        <is>
          <t>VÄSTERÅS</t>
        </is>
      </c>
      <c r="F3636" t="inlineStr">
        <is>
          <t>Kommuner</t>
        </is>
      </c>
      <c r="G3636" t="n">
        <v>3.9</v>
      </c>
      <c r="H3636" t="n">
        <v>0</v>
      </c>
      <c r="I3636" t="n">
        <v>0</v>
      </c>
      <c r="J3636" t="n">
        <v>0</v>
      </c>
      <c r="K3636" t="n">
        <v>0</v>
      </c>
      <c r="L3636" t="n">
        <v>0</v>
      </c>
      <c r="M3636" t="n">
        <v>0</v>
      </c>
      <c r="N3636" t="n">
        <v>0</v>
      </c>
      <c r="O3636" t="n">
        <v>0</v>
      </c>
      <c r="P3636" t="n">
        <v>0</v>
      </c>
      <c r="Q3636" t="n">
        <v>0</v>
      </c>
      <c r="R3636" s="2" t="inlineStr"/>
    </row>
    <row r="3637" ht="15" customHeight="1">
      <c r="A3637" t="inlineStr">
        <is>
          <t>A 51933-2023</t>
        </is>
      </c>
      <c r="B3637" s="1" t="n">
        <v>45223</v>
      </c>
      <c r="C3637" s="1" t="n">
        <v>45724</v>
      </c>
      <c r="D3637" t="inlineStr">
        <is>
          <t>VÄSTMANLANDS LÄN</t>
        </is>
      </c>
      <c r="E3637" t="inlineStr">
        <is>
          <t>VÄSTERÅS</t>
        </is>
      </c>
      <c r="G3637" t="n">
        <v>2.5</v>
      </c>
      <c r="H3637" t="n">
        <v>0</v>
      </c>
      <c r="I3637" t="n">
        <v>0</v>
      </c>
      <c r="J3637" t="n">
        <v>0</v>
      </c>
      <c r="K3637" t="n">
        <v>0</v>
      </c>
      <c r="L3637" t="n">
        <v>0</v>
      </c>
      <c r="M3637" t="n">
        <v>0</v>
      </c>
      <c r="N3637" t="n">
        <v>0</v>
      </c>
      <c r="O3637" t="n">
        <v>0</v>
      </c>
      <c r="P3637" t="n">
        <v>0</v>
      </c>
      <c r="Q3637" t="n">
        <v>0</v>
      </c>
      <c r="R3637" s="2" t="inlineStr"/>
    </row>
    <row r="3638" ht="15" customHeight="1">
      <c r="A3638" t="inlineStr">
        <is>
          <t>A 51951-2023</t>
        </is>
      </c>
      <c r="B3638" s="1" t="n">
        <v>45223</v>
      </c>
      <c r="C3638" s="1" t="n">
        <v>45724</v>
      </c>
      <c r="D3638" t="inlineStr">
        <is>
          <t>VÄSTMANLANDS LÄN</t>
        </is>
      </c>
      <c r="E3638" t="inlineStr">
        <is>
          <t>VÄSTERÅS</t>
        </is>
      </c>
      <c r="G3638" t="n">
        <v>1.4</v>
      </c>
      <c r="H3638" t="n">
        <v>0</v>
      </c>
      <c r="I3638" t="n">
        <v>0</v>
      </c>
      <c r="J3638" t="n">
        <v>0</v>
      </c>
      <c r="K3638" t="n">
        <v>0</v>
      </c>
      <c r="L3638" t="n">
        <v>0</v>
      </c>
      <c r="M3638" t="n">
        <v>0</v>
      </c>
      <c r="N3638" t="n">
        <v>0</v>
      </c>
      <c r="O3638" t="n">
        <v>0</v>
      </c>
      <c r="P3638" t="n">
        <v>0</v>
      </c>
      <c r="Q3638" t="n">
        <v>0</v>
      </c>
      <c r="R3638" s="2" t="inlineStr"/>
    </row>
    <row r="3639" ht="15" customHeight="1">
      <c r="A3639" t="inlineStr">
        <is>
          <t>A 51848-2023</t>
        </is>
      </c>
      <c r="B3639" s="1" t="n">
        <v>45223</v>
      </c>
      <c r="C3639" s="1" t="n">
        <v>45724</v>
      </c>
      <c r="D3639" t="inlineStr">
        <is>
          <t>VÄSTMANLANDS LÄN</t>
        </is>
      </c>
      <c r="E3639" t="inlineStr">
        <is>
          <t>SALA</t>
        </is>
      </c>
      <c r="G3639" t="n">
        <v>7</v>
      </c>
      <c r="H3639" t="n">
        <v>0</v>
      </c>
      <c r="I3639" t="n">
        <v>0</v>
      </c>
      <c r="J3639" t="n">
        <v>0</v>
      </c>
      <c r="K3639" t="n">
        <v>0</v>
      </c>
      <c r="L3639" t="n">
        <v>0</v>
      </c>
      <c r="M3639" t="n">
        <v>0</v>
      </c>
      <c r="N3639" t="n">
        <v>0</v>
      </c>
      <c r="O3639" t="n">
        <v>0</v>
      </c>
      <c r="P3639" t="n">
        <v>0</v>
      </c>
      <c r="Q3639" t="n">
        <v>0</v>
      </c>
      <c r="R3639" s="2" t="inlineStr"/>
    </row>
    <row r="3640" ht="15" customHeight="1">
      <c r="A3640" t="inlineStr">
        <is>
          <t>A 51954-2023</t>
        </is>
      </c>
      <c r="B3640" s="1" t="n">
        <v>45223</v>
      </c>
      <c r="C3640" s="1" t="n">
        <v>45724</v>
      </c>
      <c r="D3640" t="inlineStr">
        <is>
          <t>VÄSTMANLANDS LÄN</t>
        </is>
      </c>
      <c r="E3640" t="inlineStr">
        <is>
          <t>VÄSTERÅS</t>
        </is>
      </c>
      <c r="G3640" t="n">
        <v>2.7</v>
      </c>
      <c r="H3640" t="n">
        <v>0</v>
      </c>
      <c r="I3640" t="n">
        <v>0</v>
      </c>
      <c r="J3640" t="n">
        <v>0</v>
      </c>
      <c r="K3640" t="n">
        <v>0</v>
      </c>
      <c r="L3640" t="n">
        <v>0</v>
      </c>
      <c r="M3640" t="n">
        <v>0</v>
      </c>
      <c r="N3640" t="n">
        <v>0</v>
      </c>
      <c r="O3640" t="n">
        <v>0</v>
      </c>
      <c r="P3640" t="n">
        <v>0</v>
      </c>
      <c r="Q3640" t="n">
        <v>0</v>
      </c>
      <c r="R3640" s="2" t="inlineStr"/>
    </row>
    <row r="3641" ht="15" customHeight="1">
      <c r="A3641" t="inlineStr">
        <is>
          <t>A 52475-2023</t>
        </is>
      </c>
      <c r="B3641" s="1" t="n">
        <v>45225</v>
      </c>
      <c r="C3641" s="1" t="n">
        <v>45724</v>
      </c>
      <c r="D3641" t="inlineStr">
        <is>
          <t>VÄSTMANLANDS LÄN</t>
        </is>
      </c>
      <c r="E3641" t="inlineStr">
        <is>
          <t>KÖPING</t>
        </is>
      </c>
      <c r="F3641" t="inlineStr">
        <is>
          <t>Sveaskog</t>
        </is>
      </c>
      <c r="G3641" t="n">
        <v>0.8</v>
      </c>
      <c r="H3641" t="n">
        <v>0</v>
      </c>
      <c r="I3641" t="n">
        <v>0</v>
      </c>
      <c r="J3641" t="n">
        <v>0</v>
      </c>
      <c r="K3641" t="n">
        <v>0</v>
      </c>
      <c r="L3641" t="n">
        <v>0</v>
      </c>
      <c r="M3641" t="n">
        <v>0</v>
      </c>
      <c r="N3641" t="n">
        <v>0</v>
      </c>
      <c r="O3641" t="n">
        <v>0</v>
      </c>
      <c r="P3641" t="n">
        <v>0</v>
      </c>
      <c r="Q3641" t="n">
        <v>0</v>
      </c>
      <c r="R3641" s="2" t="inlineStr"/>
    </row>
    <row r="3642" ht="15" customHeight="1">
      <c r="A3642" t="inlineStr">
        <is>
          <t>A 52654-2023</t>
        </is>
      </c>
      <c r="B3642" s="1" t="n">
        <v>45225</v>
      </c>
      <c r="C3642" s="1" t="n">
        <v>45724</v>
      </c>
      <c r="D3642" t="inlineStr">
        <is>
          <t>VÄSTMANLANDS LÄN</t>
        </is>
      </c>
      <c r="E3642" t="inlineStr">
        <is>
          <t>SALA</t>
        </is>
      </c>
      <c r="G3642" t="n">
        <v>4.6</v>
      </c>
      <c r="H3642" t="n">
        <v>0</v>
      </c>
      <c r="I3642" t="n">
        <v>0</v>
      </c>
      <c r="J3642" t="n">
        <v>0</v>
      </c>
      <c r="K3642" t="n">
        <v>0</v>
      </c>
      <c r="L3642" t="n">
        <v>0</v>
      </c>
      <c r="M3642" t="n">
        <v>0</v>
      </c>
      <c r="N3642" t="n">
        <v>0</v>
      </c>
      <c r="O3642" t="n">
        <v>0</v>
      </c>
      <c r="P3642" t="n">
        <v>0</v>
      </c>
      <c r="Q3642" t="n">
        <v>0</v>
      </c>
      <c r="R3642" s="2" t="inlineStr"/>
    </row>
    <row r="3643" ht="15" customHeight="1">
      <c r="A3643" t="inlineStr">
        <is>
          <t>A 53030-2023</t>
        </is>
      </c>
      <c r="B3643" s="1" t="n">
        <v>45226</v>
      </c>
      <c r="C3643" s="1" t="n">
        <v>45724</v>
      </c>
      <c r="D3643" t="inlineStr">
        <is>
          <t>VÄSTMANLANDS LÄN</t>
        </is>
      </c>
      <c r="E3643" t="inlineStr">
        <is>
          <t>NORBERG</t>
        </is>
      </c>
      <c r="F3643" t="inlineStr">
        <is>
          <t>Sveaskog</t>
        </is>
      </c>
      <c r="G3643" t="n">
        <v>0.4</v>
      </c>
      <c r="H3643" t="n">
        <v>0</v>
      </c>
      <c r="I3643" t="n">
        <v>0</v>
      </c>
      <c r="J3643" t="n">
        <v>0</v>
      </c>
      <c r="K3643" t="n">
        <v>0</v>
      </c>
      <c r="L3643" t="n">
        <v>0</v>
      </c>
      <c r="M3643" t="n">
        <v>0</v>
      </c>
      <c r="N3643" t="n">
        <v>0</v>
      </c>
      <c r="O3643" t="n">
        <v>0</v>
      </c>
      <c r="P3643" t="n">
        <v>0</v>
      </c>
      <c r="Q3643" t="n">
        <v>0</v>
      </c>
      <c r="R3643" s="2" t="inlineStr"/>
    </row>
    <row r="3644" ht="15" customHeight="1">
      <c r="A3644" t="inlineStr">
        <is>
          <t>A 52795-2023</t>
        </is>
      </c>
      <c r="B3644" s="1" t="n">
        <v>45226</v>
      </c>
      <c r="C3644" s="1" t="n">
        <v>45724</v>
      </c>
      <c r="D3644" t="inlineStr">
        <is>
          <t>VÄSTMANLANDS LÄN</t>
        </is>
      </c>
      <c r="E3644" t="inlineStr">
        <is>
          <t>KUNGSÖR</t>
        </is>
      </c>
      <c r="G3644" t="n">
        <v>3.7</v>
      </c>
      <c r="H3644" t="n">
        <v>0</v>
      </c>
      <c r="I3644" t="n">
        <v>0</v>
      </c>
      <c r="J3644" t="n">
        <v>0</v>
      </c>
      <c r="K3644" t="n">
        <v>0</v>
      </c>
      <c r="L3644" t="n">
        <v>0</v>
      </c>
      <c r="M3644" t="n">
        <v>0</v>
      </c>
      <c r="N3644" t="n">
        <v>0</v>
      </c>
      <c r="O3644" t="n">
        <v>0</v>
      </c>
      <c r="P3644" t="n">
        <v>0</v>
      </c>
      <c r="Q3644" t="n">
        <v>0</v>
      </c>
      <c r="R3644" s="2" t="inlineStr"/>
    </row>
    <row r="3645" ht="15" customHeight="1">
      <c r="A3645" t="inlineStr">
        <is>
          <t>A 53061-2023</t>
        </is>
      </c>
      <c r="B3645" s="1" t="n">
        <v>45227</v>
      </c>
      <c r="C3645" s="1" t="n">
        <v>45724</v>
      </c>
      <c r="D3645" t="inlineStr">
        <is>
          <t>VÄSTMANLANDS LÄN</t>
        </is>
      </c>
      <c r="E3645" t="inlineStr">
        <is>
          <t>KÖPING</t>
        </is>
      </c>
      <c r="G3645" t="n">
        <v>1.2</v>
      </c>
      <c r="H3645" t="n">
        <v>0</v>
      </c>
      <c r="I3645" t="n">
        <v>0</v>
      </c>
      <c r="J3645" t="n">
        <v>0</v>
      </c>
      <c r="K3645" t="n">
        <v>0</v>
      </c>
      <c r="L3645" t="n">
        <v>0</v>
      </c>
      <c r="M3645" t="n">
        <v>0</v>
      </c>
      <c r="N3645" t="n">
        <v>0</v>
      </c>
      <c r="O3645" t="n">
        <v>0</v>
      </c>
      <c r="P3645" t="n">
        <v>0</v>
      </c>
      <c r="Q3645" t="n">
        <v>0</v>
      </c>
      <c r="R3645" s="2" t="inlineStr"/>
    </row>
    <row r="3646" ht="15" customHeight="1">
      <c r="A3646" t="inlineStr">
        <is>
          <t>A 53267-2023</t>
        </is>
      </c>
      <c r="B3646" s="1" t="n">
        <v>45229</v>
      </c>
      <c r="C3646" s="1" t="n">
        <v>45724</v>
      </c>
      <c r="D3646" t="inlineStr">
        <is>
          <t>VÄSTMANLANDS LÄN</t>
        </is>
      </c>
      <c r="E3646" t="inlineStr">
        <is>
          <t>VÄSTERÅS</t>
        </is>
      </c>
      <c r="G3646" t="n">
        <v>2.7</v>
      </c>
      <c r="H3646" t="n">
        <v>0</v>
      </c>
      <c r="I3646" t="n">
        <v>0</v>
      </c>
      <c r="J3646" t="n">
        <v>0</v>
      </c>
      <c r="K3646" t="n">
        <v>0</v>
      </c>
      <c r="L3646" t="n">
        <v>0</v>
      </c>
      <c r="M3646" t="n">
        <v>0</v>
      </c>
      <c r="N3646" t="n">
        <v>0</v>
      </c>
      <c r="O3646" t="n">
        <v>0</v>
      </c>
      <c r="P3646" t="n">
        <v>0</v>
      </c>
      <c r="Q3646" t="n">
        <v>0</v>
      </c>
      <c r="R3646" s="2" t="inlineStr"/>
    </row>
    <row r="3647" ht="15" customHeight="1">
      <c r="A3647" t="inlineStr">
        <is>
          <t>A 54910-2023</t>
        </is>
      </c>
      <c r="B3647" s="1" t="n">
        <v>45229</v>
      </c>
      <c r="C3647" s="1" t="n">
        <v>45724</v>
      </c>
      <c r="D3647" t="inlineStr">
        <is>
          <t>VÄSTMANLANDS LÄN</t>
        </is>
      </c>
      <c r="E3647" t="inlineStr">
        <is>
          <t>SALA</t>
        </is>
      </c>
      <c r="G3647" t="n">
        <v>2.4</v>
      </c>
      <c r="H3647" t="n">
        <v>0</v>
      </c>
      <c r="I3647" t="n">
        <v>0</v>
      </c>
      <c r="J3647" t="n">
        <v>0</v>
      </c>
      <c r="K3647" t="n">
        <v>0</v>
      </c>
      <c r="L3647" t="n">
        <v>0</v>
      </c>
      <c r="M3647" t="n">
        <v>0</v>
      </c>
      <c r="N3647" t="n">
        <v>0</v>
      </c>
      <c r="O3647" t="n">
        <v>0</v>
      </c>
      <c r="P3647" t="n">
        <v>0</v>
      </c>
      <c r="Q3647" t="n">
        <v>0</v>
      </c>
      <c r="R3647" s="2" t="inlineStr"/>
    </row>
    <row r="3648" ht="15" customHeight="1">
      <c r="A3648" t="inlineStr">
        <is>
          <t>A 55024-2023</t>
        </is>
      </c>
      <c r="B3648" s="1" t="n">
        <v>45229</v>
      </c>
      <c r="C3648" s="1" t="n">
        <v>45724</v>
      </c>
      <c r="D3648" t="inlineStr">
        <is>
          <t>VÄSTMANLANDS LÄN</t>
        </is>
      </c>
      <c r="E3648" t="inlineStr">
        <is>
          <t>SALA</t>
        </is>
      </c>
      <c r="G3648" t="n">
        <v>0.9</v>
      </c>
      <c r="H3648" t="n">
        <v>0</v>
      </c>
      <c r="I3648" t="n">
        <v>0</v>
      </c>
      <c r="J3648" t="n">
        <v>0</v>
      </c>
      <c r="K3648" t="n">
        <v>0</v>
      </c>
      <c r="L3648" t="n">
        <v>0</v>
      </c>
      <c r="M3648" t="n">
        <v>0</v>
      </c>
      <c r="N3648" t="n">
        <v>0</v>
      </c>
      <c r="O3648" t="n">
        <v>0</v>
      </c>
      <c r="P3648" t="n">
        <v>0</v>
      </c>
      <c r="Q3648" t="n">
        <v>0</v>
      </c>
      <c r="R3648" s="2" t="inlineStr"/>
    </row>
    <row r="3649" ht="15" customHeight="1">
      <c r="A3649" t="inlineStr">
        <is>
          <t>A 55032-2023</t>
        </is>
      </c>
      <c r="B3649" s="1" t="n">
        <v>45229</v>
      </c>
      <c r="C3649" s="1" t="n">
        <v>45724</v>
      </c>
      <c r="D3649" t="inlineStr">
        <is>
          <t>VÄSTMANLANDS LÄN</t>
        </is>
      </c>
      <c r="E3649" t="inlineStr">
        <is>
          <t>SALA</t>
        </is>
      </c>
      <c r="G3649" t="n">
        <v>1.5</v>
      </c>
      <c r="H3649" t="n">
        <v>0</v>
      </c>
      <c r="I3649" t="n">
        <v>0</v>
      </c>
      <c r="J3649" t="n">
        <v>0</v>
      </c>
      <c r="K3649" t="n">
        <v>0</v>
      </c>
      <c r="L3649" t="n">
        <v>0</v>
      </c>
      <c r="M3649" t="n">
        <v>0</v>
      </c>
      <c r="N3649" t="n">
        <v>0</v>
      </c>
      <c r="O3649" t="n">
        <v>0</v>
      </c>
      <c r="P3649" t="n">
        <v>0</v>
      </c>
      <c r="Q3649" t="n">
        <v>0</v>
      </c>
      <c r="R3649" s="2" t="inlineStr"/>
    </row>
    <row r="3650" ht="15" customHeight="1">
      <c r="A3650" t="inlineStr">
        <is>
          <t>A 55035-2023</t>
        </is>
      </c>
      <c r="B3650" s="1" t="n">
        <v>45229</v>
      </c>
      <c r="C3650" s="1" t="n">
        <v>45724</v>
      </c>
      <c r="D3650" t="inlineStr">
        <is>
          <t>VÄSTMANLANDS LÄN</t>
        </is>
      </c>
      <c r="E3650" t="inlineStr">
        <is>
          <t>SALA</t>
        </is>
      </c>
      <c r="G3650" t="n">
        <v>1.1</v>
      </c>
      <c r="H3650" t="n">
        <v>0</v>
      </c>
      <c r="I3650" t="n">
        <v>0</v>
      </c>
      <c r="J3650" t="n">
        <v>0</v>
      </c>
      <c r="K3650" t="n">
        <v>0</v>
      </c>
      <c r="L3650" t="n">
        <v>0</v>
      </c>
      <c r="M3650" t="n">
        <v>0</v>
      </c>
      <c r="N3650" t="n">
        <v>0</v>
      </c>
      <c r="O3650" t="n">
        <v>0</v>
      </c>
      <c r="P3650" t="n">
        <v>0</v>
      </c>
      <c r="Q3650" t="n">
        <v>0</v>
      </c>
      <c r="R3650" s="2" t="inlineStr"/>
    </row>
    <row r="3651" ht="15" customHeight="1">
      <c r="A3651" t="inlineStr">
        <is>
          <t>A 55040-2023</t>
        </is>
      </c>
      <c r="B3651" s="1" t="n">
        <v>45229</v>
      </c>
      <c r="C3651" s="1" t="n">
        <v>45724</v>
      </c>
      <c r="D3651" t="inlineStr">
        <is>
          <t>VÄSTMANLANDS LÄN</t>
        </is>
      </c>
      <c r="E3651" t="inlineStr">
        <is>
          <t>SALA</t>
        </is>
      </c>
      <c r="G3651" t="n">
        <v>3.3</v>
      </c>
      <c r="H3651" t="n">
        <v>0</v>
      </c>
      <c r="I3651" t="n">
        <v>0</v>
      </c>
      <c r="J3651" t="n">
        <v>0</v>
      </c>
      <c r="K3651" t="n">
        <v>0</v>
      </c>
      <c r="L3651" t="n">
        <v>0</v>
      </c>
      <c r="M3651" t="n">
        <v>0</v>
      </c>
      <c r="N3651" t="n">
        <v>0</v>
      </c>
      <c r="O3651" t="n">
        <v>0</v>
      </c>
      <c r="P3651" t="n">
        <v>0</v>
      </c>
      <c r="Q3651" t="n">
        <v>0</v>
      </c>
      <c r="R3651" s="2" t="inlineStr"/>
    </row>
    <row r="3652" ht="15" customHeight="1">
      <c r="A3652" t="inlineStr">
        <is>
          <t>A 53653-2023</t>
        </is>
      </c>
      <c r="B3652" s="1" t="n">
        <v>45230</v>
      </c>
      <c r="C3652" s="1" t="n">
        <v>45724</v>
      </c>
      <c r="D3652" t="inlineStr">
        <is>
          <t>VÄSTMANLANDS LÄN</t>
        </is>
      </c>
      <c r="E3652" t="inlineStr">
        <is>
          <t>ARBOGA</t>
        </is>
      </c>
      <c r="G3652" t="n">
        <v>4.5</v>
      </c>
      <c r="H3652" t="n">
        <v>0</v>
      </c>
      <c r="I3652" t="n">
        <v>0</v>
      </c>
      <c r="J3652" t="n">
        <v>0</v>
      </c>
      <c r="K3652" t="n">
        <v>0</v>
      </c>
      <c r="L3652" t="n">
        <v>0</v>
      </c>
      <c r="M3652" t="n">
        <v>0</v>
      </c>
      <c r="N3652" t="n">
        <v>0</v>
      </c>
      <c r="O3652" t="n">
        <v>0</v>
      </c>
      <c r="P3652" t="n">
        <v>0</v>
      </c>
      <c r="Q3652" t="n">
        <v>0</v>
      </c>
      <c r="R3652" s="2" t="inlineStr"/>
    </row>
    <row r="3653" ht="15" customHeight="1">
      <c r="A3653" t="inlineStr">
        <is>
          <t>A 53629-2023</t>
        </is>
      </c>
      <c r="B3653" s="1" t="n">
        <v>45230</v>
      </c>
      <c r="C3653" s="1" t="n">
        <v>45724</v>
      </c>
      <c r="D3653" t="inlineStr">
        <is>
          <t>VÄSTMANLANDS LÄN</t>
        </is>
      </c>
      <c r="E3653" t="inlineStr">
        <is>
          <t>ARBOGA</t>
        </is>
      </c>
      <c r="G3653" t="n">
        <v>3.1</v>
      </c>
      <c r="H3653" t="n">
        <v>0</v>
      </c>
      <c r="I3653" t="n">
        <v>0</v>
      </c>
      <c r="J3653" t="n">
        <v>0</v>
      </c>
      <c r="K3653" t="n">
        <v>0</v>
      </c>
      <c r="L3653" t="n">
        <v>0</v>
      </c>
      <c r="M3653" t="n">
        <v>0</v>
      </c>
      <c r="N3653" t="n">
        <v>0</v>
      </c>
      <c r="O3653" t="n">
        <v>0</v>
      </c>
      <c r="P3653" t="n">
        <v>0</v>
      </c>
      <c r="Q3653" t="n">
        <v>0</v>
      </c>
      <c r="R3653" s="2" t="inlineStr"/>
    </row>
    <row r="3654" ht="15" customHeight="1">
      <c r="A3654" t="inlineStr">
        <is>
          <t>A 55149-2023</t>
        </is>
      </c>
      <c r="B3654" s="1" t="n">
        <v>45230</v>
      </c>
      <c r="C3654" s="1" t="n">
        <v>45724</v>
      </c>
      <c r="D3654" t="inlineStr">
        <is>
          <t>VÄSTMANLANDS LÄN</t>
        </is>
      </c>
      <c r="E3654" t="inlineStr">
        <is>
          <t>ARBOGA</t>
        </is>
      </c>
      <c r="G3654" t="n">
        <v>11.3</v>
      </c>
      <c r="H3654" t="n">
        <v>0</v>
      </c>
      <c r="I3654" t="n">
        <v>0</v>
      </c>
      <c r="J3654" t="n">
        <v>0</v>
      </c>
      <c r="K3654" t="n">
        <v>0</v>
      </c>
      <c r="L3654" t="n">
        <v>0</v>
      </c>
      <c r="M3654" t="n">
        <v>0</v>
      </c>
      <c r="N3654" t="n">
        <v>0</v>
      </c>
      <c r="O3654" t="n">
        <v>0</v>
      </c>
      <c r="P3654" t="n">
        <v>0</v>
      </c>
      <c r="Q3654" t="n">
        <v>0</v>
      </c>
      <c r="R3654" s="2" t="inlineStr"/>
    </row>
    <row r="3655" ht="15" customHeight="1">
      <c r="A3655" t="inlineStr">
        <is>
          <t>A 53877-2023</t>
        </is>
      </c>
      <c r="B3655" s="1" t="n">
        <v>45231</v>
      </c>
      <c r="C3655" s="1" t="n">
        <v>45724</v>
      </c>
      <c r="D3655" t="inlineStr">
        <is>
          <t>VÄSTMANLANDS LÄN</t>
        </is>
      </c>
      <c r="E3655" t="inlineStr">
        <is>
          <t>SALA</t>
        </is>
      </c>
      <c r="G3655" t="n">
        <v>3.2</v>
      </c>
      <c r="H3655" t="n">
        <v>0</v>
      </c>
      <c r="I3655" t="n">
        <v>0</v>
      </c>
      <c r="J3655" t="n">
        <v>0</v>
      </c>
      <c r="K3655" t="n">
        <v>0</v>
      </c>
      <c r="L3655" t="n">
        <v>0</v>
      </c>
      <c r="M3655" t="n">
        <v>0</v>
      </c>
      <c r="N3655" t="n">
        <v>0</v>
      </c>
      <c r="O3655" t="n">
        <v>0</v>
      </c>
      <c r="P3655" t="n">
        <v>0</v>
      </c>
      <c r="Q3655" t="n">
        <v>0</v>
      </c>
      <c r="R3655" s="2" t="inlineStr"/>
    </row>
    <row r="3656" ht="15" customHeight="1">
      <c r="A3656" t="inlineStr">
        <is>
          <t>A 53929-2023</t>
        </is>
      </c>
      <c r="B3656" s="1" t="n">
        <v>45231</v>
      </c>
      <c r="C3656" s="1" t="n">
        <v>45724</v>
      </c>
      <c r="D3656" t="inlineStr">
        <is>
          <t>VÄSTMANLANDS LÄN</t>
        </is>
      </c>
      <c r="E3656" t="inlineStr">
        <is>
          <t>ARBOGA</t>
        </is>
      </c>
      <c r="G3656" t="n">
        <v>3</v>
      </c>
      <c r="H3656" t="n">
        <v>0</v>
      </c>
      <c r="I3656" t="n">
        <v>0</v>
      </c>
      <c r="J3656" t="n">
        <v>0</v>
      </c>
      <c r="K3656" t="n">
        <v>0</v>
      </c>
      <c r="L3656" t="n">
        <v>0</v>
      </c>
      <c r="M3656" t="n">
        <v>0</v>
      </c>
      <c r="N3656" t="n">
        <v>0</v>
      </c>
      <c r="O3656" t="n">
        <v>0</v>
      </c>
      <c r="P3656" t="n">
        <v>0</v>
      </c>
      <c r="Q3656" t="n">
        <v>0</v>
      </c>
      <c r="R3656" s="2" t="inlineStr"/>
    </row>
    <row r="3657" ht="15" customHeight="1">
      <c r="A3657" t="inlineStr">
        <is>
          <t>A 53951-2023</t>
        </is>
      </c>
      <c r="B3657" s="1" t="n">
        <v>45231</v>
      </c>
      <c r="C3657" s="1" t="n">
        <v>45724</v>
      </c>
      <c r="D3657" t="inlineStr">
        <is>
          <t>VÄSTMANLANDS LÄN</t>
        </is>
      </c>
      <c r="E3657" t="inlineStr">
        <is>
          <t>SALA</t>
        </is>
      </c>
      <c r="F3657" t="inlineStr">
        <is>
          <t>Kommuner</t>
        </is>
      </c>
      <c r="G3657" t="n">
        <v>8.4</v>
      </c>
      <c r="H3657" t="n">
        <v>0</v>
      </c>
      <c r="I3657" t="n">
        <v>0</v>
      </c>
      <c r="J3657" t="n">
        <v>0</v>
      </c>
      <c r="K3657" t="n">
        <v>0</v>
      </c>
      <c r="L3657" t="n">
        <v>0</v>
      </c>
      <c r="M3657" t="n">
        <v>0</v>
      </c>
      <c r="N3657" t="n">
        <v>0</v>
      </c>
      <c r="O3657" t="n">
        <v>0</v>
      </c>
      <c r="P3657" t="n">
        <v>0</v>
      </c>
      <c r="Q3657" t="n">
        <v>0</v>
      </c>
      <c r="R3657" s="2" t="inlineStr"/>
      <c r="U3657">
        <f>HYPERLINK("https://klasma.github.io/Logging_1981/knärot/A 53951-2023 karta knärot.png", "A 53951-2023")</f>
        <v/>
      </c>
      <c r="V3657">
        <f>HYPERLINK("https://klasma.github.io/Logging_1981/klagomål/A 53951-2023 FSC-klagomål.docx", "A 53951-2023")</f>
        <v/>
      </c>
      <c r="W3657">
        <f>HYPERLINK("https://klasma.github.io/Logging_1981/klagomålsmail/A 53951-2023 FSC-klagomål mail.docx", "A 53951-2023")</f>
        <v/>
      </c>
      <c r="X3657">
        <f>HYPERLINK("https://klasma.github.io/Logging_1981/tillsyn/A 53951-2023 tillsynsbegäran.docx", "A 53951-2023")</f>
        <v/>
      </c>
      <c r="Y3657">
        <f>HYPERLINK("https://klasma.github.io/Logging_1981/tillsynsmail/A 53951-2023 tillsynsbegäran mail.docx", "A 53951-2023")</f>
        <v/>
      </c>
    </row>
    <row r="3658" ht="15" customHeight="1">
      <c r="A3658" t="inlineStr">
        <is>
          <t>A 54125-2023</t>
        </is>
      </c>
      <c r="B3658" s="1" t="n">
        <v>45232</v>
      </c>
      <c r="C3658" s="1" t="n">
        <v>45724</v>
      </c>
      <c r="D3658" t="inlineStr">
        <is>
          <t>VÄSTMANLANDS LÄN</t>
        </is>
      </c>
      <c r="E3658" t="inlineStr">
        <is>
          <t>SALA</t>
        </is>
      </c>
      <c r="G3658" t="n">
        <v>3.7</v>
      </c>
      <c r="H3658" t="n">
        <v>0</v>
      </c>
      <c r="I3658" t="n">
        <v>0</v>
      </c>
      <c r="J3658" t="n">
        <v>0</v>
      </c>
      <c r="K3658" t="n">
        <v>0</v>
      </c>
      <c r="L3658" t="n">
        <v>0</v>
      </c>
      <c r="M3658" t="n">
        <v>0</v>
      </c>
      <c r="N3658" t="n">
        <v>0</v>
      </c>
      <c r="O3658" t="n">
        <v>0</v>
      </c>
      <c r="P3658" t="n">
        <v>0</v>
      </c>
      <c r="Q3658" t="n">
        <v>0</v>
      </c>
      <c r="R3658" s="2" t="inlineStr"/>
    </row>
    <row r="3659" ht="15" customHeight="1">
      <c r="A3659" t="inlineStr">
        <is>
          <t>A 54094-2023</t>
        </is>
      </c>
      <c r="B3659" s="1" t="n">
        <v>45232</v>
      </c>
      <c r="C3659" s="1" t="n">
        <v>45724</v>
      </c>
      <c r="D3659" t="inlineStr">
        <is>
          <t>VÄSTMANLANDS LÄN</t>
        </is>
      </c>
      <c r="E3659" t="inlineStr">
        <is>
          <t>ARBOGA</t>
        </is>
      </c>
      <c r="G3659" t="n">
        <v>3.8</v>
      </c>
      <c r="H3659" t="n">
        <v>0</v>
      </c>
      <c r="I3659" t="n">
        <v>0</v>
      </c>
      <c r="J3659" t="n">
        <v>0</v>
      </c>
      <c r="K3659" t="n">
        <v>0</v>
      </c>
      <c r="L3659" t="n">
        <v>0</v>
      </c>
      <c r="M3659" t="n">
        <v>0</v>
      </c>
      <c r="N3659" t="n">
        <v>0</v>
      </c>
      <c r="O3659" t="n">
        <v>0</v>
      </c>
      <c r="P3659" t="n">
        <v>0</v>
      </c>
      <c r="Q3659" t="n">
        <v>0</v>
      </c>
      <c r="R3659" s="2" t="inlineStr"/>
    </row>
    <row r="3660" ht="15" customHeight="1">
      <c r="A3660" t="inlineStr">
        <is>
          <t>A 54114-2023</t>
        </is>
      </c>
      <c r="B3660" s="1" t="n">
        <v>45232</v>
      </c>
      <c r="C3660" s="1" t="n">
        <v>45724</v>
      </c>
      <c r="D3660" t="inlineStr">
        <is>
          <t>VÄSTMANLANDS LÄN</t>
        </is>
      </c>
      <c r="E3660" t="inlineStr">
        <is>
          <t>SALA</t>
        </is>
      </c>
      <c r="G3660" t="n">
        <v>1.6</v>
      </c>
      <c r="H3660" t="n">
        <v>0</v>
      </c>
      <c r="I3660" t="n">
        <v>0</v>
      </c>
      <c r="J3660" t="n">
        <v>0</v>
      </c>
      <c r="K3660" t="n">
        <v>0</v>
      </c>
      <c r="L3660" t="n">
        <v>0</v>
      </c>
      <c r="M3660" t="n">
        <v>0</v>
      </c>
      <c r="N3660" t="n">
        <v>0</v>
      </c>
      <c r="O3660" t="n">
        <v>0</v>
      </c>
      <c r="P3660" t="n">
        <v>0</v>
      </c>
      <c r="Q3660" t="n">
        <v>0</v>
      </c>
      <c r="R3660" s="2" t="inlineStr"/>
    </row>
    <row r="3661" ht="15" customHeight="1">
      <c r="A3661" t="inlineStr">
        <is>
          <t>A 54118-2023</t>
        </is>
      </c>
      <c r="B3661" s="1" t="n">
        <v>45232</v>
      </c>
      <c r="C3661" s="1" t="n">
        <v>45724</v>
      </c>
      <c r="D3661" t="inlineStr">
        <is>
          <t>VÄSTMANLANDS LÄN</t>
        </is>
      </c>
      <c r="E3661" t="inlineStr">
        <is>
          <t>SALA</t>
        </is>
      </c>
      <c r="G3661" t="n">
        <v>1.1</v>
      </c>
      <c r="H3661" t="n">
        <v>0</v>
      </c>
      <c r="I3661" t="n">
        <v>0</v>
      </c>
      <c r="J3661" t="n">
        <v>0</v>
      </c>
      <c r="K3661" t="n">
        <v>0</v>
      </c>
      <c r="L3661" t="n">
        <v>0</v>
      </c>
      <c r="M3661" t="n">
        <v>0</v>
      </c>
      <c r="N3661" t="n">
        <v>0</v>
      </c>
      <c r="O3661" t="n">
        <v>0</v>
      </c>
      <c r="P3661" t="n">
        <v>0</v>
      </c>
      <c r="Q3661" t="n">
        <v>0</v>
      </c>
      <c r="R3661" s="2" t="inlineStr"/>
    </row>
    <row r="3662" ht="15" customHeight="1">
      <c r="A3662" t="inlineStr">
        <is>
          <t>A 54296-2023</t>
        </is>
      </c>
      <c r="B3662" s="1" t="n">
        <v>45232</v>
      </c>
      <c r="C3662" s="1" t="n">
        <v>45724</v>
      </c>
      <c r="D3662" t="inlineStr">
        <is>
          <t>VÄSTMANLANDS LÄN</t>
        </is>
      </c>
      <c r="E3662" t="inlineStr">
        <is>
          <t>SKINNSKATTEBERG</t>
        </is>
      </c>
      <c r="G3662" t="n">
        <v>1</v>
      </c>
      <c r="H3662" t="n">
        <v>0</v>
      </c>
      <c r="I3662" t="n">
        <v>0</v>
      </c>
      <c r="J3662" t="n">
        <v>0</v>
      </c>
      <c r="K3662" t="n">
        <v>0</v>
      </c>
      <c r="L3662" t="n">
        <v>0</v>
      </c>
      <c r="M3662" t="n">
        <v>0</v>
      </c>
      <c r="N3662" t="n">
        <v>0</v>
      </c>
      <c r="O3662" t="n">
        <v>0</v>
      </c>
      <c r="P3662" t="n">
        <v>0</v>
      </c>
      <c r="Q3662" t="n">
        <v>0</v>
      </c>
      <c r="R3662" s="2" t="inlineStr"/>
    </row>
    <row r="3663" ht="15" customHeight="1">
      <c r="A3663" t="inlineStr">
        <is>
          <t>A 55556-2023</t>
        </is>
      </c>
      <c r="B3663" s="1" t="n">
        <v>45232</v>
      </c>
      <c r="C3663" s="1" t="n">
        <v>45724</v>
      </c>
      <c r="D3663" t="inlineStr">
        <is>
          <t>VÄSTMANLANDS LÄN</t>
        </is>
      </c>
      <c r="E3663" t="inlineStr">
        <is>
          <t>SALA</t>
        </is>
      </c>
      <c r="G3663" t="n">
        <v>1.3</v>
      </c>
      <c r="H3663" t="n">
        <v>0</v>
      </c>
      <c r="I3663" t="n">
        <v>0</v>
      </c>
      <c r="J3663" t="n">
        <v>0</v>
      </c>
      <c r="K3663" t="n">
        <v>0</v>
      </c>
      <c r="L3663" t="n">
        <v>0</v>
      </c>
      <c r="M3663" t="n">
        <v>0</v>
      </c>
      <c r="N3663" t="n">
        <v>0</v>
      </c>
      <c r="O3663" t="n">
        <v>0</v>
      </c>
      <c r="P3663" t="n">
        <v>0</v>
      </c>
      <c r="Q3663" t="n">
        <v>0</v>
      </c>
      <c r="R3663" s="2" t="inlineStr"/>
    </row>
    <row r="3664" ht="15" customHeight="1">
      <c r="A3664" t="inlineStr">
        <is>
          <t>A 54306-2023</t>
        </is>
      </c>
      <c r="B3664" s="1" t="n">
        <v>45232</v>
      </c>
      <c r="C3664" s="1" t="n">
        <v>45724</v>
      </c>
      <c r="D3664" t="inlineStr">
        <is>
          <t>VÄSTMANLANDS LÄN</t>
        </is>
      </c>
      <c r="E3664" t="inlineStr">
        <is>
          <t>NORBERG</t>
        </is>
      </c>
      <c r="F3664" t="inlineStr">
        <is>
          <t>Sveaskog</t>
        </is>
      </c>
      <c r="G3664" t="n">
        <v>2.9</v>
      </c>
      <c r="H3664" t="n">
        <v>0</v>
      </c>
      <c r="I3664" t="n">
        <v>0</v>
      </c>
      <c r="J3664" t="n">
        <v>0</v>
      </c>
      <c r="K3664" t="n">
        <v>0</v>
      </c>
      <c r="L3664" t="n">
        <v>0</v>
      </c>
      <c r="M3664" t="n">
        <v>0</v>
      </c>
      <c r="N3664" t="n">
        <v>0</v>
      </c>
      <c r="O3664" t="n">
        <v>0</v>
      </c>
      <c r="P3664" t="n">
        <v>0</v>
      </c>
      <c r="Q3664" t="n">
        <v>0</v>
      </c>
      <c r="R3664" s="2" t="inlineStr"/>
    </row>
    <row r="3665" ht="15" customHeight="1">
      <c r="A3665" t="inlineStr">
        <is>
          <t>A 55676-2023</t>
        </is>
      </c>
      <c r="B3665" s="1" t="n">
        <v>45232</v>
      </c>
      <c r="C3665" s="1" t="n">
        <v>45724</v>
      </c>
      <c r="D3665" t="inlineStr">
        <is>
          <t>VÄSTMANLANDS LÄN</t>
        </is>
      </c>
      <c r="E3665" t="inlineStr">
        <is>
          <t>VÄSTERÅS</t>
        </is>
      </c>
      <c r="F3665" t="inlineStr">
        <is>
          <t>Övriga Aktiebolag</t>
        </is>
      </c>
      <c r="G3665" t="n">
        <v>37.9</v>
      </c>
      <c r="H3665" t="n">
        <v>0</v>
      </c>
      <c r="I3665" t="n">
        <v>0</v>
      </c>
      <c r="J3665" t="n">
        <v>0</v>
      </c>
      <c r="K3665" t="n">
        <v>0</v>
      </c>
      <c r="L3665" t="n">
        <v>0</v>
      </c>
      <c r="M3665" t="n">
        <v>0</v>
      </c>
      <c r="N3665" t="n">
        <v>0</v>
      </c>
      <c r="O3665" t="n">
        <v>0</v>
      </c>
      <c r="P3665" t="n">
        <v>0</v>
      </c>
      <c r="Q3665" t="n">
        <v>0</v>
      </c>
      <c r="R3665" s="2" t="inlineStr"/>
    </row>
    <row r="3666" ht="15" customHeight="1">
      <c r="A3666" t="inlineStr">
        <is>
          <t>A 55836-2023</t>
        </is>
      </c>
      <c r="B3666" s="1" t="n">
        <v>45233</v>
      </c>
      <c r="C3666" s="1" t="n">
        <v>45724</v>
      </c>
      <c r="D3666" t="inlineStr">
        <is>
          <t>VÄSTMANLANDS LÄN</t>
        </is>
      </c>
      <c r="E3666" t="inlineStr">
        <is>
          <t>VÄSTERÅS</t>
        </is>
      </c>
      <c r="F3666" t="inlineStr">
        <is>
          <t>Övriga Aktiebolag</t>
        </is>
      </c>
      <c r="G3666" t="n">
        <v>10.5</v>
      </c>
      <c r="H3666" t="n">
        <v>0</v>
      </c>
      <c r="I3666" t="n">
        <v>0</v>
      </c>
      <c r="J3666" t="n">
        <v>0</v>
      </c>
      <c r="K3666" t="n">
        <v>0</v>
      </c>
      <c r="L3666" t="n">
        <v>0</v>
      </c>
      <c r="M3666" t="n">
        <v>0</v>
      </c>
      <c r="N3666" t="n">
        <v>0</v>
      </c>
      <c r="O3666" t="n">
        <v>0</v>
      </c>
      <c r="P3666" t="n">
        <v>0</v>
      </c>
      <c r="Q3666" t="n">
        <v>0</v>
      </c>
      <c r="R3666" s="2" t="inlineStr"/>
    </row>
    <row r="3667" ht="15" customHeight="1">
      <c r="A3667" t="inlineStr">
        <is>
          <t>A 56057-2023</t>
        </is>
      </c>
      <c r="B3667" s="1" t="n">
        <v>45233</v>
      </c>
      <c r="C3667" s="1" t="n">
        <v>45724</v>
      </c>
      <c r="D3667" t="inlineStr">
        <is>
          <t>VÄSTMANLANDS LÄN</t>
        </is>
      </c>
      <c r="E3667" t="inlineStr">
        <is>
          <t>SALA</t>
        </is>
      </c>
      <c r="G3667" t="n">
        <v>0.6</v>
      </c>
      <c r="H3667" t="n">
        <v>0</v>
      </c>
      <c r="I3667" t="n">
        <v>0</v>
      </c>
      <c r="J3667" t="n">
        <v>0</v>
      </c>
      <c r="K3667" t="n">
        <v>0</v>
      </c>
      <c r="L3667" t="n">
        <v>0</v>
      </c>
      <c r="M3667" t="n">
        <v>0</v>
      </c>
      <c r="N3667" t="n">
        <v>0</v>
      </c>
      <c r="O3667" t="n">
        <v>0</v>
      </c>
      <c r="P3667" t="n">
        <v>0</v>
      </c>
      <c r="Q3667" t="n">
        <v>0</v>
      </c>
      <c r="R3667" s="2" t="inlineStr"/>
    </row>
    <row r="3668" ht="15" customHeight="1">
      <c r="A3668" t="inlineStr">
        <is>
          <t>A 54573-2023</t>
        </is>
      </c>
      <c r="B3668" s="1" t="n">
        <v>45233</v>
      </c>
      <c r="C3668" s="1" t="n">
        <v>45724</v>
      </c>
      <c r="D3668" t="inlineStr">
        <is>
          <t>VÄSTMANLANDS LÄN</t>
        </is>
      </c>
      <c r="E3668" t="inlineStr">
        <is>
          <t>NORBERG</t>
        </is>
      </c>
      <c r="F3668" t="inlineStr">
        <is>
          <t>Sveaskog</t>
        </is>
      </c>
      <c r="G3668" t="n">
        <v>1.1</v>
      </c>
      <c r="H3668" t="n">
        <v>0</v>
      </c>
      <c r="I3668" t="n">
        <v>0</v>
      </c>
      <c r="J3668" t="n">
        <v>0</v>
      </c>
      <c r="K3668" t="n">
        <v>0</v>
      </c>
      <c r="L3668" t="n">
        <v>0</v>
      </c>
      <c r="M3668" t="n">
        <v>0</v>
      </c>
      <c r="N3668" t="n">
        <v>0</v>
      </c>
      <c r="O3668" t="n">
        <v>0</v>
      </c>
      <c r="P3668" t="n">
        <v>0</v>
      </c>
      <c r="Q3668" t="n">
        <v>0</v>
      </c>
      <c r="R3668" s="2" t="inlineStr"/>
    </row>
    <row r="3669" ht="15" customHeight="1">
      <c r="A3669" t="inlineStr">
        <is>
          <t>A 56064-2023</t>
        </is>
      </c>
      <c r="B3669" s="1" t="n">
        <v>45233</v>
      </c>
      <c r="C3669" s="1" t="n">
        <v>45724</v>
      </c>
      <c r="D3669" t="inlineStr">
        <is>
          <t>VÄSTMANLANDS LÄN</t>
        </is>
      </c>
      <c r="E3669" t="inlineStr">
        <is>
          <t>SALA</t>
        </is>
      </c>
      <c r="G3669" t="n">
        <v>0.8</v>
      </c>
      <c r="H3669" t="n">
        <v>0</v>
      </c>
      <c r="I3669" t="n">
        <v>0</v>
      </c>
      <c r="J3669" t="n">
        <v>0</v>
      </c>
      <c r="K3669" t="n">
        <v>0</v>
      </c>
      <c r="L3669" t="n">
        <v>0</v>
      </c>
      <c r="M3669" t="n">
        <v>0</v>
      </c>
      <c r="N3669" t="n">
        <v>0</v>
      </c>
      <c r="O3669" t="n">
        <v>0</v>
      </c>
      <c r="P3669" t="n">
        <v>0</v>
      </c>
      <c r="Q3669" t="n">
        <v>0</v>
      </c>
      <c r="R3669" s="2" t="inlineStr"/>
    </row>
    <row r="3670" ht="15" customHeight="1">
      <c r="A3670" t="inlineStr">
        <is>
          <t>A 55892-2023</t>
        </is>
      </c>
      <c r="B3670" s="1" t="n">
        <v>45233</v>
      </c>
      <c r="C3670" s="1" t="n">
        <v>45724</v>
      </c>
      <c r="D3670" t="inlineStr">
        <is>
          <t>VÄSTMANLANDS LÄN</t>
        </is>
      </c>
      <c r="E3670" t="inlineStr">
        <is>
          <t>VÄSTERÅS</t>
        </is>
      </c>
      <c r="F3670" t="inlineStr">
        <is>
          <t>Övriga Aktiebolag</t>
        </is>
      </c>
      <c r="G3670" t="n">
        <v>6.4</v>
      </c>
      <c r="H3670" t="n">
        <v>0</v>
      </c>
      <c r="I3670" t="n">
        <v>0</v>
      </c>
      <c r="J3670" t="n">
        <v>0</v>
      </c>
      <c r="K3670" t="n">
        <v>0</v>
      </c>
      <c r="L3670" t="n">
        <v>0</v>
      </c>
      <c r="M3670" t="n">
        <v>0</v>
      </c>
      <c r="N3670" t="n">
        <v>0</v>
      </c>
      <c r="O3670" t="n">
        <v>0</v>
      </c>
      <c r="P3670" t="n">
        <v>0</v>
      </c>
      <c r="Q3670" t="n">
        <v>0</v>
      </c>
      <c r="R3670" s="2" t="inlineStr"/>
    </row>
    <row r="3671" ht="15" customHeight="1">
      <c r="A3671" t="inlineStr">
        <is>
          <t>A 54657-2023</t>
        </is>
      </c>
      <c r="B3671" s="1" t="n">
        <v>45235</v>
      </c>
      <c r="C3671" s="1" t="n">
        <v>45724</v>
      </c>
      <c r="D3671" t="inlineStr">
        <is>
          <t>VÄSTMANLANDS LÄN</t>
        </is>
      </c>
      <c r="E3671" t="inlineStr">
        <is>
          <t>KÖPING</t>
        </is>
      </c>
      <c r="G3671" t="n">
        <v>4.2</v>
      </c>
      <c r="H3671" t="n">
        <v>0</v>
      </c>
      <c r="I3671" t="n">
        <v>0</v>
      </c>
      <c r="J3671" t="n">
        <v>0</v>
      </c>
      <c r="K3671" t="n">
        <v>0</v>
      </c>
      <c r="L3671" t="n">
        <v>0</v>
      </c>
      <c r="M3671" t="n">
        <v>0</v>
      </c>
      <c r="N3671" t="n">
        <v>0</v>
      </c>
      <c r="O3671" t="n">
        <v>0</v>
      </c>
      <c r="P3671" t="n">
        <v>0</v>
      </c>
      <c r="Q3671" t="n">
        <v>0</v>
      </c>
      <c r="R3671" s="2" t="inlineStr"/>
    </row>
    <row r="3672" ht="15" customHeight="1">
      <c r="A3672" t="inlineStr">
        <is>
          <t>A 56081-2023</t>
        </is>
      </c>
      <c r="B3672" s="1" t="n">
        <v>45235</v>
      </c>
      <c r="C3672" s="1" t="n">
        <v>45724</v>
      </c>
      <c r="D3672" t="inlineStr">
        <is>
          <t>VÄSTMANLANDS LÄN</t>
        </is>
      </c>
      <c r="E3672" t="inlineStr">
        <is>
          <t>VÄSTERÅS</t>
        </is>
      </c>
      <c r="F3672" t="inlineStr">
        <is>
          <t>Övriga Aktiebolag</t>
        </is>
      </c>
      <c r="G3672" t="n">
        <v>7</v>
      </c>
      <c r="H3672" t="n">
        <v>0</v>
      </c>
      <c r="I3672" t="n">
        <v>0</v>
      </c>
      <c r="J3672" t="n">
        <v>0</v>
      </c>
      <c r="K3672" t="n">
        <v>0</v>
      </c>
      <c r="L3672" t="n">
        <v>0</v>
      </c>
      <c r="M3672" t="n">
        <v>0</v>
      </c>
      <c r="N3672" t="n">
        <v>0</v>
      </c>
      <c r="O3672" t="n">
        <v>0</v>
      </c>
      <c r="P3672" t="n">
        <v>0</v>
      </c>
      <c r="Q3672" t="n">
        <v>0</v>
      </c>
      <c r="R3672" s="2" t="inlineStr"/>
    </row>
    <row r="3673" ht="15" customHeight="1">
      <c r="A3673" t="inlineStr">
        <is>
          <t>A 56076-2023</t>
        </is>
      </c>
      <c r="B3673" s="1" t="n">
        <v>45235</v>
      </c>
      <c r="C3673" s="1" t="n">
        <v>45724</v>
      </c>
      <c r="D3673" t="inlineStr">
        <is>
          <t>VÄSTMANLANDS LÄN</t>
        </is>
      </c>
      <c r="E3673" t="inlineStr">
        <is>
          <t>VÄSTERÅS</t>
        </is>
      </c>
      <c r="F3673" t="inlineStr">
        <is>
          <t>Övriga Aktiebolag</t>
        </is>
      </c>
      <c r="G3673" t="n">
        <v>37.8</v>
      </c>
      <c r="H3673" t="n">
        <v>0</v>
      </c>
      <c r="I3673" t="n">
        <v>0</v>
      </c>
      <c r="J3673" t="n">
        <v>0</v>
      </c>
      <c r="K3673" t="n">
        <v>0</v>
      </c>
      <c r="L3673" t="n">
        <v>0</v>
      </c>
      <c r="M3673" t="n">
        <v>0</v>
      </c>
      <c r="N3673" t="n">
        <v>0</v>
      </c>
      <c r="O3673" t="n">
        <v>0</v>
      </c>
      <c r="P3673" t="n">
        <v>0</v>
      </c>
      <c r="Q3673" t="n">
        <v>0</v>
      </c>
      <c r="R3673" s="2" t="inlineStr"/>
    </row>
    <row r="3674" ht="15" customHeight="1">
      <c r="A3674" t="inlineStr">
        <is>
          <t>A 54804-2023</t>
        </is>
      </c>
      <c r="B3674" s="1" t="n">
        <v>45236</v>
      </c>
      <c r="C3674" s="1" t="n">
        <v>45724</v>
      </c>
      <c r="D3674" t="inlineStr">
        <is>
          <t>VÄSTMANLANDS LÄN</t>
        </is>
      </c>
      <c r="E3674" t="inlineStr">
        <is>
          <t>FAGERSTA</t>
        </is>
      </c>
      <c r="G3674" t="n">
        <v>4.3</v>
      </c>
      <c r="H3674" t="n">
        <v>0</v>
      </c>
      <c r="I3674" t="n">
        <v>0</v>
      </c>
      <c r="J3674" t="n">
        <v>0</v>
      </c>
      <c r="K3674" t="n">
        <v>0</v>
      </c>
      <c r="L3674" t="n">
        <v>0</v>
      </c>
      <c r="M3674" t="n">
        <v>0</v>
      </c>
      <c r="N3674" t="n">
        <v>0</v>
      </c>
      <c r="O3674" t="n">
        <v>0</v>
      </c>
      <c r="P3674" t="n">
        <v>0</v>
      </c>
      <c r="Q3674" t="n">
        <v>0</v>
      </c>
      <c r="R3674" s="2" t="inlineStr"/>
    </row>
    <row r="3675" ht="15" customHeight="1">
      <c r="A3675" t="inlineStr">
        <is>
          <t>A 56378-2023</t>
        </is>
      </c>
      <c r="B3675" s="1" t="n">
        <v>45236</v>
      </c>
      <c r="C3675" s="1" t="n">
        <v>45724</v>
      </c>
      <c r="D3675" t="inlineStr">
        <is>
          <t>VÄSTMANLANDS LÄN</t>
        </is>
      </c>
      <c r="E3675" t="inlineStr">
        <is>
          <t>SURAHAMMAR</t>
        </is>
      </c>
      <c r="F3675" t="inlineStr">
        <is>
          <t>Bergvik skog väst AB</t>
        </is>
      </c>
      <c r="G3675" t="n">
        <v>3.6</v>
      </c>
      <c r="H3675" t="n">
        <v>0</v>
      </c>
      <c r="I3675" t="n">
        <v>0</v>
      </c>
      <c r="J3675" t="n">
        <v>0</v>
      </c>
      <c r="K3675" t="n">
        <v>0</v>
      </c>
      <c r="L3675" t="n">
        <v>0</v>
      </c>
      <c r="M3675" t="n">
        <v>0</v>
      </c>
      <c r="N3675" t="n">
        <v>0</v>
      </c>
      <c r="O3675" t="n">
        <v>0</v>
      </c>
      <c r="P3675" t="n">
        <v>0</v>
      </c>
      <c r="Q3675" t="n">
        <v>0</v>
      </c>
      <c r="R3675" s="2" t="inlineStr"/>
    </row>
    <row r="3676" ht="15" customHeight="1">
      <c r="A3676" t="inlineStr">
        <is>
          <t>A 55188-2023</t>
        </is>
      </c>
      <c r="B3676" s="1" t="n">
        <v>45237</v>
      </c>
      <c r="C3676" s="1" t="n">
        <v>45724</v>
      </c>
      <c r="D3676" t="inlineStr">
        <is>
          <t>VÄSTMANLANDS LÄN</t>
        </is>
      </c>
      <c r="E3676" t="inlineStr">
        <is>
          <t>VÄSTERÅS</t>
        </is>
      </c>
      <c r="G3676" t="n">
        <v>10.7</v>
      </c>
      <c r="H3676" t="n">
        <v>0</v>
      </c>
      <c r="I3676" t="n">
        <v>0</v>
      </c>
      <c r="J3676" t="n">
        <v>0</v>
      </c>
      <c r="K3676" t="n">
        <v>0</v>
      </c>
      <c r="L3676" t="n">
        <v>0</v>
      </c>
      <c r="M3676" t="n">
        <v>0</v>
      </c>
      <c r="N3676" t="n">
        <v>0</v>
      </c>
      <c r="O3676" t="n">
        <v>0</v>
      </c>
      <c r="P3676" t="n">
        <v>0</v>
      </c>
      <c r="Q3676" t="n">
        <v>0</v>
      </c>
      <c r="R3676" s="2" t="inlineStr"/>
    </row>
    <row r="3677" ht="15" customHeight="1">
      <c r="A3677" t="inlineStr">
        <is>
          <t>A 55181-2023</t>
        </is>
      </c>
      <c r="B3677" s="1" t="n">
        <v>45237</v>
      </c>
      <c r="C3677" s="1" t="n">
        <v>45724</v>
      </c>
      <c r="D3677" t="inlineStr">
        <is>
          <t>VÄSTMANLANDS LÄN</t>
        </is>
      </c>
      <c r="E3677" t="inlineStr">
        <is>
          <t>SKINNSKATTEBERG</t>
        </is>
      </c>
      <c r="G3677" t="n">
        <v>8.4</v>
      </c>
      <c r="H3677" t="n">
        <v>0</v>
      </c>
      <c r="I3677" t="n">
        <v>0</v>
      </c>
      <c r="J3677" t="n">
        <v>0</v>
      </c>
      <c r="K3677" t="n">
        <v>0</v>
      </c>
      <c r="L3677" t="n">
        <v>0</v>
      </c>
      <c r="M3677" t="n">
        <v>0</v>
      </c>
      <c r="N3677" t="n">
        <v>0</v>
      </c>
      <c r="O3677" t="n">
        <v>0</v>
      </c>
      <c r="P3677" t="n">
        <v>0</v>
      </c>
      <c r="Q3677" t="n">
        <v>0</v>
      </c>
      <c r="R3677" s="2" t="inlineStr"/>
    </row>
    <row r="3678" ht="15" customHeight="1">
      <c r="A3678" t="inlineStr">
        <is>
          <t>A 55186-2023</t>
        </is>
      </c>
      <c r="B3678" s="1" t="n">
        <v>45237</v>
      </c>
      <c r="C3678" s="1" t="n">
        <v>45724</v>
      </c>
      <c r="D3678" t="inlineStr">
        <is>
          <t>VÄSTMANLANDS LÄN</t>
        </is>
      </c>
      <c r="E3678" t="inlineStr">
        <is>
          <t>VÄSTERÅS</t>
        </is>
      </c>
      <c r="G3678" t="n">
        <v>1.2</v>
      </c>
      <c r="H3678" t="n">
        <v>0</v>
      </c>
      <c r="I3678" t="n">
        <v>0</v>
      </c>
      <c r="J3678" t="n">
        <v>0</v>
      </c>
      <c r="K3678" t="n">
        <v>0</v>
      </c>
      <c r="L3678" t="n">
        <v>0</v>
      </c>
      <c r="M3678" t="n">
        <v>0</v>
      </c>
      <c r="N3678" t="n">
        <v>0</v>
      </c>
      <c r="O3678" t="n">
        <v>0</v>
      </c>
      <c r="P3678" t="n">
        <v>0</v>
      </c>
      <c r="Q3678" t="n">
        <v>0</v>
      </c>
      <c r="R3678" s="2" t="inlineStr"/>
    </row>
    <row r="3679" ht="15" customHeight="1">
      <c r="A3679" t="inlineStr">
        <is>
          <t>A 55229-2023</t>
        </is>
      </c>
      <c r="B3679" s="1" t="n">
        <v>45237</v>
      </c>
      <c r="C3679" s="1" t="n">
        <v>45724</v>
      </c>
      <c r="D3679" t="inlineStr">
        <is>
          <t>VÄSTMANLANDS LÄN</t>
        </is>
      </c>
      <c r="E3679" t="inlineStr">
        <is>
          <t>SKINNSKATTEBERG</t>
        </is>
      </c>
      <c r="G3679" t="n">
        <v>2</v>
      </c>
      <c r="H3679" t="n">
        <v>0</v>
      </c>
      <c r="I3679" t="n">
        <v>0</v>
      </c>
      <c r="J3679" t="n">
        <v>0</v>
      </c>
      <c r="K3679" t="n">
        <v>0</v>
      </c>
      <c r="L3679" t="n">
        <v>0</v>
      </c>
      <c r="M3679" t="n">
        <v>0</v>
      </c>
      <c r="N3679" t="n">
        <v>0</v>
      </c>
      <c r="O3679" t="n">
        <v>0</v>
      </c>
      <c r="P3679" t="n">
        <v>0</v>
      </c>
      <c r="Q3679" t="n">
        <v>0</v>
      </c>
      <c r="R3679" s="2" t="inlineStr"/>
    </row>
    <row r="3680" ht="15" customHeight="1">
      <c r="A3680" t="inlineStr">
        <is>
          <t>A 55210-2023</t>
        </is>
      </c>
      <c r="B3680" s="1" t="n">
        <v>45237</v>
      </c>
      <c r="C3680" s="1" t="n">
        <v>45724</v>
      </c>
      <c r="D3680" t="inlineStr">
        <is>
          <t>VÄSTMANLANDS LÄN</t>
        </is>
      </c>
      <c r="E3680" t="inlineStr">
        <is>
          <t>SKINNSKATTEBERG</t>
        </is>
      </c>
      <c r="G3680" t="n">
        <v>1.5</v>
      </c>
      <c r="H3680" t="n">
        <v>0</v>
      </c>
      <c r="I3680" t="n">
        <v>0</v>
      </c>
      <c r="J3680" t="n">
        <v>0</v>
      </c>
      <c r="K3680" t="n">
        <v>0</v>
      </c>
      <c r="L3680" t="n">
        <v>0</v>
      </c>
      <c r="M3680" t="n">
        <v>0</v>
      </c>
      <c r="N3680" t="n">
        <v>0</v>
      </c>
      <c r="O3680" t="n">
        <v>0</v>
      </c>
      <c r="P3680" t="n">
        <v>0</v>
      </c>
      <c r="Q3680" t="n">
        <v>0</v>
      </c>
      <c r="R3680" s="2" t="inlineStr"/>
    </row>
    <row r="3681" ht="15" customHeight="1">
      <c r="A3681" t="inlineStr">
        <is>
          <t>A 55504-2023</t>
        </is>
      </c>
      <c r="B3681" s="1" t="n">
        <v>45238</v>
      </c>
      <c r="C3681" s="1" t="n">
        <v>45724</v>
      </c>
      <c r="D3681" t="inlineStr">
        <is>
          <t>VÄSTMANLANDS LÄN</t>
        </is>
      </c>
      <c r="E3681" t="inlineStr">
        <is>
          <t>SALA</t>
        </is>
      </c>
      <c r="G3681" t="n">
        <v>4</v>
      </c>
      <c r="H3681" t="n">
        <v>0</v>
      </c>
      <c r="I3681" t="n">
        <v>0</v>
      </c>
      <c r="J3681" t="n">
        <v>0</v>
      </c>
      <c r="K3681" t="n">
        <v>0</v>
      </c>
      <c r="L3681" t="n">
        <v>0</v>
      </c>
      <c r="M3681" t="n">
        <v>0</v>
      </c>
      <c r="N3681" t="n">
        <v>0</v>
      </c>
      <c r="O3681" t="n">
        <v>0</v>
      </c>
      <c r="P3681" t="n">
        <v>0</v>
      </c>
      <c r="Q3681" t="n">
        <v>0</v>
      </c>
      <c r="R3681" s="2" t="inlineStr"/>
    </row>
    <row r="3682" ht="15" customHeight="1">
      <c r="A3682" t="inlineStr">
        <is>
          <t>A 55569-2023</t>
        </is>
      </c>
      <c r="B3682" s="1" t="n">
        <v>45238</v>
      </c>
      <c r="C3682" s="1" t="n">
        <v>45724</v>
      </c>
      <c r="D3682" t="inlineStr">
        <is>
          <t>VÄSTMANLANDS LÄN</t>
        </is>
      </c>
      <c r="E3682" t="inlineStr">
        <is>
          <t>VÄSTERÅS</t>
        </is>
      </c>
      <c r="G3682" t="n">
        <v>8.6</v>
      </c>
      <c r="H3682" t="n">
        <v>0</v>
      </c>
      <c r="I3682" t="n">
        <v>0</v>
      </c>
      <c r="J3682" t="n">
        <v>0</v>
      </c>
      <c r="K3682" t="n">
        <v>0</v>
      </c>
      <c r="L3682" t="n">
        <v>0</v>
      </c>
      <c r="M3682" t="n">
        <v>0</v>
      </c>
      <c r="N3682" t="n">
        <v>0</v>
      </c>
      <c r="O3682" t="n">
        <v>0</v>
      </c>
      <c r="P3682" t="n">
        <v>0</v>
      </c>
      <c r="Q3682" t="n">
        <v>0</v>
      </c>
      <c r="R3682" s="2" t="inlineStr"/>
    </row>
    <row r="3683" ht="15" customHeight="1">
      <c r="A3683" t="inlineStr">
        <is>
          <t>A 55614-2023</t>
        </is>
      </c>
      <c r="B3683" s="1" t="n">
        <v>45238</v>
      </c>
      <c r="C3683" s="1" t="n">
        <v>45724</v>
      </c>
      <c r="D3683" t="inlineStr">
        <is>
          <t>VÄSTMANLANDS LÄN</t>
        </is>
      </c>
      <c r="E3683" t="inlineStr">
        <is>
          <t>ARBOGA</t>
        </is>
      </c>
      <c r="G3683" t="n">
        <v>4.8</v>
      </c>
      <c r="H3683" t="n">
        <v>0</v>
      </c>
      <c r="I3683" t="n">
        <v>0</v>
      </c>
      <c r="J3683" t="n">
        <v>0</v>
      </c>
      <c r="K3683" t="n">
        <v>0</v>
      </c>
      <c r="L3683" t="n">
        <v>0</v>
      </c>
      <c r="M3683" t="n">
        <v>0</v>
      </c>
      <c r="N3683" t="n">
        <v>0</v>
      </c>
      <c r="O3683" t="n">
        <v>0</v>
      </c>
      <c r="P3683" t="n">
        <v>0</v>
      </c>
      <c r="Q3683" t="n">
        <v>0</v>
      </c>
      <c r="R3683" s="2" t="inlineStr"/>
    </row>
    <row r="3684" ht="15" customHeight="1">
      <c r="A3684" t="inlineStr">
        <is>
          <t>A 55474-2023</t>
        </is>
      </c>
      <c r="B3684" s="1" t="n">
        <v>45238</v>
      </c>
      <c r="C3684" s="1" t="n">
        <v>45724</v>
      </c>
      <c r="D3684" t="inlineStr">
        <is>
          <t>VÄSTMANLANDS LÄN</t>
        </is>
      </c>
      <c r="E3684" t="inlineStr">
        <is>
          <t>SALA</t>
        </is>
      </c>
      <c r="G3684" t="n">
        <v>2.4</v>
      </c>
      <c r="H3684" t="n">
        <v>0</v>
      </c>
      <c r="I3684" t="n">
        <v>0</v>
      </c>
      <c r="J3684" t="n">
        <v>0</v>
      </c>
      <c r="K3684" t="n">
        <v>0</v>
      </c>
      <c r="L3684" t="n">
        <v>0</v>
      </c>
      <c r="M3684" t="n">
        <v>0</v>
      </c>
      <c r="N3684" t="n">
        <v>0</v>
      </c>
      <c r="O3684" t="n">
        <v>0</v>
      </c>
      <c r="P3684" t="n">
        <v>0</v>
      </c>
      <c r="Q3684" t="n">
        <v>0</v>
      </c>
      <c r="R3684" s="2" t="inlineStr"/>
    </row>
    <row r="3685" ht="15" customHeight="1">
      <c r="A3685" t="inlineStr">
        <is>
          <t>A 55677-2023</t>
        </is>
      </c>
      <c r="B3685" s="1" t="n">
        <v>45239</v>
      </c>
      <c r="C3685" s="1" t="n">
        <v>45724</v>
      </c>
      <c r="D3685" t="inlineStr">
        <is>
          <t>VÄSTMANLANDS LÄN</t>
        </is>
      </c>
      <c r="E3685" t="inlineStr">
        <is>
          <t>ARBOGA</t>
        </is>
      </c>
      <c r="G3685" t="n">
        <v>5.1</v>
      </c>
      <c r="H3685" t="n">
        <v>0</v>
      </c>
      <c r="I3685" t="n">
        <v>0</v>
      </c>
      <c r="J3685" t="n">
        <v>0</v>
      </c>
      <c r="K3685" t="n">
        <v>0</v>
      </c>
      <c r="L3685" t="n">
        <v>0</v>
      </c>
      <c r="M3685" t="n">
        <v>0</v>
      </c>
      <c r="N3685" t="n">
        <v>0</v>
      </c>
      <c r="O3685" t="n">
        <v>0</v>
      </c>
      <c r="P3685" t="n">
        <v>0</v>
      </c>
      <c r="Q3685" t="n">
        <v>0</v>
      </c>
      <c r="R3685" s="2" t="inlineStr"/>
    </row>
    <row r="3686" ht="15" customHeight="1">
      <c r="A3686" t="inlineStr">
        <is>
          <t>A 55863-2023</t>
        </is>
      </c>
      <c r="B3686" s="1" t="n">
        <v>45239</v>
      </c>
      <c r="C3686" s="1" t="n">
        <v>45724</v>
      </c>
      <c r="D3686" t="inlineStr">
        <is>
          <t>VÄSTMANLANDS LÄN</t>
        </is>
      </c>
      <c r="E3686" t="inlineStr">
        <is>
          <t>VÄSTERÅS</t>
        </is>
      </c>
      <c r="G3686" t="n">
        <v>1</v>
      </c>
      <c r="H3686" t="n">
        <v>0</v>
      </c>
      <c r="I3686" t="n">
        <v>0</v>
      </c>
      <c r="J3686" t="n">
        <v>0</v>
      </c>
      <c r="K3686" t="n">
        <v>0</v>
      </c>
      <c r="L3686" t="n">
        <v>0</v>
      </c>
      <c r="M3686" t="n">
        <v>0</v>
      </c>
      <c r="N3686" t="n">
        <v>0</v>
      </c>
      <c r="O3686" t="n">
        <v>0</v>
      </c>
      <c r="P3686" t="n">
        <v>0</v>
      </c>
      <c r="Q3686" t="n">
        <v>0</v>
      </c>
      <c r="R3686" s="2" t="inlineStr"/>
    </row>
    <row r="3687" ht="15" customHeight="1">
      <c r="A3687" t="inlineStr">
        <is>
          <t>A 55857-2023</t>
        </is>
      </c>
      <c r="B3687" s="1" t="n">
        <v>45239</v>
      </c>
      <c r="C3687" s="1" t="n">
        <v>45724</v>
      </c>
      <c r="D3687" t="inlineStr">
        <is>
          <t>VÄSTMANLANDS LÄN</t>
        </is>
      </c>
      <c r="E3687" t="inlineStr">
        <is>
          <t>VÄSTERÅS</t>
        </is>
      </c>
      <c r="G3687" t="n">
        <v>1.7</v>
      </c>
      <c r="H3687" t="n">
        <v>0</v>
      </c>
      <c r="I3687" t="n">
        <v>0</v>
      </c>
      <c r="J3687" t="n">
        <v>0</v>
      </c>
      <c r="K3687" t="n">
        <v>0</v>
      </c>
      <c r="L3687" t="n">
        <v>0</v>
      </c>
      <c r="M3687" t="n">
        <v>0</v>
      </c>
      <c r="N3687" t="n">
        <v>0</v>
      </c>
      <c r="O3687" t="n">
        <v>0</v>
      </c>
      <c r="P3687" t="n">
        <v>0</v>
      </c>
      <c r="Q3687" t="n">
        <v>0</v>
      </c>
      <c r="R3687" s="2" t="inlineStr"/>
    </row>
    <row r="3688" ht="15" customHeight="1">
      <c r="A3688" t="inlineStr">
        <is>
          <t>A 56183-2023</t>
        </is>
      </c>
      <c r="B3688" s="1" t="n">
        <v>45240</v>
      </c>
      <c r="C3688" s="1" t="n">
        <v>45724</v>
      </c>
      <c r="D3688" t="inlineStr">
        <is>
          <t>VÄSTMANLANDS LÄN</t>
        </is>
      </c>
      <c r="E3688" t="inlineStr">
        <is>
          <t>SURAHAMMAR</t>
        </is>
      </c>
      <c r="F3688" t="inlineStr">
        <is>
          <t>Allmännings- och besparingsskogar</t>
        </is>
      </c>
      <c r="G3688" t="n">
        <v>2</v>
      </c>
      <c r="H3688" t="n">
        <v>0</v>
      </c>
      <c r="I3688" t="n">
        <v>0</v>
      </c>
      <c r="J3688" t="n">
        <v>0</v>
      </c>
      <c r="K3688" t="n">
        <v>0</v>
      </c>
      <c r="L3688" t="n">
        <v>0</v>
      </c>
      <c r="M3688" t="n">
        <v>0</v>
      </c>
      <c r="N3688" t="n">
        <v>0</v>
      </c>
      <c r="O3688" t="n">
        <v>0</v>
      </c>
      <c r="P3688" t="n">
        <v>0</v>
      </c>
      <c r="Q3688" t="n">
        <v>0</v>
      </c>
      <c r="R3688" s="2" t="inlineStr"/>
    </row>
    <row r="3689" ht="15" customHeight="1">
      <c r="A3689" t="inlineStr">
        <is>
          <t>A 56345-2023</t>
        </is>
      </c>
      <c r="B3689" s="1" t="n">
        <v>45243</v>
      </c>
      <c r="C3689" s="1" t="n">
        <v>45724</v>
      </c>
      <c r="D3689" t="inlineStr">
        <is>
          <t>VÄSTMANLANDS LÄN</t>
        </is>
      </c>
      <c r="E3689" t="inlineStr">
        <is>
          <t>ARBOGA</t>
        </is>
      </c>
      <c r="F3689" t="inlineStr">
        <is>
          <t>Kommuner</t>
        </is>
      </c>
      <c r="G3689" t="n">
        <v>3.7</v>
      </c>
      <c r="H3689" t="n">
        <v>0</v>
      </c>
      <c r="I3689" t="n">
        <v>0</v>
      </c>
      <c r="J3689" t="n">
        <v>0</v>
      </c>
      <c r="K3689" t="n">
        <v>0</v>
      </c>
      <c r="L3689" t="n">
        <v>0</v>
      </c>
      <c r="M3689" t="n">
        <v>0</v>
      </c>
      <c r="N3689" t="n">
        <v>0</v>
      </c>
      <c r="O3689" t="n">
        <v>0</v>
      </c>
      <c r="P3689" t="n">
        <v>0</v>
      </c>
      <c r="Q3689" t="n">
        <v>0</v>
      </c>
      <c r="R3689" s="2" t="inlineStr"/>
    </row>
    <row r="3690" ht="15" customHeight="1">
      <c r="A3690" t="inlineStr">
        <is>
          <t>A 56357-2023</t>
        </is>
      </c>
      <c r="B3690" s="1" t="n">
        <v>45243</v>
      </c>
      <c r="C3690" s="1" t="n">
        <v>45724</v>
      </c>
      <c r="D3690" t="inlineStr">
        <is>
          <t>VÄSTMANLANDS LÄN</t>
        </is>
      </c>
      <c r="E3690" t="inlineStr">
        <is>
          <t>SKINNSKATTEBERG</t>
        </is>
      </c>
      <c r="G3690" t="n">
        <v>2.8</v>
      </c>
      <c r="H3690" t="n">
        <v>0</v>
      </c>
      <c r="I3690" t="n">
        <v>0</v>
      </c>
      <c r="J3690" t="n">
        <v>0</v>
      </c>
      <c r="K3690" t="n">
        <v>0</v>
      </c>
      <c r="L3690" t="n">
        <v>0</v>
      </c>
      <c r="M3690" t="n">
        <v>0</v>
      </c>
      <c r="N3690" t="n">
        <v>0</v>
      </c>
      <c r="O3690" t="n">
        <v>0</v>
      </c>
      <c r="P3690" t="n">
        <v>0</v>
      </c>
      <c r="Q3690" t="n">
        <v>0</v>
      </c>
      <c r="R3690" s="2" t="inlineStr"/>
    </row>
    <row r="3691" ht="15" customHeight="1">
      <c r="A3691" t="inlineStr">
        <is>
          <t>A 56921-2023</t>
        </is>
      </c>
      <c r="B3691" s="1" t="n">
        <v>45244</v>
      </c>
      <c r="C3691" s="1" t="n">
        <v>45724</v>
      </c>
      <c r="D3691" t="inlineStr">
        <is>
          <t>VÄSTMANLANDS LÄN</t>
        </is>
      </c>
      <c r="E3691" t="inlineStr">
        <is>
          <t>SKINNSKATTEBERG</t>
        </is>
      </c>
      <c r="F3691" t="inlineStr">
        <is>
          <t>Kyrkan</t>
        </is>
      </c>
      <c r="G3691" t="n">
        <v>1.7</v>
      </c>
      <c r="H3691" t="n">
        <v>0</v>
      </c>
      <c r="I3691" t="n">
        <v>0</v>
      </c>
      <c r="J3691" t="n">
        <v>0</v>
      </c>
      <c r="K3691" t="n">
        <v>0</v>
      </c>
      <c r="L3691" t="n">
        <v>0</v>
      </c>
      <c r="M3691" t="n">
        <v>0</v>
      </c>
      <c r="N3691" t="n">
        <v>0</v>
      </c>
      <c r="O3691" t="n">
        <v>0</v>
      </c>
      <c r="P3691" t="n">
        <v>0</v>
      </c>
      <c r="Q3691" t="n">
        <v>0</v>
      </c>
      <c r="R3691" s="2" t="inlineStr"/>
    </row>
    <row r="3692" ht="15" customHeight="1">
      <c r="A3692" t="inlineStr">
        <is>
          <t>A 56956-2023</t>
        </is>
      </c>
      <c r="B3692" s="1" t="n">
        <v>45244</v>
      </c>
      <c r="C3692" s="1" t="n">
        <v>45724</v>
      </c>
      <c r="D3692" t="inlineStr">
        <is>
          <t>VÄSTMANLANDS LÄN</t>
        </is>
      </c>
      <c r="E3692" t="inlineStr">
        <is>
          <t>SALA</t>
        </is>
      </c>
      <c r="G3692" t="n">
        <v>6.5</v>
      </c>
      <c r="H3692" t="n">
        <v>0</v>
      </c>
      <c r="I3692" t="n">
        <v>0</v>
      </c>
      <c r="J3692" t="n">
        <v>0</v>
      </c>
      <c r="K3692" t="n">
        <v>0</v>
      </c>
      <c r="L3692" t="n">
        <v>0</v>
      </c>
      <c r="M3692" t="n">
        <v>0</v>
      </c>
      <c r="N3692" t="n">
        <v>0</v>
      </c>
      <c r="O3692" t="n">
        <v>0</v>
      </c>
      <c r="P3692" t="n">
        <v>0</v>
      </c>
      <c r="Q3692" t="n">
        <v>0</v>
      </c>
      <c r="R3692" s="2" t="inlineStr"/>
    </row>
    <row r="3693" ht="15" customHeight="1">
      <c r="A3693" t="inlineStr">
        <is>
          <t>A 56949-2023</t>
        </is>
      </c>
      <c r="B3693" s="1" t="n">
        <v>45244</v>
      </c>
      <c r="C3693" s="1" t="n">
        <v>45724</v>
      </c>
      <c r="D3693" t="inlineStr">
        <is>
          <t>VÄSTMANLANDS LÄN</t>
        </is>
      </c>
      <c r="E3693" t="inlineStr">
        <is>
          <t>SALA</t>
        </is>
      </c>
      <c r="G3693" t="n">
        <v>4.7</v>
      </c>
      <c r="H3693" t="n">
        <v>0</v>
      </c>
      <c r="I3693" t="n">
        <v>0</v>
      </c>
      <c r="J3693" t="n">
        <v>0</v>
      </c>
      <c r="K3693" t="n">
        <v>0</v>
      </c>
      <c r="L3693" t="n">
        <v>0</v>
      </c>
      <c r="M3693" t="n">
        <v>0</v>
      </c>
      <c r="N3693" t="n">
        <v>0</v>
      </c>
      <c r="O3693" t="n">
        <v>0</v>
      </c>
      <c r="P3693" t="n">
        <v>0</v>
      </c>
      <c r="Q3693" t="n">
        <v>0</v>
      </c>
      <c r="R3693" s="2" t="inlineStr"/>
    </row>
    <row r="3694" ht="15" customHeight="1">
      <c r="A3694" t="inlineStr">
        <is>
          <t>A 56964-2023</t>
        </is>
      </c>
      <c r="B3694" s="1" t="n">
        <v>45244</v>
      </c>
      <c r="C3694" s="1" t="n">
        <v>45724</v>
      </c>
      <c r="D3694" t="inlineStr">
        <is>
          <t>VÄSTMANLANDS LÄN</t>
        </is>
      </c>
      <c r="E3694" t="inlineStr">
        <is>
          <t>SALA</t>
        </is>
      </c>
      <c r="G3694" t="n">
        <v>4.6</v>
      </c>
      <c r="H3694" t="n">
        <v>0</v>
      </c>
      <c r="I3694" t="n">
        <v>0</v>
      </c>
      <c r="J3694" t="n">
        <v>0</v>
      </c>
      <c r="K3694" t="n">
        <v>0</v>
      </c>
      <c r="L3694" t="n">
        <v>0</v>
      </c>
      <c r="M3694" t="n">
        <v>0</v>
      </c>
      <c r="N3694" t="n">
        <v>0</v>
      </c>
      <c r="O3694" t="n">
        <v>0</v>
      </c>
      <c r="P3694" t="n">
        <v>0</v>
      </c>
      <c r="Q3694" t="n">
        <v>0</v>
      </c>
      <c r="R3694" s="2" t="inlineStr"/>
    </row>
    <row r="3695" ht="15" customHeight="1">
      <c r="A3695" t="inlineStr">
        <is>
          <t>A 56990-2023</t>
        </is>
      </c>
      <c r="B3695" s="1" t="n">
        <v>45244</v>
      </c>
      <c r="C3695" s="1" t="n">
        <v>45724</v>
      </c>
      <c r="D3695" t="inlineStr">
        <is>
          <t>VÄSTMANLANDS LÄN</t>
        </is>
      </c>
      <c r="E3695" t="inlineStr">
        <is>
          <t>SKINNSKATTEBERG</t>
        </is>
      </c>
      <c r="F3695" t="inlineStr">
        <is>
          <t>Sveaskog</t>
        </is>
      </c>
      <c r="G3695" t="n">
        <v>2.5</v>
      </c>
      <c r="H3695" t="n">
        <v>0</v>
      </c>
      <c r="I3695" t="n">
        <v>0</v>
      </c>
      <c r="J3695" t="n">
        <v>0</v>
      </c>
      <c r="K3695" t="n">
        <v>0</v>
      </c>
      <c r="L3695" t="n">
        <v>0</v>
      </c>
      <c r="M3695" t="n">
        <v>0</v>
      </c>
      <c r="N3695" t="n">
        <v>0</v>
      </c>
      <c r="O3695" t="n">
        <v>0</v>
      </c>
      <c r="P3695" t="n">
        <v>0</v>
      </c>
      <c r="Q3695" t="n">
        <v>0</v>
      </c>
      <c r="R3695" s="2" t="inlineStr"/>
    </row>
    <row r="3696" ht="15" customHeight="1">
      <c r="A3696" t="inlineStr">
        <is>
          <t>A 56992-2023</t>
        </is>
      </c>
      <c r="B3696" s="1" t="n">
        <v>45244</v>
      </c>
      <c r="C3696" s="1" t="n">
        <v>45724</v>
      </c>
      <c r="D3696" t="inlineStr">
        <is>
          <t>VÄSTMANLANDS LÄN</t>
        </is>
      </c>
      <c r="E3696" t="inlineStr">
        <is>
          <t>SKINNSKATTEBERG</t>
        </is>
      </c>
      <c r="F3696" t="inlineStr">
        <is>
          <t>Sveaskog</t>
        </is>
      </c>
      <c r="G3696" t="n">
        <v>2.9</v>
      </c>
      <c r="H3696" t="n">
        <v>0</v>
      </c>
      <c r="I3696" t="n">
        <v>0</v>
      </c>
      <c r="J3696" t="n">
        <v>0</v>
      </c>
      <c r="K3696" t="n">
        <v>0</v>
      </c>
      <c r="L3696" t="n">
        <v>0</v>
      </c>
      <c r="M3696" t="n">
        <v>0</v>
      </c>
      <c r="N3696" t="n">
        <v>0</v>
      </c>
      <c r="O3696" t="n">
        <v>0</v>
      </c>
      <c r="P3696" t="n">
        <v>0</v>
      </c>
      <c r="Q3696" t="n">
        <v>0</v>
      </c>
      <c r="R3696" s="2" t="inlineStr"/>
    </row>
    <row r="3697" ht="15" customHeight="1">
      <c r="A3697" t="inlineStr">
        <is>
          <t>A 57343-2023</t>
        </is>
      </c>
      <c r="B3697" s="1" t="n">
        <v>45245</v>
      </c>
      <c r="C3697" s="1" t="n">
        <v>45724</v>
      </c>
      <c r="D3697" t="inlineStr">
        <is>
          <t>VÄSTMANLANDS LÄN</t>
        </is>
      </c>
      <c r="E3697" t="inlineStr">
        <is>
          <t>SKINNSKATTEBERG</t>
        </is>
      </c>
      <c r="F3697" t="inlineStr">
        <is>
          <t>Sveaskog</t>
        </is>
      </c>
      <c r="G3697" t="n">
        <v>3.7</v>
      </c>
      <c r="H3697" t="n">
        <v>0</v>
      </c>
      <c r="I3697" t="n">
        <v>0</v>
      </c>
      <c r="J3697" t="n">
        <v>0</v>
      </c>
      <c r="K3697" t="n">
        <v>0</v>
      </c>
      <c r="L3697" t="n">
        <v>0</v>
      </c>
      <c r="M3697" t="n">
        <v>0</v>
      </c>
      <c r="N3697" t="n">
        <v>0</v>
      </c>
      <c r="O3697" t="n">
        <v>0</v>
      </c>
      <c r="P3697" t="n">
        <v>0</v>
      </c>
      <c r="Q3697" t="n">
        <v>0</v>
      </c>
      <c r="R3697" s="2" t="inlineStr"/>
    </row>
    <row r="3698" ht="15" customHeight="1">
      <c r="A3698" t="inlineStr">
        <is>
          <t>A 57372-2023</t>
        </is>
      </c>
      <c r="B3698" s="1" t="n">
        <v>45245</v>
      </c>
      <c r="C3698" s="1" t="n">
        <v>45724</v>
      </c>
      <c r="D3698" t="inlineStr">
        <is>
          <t>VÄSTMANLANDS LÄN</t>
        </is>
      </c>
      <c r="E3698" t="inlineStr">
        <is>
          <t>KÖPING</t>
        </is>
      </c>
      <c r="F3698" t="inlineStr">
        <is>
          <t>Sveaskog</t>
        </is>
      </c>
      <c r="G3698" t="n">
        <v>7.7</v>
      </c>
      <c r="H3698" t="n">
        <v>0</v>
      </c>
      <c r="I3698" t="n">
        <v>0</v>
      </c>
      <c r="J3698" t="n">
        <v>0</v>
      </c>
      <c r="K3698" t="n">
        <v>0</v>
      </c>
      <c r="L3698" t="n">
        <v>0</v>
      </c>
      <c r="M3698" t="n">
        <v>0</v>
      </c>
      <c r="N3698" t="n">
        <v>0</v>
      </c>
      <c r="O3698" t="n">
        <v>0</v>
      </c>
      <c r="P3698" t="n">
        <v>0</v>
      </c>
      <c r="Q3698" t="n">
        <v>0</v>
      </c>
      <c r="R3698" s="2" t="inlineStr"/>
    </row>
    <row r="3699" ht="15" customHeight="1">
      <c r="A3699" t="inlineStr">
        <is>
          <t>A 57747-2023</t>
        </is>
      </c>
      <c r="B3699" s="1" t="n">
        <v>45246</v>
      </c>
      <c r="C3699" s="1" t="n">
        <v>45724</v>
      </c>
      <c r="D3699" t="inlineStr">
        <is>
          <t>VÄSTMANLANDS LÄN</t>
        </is>
      </c>
      <c r="E3699" t="inlineStr">
        <is>
          <t>SKINNSKATTEBERG</t>
        </is>
      </c>
      <c r="F3699" t="inlineStr">
        <is>
          <t>Sveaskog</t>
        </is>
      </c>
      <c r="G3699" t="n">
        <v>2.3</v>
      </c>
      <c r="H3699" t="n">
        <v>0</v>
      </c>
      <c r="I3699" t="n">
        <v>0</v>
      </c>
      <c r="J3699" t="n">
        <v>0</v>
      </c>
      <c r="K3699" t="n">
        <v>0</v>
      </c>
      <c r="L3699" t="n">
        <v>0</v>
      </c>
      <c r="M3699" t="n">
        <v>0</v>
      </c>
      <c r="N3699" t="n">
        <v>0</v>
      </c>
      <c r="O3699" t="n">
        <v>0</v>
      </c>
      <c r="P3699" t="n">
        <v>0</v>
      </c>
      <c r="Q3699" t="n">
        <v>0</v>
      </c>
      <c r="R3699" s="2" t="inlineStr"/>
    </row>
    <row r="3700" ht="15" customHeight="1">
      <c r="A3700" t="inlineStr">
        <is>
          <t>A 57855-2023</t>
        </is>
      </c>
      <c r="B3700" s="1" t="n">
        <v>45247</v>
      </c>
      <c r="C3700" s="1" t="n">
        <v>45724</v>
      </c>
      <c r="D3700" t="inlineStr">
        <is>
          <t>VÄSTMANLANDS LÄN</t>
        </is>
      </c>
      <c r="E3700" t="inlineStr">
        <is>
          <t>FAGERSTA</t>
        </is>
      </c>
      <c r="G3700" t="n">
        <v>0.5</v>
      </c>
      <c r="H3700" t="n">
        <v>0</v>
      </c>
      <c r="I3700" t="n">
        <v>0</v>
      </c>
      <c r="J3700" t="n">
        <v>0</v>
      </c>
      <c r="K3700" t="n">
        <v>0</v>
      </c>
      <c r="L3700" t="n">
        <v>0</v>
      </c>
      <c r="M3700" t="n">
        <v>0</v>
      </c>
      <c r="N3700" t="n">
        <v>0</v>
      </c>
      <c r="O3700" t="n">
        <v>0</v>
      </c>
      <c r="P3700" t="n">
        <v>0</v>
      </c>
      <c r="Q3700" t="n">
        <v>0</v>
      </c>
      <c r="R3700" s="2" t="inlineStr"/>
    </row>
    <row r="3701" ht="15" customHeight="1">
      <c r="A3701" t="inlineStr">
        <is>
          <t>A 57983-2023</t>
        </is>
      </c>
      <c r="B3701" s="1" t="n">
        <v>45247</v>
      </c>
      <c r="C3701" s="1" t="n">
        <v>45724</v>
      </c>
      <c r="D3701" t="inlineStr">
        <is>
          <t>VÄSTMANLANDS LÄN</t>
        </is>
      </c>
      <c r="E3701" t="inlineStr">
        <is>
          <t>SKINNSKATTEBERG</t>
        </is>
      </c>
      <c r="F3701" t="inlineStr">
        <is>
          <t>Sveaskog</t>
        </is>
      </c>
      <c r="G3701" t="n">
        <v>1.2</v>
      </c>
      <c r="H3701" t="n">
        <v>0</v>
      </c>
      <c r="I3701" t="n">
        <v>0</v>
      </c>
      <c r="J3701" t="n">
        <v>0</v>
      </c>
      <c r="K3701" t="n">
        <v>0</v>
      </c>
      <c r="L3701" t="n">
        <v>0</v>
      </c>
      <c r="M3701" t="n">
        <v>0</v>
      </c>
      <c r="N3701" t="n">
        <v>0</v>
      </c>
      <c r="O3701" t="n">
        <v>0</v>
      </c>
      <c r="P3701" t="n">
        <v>0</v>
      </c>
      <c r="Q3701" t="n">
        <v>0</v>
      </c>
      <c r="R3701" s="2" t="inlineStr"/>
    </row>
    <row r="3702" ht="15" customHeight="1">
      <c r="A3702" t="inlineStr">
        <is>
          <t>A 57981-2023</t>
        </is>
      </c>
      <c r="B3702" s="1" t="n">
        <v>45247</v>
      </c>
      <c r="C3702" s="1" t="n">
        <v>45724</v>
      </c>
      <c r="D3702" t="inlineStr">
        <is>
          <t>VÄSTMANLANDS LÄN</t>
        </is>
      </c>
      <c r="E3702" t="inlineStr">
        <is>
          <t>SKINNSKATTEBERG</t>
        </is>
      </c>
      <c r="F3702" t="inlineStr">
        <is>
          <t>Sveaskog</t>
        </is>
      </c>
      <c r="G3702" t="n">
        <v>0.9</v>
      </c>
      <c r="H3702" t="n">
        <v>0</v>
      </c>
      <c r="I3702" t="n">
        <v>0</v>
      </c>
      <c r="J3702" t="n">
        <v>0</v>
      </c>
      <c r="K3702" t="n">
        <v>0</v>
      </c>
      <c r="L3702" t="n">
        <v>0</v>
      </c>
      <c r="M3702" t="n">
        <v>0</v>
      </c>
      <c r="N3702" t="n">
        <v>0</v>
      </c>
      <c r="O3702" t="n">
        <v>0</v>
      </c>
      <c r="P3702" t="n">
        <v>0</v>
      </c>
      <c r="Q3702" t="n">
        <v>0</v>
      </c>
      <c r="R3702" s="2" t="inlineStr"/>
    </row>
    <row r="3703" ht="15" customHeight="1">
      <c r="A3703" t="inlineStr">
        <is>
          <t>A 57986-2023</t>
        </is>
      </c>
      <c r="B3703" s="1" t="n">
        <v>45247</v>
      </c>
      <c r="C3703" s="1" t="n">
        <v>45724</v>
      </c>
      <c r="D3703" t="inlineStr">
        <is>
          <t>VÄSTMANLANDS LÄN</t>
        </is>
      </c>
      <c r="E3703" t="inlineStr">
        <is>
          <t>SKINNSKATTEBERG</t>
        </is>
      </c>
      <c r="F3703" t="inlineStr">
        <is>
          <t>Sveaskog</t>
        </is>
      </c>
      <c r="G3703" t="n">
        <v>0.5</v>
      </c>
      <c r="H3703" t="n">
        <v>0</v>
      </c>
      <c r="I3703" t="n">
        <v>0</v>
      </c>
      <c r="J3703" t="n">
        <v>0</v>
      </c>
      <c r="K3703" t="n">
        <v>0</v>
      </c>
      <c r="L3703" t="n">
        <v>0</v>
      </c>
      <c r="M3703" t="n">
        <v>0</v>
      </c>
      <c r="N3703" t="n">
        <v>0</v>
      </c>
      <c r="O3703" t="n">
        <v>0</v>
      </c>
      <c r="P3703" t="n">
        <v>0</v>
      </c>
      <c r="Q3703" t="n">
        <v>0</v>
      </c>
      <c r="R3703" s="2" t="inlineStr"/>
    </row>
    <row r="3704" ht="15" customHeight="1">
      <c r="A3704" t="inlineStr">
        <is>
          <t>A 57984-2023</t>
        </is>
      </c>
      <c r="B3704" s="1" t="n">
        <v>45247</v>
      </c>
      <c r="C3704" s="1" t="n">
        <v>45724</v>
      </c>
      <c r="D3704" t="inlineStr">
        <is>
          <t>VÄSTMANLANDS LÄN</t>
        </is>
      </c>
      <c r="E3704" t="inlineStr">
        <is>
          <t>SKINNSKATTEBERG</t>
        </is>
      </c>
      <c r="F3704" t="inlineStr">
        <is>
          <t>Sveaskog</t>
        </is>
      </c>
      <c r="G3704" t="n">
        <v>0.5</v>
      </c>
      <c r="H3704" t="n">
        <v>0</v>
      </c>
      <c r="I3704" t="n">
        <v>0</v>
      </c>
      <c r="J3704" t="n">
        <v>0</v>
      </c>
      <c r="K3704" t="n">
        <v>0</v>
      </c>
      <c r="L3704" t="n">
        <v>0</v>
      </c>
      <c r="M3704" t="n">
        <v>0</v>
      </c>
      <c r="N3704" t="n">
        <v>0</v>
      </c>
      <c r="O3704" t="n">
        <v>0</v>
      </c>
      <c r="P3704" t="n">
        <v>0</v>
      </c>
      <c r="Q3704" t="n">
        <v>0</v>
      </c>
      <c r="R3704" s="2" t="inlineStr"/>
    </row>
    <row r="3705" ht="15" customHeight="1">
      <c r="A3705" t="inlineStr">
        <is>
          <t>A 58028-2023</t>
        </is>
      </c>
      <c r="B3705" s="1" t="n">
        <v>45247</v>
      </c>
      <c r="C3705" s="1" t="n">
        <v>45724</v>
      </c>
      <c r="D3705" t="inlineStr">
        <is>
          <t>VÄSTMANLANDS LÄN</t>
        </is>
      </c>
      <c r="E3705" t="inlineStr">
        <is>
          <t>SALA</t>
        </is>
      </c>
      <c r="G3705" t="n">
        <v>19.6</v>
      </c>
      <c r="H3705" t="n">
        <v>0</v>
      </c>
      <c r="I3705" t="n">
        <v>0</v>
      </c>
      <c r="J3705" t="n">
        <v>0</v>
      </c>
      <c r="K3705" t="n">
        <v>0</v>
      </c>
      <c r="L3705" t="n">
        <v>0</v>
      </c>
      <c r="M3705" t="n">
        <v>0</v>
      </c>
      <c r="N3705" t="n">
        <v>0</v>
      </c>
      <c r="O3705" t="n">
        <v>0</v>
      </c>
      <c r="P3705" t="n">
        <v>0</v>
      </c>
      <c r="Q3705" t="n">
        <v>0</v>
      </c>
      <c r="R3705" s="2" t="inlineStr"/>
    </row>
    <row r="3706" ht="15" customHeight="1">
      <c r="A3706" t="inlineStr">
        <is>
          <t>A 58113-2023</t>
        </is>
      </c>
      <c r="B3706" s="1" t="n">
        <v>45249</v>
      </c>
      <c r="C3706" s="1" t="n">
        <v>45724</v>
      </c>
      <c r="D3706" t="inlineStr">
        <is>
          <t>VÄSTMANLANDS LÄN</t>
        </is>
      </c>
      <c r="E3706" t="inlineStr">
        <is>
          <t>SALA</t>
        </is>
      </c>
      <c r="G3706" t="n">
        <v>0.6</v>
      </c>
      <c r="H3706" t="n">
        <v>0</v>
      </c>
      <c r="I3706" t="n">
        <v>0</v>
      </c>
      <c r="J3706" t="n">
        <v>0</v>
      </c>
      <c r="K3706" t="n">
        <v>0</v>
      </c>
      <c r="L3706" t="n">
        <v>0</v>
      </c>
      <c r="M3706" t="n">
        <v>0</v>
      </c>
      <c r="N3706" t="n">
        <v>0</v>
      </c>
      <c r="O3706" t="n">
        <v>0</v>
      </c>
      <c r="P3706" t="n">
        <v>0</v>
      </c>
      <c r="Q3706" t="n">
        <v>0</v>
      </c>
      <c r="R3706" s="2" t="inlineStr"/>
    </row>
    <row r="3707" ht="15" customHeight="1">
      <c r="A3707" t="inlineStr">
        <is>
          <t>A 58233-2023</t>
        </is>
      </c>
      <c r="B3707" s="1" t="n">
        <v>45250</v>
      </c>
      <c r="C3707" s="1" t="n">
        <v>45724</v>
      </c>
      <c r="D3707" t="inlineStr">
        <is>
          <t>VÄSTMANLANDS LÄN</t>
        </is>
      </c>
      <c r="E3707" t="inlineStr">
        <is>
          <t>NORBERG</t>
        </is>
      </c>
      <c r="G3707" t="n">
        <v>3.2</v>
      </c>
      <c r="H3707" t="n">
        <v>0</v>
      </c>
      <c r="I3707" t="n">
        <v>0</v>
      </c>
      <c r="J3707" t="n">
        <v>0</v>
      </c>
      <c r="K3707" t="n">
        <v>0</v>
      </c>
      <c r="L3707" t="n">
        <v>0</v>
      </c>
      <c r="M3707" t="n">
        <v>0</v>
      </c>
      <c r="N3707" t="n">
        <v>0</v>
      </c>
      <c r="O3707" t="n">
        <v>0</v>
      </c>
      <c r="P3707" t="n">
        <v>0</v>
      </c>
      <c r="Q3707" t="n">
        <v>0</v>
      </c>
      <c r="R3707" s="2" t="inlineStr"/>
    </row>
    <row r="3708" ht="15" customHeight="1">
      <c r="A3708" t="inlineStr">
        <is>
          <t>A 58238-2023</t>
        </is>
      </c>
      <c r="B3708" s="1" t="n">
        <v>45250</v>
      </c>
      <c r="C3708" s="1" t="n">
        <v>45724</v>
      </c>
      <c r="D3708" t="inlineStr">
        <is>
          <t>VÄSTMANLANDS LÄN</t>
        </is>
      </c>
      <c r="E3708" t="inlineStr">
        <is>
          <t>NORBERG</t>
        </is>
      </c>
      <c r="G3708" t="n">
        <v>2.5</v>
      </c>
      <c r="H3708" t="n">
        <v>0</v>
      </c>
      <c r="I3708" t="n">
        <v>0</v>
      </c>
      <c r="J3708" t="n">
        <v>0</v>
      </c>
      <c r="K3708" t="n">
        <v>0</v>
      </c>
      <c r="L3708" t="n">
        <v>0</v>
      </c>
      <c r="M3708" t="n">
        <v>0</v>
      </c>
      <c r="N3708" t="n">
        <v>0</v>
      </c>
      <c r="O3708" t="n">
        <v>0</v>
      </c>
      <c r="P3708" t="n">
        <v>0</v>
      </c>
      <c r="Q3708" t="n">
        <v>0</v>
      </c>
      <c r="R3708" s="2" t="inlineStr"/>
    </row>
    <row r="3709" ht="15" customHeight="1">
      <c r="A3709" t="inlineStr">
        <is>
          <t>A 58317-2023</t>
        </is>
      </c>
      <c r="B3709" s="1" t="n">
        <v>45250</v>
      </c>
      <c r="C3709" s="1" t="n">
        <v>45724</v>
      </c>
      <c r="D3709" t="inlineStr">
        <is>
          <t>VÄSTMANLANDS LÄN</t>
        </is>
      </c>
      <c r="E3709" t="inlineStr">
        <is>
          <t>SKINNSKATTEBERG</t>
        </is>
      </c>
      <c r="G3709" t="n">
        <v>10.1</v>
      </c>
      <c r="H3709" t="n">
        <v>0</v>
      </c>
      <c r="I3709" t="n">
        <v>0</v>
      </c>
      <c r="J3709" t="n">
        <v>0</v>
      </c>
      <c r="K3709" t="n">
        <v>0</v>
      </c>
      <c r="L3709" t="n">
        <v>0</v>
      </c>
      <c r="M3709" t="n">
        <v>0</v>
      </c>
      <c r="N3709" t="n">
        <v>0</v>
      </c>
      <c r="O3709" t="n">
        <v>0</v>
      </c>
      <c r="P3709" t="n">
        <v>0</v>
      </c>
      <c r="Q3709" t="n">
        <v>0</v>
      </c>
      <c r="R3709" s="2" t="inlineStr"/>
    </row>
    <row r="3710" ht="15" customHeight="1">
      <c r="A3710" t="inlineStr">
        <is>
          <t>A 58246-2023</t>
        </is>
      </c>
      <c r="B3710" s="1" t="n">
        <v>45250</v>
      </c>
      <c r="C3710" s="1" t="n">
        <v>45724</v>
      </c>
      <c r="D3710" t="inlineStr">
        <is>
          <t>VÄSTMANLANDS LÄN</t>
        </is>
      </c>
      <c r="E3710" t="inlineStr">
        <is>
          <t>SKINNSKATTEBERG</t>
        </is>
      </c>
      <c r="F3710" t="inlineStr">
        <is>
          <t>Sveaskog</t>
        </is>
      </c>
      <c r="G3710" t="n">
        <v>2.6</v>
      </c>
      <c r="H3710" t="n">
        <v>0</v>
      </c>
      <c r="I3710" t="n">
        <v>0</v>
      </c>
      <c r="J3710" t="n">
        <v>0</v>
      </c>
      <c r="K3710" t="n">
        <v>0</v>
      </c>
      <c r="L3710" t="n">
        <v>0</v>
      </c>
      <c r="M3710" t="n">
        <v>0</v>
      </c>
      <c r="N3710" t="n">
        <v>0</v>
      </c>
      <c r="O3710" t="n">
        <v>0</v>
      </c>
      <c r="P3710" t="n">
        <v>0</v>
      </c>
      <c r="Q3710" t="n">
        <v>0</v>
      </c>
      <c r="R3710" s="2" t="inlineStr"/>
    </row>
    <row r="3711" ht="15" customHeight="1">
      <c r="A3711" t="inlineStr">
        <is>
          <t>A 58338-2023</t>
        </is>
      </c>
      <c r="B3711" s="1" t="n">
        <v>45250</v>
      </c>
      <c r="C3711" s="1" t="n">
        <v>45724</v>
      </c>
      <c r="D3711" t="inlineStr">
        <is>
          <t>VÄSTMANLANDS LÄN</t>
        </is>
      </c>
      <c r="E3711" t="inlineStr">
        <is>
          <t>SURAHAMMAR</t>
        </is>
      </c>
      <c r="F3711" t="inlineStr">
        <is>
          <t>Allmännings- och besparingsskogar</t>
        </is>
      </c>
      <c r="G3711" t="n">
        <v>8.199999999999999</v>
      </c>
      <c r="H3711" t="n">
        <v>0</v>
      </c>
      <c r="I3711" t="n">
        <v>0</v>
      </c>
      <c r="J3711" t="n">
        <v>0</v>
      </c>
      <c r="K3711" t="n">
        <v>0</v>
      </c>
      <c r="L3711" t="n">
        <v>0</v>
      </c>
      <c r="M3711" t="n">
        <v>0</v>
      </c>
      <c r="N3711" t="n">
        <v>0</v>
      </c>
      <c r="O3711" t="n">
        <v>0</v>
      </c>
      <c r="P3711" t="n">
        <v>0</v>
      </c>
      <c r="Q3711" t="n">
        <v>0</v>
      </c>
      <c r="R3711" s="2" t="inlineStr"/>
    </row>
    <row r="3712" ht="15" customHeight="1">
      <c r="A3712" t="inlineStr">
        <is>
          <t>A 58271-2023</t>
        </is>
      </c>
      <c r="B3712" s="1" t="n">
        <v>45250</v>
      </c>
      <c r="C3712" s="1" t="n">
        <v>45724</v>
      </c>
      <c r="D3712" t="inlineStr">
        <is>
          <t>VÄSTMANLANDS LÄN</t>
        </is>
      </c>
      <c r="E3712" t="inlineStr">
        <is>
          <t>SALA</t>
        </is>
      </c>
      <c r="G3712" t="n">
        <v>5.2</v>
      </c>
      <c r="H3712" t="n">
        <v>0</v>
      </c>
      <c r="I3712" t="n">
        <v>0</v>
      </c>
      <c r="J3712" t="n">
        <v>0</v>
      </c>
      <c r="K3712" t="n">
        <v>0</v>
      </c>
      <c r="L3712" t="n">
        <v>0</v>
      </c>
      <c r="M3712" t="n">
        <v>0</v>
      </c>
      <c r="N3712" t="n">
        <v>0</v>
      </c>
      <c r="O3712" t="n">
        <v>0</v>
      </c>
      <c r="P3712" t="n">
        <v>0</v>
      </c>
      <c r="Q3712" t="n">
        <v>0</v>
      </c>
      <c r="R3712" s="2" t="inlineStr"/>
    </row>
    <row r="3713" ht="15" customHeight="1">
      <c r="A3713" t="inlineStr">
        <is>
          <t>A 58356-2023</t>
        </is>
      </c>
      <c r="B3713" s="1" t="n">
        <v>45250</v>
      </c>
      <c r="C3713" s="1" t="n">
        <v>45724</v>
      </c>
      <c r="D3713" t="inlineStr">
        <is>
          <t>VÄSTMANLANDS LÄN</t>
        </is>
      </c>
      <c r="E3713" t="inlineStr">
        <is>
          <t>SURAHAMMAR</t>
        </is>
      </c>
      <c r="F3713" t="inlineStr">
        <is>
          <t>Allmännings- och besparingsskogar</t>
        </is>
      </c>
      <c r="G3713" t="n">
        <v>2.2</v>
      </c>
      <c r="H3713" t="n">
        <v>0</v>
      </c>
      <c r="I3713" t="n">
        <v>0</v>
      </c>
      <c r="J3713" t="n">
        <v>0</v>
      </c>
      <c r="K3713" t="n">
        <v>0</v>
      </c>
      <c r="L3713" t="n">
        <v>0</v>
      </c>
      <c r="M3713" t="n">
        <v>0</v>
      </c>
      <c r="N3713" t="n">
        <v>0</v>
      </c>
      <c r="O3713" t="n">
        <v>0</v>
      </c>
      <c r="P3713" t="n">
        <v>0</v>
      </c>
      <c r="Q3713" t="n">
        <v>0</v>
      </c>
      <c r="R3713" s="2" t="inlineStr"/>
    </row>
    <row r="3714" ht="15" customHeight="1">
      <c r="A3714" t="inlineStr">
        <is>
          <t>A 58577-2023</t>
        </is>
      </c>
      <c r="B3714" s="1" t="n">
        <v>45251</v>
      </c>
      <c r="C3714" s="1" t="n">
        <v>45724</v>
      </c>
      <c r="D3714" t="inlineStr">
        <is>
          <t>VÄSTMANLANDS LÄN</t>
        </is>
      </c>
      <c r="E3714" t="inlineStr">
        <is>
          <t>VÄSTERÅS</t>
        </is>
      </c>
      <c r="G3714" t="n">
        <v>3.4</v>
      </c>
      <c r="H3714" t="n">
        <v>0</v>
      </c>
      <c r="I3714" t="n">
        <v>0</v>
      </c>
      <c r="J3714" t="n">
        <v>0</v>
      </c>
      <c r="K3714" t="n">
        <v>0</v>
      </c>
      <c r="L3714" t="n">
        <v>0</v>
      </c>
      <c r="M3714" t="n">
        <v>0</v>
      </c>
      <c r="N3714" t="n">
        <v>0</v>
      </c>
      <c r="O3714" t="n">
        <v>0</v>
      </c>
      <c r="P3714" t="n">
        <v>0</v>
      </c>
      <c r="Q3714" t="n">
        <v>0</v>
      </c>
      <c r="R3714" s="2" t="inlineStr"/>
    </row>
    <row r="3715" ht="15" customHeight="1">
      <c r="A3715" t="inlineStr">
        <is>
          <t>A 58728-2023</t>
        </is>
      </c>
      <c r="B3715" s="1" t="n">
        <v>45251</v>
      </c>
      <c r="C3715" s="1" t="n">
        <v>45724</v>
      </c>
      <c r="D3715" t="inlineStr">
        <is>
          <t>VÄSTMANLANDS LÄN</t>
        </is>
      </c>
      <c r="E3715" t="inlineStr">
        <is>
          <t>KÖPING</t>
        </is>
      </c>
      <c r="G3715" t="n">
        <v>1.6</v>
      </c>
      <c r="H3715" t="n">
        <v>0</v>
      </c>
      <c r="I3715" t="n">
        <v>0</v>
      </c>
      <c r="J3715" t="n">
        <v>0</v>
      </c>
      <c r="K3715" t="n">
        <v>0</v>
      </c>
      <c r="L3715" t="n">
        <v>0</v>
      </c>
      <c r="M3715" t="n">
        <v>0</v>
      </c>
      <c r="N3715" t="n">
        <v>0</v>
      </c>
      <c r="O3715" t="n">
        <v>0</v>
      </c>
      <c r="P3715" t="n">
        <v>0</v>
      </c>
      <c r="Q3715" t="n">
        <v>0</v>
      </c>
      <c r="R3715" s="2" t="inlineStr"/>
    </row>
    <row r="3716" ht="15" customHeight="1">
      <c r="A3716" t="inlineStr">
        <is>
          <t>A 58970-2023</t>
        </is>
      </c>
      <c r="B3716" s="1" t="n">
        <v>45252</v>
      </c>
      <c r="C3716" s="1" t="n">
        <v>45724</v>
      </c>
      <c r="D3716" t="inlineStr">
        <is>
          <t>VÄSTMANLANDS LÄN</t>
        </is>
      </c>
      <c r="E3716" t="inlineStr">
        <is>
          <t>SKINNSKATTEBERG</t>
        </is>
      </c>
      <c r="F3716" t="inlineStr">
        <is>
          <t>Sveaskog</t>
        </is>
      </c>
      <c r="G3716" t="n">
        <v>2</v>
      </c>
      <c r="H3716" t="n">
        <v>0</v>
      </c>
      <c r="I3716" t="n">
        <v>0</v>
      </c>
      <c r="J3716" t="n">
        <v>0</v>
      </c>
      <c r="K3716" t="n">
        <v>0</v>
      </c>
      <c r="L3716" t="n">
        <v>0</v>
      </c>
      <c r="M3716" t="n">
        <v>0</v>
      </c>
      <c r="N3716" t="n">
        <v>0</v>
      </c>
      <c r="O3716" t="n">
        <v>0</v>
      </c>
      <c r="P3716" t="n">
        <v>0</v>
      </c>
      <c r="Q3716" t="n">
        <v>0</v>
      </c>
      <c r="R3716" s="2" t="inlineStr"/>
    </row>
    <row r="3717" ht="15" customHeight="1">
      <c r="A3717" t="inlineStr">
        <is>
          <t>A 58975-2023</t>
        </is>
      </c>
      <c r="B3717" s="1" t="n">
        <v>45252</v>
      </c>
      <c r="C3717" s="1" t="n">
        <v>45724</v>
      </c>
      <c r="D3717" t="inlineStr">
        <is>
          <t>VÄSTMANLANDS LÄN</t>
        </is>
      </c>
      <c r="E3717" t="inlineStr">
        <is>
          <t>SKINNSKATTEBERG</t>
        </is>
      </c>
      <c r="F3717" t="inlineStr">
        <is>
          <t>Sveaskog</t>
        </is>
      </c>
      <c r="G3717" t="n">
        <v>1.4</v>
      </c>
      <c r="H3717" t="n">
        <v>0</v>
      </c>
      <c r="I3717" t="n">
        <v>0</v>
      </c>
      <c r="J3717" t="n">
        <v>0</v>
      </c>
      <c r="K3717" t="n">
        <v>0</v>
      </c>
      <c r="L3717" t="n">
        <v>0</v>
      </c>
      <c r="M3717" t="n">
        <v>0</v>
      </c>
      <c r="N3717" t="n">
        <v>0</v>
      </c>
      <c r="O3717" t="n">
        <v>0</v>
      </c>
      <c r="P3717" t="n">
        <v>0</v>
      </c>
      <c r="Q3717" t="n">
        <v>0</v>
      </c>
      <c r="R3717" s="2" t="inlineStr"/>
    </row>
    <row r="3718" ht="15" customHeight="1">
      <c r="A3718" t="inlineStr">
        <is>
          <t>A 58979-2023</t>
        </is>
      </c>
      <c r="B3718" s="1" t="n">
        <v>45252</v>
      </c>
      <c r="C3718" s="1" t="n">
        <v>45724</v>
      </c>
      <c r="D3718" t="inlineStr">
        <is>
          <t>VÄSTMANLANDS LÄN</t>
        </is>
      </c>
      <c r="E3718" t="inlineStr">
        <is>
          <t>SKINNSKATTEBERG</t>
        </is>
      </c>
      <c r="F3718" t="inlineStr">
        <is>
          <t>Sveaskog</t>
        </is>
      </c>
      <c r="G3718" t="n">
        <v>0.8</v>
      </c>
      <c r="H3718" t="n">
        <v>0</v>
      </c>
      <c r="I3718" t="n">
        <v>0</v>
      </c>
      <c r="J3718" t="n">
        <v>0</v>
      </c>
      <c r="K3718" t="n">
        <v>0</v>
      </c>
      <c r="L3718" t="n">
        <v>0</v>
      </c>
      <c r="M3718" t="n">
        <v>0</v>
      </c>
      <c r="N3718" t="n">
        <v>0</v>
      </c>
      <c r="O3718" t="n">
        <v>0</v>
      </c>
      <c r="P3718" t="n">
        <v>0</v>
      </c>
      <c r="Q3718" t="n">
        <v>0</v>
      </c>
      <c r="R3718" s="2" t="inlineStr"/>
    </row>
    <row r="3719" ht="15" customHeight="1">
      <c r="A3719" t="inlineStr">
        <is>
          <t>A 58920-2023</t>
        </is>
      </c>
      <c r="B3719" s="1" t="n">
        <v>45252</v>
      </c>
      <c r="C3719" s="1" t="n">
        <v>45724</v>
      </c>
      <c r="D3719" t="inlineStr">
        <is>
          <t>VÄSTMANLANDS LÄN</t>
        </is>
      </c>
      <c r="E3719" t="inlineStr">
        <is>
          <t>SALA</t>
        </is>
      </c>
      <c r="G3719" t="n">
        <v>2.4</v>
      </c>
      <c r="H3719" t="n">
        <v>0</v>
      </c>
      <c r="I3719" t="n">
        <v>0</v>
      </c>
      <c r="J3719" t="n">
        <v>0</v>
      </c>
      <c r="K3719" t="n">
        <v>0</v>
      </c>
      <c r="L3719" t="n">
        <v>0</v>
      </c>
      <c r="M3719" t="n">
        <v>0</v>
      </c>
      <c r="N3719" t="n">
        <v>0</v>
      </c>
      <c r="O3719" t="n">
        <v>0</v>
      </c>
      <c r="P3719" t="n">
        <v>0</v>
      </c>
      <c r="Q3719" t="n">
        <v>0</v>
      </c>
      <c r="R3719" s="2" t="inlineStr"/>
    </row>
    <row r="3720" ht="15" customHeight="1">
      <c r="A3720" t="inlineStr">
        <is>
          <t>A 58973-2023</t>
        </is>
      </c>
      <c r="B3720" s="1" t="n">
        <v>45252</v>
      </c>
      <c r="C3720" s="1" t="n">
        <v>45724</v>
      </c>
      <c r="D3720" t="inlineStr">
        <is>
          <t>VÄSTMANLANDS LÄN</t>
        </is>
      </c>
      <c r="E3720" t="inlineStr">
        <is>
          <t>SKINNSKATTEBERG</t>
        </is>
      </c>
      <c r="F3720" t="inlineStr">
        <is>
          <t>Sveaskog</t>
        </is>
      </c>
      <c r="G3720" t="n">
        <v>4</v>
      </c>
      <c r="H3720" t="n">
        <v>0</v>
      </c>
      <c r="I3720" t="n">
        <v>0</v>
      </c>
      <c r="J3720" t="n">
        <v>0</v>
      </c>
      <c r="K3720" t="n">
        <v>0</v>
      </c>
      <c r="L3720" t="n">
        <v>0</v>
      </c>
      <c r="M3720" t="n">
        <v>0</v>
      </c>
      <c r="N3720" t="n">
        <v>0</v>
      </c>
      <c r="O3720" t="n">
        <v>0</v>
      </c>
      <c r="P3720" t="n">
        <v>0</v>
      </c>
      <c r="Q3720" t="n">
        <v>0</v>
      </c>
      <c r="R3720" s="2" t="inlineStr"/>
    </row>
    <row r="3721" ht="15" customHeight="1">
      <c r="A3721" t="inlineStr">
        <is>
          <t>A 58978-2023</t>
        </is>
      </c>
      <c r="B3721" s="1" t="n">
        <v>45252</v>
      </c>
      <c r="C3721" s="1" t="n">
        <v>45724</v>
      </c>
      <c r="D3721" t="inlineStr">
        <is>
          <t>VÄSTMANLANDS LÄN</t>
        </is>
      </c>
      <c r="E3721" t="inlineStr">
        <is>
          <t>SKINNSKATTEBERG</t>
        </is>
      </c>
      <c r="F3721" t="inlineStr">
        <is>
          <t>Sveaskog</t>
        </is>
      </c>
      <c r="G3721" t="n">
        <v>1</v>
      </c>
      <c r="H3721" t="n">
        <v>0</v>
      </c>
      <c r="I3721" t="n">
        <v>0</v>
      </c>
      <c r="J3721" t="n">
        <v>0</v>
      </c>
      <c r="K3721" t="n">
        <v>0</v>
      </c>
      <c r="L3721" t="n">
        <v>0</v>
      </c>
      <c r="M3721" t="n">
        <v>0</v>
      </c>
      <c r="N3721" t="n">
        <v>0</v>
      </c>
      <c r="O3721" t="n">
        <v>0</v>
      </c>
      <c r="P3721" t="n">
        <v>0</v>
      </c>
      <c r="Q3721" t="n">
        <v>0</v>
      </c>
      <c r="R3721" s="2" t="inlineStr"/>
    </row>
    <row r="3722" ht="15" customHeight="1">
      <c r="A3722" t="inlineStr">
        <is>
          <t>A 58987-2023</t>
        </is>
      </c>
      <c r="B3722" s="1" t="n">
        <v>45252</v>
      </c>
      <c r="C3722" s="1" t="n">
        <v>45724</v>
      </c>
      <c r="D3722" t="inlineStr">
        <is>
          <t>VÄSTMANLANDS LÄN</t>
        </is>
      </c>
      <c r="E3722" t="inlineStr">
        <is>
          <t>SKINNSKATTEBERG</t>
        </is>
      </c>
      <c r="F3722" t="inlineStr">
        <is>
          <t>Sveaskog</t>
        </is>
      </c>
      <c r="G3722" t="n">
        <v>1.8</v>
      </c>
      <c r="H3722" t="n">
        <v>0</v>
      </c>
      <c r="I3722" t="n">
        <v>0</v>
      </c>
      <c r="J3722" t="n">
        <v>0</v>
      </c>
      <c r="K3722" t="n">
        <v>0</v>
      </c>
      <c r="L3722" t="n">
        <v>0</v>
      </c>
      <c r="M3722" t="n">
        <v>0</v>
      </c>
      <c r="N3722" t="n">
        <v>0</v>
      </c>
      <c r="O3722" t="n">
        <v>0</v>
      </c>
      <c r="P3722" t="n">
        <v>0</v>
      </c>
      <c r="Q3722" t="n">
        <v>0</v>
      </c>
      <c r="R3722" s="2" t="inlineStr"/>
    </row>
    <row r="3723" ht="15" customHeight="1">
      <c r="A3723" t="inlineStr">
        <is>
          <t>A 58823-2023</t>
        </is>
      </c>
      <c r="B3723" s="1" t="n">
        <v>45252</v>
      </c>
      <c r="C3723" s="1" t="n">
        <v>45724</v>
      </c>
      <c r="D3723" t="inlineStr">
        <is>
          <t>VÄSTMANLANDS LÄN</t>
        </is>
      </c>
      <c r="E3723" t="inlineStr">
        <is>
          <t>SALA</t>
        </is>
      </c>
      <c r="G3723" t="n">
        <v>1.1</v>
      </c>
      <c r="H3723" t="n">
        <v>0</v>
      </c>
      <c r="I3723" t="n">
        <v>0</v>
      </c>
      <c r="J3723" t="n">
        <v>0</v>
      </c>
      <c r="K3723" t="n">
        <v>0</v>
      </c>
      <c r="L3723" t="n">
        <v>0</v>
      </c>
      <c r="M3723" t="n">
        <v>0</v>
      </c>
      <c r="N3723" t="n">
        <v>0</v>
      </c>
      <c r="O3723" t="n">
        <v>0</v>
      </c>
      <c r="P3723" t="n">
        <v>0</v>
      </c>
      <c r="Q3723" t="n">
        <v>0</v>
      </c>
      <c r="R3723" s="2" t="inlineStr"/>
    </row>
    <row r="3724" ht="15" customHeight="1">
      <c r="A3724" t="inlineStr">
        <is>
          <t>A 59337-2023</t>
        </is>
      </c>
      <c r="B3724" s="1" t="n">
        <v>45252</v>
      </c>
      <c r="C3724" s="1" t="n">
        <v>45724</v>
      </c>
      <c r="D3724" t="inlineStr">
        <is>
          <t>VÄSTMANLANDS LÄN</t>
        </is>
      </c>
      <c r="E3724" t="inlineStr">
        <is>
          <t>SKINNSKATTEBERG</t>
        </is>
      </c>
      <c r="G3724" t="n">
        <v>0.9</v>
      </c>
      <c r="H3724" t="n">
        <v>0</v>
      </c>
      <c r="I3724" t="n">
        <v>0</v>
      </c>
      <c r="J3724" t="n">
        <v>0</v>
      </c>
      <c r="K3724" t="n">
        <v>0</v>
      </c>
      <c r="L3724" t="n">
        <v>0</v>
      </c>
      <c r="M3724" t="n">
        <v>0</v>
      </c>
      <c r="N3724" t="n">
        <v>0</v>
      </c>
      <c r="O3724" t="n">
        <v>0</v>
      </c>
      <c r="P3724" t="n">
        <v>0</v>
      </c>
      <c r="Q3724" t="n">
        <v>0</v>
      </c>
      <c r="R3724" s="2" t="inlineStr"/>
    </row>
    <row r="3725" ht="15" customHeight="1">
      <c r="A3725" t="inlineStr">
        <is>
          <t>A 59270-2023</t>
        </is>
      </c>
      <c r="B3725" s="1" t="n">
        <v>45253</v>
      </c>
      <c r="C3725" s="1" t="n">
        <v>45724</v>
      </c>
      <c r="D3725" t="inlineStr">
        <is>
          <t>VÄSTMANLANDS LÄN</t>
        </is>
      </c>
      <c r="E3725" t="inlineStr">
        <is>
          <t>ARBOGA</t>
        </is>
      </c>
      <c r="G3725" t="n">
        <v>4.3</v>
      </c>
      <c r="H3725" t="n">
        <v>0</v>
      </c>
      <c r="I3725" t="n">
        <v>0</v>
      </c>
      <c r="J3725" t="n">
        <v>0</v>
      </c>
      <c r="K3725" t="n">
        <v>0</v>
      </c>
      <c r="L3725" t="n">
        <v>0</v>
      </c>
      <c r="M3725" t="n">
        <v>0</v>
      </c>
      <c r="N3725" t="n">
        <v>0</v>
      </c>
      <c r="O3725" t="n">
        <v>0</v>
      </c>
      <c r="P3725" t="n">
        <v>0</v>
      </c>
      <c r="Q3725" t="n">
        <v>0</v>
      </c>
      <c r="R3725" s="2" t="inlineStr"/>
    </row>
    <row r="3726" ht="15" customHeight="1">
      <c r="A3726" t="inlineStr">
        <is>
          <t>A 59297-2023</t>
        </is>
      </c>
      <c r="B3726" s="1" t="n">
        <v>45253</v>
      </c>
      <c r="C3726" s="1" t="n">
        <v>45724</v>
      </c>
      <c r="D3726" t="inlineStr">
        <is>
          <t>VÄSTMANLANDS LÄN</t>
        </is>
      </c>
      <c r="E3726" t="inlineStr">
        <is>
          <t>SALA</t>
        </is>
      </c>
      <c r="G3726" t="n">
        <v>2</v>
      </c>
      <c r="H3726" t="n">
        <v>0</v>
      </c>
      <c r="I3726" t="n">
        <v>0</v>
      </c>
      <c r="J3726" t="n">
        <v>0</v>
      </c>
      <c r="K3726" t="n">
        <v>0</v>
      </c>
      <c r="L3726" t="n">
        <v>0</v>
      </c>
      <c r="M3726" t="n">
        <v>0</v>
      </c>
      <c r="N3726" t="n">
        <v>0</v>
      </c>
      <c r="O3726" t="n">
        <v>0</v>
      </c>
      <c r="P3726" t="n">
        <v>0</v>
      </c>
      <c r="Q3726" t="n">
        <v>0</v>
      </c>
      <c r="R3726" s="2" t="inlineStr"/>
    </row>
    <row r="3727" ht="15" customHeight="1">
      <c r="A3727" t="inlineStr">
        <is>
          <t>A 59317-2023</t>
        </is>
      </c>
      <c r="B3727" s="1" t="n">
        <v>45253</v>
      </c>
      <c r="C3727" s="1" t="n">
        <v>45724</v>
      </c>
      <c r="D3727" t="inlineStr">
        <is>
          <t>VÄSTMANLANDS LÄN</t>
        </is>
      </c>
      <c r="E3727" t="inlineStr">
        <is>
          <t>SURAHAMMAR</t>
        </is>
      </c>
      <c r="G3727" t="n">
        <v>7.1</v>
      </c>
      <c r="H3727" t="n">
        <v>0</v>
      </c>
      <c r="I3727" t="n">
        <v>0</v>
      </c>
      <c r="J3727" t="n">
        <v>0</v>
      </c>
      <c r="K3727" t="n">
        <v>0</v>
      </c>
      <c r="L3727" t="n">
        <v>0</v>
      </c>
      <c r="M3727" t="n">
        <v>0</v>
      </c>
      <c r="N3727" t="n">
        <v>0</v>
      </c>
      <c r="O3727" t="n">
        <v>0</v>
      </c>
      <c r="P3727" t="n">
        <v>0</v>
      </c>
      <c r="Q3727" t="n">
        <v>0</v>
      </c>
      <c r="R3727" s="2" t="inlineStr"/>
    </row>
    <row r="3728" ht="15" customHeight="1">
      <c r="A3728" t="inlineStr">
        <is>
          <t>A 59765-2023</t>
        </is>
      </c>
      <c r="B3728" s="1" t="n">
        <v>45257</v>
      </c>
      <c r="C3728" s="1" t="n">
        <v>45724</v>
      </c>
      <c r="D3728" t="inlineStr">
        <is>
          <t>VÄSTMANLANDS LÄN</t>
        </is>
      </c>
      <c r="E3728" t="inlineStr">
        <is>
          <t>VÄSTERÅS</t>
        </is>
      </c>
      <c r="G3728" t="n">
        <v>0.8</v>
      </c>
      <c r="H3728" t="n">
        <v>0</v>
      </c>
      <c r="I3728" t="n">
        <v>0</v>
      </c>
      <c r="J3728" t="n">
        <v>0</v>
      </c>
      <c r="K3728" t="n">
        <v>0</v>
      </c>
      <c r="L3728" t="n">
        <v>0</v>
      </c>
      <c r="M3728" t="n">
        <v>0</v>
      </c>
      <c r="N3728" t="n">
        <v>0</v>
      </c>
      <c r="O3728" t="n">
        <v>0</v>
      </c>
      <c r="P3728" t="n">
        <v>0</v>
      </c>
      <c r="Q3728" t="n">
        <v>0</v>
      </c>
      <c r="R3728" s="2" t="inlineStr"/>
    </row>
    <row r="3729" ht="15" customHeight="1">
      <c r="A3729" t="inlineStr">
        <is>
          <t>A 59805-2023</t>
        </is>
      </c>
      <c r="B3729" s="1" t="n">
        <v>45257</v>
      </c>
      <c r="C3729" s="1" t="n">
        <v>45724</v>
      </c>
      <c r="D3729" t="inlineStr">
        <is>
          <t>VÄSTMANLANDS LÄN</t>
        </is>
      </c>
      <c r="E3729" t="inlineStr">
        <is>
          <t>FAGERSTA</t>
        </is>
      </c>
      <c r="G3729" t="n">
        <v>6.2</v>
      </c>
      <c r="H3729" t="n">
        <v>0</v>
      </c>
      <c r="I3729" t="n">
        <v>0</v>
      </c>
      <c r="J3729" t="n">
        <v>0</v>
      </c>
      <c r="K3729" t="n">
        <v>0</v>
      </c>
      <c r="L3729" t="n">
        <v>0</v>
      </c>
      <c r="M3729" t="n">
        <v>0</v>
      </c>
      <c r="N3729" t="n">
        <v>0</v>
      </c>
      <c r="O3729" t="n">
        <v>0</v>
      </c>
      <c r="P3729" t="n">
        <v>0</v>
      </c>
      <c r="Q3729" t="n">
        <v>0</v>
      </c>
      <c r="R3729" s="2" t="inlineStr"/>
    </row>
    <row r="3730" ht="15" customHeight="1">
      <c r="A3730" t="inlineStr">
        <is>
          <t>A 59713-2023</t>
        </is>
      </c>
      <c r="B3730" s="1" t="n">
        <v>45257</v>
      </c>
      <c r="C3730" s="1" t="n">
        <v>45724</v>
      </c>
      <c r="D3730" t="inlineStr">
        <is>
          <t>VÄSTMANLANDS LÄN</t>
        </is>
      </c>
      <c r="E3730" t="inlineStr">
        <is>
          <t>SALA</t>
        </is>
      </c>
      <c r="G3730" t="n">
        <v>1.2</v>
      </c>
      <c r="H3730" t="n">
        <v>0</v>
      </c>
      <c r="I3730" t="n">
        <v>0</v>
      </c>
      <c r="J3730" t="n">
        <v>0</v>
      </c>
      <c r="K3730" t="n">
        <v>0</v>
      </c>
      <c r="L3730" t="n">
        <v>0</v>
      </c>
      <c r="M3730" t="n">
        <v>0</v>
      </c>
      <c r="N3730" t="n">
        <v>0</v>
      </c>
      <c r="O3730" t="n">
        <v>0</v>
      </c>
      <c r="P3730" t="n">
        <v>0</v>
      </c>
      <c r="Q3730" t="n">
        <v>0</v>
      </c>
      <c r="R3730" s="2" t="inlineStr"/>
    </row>
    <row r="3731" ht="15" customHeight="1">
      <c r="A3731" t="inlineStr">
        <is>
          <t>A 59717-2023</t>
        </is>
      </c>
      <c r="B3731" s="1" t="n">
        <v>45257</v>
      </c>
      <c r="C3731" s="1" t="n">
        <v>45724</v>
      </c>
      <c r="D3731" t="inlineStr">
        <is>
          <t>VÄSTMANLANDS LÄN</t>
        </is>
      </c>
      <c r="E3731" t="inlineStr">
        <is>
          <t>SKINNSKATTEBERG</t>
        </is>
      </c>
      <c r="F3731" t="inlineStr">
        <is>
          <t>Sveaskog</t>
        </is>
      </c>
      <c r="G3731" t="n">
        <v>0.9</v>
      </c>
      <c r="H3731" t="n">
        <v>0</v>
      </c>
      <c r="I3731" t="n">
        <v>0</v>
      </c>
      <c r="J3731" t="n">
        <v>0</v>
      </c>
      <c r="K3731" t="n">
        <v>0</v>
      </c>
      <c r="L3731" t="n">
        <v>0</v>
      </c>
      <c r="M3731" t="n">
        <v>0</v>
      </c>
      <c r="N3731" t="n">
        <v>0</v>
      </c>
      <c r="O3731" t="n">
        <v>0</v>
      </c>
      <c r="P3731" t="n">
        <v>0</v>
      </c>
      <c r="Q3731" t="n">
        <v>0</v>
      </c>
      <c r="R3731" s="2" t="inlineStr"/>
    </row>
    <row r="3732" ht="15" customHeight="1">
      <c r="A3732" t="inlineStr">
        <is>
          <t>A 59785-2023</t>
        </is>
      </c>
      <c r="B3732" s="1" t="n">
        <v>45257</v>
      </c>
      <c r="C3732" s="1" t="n">
        <v>45724</v>
      </c>
      <c r="D3732" t="inlineStr">
        <is>
          <t>VÄSTMANLANDS LÄN</t>
        </is>
      </c>
      <c r="E3732" t="inlineStr">
        <is>
          <t>SALA</t>
        </is>
      </c>
      <c r="G3732" t="n">
        <v>2.2</v>
      </c>
      <c r="H3732" t="n">
        <v>0</v>
      </c>
      <c r="I3732" t="n">
        <v>0</v>
      </c>
      <c r="J3732" t="n">
        <v>0</v>
      </c>
      <c r="K3732" t="n">
        <v>0</v>
      </c>
      <c r="L3732" t="n">
        <v>0</v>
      </c>
      <c r="M3732" t="n">
        <v>0</v>
      </c>
      <c r="N3732" t="n">
        <v>0</v>
      </c>
      <c r="O3732" t="n">
        <v>0</v>
      </c>
      <c r="P3732" t="n">
        <v>0</v>
      </c>
      <c r="Q3732" t="n">
        <v>0</v>
      </c>
      <c r="R3732" s="2" t="inlineStr"/>
    </row>
    <row r="3733" ht="15" customHeight="1">
      <c r="A3733" t="inlineStr">
        <is>
          <t>A 60367-2023</t>
        </is>
      </c>
      <c r="B3733" s="1" t="n">
        <v>45257</v>
      </c>
      <c r="C3733" s="1" t="n">
        <v>45724</v>
      </c>
      <c r="D3733" t="inlineStr">
        <is>
          <t>VÄSTMANLANDS LÄN</t>
        </is>
      </c>
      <c r="E3733" t="inlineStr">
        <is>
          <t>KÖPING</t>
        </is>
      </c>
      <c r="G3733" t="n">
        <v>7.4</v>
      </c>
      <c r="H3733" t="n">
        <v>0</v>
      </c>
      <c r="I3733" t="n">
        <v>0</v>
      </c>
      <c r="J3733" t="n">
        <v>0</v>
      </c>
      <c r="K3733" t="n">
        <v>0</v>
      </c>
      <c r="L3733" t="n">
        <v>0</v>
      </c>
      <c r="M3733" t="n">
        <v>0</v>
      </c>
      <c r="N3733" t="n">
        <v>0</v>
      </c>
      <c r="O3733" t="n">
        <v>0</v>
      </c>
      <c r="P3733" t="n">
        <v>0</v>
      </c>
      <c r="Q3733" t="n">
        <v>0</v>
      </c>
      <c r="R3733" s="2" t="inlineStr"/>
    </row>
    <row r="3734" ht="15" customHeight="1">
      <c r="A3734" t="inlineStr">
        <is>
          <t>A 60206-2023</t>
        </is>
      </c>
      <c r="B3734" s="1" t="n">
        <v>45258</v>
      </c>
      <c r="C3734" s="1" t="n">
        <v>45724</v>
      </c>
      <c r="D3734" t="inlineStr">
        <is>
          <t>VÄSTMANLANDS LÄN</t>
        </is>
      </c>
      <c r="E3734" t="inlineStr">
        <is>
          <t>KÖPING</t>
        </is>
      </c>
      <c r="F3734" t="inlineStr">
        <is>
          <t>Sveaskog</t>
        </is>
      </c>
      <c r="G3734" t="n">
        <v>1.1</v>
      </c>
      <c r="H3734" t="n">
        <v>0</v>
      </c>
      <c r="I3734" t="n">
        <v>0</v>
      </c>
      <c r="J3734" t="n">
        <v>0</v>
      </c>
      <c r="K3734" t="n">
        <v>0</v>
      </c>
      <c r="L3734" t="n">
        <v>0</v>
      </c>
      <c r="M3734" t="n">
        <v>0</v>
      </c>
      <c r="N3734" t="n">
        <v>0</v>
      </c>
      <c r="O3734" t="n">
        <v>0</v>
      </c>
      <c r="P3734" t="n">
        <v>0</v>
      </c>
      <c r="Q3734" t="n">
        <v>0</v>
      </c>
      <c r="R3734" s="2" t="inlineStr"/>
    </row>
    <row r="3735" ht="15" customHeight="1">
      <c r="A3735" t="inlineStr">
        <is>
          <t>A 60249-2023</t>
        </is>
      </c>
      <c r="B3735" s="1" t="n">
        <v>45258</v>
      </c>
      <c r="C3735" s="1" t="n">
        <v>45724</v>
      </c>
      <c r="D3735" t="inlineStr">
        <is>
          <t>VÄSTMANLANDS LÄN</t>
        </is>
      </c>
      <c r="E3735" t="inlineStr">
        <is>
          <t>SALA</t>
        </is>
      </c>
      <c r="G3735" t="n">
        <v>2</v>
      </c>
      <c r="H3735" t="n">
        <v>0</v>
      </c>
      <c r="I3735" t="n">
        <v>0</v>
      </c>
      <c r="J3735" t="n">
        <v>0</v>
      </c>
      <c r="K3735" t="n">
        <v>0</v>
      </c>
      <c r="L3735" t="n">
        <v>0</v>
      </c>
      <c r="M3735" t="n">
        <v>0</v>
      </c>
      <c r="N3735" t="n">
        <v>0</v>
      </c>
      <c r="O3735" t="n">
        <v>0</v>
      </c>
      <c r="P3735" t="n">
        <v>0</v>
      </c>
      <c r="Q3735" t="n">
        <v>0</v>
      </c>
      <c r="R3735" s="2" t="inlineStr"/>
    </row>
    <row r="3736" ht="15" customHeight="1">
      <c r="A3736" t="inlineStr">
        <is>
          <t>A 60731-2023</t>
        </is>
      </c>
      <c r="B3736" s="1" t="n">
        <v>45260</v>
      </c>
      <c r="C3736" s="1" t="n">
        <v>45724</v>
      </c>
      <c r="D3736" t="inlineStr">
        <is>
          <t>VÄSTMANLANDS LÄN</t>
        </is>
      </c>
      <c r="E3736" t="inlineStr">
        <is>
          <t>SALA</t>
        </is>
      </c>
      <c r="G3736" t="n">
        <v>1</v>
      </c>
      <c r="H3736" t="n">
        <v>0</v>
      </c>
      <c r="I3736" t="n">
        <v>0</v>
      </c>
      <c r="J3736" t="n">
        <v>0</v>
      </c>
      <c r="K3736" t="n">
        <v>0</v>
      </c>
      <c r="L3736" t="n">
        <v>0</v>
      </c>
      <c r="M3736" t="n">
        <v>0</v>
      </c>
      <c r="N3736" t="n">
        <v>0</v>
      </c>
      <c r="O3736" t="n">
        <v>0</v>
      </c>
      <c r="P3736" t="n">
        <v>0</v>
      </c>
      <c r="Q3736" t="n">
        <v>0</v>
      </c>
      <c r="R3736" s="2" t="inlineStr"/>
    </row>
    <row r="3737" ht="15" customHeight="1">
      <c r="A3737" t="inlineStr">
        <is>
          <t>A 60730-2023</t>
        </is>
      </c>
      <c r="B3737" s="1" t="n">
        <v>45260</v>
      </c>
      <c r="C3737" s="1" t="n">
        <v>45724</v>
      </c>
      <c r="D3737" t="inlineStr">
        <is>
          <t>VÄSTMANLANDS LÄN</t>
        </is>
      </c>
      <c r="E3737" t="inlineStr">
        <is>
          <t>SALA</t>
        </is>
      </c>
      <c r="G3737" t="n">
        <v>1.3</v>
      </c>
      <c r="H3737" t="n">
        <v>0</v>
      </c>
      <c r="I3737" t="n">
        <v>0</v>
      </c>
      <c r="J3737" t="n">
        <v>0</v>
      </c>
      <c r="K3737" t="n">
        <v>0</v>
      </c>
      <c r="L3737" t="n">
        <v>0</v>
      </c>
      <c r="M3737" t="n">
        <v>0</v>
      </c>
      <c r="N3737" t="n">
        <v>0</v>
      </c>
      <c r="O3737" t="n">
        <v>0</v>
      </c>
      <c r="P3737" t="n">
        <v>0</v>
      </c>
      <c r="Q3737" t="n">
        <v>0</v>
      </c>
      <c r="R3737" s="2" t="inlineStr"/>
    </row>
    <row r="3738" ht="15" customHeight="1">
      <c r="A3738" t="inlineStr">
        <is>
          <t>A 60925-2023</t>
        </is>
      </c>
      <c r="B3738" s="1" t="n">
        <v>45261</v>
      </c>
      <c r="C3738" s="1" t="n">
        <v>45724</v>
      </c>
      <c r="D3738" t="inlineStr">
        <is>
          <t>VÄSTMANLANDS LÄN</t>
        </is>
      </c>
      <c r="E3738" t="inlineStr">
        <is>
          <t>VÄSTERÅS</t>
        </is>
      </c>
      <c r="G3738" t="n">
        <v>2.2</v>
      </c>
      <c r="H3738" t="n">
        <v>0</v>
      </c>
      <c r="I3738" t="n">
        <v>0</v>
      </c>
      <c r="J3738" t="n">
        <v>0</v>
      </c>
      <c r="K3738" t="n">
        <v>0</v>
      </c>
      <c r="L3738" t="n">
        <v>0</v>
      </c>
      <c r="M3738" t="n">
        <v>0</v>
      </c>
      <c r="N3738" t="n">
        <v>0</v>
      </c>
      <c r="O3738" t="n">
        <v>0</v>
      </c>
      <c r="P3738" t="n">
        <v>0</v>
      </c>
      <c r="Q3738" t="n">
        <v>0</v>
      </c>
      <c r="R3738" s="2" t="inlineStr"/>
    </row>
    <row r="3739" ht="15" customHeight="1">
      <c r="A3739" t="inlineStr">
        <is>
          <t>A 60991-2023</t>
        </is>
      </c>
      <c r="B3739" s="1" t="n">
        <v>45261</v>
      </c>
      <c r="C3739" s="1" t="n">
        <v>45724</v>
      </c>
      <c r="D3739" t="inlineStr">
        <is>
          <t>VÄSTMANLANDS LÄN</t>
        </is>
      </c>
      <c r="E3739" t="inlineStr">
        <is>
          <t>KÖPING</t>
        </is>
      </c>
      <c r="F3739" t="inlineStr">
        <is>
          <t>Sveaskog</t>
        </is>
      </c>
      <c r="G3739" t="n">
        <v>0.5</v>
      </c>
      <c r="H3739" t="n">
        <v>0</v>
      </c>
      <c r="I3739" t="n">
        <v>0</v>
      </c>
      <c r="J3739" t="n">
        <v>0</v>
      </c>
      <c r="K3739" t="n">
        <v>0</v>
      </c>
      <c r="L3739" t="n">
        <v>0</v>
      </c>
      <c r="M3739" t="n">
        <v>0</v>
      </c>
      <c r="N3739" t="n">
        <v>0</v>
      </c>
      <c r="O3739" t="n">
        <v>0</v>
      </c>
      <c r="P3739" t="n">
        <v>0</v>
      </c>
      <c r="Q3739" t="n">
        <v>0</v>
      </c>
      <c r="R3739" s="2" t="inlineStr"/>
    </row>
    <row r="3740" ht="15" customHeight="1">
      <c r="A3740" t="inlineStr">
        <is>
          <t>A 61047-2023</t>
        </is>
      </c>
      <c r="B3740" s="1" t="n">
        <v>45261</v>
      </c>
      <c r="C3740" s="1" t="n">
        <v>45724</v>
      </c>
      <c r="D3740" t="inlineStr">
        <is>
          <t>VÄSTMANLANDS LÄN</t>
        </is>
      </c>
      <c r="E3740" t="inlineStr">
        <is>
          <t>KÖPING</t>
        </is>
      </c>
      <c r="G3740" t="n">
        <v>5.5</v>
      </c>
      <c r="H3740" t="n">
        <v>0</v>
      </c>
      <c r="I3740" t="n">
        <v>0</v>
      </c>
      <c r="J3740" t="n">
        <v>0</v>
      </c>
      <c r="K3740" t="n">
        <v>0</v>
      </c>
      <c r="L3740" t="n">
        <v>0</v>
      </c>
      <c r="M3740" t="n">
        <v>0</v>
      </c>
      <c r="N3740" t="n">
        <v>0</v>
      </c>
      <c r="O3740" t="n">
        <v>0</v>
      </c>
      <c r="P3740" t="n">
        <v>0</v>
      </c>
      <c r="Q3740" t="n">
        <v>0</v>
      </c>
      <c r="R3740" s="2" t="inlineStr"/>
    </row>
    <row r="3741" ht="15" customHeight="1">
      <c r="A3741" t="inlineStr">
        <is>
          <t>A 61547-2023</t>
        </is>
      </c>
      <c r="B3741" s="1" t="n">
        <v>45261</v>
      </c>
      <c r="C3741" s="1" t="n">
        <v>45724</v>
      </c>
      <c r="D3741" t="inlineStr">
        <is>
          <t>VÄSTMANLANDS LÄN</t>
        </is>
      </c>
      <c r="E3741" t="inlineStr">
        <is>
          <t>VÄSTERÅS</t>
        </is>
      </c>
      <c r="G3741" t="n">
        <v>3.1</v>
      </c>
      <c r="H3741" t="n">
        <v>0</v>
      </c>
      <c r="I3741" t="n">
        <v>0</v>
      </c>
      <c r="J3741" t="n">
        <v>0</v>
      </c>
      <c r="K3741" t="n">
        <v>0</v>
      </c>
      <c r="L3741" t="n">
        <v>0</v>
      </c>
      <c r="M3741" t="n">
        <v>0</v>
      </c>
      <c r="N3741" t="n">
        <v>0</v>
      </c>
      <c r="O3741" t="n">
        <v>0</v>
      </c>
      <c r="P3741" t="n">
        <v>0</v>
      </c>
      <c r="Q3741" t="n">
        <v>0</v>
      </c>
      <c r="R3741" s="2" t="inlineStr"/>
    </row>
    <row r="3742" ht="15" customHeight="1">
      <c r="A3742" t="inlineStr">
        <is>
          <t>A 61339-2023</t>
        </is>
      </c>
      <c r="B3742" s="1" t="n">
        <v>45264</v>
      </c>
      <c r="C3742" s="1" t="n">
        <v>45724</v>
      </c>
      <c r="D3742" t="inlineStr">
        <is>
          <t>VÄSTMANLANDS LÄN</t>
        </is>
      </c>
      <c r="E3742" t="inlineStr">
        <is>
          <t>KÖPING</t>
        </is>
      </c>
      <c r="G3742" t="n">
        <v>5</v>
      </c>
      <c r="H3742" t="n">
        <v>0</v>
      </c>
      <c r="I3742" t="n">
        <v>0</v>
      </c>
      <c r="J3742" t="n">
        <v>0</v>
      </c>
      <c r="K3742" t="n">
        <v>0</v>
      </c>
      <c r="L3742" t="n">
        <v>0</v>
      </c>
      <c r="M3742" t="n">
        <v>0</v>
      </c>
      <c r="N3742" t="n">
        <v>0</v>
      </c>
      <c r="O3742" t="n">
        <v>0</v>
      </c>
      <c r="P3742" t="n">
        <v>0</v>
      </c>
      <c r="Q3742" t="n">
        <v>0</v>
      </c>
      <c r="R3742" s="2" t="inlineStr"/>
    </row>
    <row r="3743" ht="15" customHeight="1">
      <c r="A3743" t="inlineStr">
        <is>
          <t>A 61358-2023</t>
        </is>
      </c>
      <c r="B3743" s="1" t="n">
        <v>45264</v>
      </c>
      <c r="C3743" s="1" t="n">
        <v>45724</v>
      </c>
      <c r="D3743" t="inlineStr">
        <is>
          <t>VÄSTMANLANDS LÄN</t>
        </is>
      </c>
      <c r="E3743" t="inlineStr">
        <is>
          <t>KÖPING</t>
        </is>
      </c>
      <c r="G3743" t="n">
        <v>1.1</v>
      </c>
      <c r="H3743" t="n">
        <v>0</v>
      </c>
      <c r="I3743" t="n">
        <v>0</v>
      </c>
      <c r="J3743" t="n">
        <v>0</v>
      </c>
      <c r="K3743" t="n">
        <v>0</v>
      </c>
      <c r="L3743" t="n">
        <v>0</v>
      </c>
      <c r="M3743" t="n">
        <v>0</v>
      </c>
      <c r="N3743" t="n">
        <v>0</v>
      </c>
      <c r="O3743" t="n">
        <v>0</v>
      </c>
      <c r="P3743" t="n">
        <v>0</v>
      </c>
      <c r="Q3743" t="n">
        <v>0</v>
      </c>
      <c r="R3743" s="2" t="inlineStr"/>
    </row>
    <row r="3744" ht="15" customHeight="1">
      <c r="A3744" t="inlineStr">
        <is>
          <t>A 61322-2023</t>
        </is>
      </c>
      <c r="B3744" s="1" t="n">
        <v>45264</v>
      </c>
      <c r="C3744" s="1" t="n">
        <v>45724</v>
      </c>
      <c r="D3744" t="inlineStr">
        <is>
          <t>VÄSTMANLANDS LÄN</t>
        </is>
      </c>
      <c r="E3744" t="inlineStr">
        <is>
          <t>KÖPING</t>
        </is>
      </c>
      <c r="G3744" t="n">
        <v>17.5</v>
      </c>
      <c r="H3744" t="n">
        <v>0</v>
      </c>
      <c r="I3744" t="n">
        <v>0</v>
      </c>
      <c r="J3744" t="n">
        <v>0</v>
      </c>
      <c r="K3744" t="n">
        <v>0</v>
      </c>
      <c r="L3744" t="n">
        <v>0</v>
      </c>
      <c r="M3744" t="n">
        <v>0</v>
      </c>
      <c r="N3744" t="n">
        <v>0</v>
      </c>
      <c r="O3744" t="n">
        <v>0</v>
      </c>
      <c r="P3744" t="n">
        <v>0</v>
      </c>
      <c r="Q3744" t="n">
        <v>0</v>
      </c>
      <c r="R3744" s="2" t="inlineStr"/>
    </row>
    <row r="3745" ht="15" customHeight="1">
      <c r="A3745" t="inlineStr">
        <is>
          <t>A 61353-2023</t>
        </is>
      </c>
      <c r="B3745" s="1" t="n">
        <v>45264</v>
      </c>
      <c r="C3745" s="1" t="n">
        <v>45724</v>
      </c>
      <c r="D3745" t="inlineStr">
        <is>
          <t>VÄSTMANLANDS LÄN</t>
        </is>
      </c>
      <c r="E3745" t="inlineStr">
        <is>
          <t>KÖPING</t>
        </is>
      </c>
      <c r="G3745" t="n">
        <v>0.7</v>
      </c>
      <c r="H3745" t="n">
        <v>0</v>
      </c>
      <c r="I3745" t="n">
        <v>0</v>
      </c>
      <c r="J3745" t="n">
        <v>0</v>
      </c>
      <c r="K3745" t="n">
        <v>0</v>
      </c>
      <c r="L3745" t="n">
        <v>0</v>
      </c>
      <c r="M3745" t="n">
        <v>0</v>
      </c>
      <c r="N3745" t="n">
        <v>0</v>
      </c>
      <c r="O3745" t="n">
        <v>0</v>
      </c>
      <c r="P3745" t="n">
        <v>0</v>
      </c>
      <c r="Q3745" t="n">
        <v>0</v>
      </c>
      <c r="R3745" s="2" t="inlineStr"/>
    </row>
    <row r="3746" ht="15" customHeight="1">
      <c r="A3746" t="inlineStr">
        <is>
          <t>A 61375-2023</t>
        </is>
      </c>
      <c r="B3746" s="1" t="n">
        <v>45264</v>
      </c>
      <c r="C3746" s="1" t="n">
        <v>45724</v>
      </c>
      <c r="D3746" t="inlineStr">
        <is>
          <t>VÄSTMANLANDS LÄN</t>
        </is>
      </c>
      <c r="E3746" t="inlineStr">
        <is>
          <t>ARBOGA</t>
        </is>
      </c>
      <c r="G3746" t="n">
        <v>3.5</v>
      </c>
      <c r="H3746" t="n">
        <v>0</v>
      </c>
      <c r="I3746" t="n">
        <v>0</v>
      </c>
      <c r="J3746" t="n">
        <v>0</v>
      </c>
      <c r="K3746" t="n">
        <v>0</v>
      </c>
      <c r="L3746" t="n">
        <v>0</v>
      </c>
      <c r="M3746" t="n">
        <v>0</v>
      </c>
      <c r="N3746" t="n">
        <v>0</v>
      </c>
      <c r="O3746" t="n">
        <v>0</v>
      </c>
      <c r="P3746" t="n">
        <v>0</v>
      </c>
      <c r="Q3746" t="n">
        <v>0</v>
      </c>
      <c r="R3746" s="2" t="inlineStr"/>
    </row>
    <row r="3747" ht="15" customHeight="1">
      <c r="A3747" t="inlineStr">
        <is>
          <t>A 61300-2023</t>
        </is>
      </c>
      <c r="B3747" s="1" t="n">
        <v>45264</v>
      </c>
      <c r="C3747" s="1" t="n">
        <v>45724</v>
      </c>
      <c r="D3747" t="inlineStr">
        <is>
          <t>VÄSTMANLANDS LÄN</t>
        </is>
      </c>
      <c r="E3747" t="inlineStr">
        <is>
          <t>ARBOGA</t>
        </is>
      </c>
      <c r="G3747" t="n">
        <v>2.2</v>
      </c>
      <c r="H3747" t="n">
        <v>0</v>
      </c>
      <c r="I3747" t="n">
        <v>0</v>
      </c>
      <c r="J3747" t="n">
        <v>0</v>
      </c>
      <c r="K3747" t="n">
        <v>0</v>
      </c>
      <c r="L3747" t="n">
        <v>0</v>
      </c>
      <c r="M3747" t="n">
        <v>0</v>
      </c>
      <c r="N3747" t="n">
        <v>0</v>
      </c>
      <c r="O3747" t="n">
        <v>0</v>
      </c>
      <c r="P3747" t="n">
        <v>0</v>
      </c>
      <c r="Q3747" t="n">
        <v>0</v>
      </c>
      <c r="R3747" s="2" t="inlineStr"/>
    </row>
    <row r="3748" ht="15" customHeight="1">
      <c r="A3748" t="inlineStr">
        <is>
          <t>A 61328-2023</t>
        </is>
      </c>
      <c r="B3748" s="1" t="n">
        <v>45264</v>
      </c>
      <c r="C3748" s="1" t="n">
        <v>45724</v>
      </c>
      <c r="D3748" t="inlineStr">
        <is>
          <t>VÄSTMANLANDS LÄN</t>
        </is>
      </c>
      <c r="E3748" t="inlineStr">
        <is>
          <t>ARBOGA</t>
        </is>
      </c>
      <c r="G3748" t="n">
        <v>6.3</v>
      </c>
      <c r="H3748" t="n">
        <v>0</v>
      </c>
      <c r="I3748" t="n">
        <v>0</v>
      </c>
      <c r="J3748" t="n">
        <v>0</v>
      </c>
      <c r="K3748" t="n">
        <v>0</v>
      </c>
      <c r="L3748" t="n">
        <v>0</v>
      </c>
      <c r="M3748" t="n">
        <v>0</v>
      </c>
      <c r="N3748" t="n">
        <v>0</v>
      </c>
      <c r="O3748" t="n">
        <v>0</v>
      </c>
      <c r="P3748" t="n">
        <v>0</v>
      </c>
      <c r="Q3748" t="n">
        <v>0</v>
      </c>
      <c r="R3748" s="2" t="inlineStr"/>
    </row>
    <row r="3749" ht="15" customHeight="1">
      <c r="A3749" t="inlineStr">
        <is>
          <t>A 61388-2023</t>
        </is>
      </c>
      <c r="B3749" s="1" t="n">
        <v>45264</v>
      </c>
      <c r="C3749" s="1" t="n">
        <v>45724</v>
      </c>
      <c r="D3749" t="inlineStr">
        <is>
          <t>VÄSTMANLANDS LÄN</t>
        </is>
      </c>
      <c r="E3749" t="inlineStr">
        <is>
          <t>ARBOGA</t>
        </is>
      </c>
      <c r="G3749" t="n">
        <v>1.7</v>
      </c>
      <c r="H3749" t="n">
        <v>0</v>
      </c>
      <c r="I3749" t="n">
        <v>0</v>
      </c>
      <c r="J3749" t="n">
        <v>0</v>
      </c>
      <c r="K3749" t="n">
        <v>0</v>
      </c>
      <c r="L3749" t="n">
        <v>0</v>
      </c>
      <c r="M3749" t="n">
        <v>0</v>
      </c>
      <c r="N3749" t="n">
        <v>0</v>
      </c>
      <c r="O3749" t="n">
        <v>0</v>
      </c>
      <c r="P3749" t="n">
        <v>0</v>
      </c>
      <c r="Q3749" t="n">
        <v>0</v>
      </c>
      <c r="R3749" s="2" t="inlineStr"/>
    </row>
    <row r="3750" ht="15" customHeight="1">
      <c r="A3750" t="inlineStr">
        <is>
          <t>A 61394-2023</t>
        </is>
      </c>
      <c r="B3750" s="1" t="n">
        <v>45264</v>
      </c>
      <c r="C3750" s="1" t="n">
        <v>45724</v>
      </c>
      <c r="D3750" t="inlineStr">
        <is>
          <t>VÄSTMANLANDS LÄN</t>
        </is>
      </c>
      <c r="E3750" t="inlineStr">
        <is>
          <t>ARBOGA</t>
        </is>
      </c>
      <c r="G3750" t="n">
        <v>0.7</v>
      </c>
      <c r="H3750" t="n">
        <v>0</v>
      </c>
      <c r="I3750" t="n">
        <v>0</v>
      </c>
      <c r="J3750" t="n">
        <v>0</v>
      </c>
      <c r="K3750" t="n">
        <v>0</v>
      </c>
      <c r="L3750" t="n">
        <v>0</v>
      </c>
      <c r="M3750" t="n">
        <v>0</v>
      </c>
      <c r="N3750" t="n">
        <v>0</v>
      </c>
      <c r="O3750" t="n">
        <v>0</v>
      </c>
      <c r="P3750" t="n">
        <v>0</v>
      </c>
      <c r="Q3750" t="n">
        <v>0</v>
      </c>
      <c r="R3750" s="2" t="inlineStr"/>
    </row>
    <row r="3751" ht="15" customHeight="1">
      <c r="A3751" t="inlineStr">
        <is>
          <t>A 61258-2023</t>
        </is>
      </c>
      <c r="B3751" s="1" t="n">
        <v>45264</v>
      </c>
      <c r="C3751" s="1" t="n">
        <v>45724</v>
      </c>
      <c r="D3751" t="inlineStr">
        <is>
          <t>VÄSTMANLANDS LÄN</t>
        </is>
      </c>
      <c r="E3751" t="inlineStr">
        <is>
          <t>VÄSTERÅS</t>
        </is>
      </c>
      <c r="G3751" t="n">
        <v>2</v>
      </c>
      <c r="H3751" t="n">
        <v>0</v>
      </c>
      <c r="I3751" t="n">
        <v>0</v>
      </c>
      <c r="J3751" t="n">
        <v>0</v>
      </c>
      <c r="K3751" t="n">
        <v>0</v>
      </c>
      <c r="L3751" t="n">
        <v>0</v>
      </c>
      <c r="M3751" t="n">
        <v>0</v>
      </c>
      <c r="N3751" t="n">
        <v>0</v>
      </c>
      <c r="O3751" t="n">
        <v>0</v>
      </c>
      <c r="P3751" t="n">
        <v>0</v>
      </c>
      <c r="Q3751" t="n">
        <v>0</v>
      </c>
      <c r="R3751" s="2" t="inlineStr"/>
    </row>
    <row r="3752" ht="15" customHeight="1">
      <c r="A3752" t="inlineStr">
        <is>
          <t>A 61320-2023</t>
        </is>
      </c>
      <c r="B3752" s="1" t="n">
        <v>45264</v>
      </c>
      <c r="C3752" s="1" t="n">
        <v>45724</v>
      </c>
      <c r="D3752" t="inlineStr">
        <is>
          <t>VÄSTMANLANDS LÄN</t>
        </is>
      </c>
      <c r="E3752" t="inlineStr">
        <is>
          <t>ARBOGA</t>
        </is>
      </c>
      <c r="G3752" t="n">
        <v>4.7</v>
      </c>
      <c r="H3752" t="n">
        <v>0</v>
      </c>
      <c r="I3752" t="n">
        <v>0</v>
      </c>
      <c r="J3752" t="n">
        <v>0</v>
      </c>
      <c r="K3752" t="n">
        <v>0</v>
      </c>
      <c r="L3752" t="n">
        <v>0</v>
      </c>
      <c r="M3752" t="n">
        <v>0</v>
      </c>
      <c r="N3752" t="n">
        <v>0</v>
      </c>
      <c r="O3752" t="n">
        <v>0</v>
      </c>
      <c r="P3752" t="n">
        <v>0</v>
      </c>
      <c r="Q3752" t="n">
        <v>0</v>
      </c>
      <c r="R3752" s="2" t="inlineStr"/>
    </row>
    <row r="3753" ht="15" customHeight="1">
      <c r="A3753" t="inlineStr">
        <is>
          <t>A 61424-2023</t>
        </is>
      </c>
      <c r="B3753" s="1" t="n">
        <v>45264</v>
      </c>
      <c r="C3753" s="1" t="n">
        <v>45724</v>
      </c>
      <c r="D3753" t="inlineStr">
        <is>
          <t>VÄSTMANLANDS LÄN</t>
        </is>
      </c>
      <c r="E3753" t="inlineStr">
        <is>
          <t>SKINNSKATTEBERG</t>
        </is>
      </c>
      <c r="G3753" t="n">
        <v>2.1</v>
      </c>
      <c r="H3753" t="n">
        <v>0</v>
      </c>
      <c r="I3753" t="n">
        <v>0</v>
      </c>
      <c r="J3753" t="n">
        <v>0</v>
      </c>
      <c r="K3753" t="n">
        <v>0</v>
      </c>
      <c r="L3753" t="n">
        <v>0</v>
      </c>
      <c r="M3753" t="n">
        <v>0</v>
      </c>
      <c r="N3753" t="n">
        <v>0</v>
      </c>
      <c r="O3753" t="n">
        <v>0</v>
      </c>
      <c r="P3753" t="n">
        <v>0</v>
      </c>
      <c r="Q3753" t="n">
        <v>0</v>
      </c>
      <c r="R3753" s="2" t="inlineStr"/>
    </row>
    <row r="3754" ht="15" customHeight="1">
      <c r="A3754" t="inlineStr">
        <is>
          <t>A 61525-2023</t>
        </is>
      </c>
      <c r="B3754" s="1" t="n">
        <v>45265</v>
      </c>
      <c r="C3754" s="1" t="n">
        <v>45724</v>
      </c>
      <c r="D3754" t="inlineStr">
        <is>
          <t>VÄSTMANLANDS LÄN</t>
        </is>
      </c>
      <c r="E3754" t="inlineStr">
        <is>
          <t>SALA</t>
        </is>
      </c>
      <c r="G3754" t="n">
        <v>1.6</v>
      </c>
      <c r="H3754" t="n">
        <v>0</v>
      </c>
      <c r="I3754" t="n">
        <v>0</v>
      </c>
      <c r="J3754" t="n">
        <v>0</v>
      </c>
      <c r="K3754" t="n">
        <v>0</v>
      </c>
      <c r="L3754" t="n">
        <v>0</v>
      </c>
      <c r="M3754" t="n">
        <v>0</v>
      </c>
      <c r="N3754" t="n">
        <v>0</v>
      </c>
      <c r="O3754" t="n">
        <v>0</v>
      </c>
      <c r="P3754" t="n">
        <v>0</v>
      </c>
      <c r="Q3754" t="n">
        <v>0</v>
      </c>
      <c r="R3754" s="2" t="inlineStr"/>
      <c r="U3754">
        <f>HYPERLINK("https://klasma.github.io/Logging_1981/knärot/A 61525-2023 karta knärot.png", "A 61525-2023")</f>
        <v/>
      </c>
      <c r="V3754">
        <f>HYPERLINK("https://klasma.github.io/Logging_1981/klagomål/A 61525-2023 FSC-klagomål.docx", "A 61525-2023")</f>
        <v/>
      </c>
      <c r="W3754">
        <f>HYPERLINK("https://klasma.github.io/Logging_1981/klagomålsmail/A 61525-2023 FSC-klagomål mail.docx", "A 61525-2023")</f>
        <v/>
      </c>
      <c r="X3754">
        <f>HYPERLINK("https://klasma.github.io/Logging_1981/tillsyn/A 61525-2023 tillsynsbegäran.docx", "A 61525-2023")</f>
        <v/>
      </c>
      <c r="Y3754">
        <f>HYPERLINK("https://klasma.github.io/Logging_1981/tillsynsmail/A 61525-2023 tillsynsbegäran mail.docx", "A 61525-2023")</f>
        <v/>
      </c>
    </row>
    <row r="3755" ht="15" customHeight="1">
      <c r="A3755" t="inlineStr">
        <is>
          <t>A 62318-2023</t>
        </is>
      </c>
      <c r="B3755" s="1" t="n">
        <v>45266</v>
      </c>
      <c r="C3755" s="1" t="n">
        <v>45724</v>
      </c>
      <c r="D3755" t="inlineStr">
        <is>
          <t>VÄSTMANLANDS LÄN</t>
        </is>
      </c>
      <c r="E3755" t="inlineStr">
        <is>
          <t>NORBERG</t>
        </is>
      </c>
      <c r="G3755" t="n">
        <v>1.3</v>
      </c>
      <c r="H3755" t="n">
        <v>0</v>
      </c>
      <c r="I3755" t="n">
        <v>0</v>
      </c>
      <c r="J3755" t="n">
        <v>0</v>
      </c>
      <c r="K3755" t="n">
        <v>0</v>
      </c>
      <c r="L3755" t="n">
        <v>0</v>
      </c>
      <c r="M3755" t="n">
        <v>0</v>
      </c>
      <c r="N3755" t="n">
        <v>0</v>
      </c>
      <c r="O3755" t="n">
        <v>0</v>
      </c>
      <c r="P3755" t="n">
        <v>0</v>
      </c>
      <c r="Q3755" t="n">
        <v>0</v>
      </c>
      <c r="R3755" s="2" t="inlineStr"/>
    </row>
    <row r="3756" ht="15" customHeight="1">
      <c r="A3756" t="inlineStr">
        <is>
          <t>A 62477-2023</t>
        </is>
      </c>
      <c r="B3756" s="1" t="n">
        <v>45268</v>
      </c>
      <c r="C3756" s="1" t="n">
        <v>45724</v>
      </c>
      <c r="D3756" t="inlineStr">
        <is>
          <t>VÄSTMANLANDS LÄN</t>
        </is>
      </c>
      <c r="E3756" t="inlineStr">
        <is>
          <t>NORBERG</t>
        </is>
      </c>
      <c r="G3756" t="n">
        <v>1.3</v>
      </c>
      <c r="H3756" t="n">
        <v>0</v>
      </c>
      <c r="I3756" t="n">
        <v>0</v>
      </c>
      <c r="J3756" t="n">
        <v>0</v>
      </c>
      <c r="K3756" t="n">
        <v>0</v>
      </c>
      <c r="L3756" t="n">
        <v>0</v>
      </c>
      <c r="M3756" t="n">
        <v>0</v>
      </c>
      <c r="N3756" t="n">
        <v>0</v>
      </c>
      <c r="O3756" t="n">
        <v>0</v>
      </c>
      <c r="P3756" t="n">
        <v>0</v>
      </c>
      <c r="Q3756" t="n">
        <v>0</v>
      </c>
      <c r="R3756" s="2" t="inlineStr"/>
    </row>
    <row r="3757" ht="15" customHeight="1">
      <c r="A3757" t="inlineStr">
        <is>
          <t>A 62487-2023</t>
        </is>
      </c>
      <c r="B3757" s="1" t="n">
        <v>45268</v>
      </c>
      <c r="C3757" s="1" t="n">
        <v>45724</v>
      </c>
      <c r="D3757" t="inlineStr">
        <is>
          <t>VÄSTMANLANDS LÄN</t>
        </is>
      </c>
      <c r="E3757" t="inlineStr">
        <is>
          <t>SKINNSKATTEBERG</t>
        </is>
      </c>
      <c r="G3757" t="n">
        <v>4.1</v>
      </c>
      <c r="H3757" t="n">
        <v>0</v>
      </c>
      <c r="I3757" t="n">
        <v>0</v>
      </c>
      <c r="J3757" t="n">
        <v>0</v>
      </c>
      <c r="K3757" t="n">
        <v>0</v>
      </c>
      <c r="L3757" t="n">
        <v>0</v>
      </c>
      <c r="M3757" t="n">
        <v>0</v>
      </c>
      <c r="N3757" t="n">
        <v>0</v>
      </c>
      <c r="O3757" t="n">
        <v>0</v>
      </c>
      <c r="P3757" t="n">
        <v>0</v>
      </c>
      <c r="Q3757" t="n">
        <v>0</v>
      </c>
      <c r="R3757" s="2" t="inlineStr"/>
    </row>
    <row r="3758" ht="15" customHeight="1">
      <c r="A3758" t="inlineStr">
        <is>
          <t>A 62449-2023</t>
        </is>
      </c>
      <c r="B3758" s="1" t="n">
        <v>45268</v>
      </c>
      <c r="C3758" s="1" t="n">
        <v>45724</v>
      </c>
      <c r="D3758" t="inlineStr">
        <is>
          <t>VÄSTMANLANDS LÄN</t>
        </is>
      </c>
      <c r="E3758" t="inlineStr">
        <is>
          <t>SALA</t>
        </is>
      </c>
      <c r="G3758" t="n">
        <v>0.5</v>
      </c>
      <c r="H3758" t="n">
        <v>0</v>
      </c>
      <c r="I3758" t="n">
        <v>0</v>
      </c>
      <c r="J3758" t="n">
        <v>0</v>
      </c>
      <c r="K3758" t="n">
        <v>0</v>
      </c>
      <c r="L3758" t="n">
        <v>0</v>
      </c>
      <c r="M3758" t="n">
        <v>0</v>
      </c>
      <c r="N3758" t="n">
        <v>0</v>
      </c>
      <c r="O3758" t="n">
        <v>0</v>
      </c>
      <c r="P3758" t="n">
        <v>0</v>
      </c>
      <c r="Q3758" t="n">
        <v>0</v>
      </c>
      <c r="R3758" s="2" t="inlineStr"/>
    </row>
    <row r="3759" ht="15" customHeight="1">
      <c r="A3759" t="inlineStr">
        <is>
          <t>A 62831-2023</t>
        </is>
      </c>
      <c r="B3759" s="1" t="n">
        <v>45270</v>
      </c>
      <c r="C3759" s="1" t="n">
        <v>45724</v>
      </c>
      <c r="D3759" t="inlineStr">
        <is>
          <t>VÄSTMANLANDS LÄN</t>
        </is>
      </c>
      <c r="E3759" t="inlineStr">
        <is>
          <t>HALLSTAHAMMAR</t>
        </is>
      </c>
      <c r="G3759" t="n">
        <v>1.1</v>
      </c>
      <c r="H3759" t="n">
        <v>0</v>
      </c>
      <c r="I3759" t="n">
        <v>0</v>
      </c>
      <c r="J3759" t="n">
        <v>0</v>
      </c>
      <c r="K3759" t="n">
        <v>0</v>
      </c>
      <c r="L3759" t="n">
        <v>0</v>
      </c>
      <c r="M3759" t="n">
        <v>0</v>
      </c>
      <c r="N3759" t="n">
        <v>0</v>
      </c>
      <c r="O3759" t="n">
        <v>0</v>
      </c>
      <c r="P3759" t="n">
        <v>0</v>
      </c>
      <c r="Q3759" t="n">
        <v>0</v>
      </c>
      <c r="R3759" s="2" t="inlineStr"/>
    </row>
    <row r="3760" ht="15" customHeight="1">
      <c r="A3760" t="inlineStr">
        <is>
          <t>A 62842-2023</t>
        </is>
      </c>
      <c r="B3760" s="1" t="n">
        <v>45270</v>
      </c>
      <c r="C3760" s="1" t="n">
        <v>45724</v>
      </c>
      <c r="D3760" t="inlineStr">
        <is>
          <t>VÄSTMANLANDS LÄN</t>
        </is>
      </c>
      <c r="E3760" t="inlineStr">
        <is>
          <t>HALLSTAHAMMAR</t>
        </is>
      </c>
      <c r="G3760" t="n">
        <v>2.1</v>
      </c>
      <c r="H3760" t="n">
        <v>0</v>
      </c>
      <c r="I3760" t="n">
        <v>0</v>
      </c>
      <c r="J3760" t="n">
        <v>0</v>
      </c>
      <c r="K3760" t="n">
        <v>0</v>
      </c>
      <c r="L3760" t="n">
        <v>0</v>
      </c>
      <c r="M3760" t="n">
        <v>0</v>
      </c>
      <c r="N3760" t="n">
        <v>0</v>
      </c>
      <c r="O3760" t="n">
        <v>0</v>
      </c>
      <c r="P3760" t="n">
        <v>0</v>
      </c>
      <c r="Q3760" t="n">
        <v>0</v>
      </c>
      <c r="R3760" s="2" t="inlineStr"/>
    </row>
    <row r="3761" ht="15" customHeight="1">
      <c r="A3761" t="inlineStr">
        <is>
          <t>A 62630-2023</t>
        </is>
      </c>
      <c r="B3761" s="1" t="n">
        <v>45271</v>
      </c>
      <c r="C3761" s="1" t="n">
        <v>45724</v>
      </c>
      <c r="D3761" t="inlineStr">
        <is>
          <t>VÄSTMANLANDS LÄN</t>
        </is>
      </c>
      <c r="E3761" t="inlineStr">
        <is>
          <t>SALA</t>
        </is>
      </c>
      <c r="G3761" t="n">
        <v>1.5</v>
      </c>
      <c r="H3761" t="n">
        <v>0</v>
      </c>
      <c r="I3761" t="n">
        <v>0</v>
      </c>
      <c r="J3761" t="n">
        <v>0</v>
      </c>
      <c r="K3761" t="n">
        <v>0</v>
      </c>
      <c r="L3761" t="n">
        <v>0</v>
      </c>
      <c r="M3761" t="n">
        <v>0</v>
      </c>
      <c r="N3761" t="n">
        <v>0</v>
      </c>
      <c r="O3761" t="n">
        <v>0</v>
      </c>
      <c r="P3761" t="n">
        <v>0</v>
      </c>
      <c r="Q3761" t="n">
        <v>0</v>
      </c>
      <c r="R3761" s="2" t="inlineStr"/>
    </row>
    <row r="3762" ht="15" customHeight="1">
      <c r="A3762" t="inlineStr">
        <is>
          <t>A 62871-2023</t>
        </is>
      </c>
      <c r="B3762" s="1" t="n">
        <v>45272</v>
      </c>
      <c r="C3762" s="1" t="n">
        <v>45724</v>
      </c>
      <c r="D3762" t="inlineStr">
        <is>
          <t>VÄSTMANLANDS LÄN</t>
        </is>
      </c>
      <c r="E3762" t="inlineStr">
        <is>
          <t>VÄSTERÅS</t>
        </is>
      </c>
      <c r="F3762" t="inlineStr">
        <is>
          <t>Allmännings- och besparingsskogar</t>
        </is>
      </c>
      <c r="G3762" t="n">
        <v>1.4</v>
      </c>
      <c r="H3762" t="n">
        <v>0</v>
      </c>
      <c r="I3762" t="n">
        <v>0</v>
      </c>
      <c r="J3762" t="n">
        <v>0</v>
      </c>
      <c r="K3762" t="n">
        <v>0</v>
      </c>
      <c r="L3762" t="n">
        <v>0</v>
      </c>
      <c r="M3762" t="n">
        <v>0</v>
      </c>
      <c r="N3762" t="n">
        <v>0</v>
      </c>
      <c r="O3762" t="n">
        <v>0</v>
      </c>
      <c r="P3762" t="n">
        <v>0</v>
      </c>
      <c r="Q3762" t="n">
        <v>0</v>
      </c>
      <c r="R3762" s="2" t="inlineStr"/>
    </row>
    <row r="3763" ht="15" customHeight="1">
      <c r="A3763" t="inlineStr">
        <is>
          <t>A 63109-2023</t>
        </is>
      </c>
      <c r="B3763" s="1" t="n">
        <v>45273</v>
      </c>
      <c r="C3763" s="1" t="n">
        <v>45724</v>
      </c>
      <c r="D3763" t="inlineStr">
        <is>
          <t>VÄSTMANLANDS LÄN</t>
        </is>
      </c>
      <c r="E3763" t="inlineStr">
        <is>
          <t>VÄSTERÅS</t>
        </is>
      </c>
      <c r="G3763" t="n">
        <v>2.8</v>
      </c>
      <c r="H3763" t="n">
        <v>0</v>
      </c>
      <c r="I3763" t="n">
        <v>0</v>
      </c>
      <c r="J3763" t="n">
        <v>0</v>
      </c>
      <c r="K3763" t="n">
        <v>0</v>
      </c>
      <c r="L3763" t="n">
        <v>0</v>
      </c>
      <c r="M3763" t="n">
        <v>0</v>
      </c>
      <c r="N3763" t="n">
        <v>0</v>
      </c>
      <c r="O3763" t="n">
        <v>0</v>
      </c>
      <c r="P3763" t="n">
        <v>0</v>
      </c>
      <c r="Q3763" t="n">
        <v>0</v>
      </c>
      <c r="R3763" s="2" t="inlineStr"/>
    </row>
    <row r="3764" ht="15" customHeight="1">
      <c r="A3764" t="inlineStr">
        <is>
          <t>A 63234-2023</t>
        </is>
      </c>
      <c r="B3764" s="1" t="n">
        <v>45273</v>
      </c>
      <c r="C3764" s="1" t="n">
        <v>45724</v>
      </c>
      <c r="D3764" t="inlineStr">
        <is>
          <t>VÄSTMANLANDS LÄN</t>
        </is>
      </c>
      <c r="E3764" t="inlineStr">
        <is>
          <t>SALA</t>
        </is>
      </c>
      <c r="G3764" t="n">
        <v>1</v>
      </c>
      <c r="H3764" t="n">
        <v>0</v>
      </c>
      <c r="I3764" t="n">
        <v>0</v>
      </c>
      <c r="J3764" t="n">
        <v>0</v>
      </c>
      <c r="K3764" t="n">
        <v>0</v>
      </c>
      <c r="L3764" t="n">
        <v>0</v>
      </c>
      <c r="M3764" t="n">
        <v>0</v>
      </c>
      <c r="N3764" t="n">
        <v>0</v>
      </c>
      <c r="O3764" t="n">
        <v>0</v>
      </c>
      <c r="P3764" t="n">
        <v>0</v>
      </c>
      <c r="Q3764" t="n">
        <v>0</v>
      </c>
      <c r="R3764" s="2" t="inlineStr"/>
    </row>
    <row r="3765" ht="15" customHeight="1">
      <c r="A3765" t="inlineStr">
        <is>
          <t>A 63229-2023</t>
        </is>
      </c>
      <c r="B3765" s="1" t="n">
        <v>45273</v>
      </c>
      <c r="C3765" s="1" t="n">
        <v>45724</v>
      </c>
      <c r="D3765" t="inlineStr">
        <is>
          <t>VÄSTMANLANDS LÄN</t>
        </is>
      </c>
      <c r="E3765" t="inlineStr">
        <is>
          <t>KÖPING</t>
        </is>
      </c>
      <c r="G3765" t="n">
        <v>4.3</v>
      </c>
      <c r="H3765" t="n">
        <v>0</v>
      </c>
      <c r="I3765" t="n">
        <v>0</v>
      </c>
      <c r="J3765" t="n">
        <v>0</v>
      </c>
      <c r="K3765" t="n">
        <v>0</v>
      </c>
      <c r="L3765" t="n">
        <v>0</v>
      </c>
      <c r="M3765" t="n">
        <v>0</v>
      </c>
      <c r="N3765" t="n">
        <v>0</v>
      </c>
      <c r="O3765" t="n">
        <v>0</v>
      </c>
      <c r="P3765" t="n">
        <v>0</v>
      </c>
      <c r="Q3765" t="n">
        <v>0</v>
      </c>
      <c r="R3765" s="2" t="inlineStr"/>
    </row>
    <row r="3766" ht="15" customHeight="1">
      <c r="A3766" t="inlineStr">
        <is>
          <t>A 63274-2023</t>
        </is>
      </c>
      <c r="B3766" s="1" t="n">
        <v>45273</v>
      </c>
      <c r="C3766" s="1" t="n">
        <v>45724</v>
      </c>
      <c r="D3766" t="inlineStr">
        <is>
          <t>VÄSTMANLANDS LÄN</t>
        </is>
      </c>
      <c r="E3766" t="inlineStr">
        <is>
          <t>SALA</t>
        </is>
      </c>
      <c r="G3766" t="n">
        <v>2.1</v>
      </c>
      <c r="H3766" t="n">
        <v>0</v>
      </c>
      <c r="I3766" t="n">
        <v>0</v>
      </c>
      <c r="J3766" t="n">
        <v>0</v>
      </c>
      <c r="K3766" t="n">
        <v>0</v>
      </c>
      <c r="L3766" t="n">
        <v>0</v>
      </c>
      <c r="M3766" t="n">
        <v>0</v>
      </c>
      <c r="N3766" t="n">
        <v>0</v>
      </c>
      <c r="O3766" t="n">
        <v>0</v>
      </c>
      <c r="P3766" t="n">
        <v>0</v>
      </c>
      <c r="Q3766" t="n">
        <v>0</v>
      </c>
      <c r="R3766" s="2" t="inlineStr"/>
    </row>
    <row r="3767" ht="15" customHeight="1">
      <c r="A3767" t="inlineStr">
        <is>
          <t>A 63236-2023</t>
        </is>
      </c>
      <c r="B3767" s="1" t="n">
        <v>45273</v>
      </c>
      <c r="C3767" s="1" t="n">
        <v>45724</v>
      </c>
      <c r="D3767" t="inlineStr">
        <is>
          <t>VÄSTMANLANDS LÄN</t>
        </is>
      </c>
      <c r="E3767" t="inlineStr">
        <is>
          <t>KÖPING</t>
        </is>
      </c>
      <c r="G3767" t="n">
        <v>2.5</v>
      </c>
      <c r="H3767" t="n">
        <v>0</v>
      </c>
      <c r="I3767" t="n">
        <v>0</v>
      </c>
      <c r="J3767" t="n">
        <v>0</v>
      </c>
      <c r="K3767" t="n">
        <v>0</v>
      </c>
      <c r="L3767" t="n">
        <v>0</v>
      </c>
      <c r="M3767" t="n">
        <v>0</v>
      </c>
      <c r="N3767" t="n">
        <v>0</v>
      </c>
      <c r="O3767" t="n">
        <v>0</v>
      </c>
      <c r="P3767" t="n">
        <v>0</v>
      </c>
      <c r="Q3767" t="n">
        <v>0</v>
      </c>
      <c r="R3767" s="2" t="inlineStr"/>
    </row>
    <row r="3768" ht="15" customHeight="1">
      <c r="A3768" t="inlineStr">
        <is>
          <t>A 63241-2023</t>
        </is>
      </c>
      <c r="B3768" s="1" t="n">
        <v>45273</v>
      </c>
      <c r="C3768" s="1" t="n">
        <v>45724</v>
      </c>
      <c r="D3768" t="inlineStr">
        <is>
          <t>VÄSTMANLANDS LÄN</t>
        </is>
      </c>
      <c r="E3768" t="inlineStr">
        <is>
          <t>KÖPING</t>
        </is>
      </c>
      <c r="G3768" t="n">
        <v>4.5</v>
      </c>
      <c r="H3768" t="n">
        <v>0</v>
      </c>
      <c r="I3768" t="n">
        <v>0</v>
      </c>
      <c r="J3768" t="n">
        <v>0</v>
      </c>
      <c r="K3768" t="n">
        <v>0</v>
      </c>
      <c r="L3768" t="n">
        <v>0</v>
      </c>
      <c r="M3768" t="n">
        <v>0</v>
      </c>
      <c r="N3768" t="n">
        <v>0</v>
      </c>
      <c r="O3768" t="n">
        <v>0</v>
      </c>
      <c r="P3768" t="n">
        <v>0</v>
      </c>
      <c r="Q3768" t="n">
        <v>0</v>
      </c>
      <c r="R3768" s="2" t="inlineStr"/>
    </row>
    <row r="3769" ht="15" customHeight="1">
      <c r="A3769" t="inlineStr">
        <is>
          <t>A 63477-2023</t>
        </is>
      </c>
      <c r="B3769" s="1" t="n">
        <v>45274</v>
      </c>
      <c r="C3769" s="1" t="n">
        <v>45724</v>
      </c>
      <c r="D3769" t="inlineStr">
        <is>
          <t>VÄSTMANLANDS LÄN</t>
        </is>
      </c>
      <c r="E3769" t="inlineStr">
        <is>
          <t>VÄSTERÅS</t>
        </is>
      </c>
      <c r="G3769" t="n">
        <v>2.8</v>
      </c>
      <c r="H3769" t="n">
        <v>0</v>
      </c>
      <c r="I3769" t="n">
        <v>0</v>
      </c>
      <c r="J3769" t="n">
        <v>0</v>
      </c>
      <c r="K3769" t="n">
        <v>0</v>
      </c>
      <c r="L3769" t="n">
        <v>0</v>
      </c>
      <c r="M3769" t="n">
        <v>0</v>
      </c>
      <c r="N3769" t="n">
        <v>0</v>
      </c>
      <c r="O3769" t="n">
        <v>0</v>
      </c>
      <c r="P3769" t="n">
        <v>0</v>
      </c>
      <c r="Q3769" t="n">
        <v>0</v>
      </c>
      <c r="R3769" s="2" t="inlineStr"/>
    </row>
    <row r="3770" ht="15" customHeight="1">
      <c r="A3770" t="inlineStr">
        <is>
          <t>A 63481-2023</t>
        </is>
      </c>
      <c r="B3770" s="1" t="n">
        <v>45274</v>
      </c>
      <c r="C3770" s="1" t="n">
        <v>45724</v>
      </c>
      <c r="D3770" t="inlineStr">
        <is>
          <t>VÄSTMANLANDS LÄN</t>
        </is>
      </c>
      <c r="E3770" t="inlineStr">
        <is>
          <t>VÄSTERÅS</t>
        </is>
      </c>
      <c r="G3770" t="n">
        <v>3.7</v>
      </c>
      <c r="H3770" t="n">
        <v>0</v>
      </c>
      <c r="I3770" t="n">
        <v>0</v>
      </c>
      <c r="J3770" t="n">
        <v>0</v>
      </c>
      <c r="K3770" t="n">
        <v>0</v>
      </c>
      <c r="L3770" t="n">
        <v>0</v>
      </c>
      <c r="M3770" t="n">
        <v>0</v>
      </c>
      <c r="N3770" t="n">
        <v>0</v>
      </c>
      <c r="O3770" t="n">
        <v>0</v>
      </c>
      <c r="P3770" t="n">
        <v>0</v>
      </c>
      <c r="Q3770" t="n">
        <v>0</v>
      </c>
      <c r="R3770" s="2" t="inlineStr"/>
    </row>
    <row r="3771" ht="15" customHeight="1">
      <c r="A3771" t="inlineStr">
        <is>
          <t>A 63483-2023</t>
        </is>
      </c>
      <c r="B3771" s="1" t="n">
        <v>45274</v>
      </c>
      <c r="C3771" s="1" t="n">
        <v>45724</v>
      </c>
      <c r="D3771" t="inlineStr">
        <is>
          <t>VÄSTMANLANDS LÄN</t>
        </is>
      </c>
      <c r="E3771" t="inlineStr">
        <is>
          <t>VÄSTERÅS</t>
        </is>
      </c>
      <c r="G3771" t="n">
        <v>0.8</v>
      </c>
      <c r="H3771" t="n">
        <v>0</v>
      </c>
      <c r="I3771" t="n">
        <v>0</v>
      </c>
      <c r="J3771" t="n">
        <v>0</v>
      </c>
      <c r="K3771" t="n">
        <v>0</v>
      </c>
      <c r="L3771" t="n">
        <v>0</v>
      </c>
      <c r="M3771" t="n">
        <v>0</v>
      </c>
      <c r="N3771" t="n">
        <v>0</v>
      </c>
      <c r="O3771" t="n">
        <v>0</v>
      </c>
      <c r="P3771" t="n">
        <v>0</v>
      </c>
      <c r="Q3771" t="n">
        <v>0</v>
      </c>
      <c r="R3771" s="2" t="inlineStr"/>
    </row>
    <row r="3772" ht="15" customHeight="1">
      <c r="A3772" t="inlineStr">
        <is>
          <t>A 63466-2023</t>
        </is>
      </c>
      <c r="B3772" s="1" t="n">
        <v>45274</v>
      </c>
      <c r="C3772" s="1" t="n">
        <v>45724</v>
      </c>
      <c r="D3772" t="inlineStr">
        <is>
          <t>VÄSTMANLANDS LÄN</t>
        </is>
      </c>
      <c r="E3772" t="inlineStr">
        <is>
          <t>SALA</t>
        </is>
      </c>
      <c r="G3772" t="n">
        <v>2.9</v>
      </c>
      <c r="H3772" t="n">
        <v>0</v>
      </c>
      <c r="I3772" t="n">
        <v>0</v>
      </c>
      <c r="J3772" t="n">
        <v>0</v>
      </c>
      <c r="K3772" t="n">
        <v>0</v>
      </c>
      <c r="L3772" t="n">
        <v>0</v>
      </c>
      <c r="M3772" t="n">
        <v>0</v>
      </c>
      <c r="N3772" t="n">
        <v>0</v>
      </c>
      <c r="O3772" t="n">
        <v>0</v>
      </c>
      <c r="P3772" t="n">
        <v>0</v>
      </c>
      <c r="Q3772" t="n">
        <v>0</v>
      </c>
      <c r="R3772" s="2" t="inlineStr"/>
    </row>
    <row r="3773" ht="15" customHeight="1">
      <c r="A3773" t="inlineStr">
        <is>
          <t>A 63473-2023</t>
        </is>
      </c>
      <c r="B3773" s="1" t="n">
        <v>45274</v>
      </c>
      <c r="C3773" s="1" t="n">
        <v>45724</v>
      </c>
      <c r="D3773" t="inlineStr">
        <is>
          <t>VÄSTMANLANDS LÄN</t>
        </is>
      </c>
      <c r="E3773" t="inlineStr">
        <is>
          <t>VÄSTERÅS</t>
        </is>
      </c>
      <c r="G3773" t="n">
        <v>3</v>
      </c>
      <c r="H3773" t="n">
        <v>0</v>
      </c>
      <c r="I3773" t="n">
        <v>0</v>
      </c>
      <c r="J3773" t="n">
        <v>0</v>
      </c>
      <c r="K3773" t="n">
        <v>0</v>
      </c>
      <c r="L3773" t="n">
        <v>0</v>
      </c>
      <c r="M3773" t="n">
        <v>0</v>
      </c>
      <c r="N3773" t="n">
        <v>0</v>
      </c>
      <c r="O3773" t="n">
        <v>0</v>
      </c>
      <c r="P3773" t="n">
        <v>0</v>
      </c>
      <c r="Q3773" t="n">
        <v>0</v>
      </c>
      <c r="R3773" s="2" t="inlineStr"/>
    </row>
    <row r="3774" ht="15" customHeight="1">
      <c r="A3774" t="inlineStr">
        <is>
          <t>A 63495-2023</t>
        </is>
      </c>
      <c r="B3774" s="1" t="n">
        <v>45274</v>
      </c>
      <c r="C3774" s="1" t="n">
        <v>45724</v>
      </c>
      <c r="D3774" t="inlineStr">
        <is>
          <t>VÄSTMANLANDS LÄN</t>
        </is>
      </c>
      <c r="E3774" t="inlineStr">
        <is>
          <t>NORBERG</t>
        </is>
      </c>
      <c r="G3774" t="n">
        <v>1.8</v>
      </c>
      <c r="H3774" t="n">
        <v>0</v>
      </c>
      <c r="I3774" t="n">
        <v>0</v>
      </c>
      <c r="J3774" t="n">
        <v>0</v>
      </c>
      <c r="K3774" t="n">
        <v>0</v>
      </c>
      <c r="L3774" t="n">
        <v>0</v>
      </c>
      <c r="M3774" t="n">
        <v>0</v>
      </c>
      <c r="N3774" t="n">
        <v>0</v>
      </c>
      <c r="O3774" t="n">
        <v>0</v>
      </c>
      <c r="P3774" t="n">
        <v>0</v>
      </c>
      <c r="Q3774" t="n">
        <v>0</v>
      </c>
      <c r="R3774" s="2" t="inlineStr"/>
    </row>
    <row r="3775" ht="15" customHeight="1">
      <c r="A3775" t="inlineStr">
        <is>
          <t>A 63480-2023</t>
        </is>
      </c>
      <c r="B3775" s="1" t="n">
        <v>45274</v>
      </c>
      <c r="C3775" s="1" t="n">
        <v>45724</v>
      </c>
      <c r="D3775" t="inlineStr">
        <is>
          <t>VÄSTMANLANDS LÄN</t>
        </is>
      </c>
      <c r="E3775" t="inlineStr">
        <is>
          <t>FAGERSTA</t>
        </is>
      </c>
      <c r="G3775" t="n">
        <v>1.9</v>
      </c>
      <c r="H3775" t="n">
        <v>0</v>
      </c>
      <c r="I3775" t="n">
        <v>0</v>
      </c>
      <c r="J3775" t="n">
        <v>0</v>
      </c>
      <c r="K3775" t="n">
        <v>0</v>
      </c>
      <c r="L3775" t="n">
        <v>0</v>
      </c>
      <c r="M3775" t="n">
        <v>0</v>
      </c>
      <c r="N3775" t="n">
        <v>0</v>
      </c>
      <c r="O3775" t="n">
        <v>0</v>
      </c>
      <c r="P3775" t="n">
        <v>0</v>
      </c>
      <c r="Q3775" t="n">
        <v>0</v>
      </c>
      <c r="R3775" s="2" t="inlineStr"/>
    </row>
    <row r="3776" ht="15" customHeight="1">
      <c r="A3776" t="inlineStr">
        <is>
          <t>A 63505-2023</t>
        </is>
      </c>
      <c r="B3776" s="1" t="n">
        <v>45274</v>
      </c>
      <c r="C3776" s="1" t="n">
        <v>45724</v>
      </c>
      <c r="D3776" t="inlineStr">
        <is>
          <t>VÄSTMANLANDS LÄN</t>
        </is>
      </c>
      <c r="E3776" t="inlineStr">
        <is>
          <t>NORBERG</t>
        </is>
      </c>
      <c r="G3776" t="n">
        <v>0.5</v>
      </c>
      <c r="H3776" t="n">
        <v>0</v>
      </c>
      <c r="I3776" t="n">
        <v>0</v>
      </c>
      <c r="J3776" t="n">
        <v>0</v>
      </c>
      <c r="K3776" t="n">
        <v>0</v>
      </c>
      <c r="L3776" t="n">
        <v>0</v>
      </c>
      <c r="M3776" t="n">
        <v>0</v>
      </c>
      <c r="N3776" t="n">
        <v>0</v>
      </c>
      <c r="O3776" t="n">
        <v>0</v>
      </c>
      <c r="P3776" t="n">
        <v>0</v>
      </c>
      <c r="Q3776" t="n">
        <v>0</v>
      </c>
      <c r="R3776" s="2" t="inlineStr"/>
    </row>
    <row r="3777" ht="15" customHeight="1">
      <c r="A3777" t="inlineStr">
        <is>
          <t>A 63564-2023</t>
        </is>
      </c>
      <c r="B3777" s="1" t="n">
        <v>45275</v>
      </c>
      <c r="C3777" s="1" t="n">
        <v>45724</v>
      </c>
      <c r="D3777" t="inlineStr">
        <is>
          <t>VÄSTMANLANDS LÄN</t>
        </is>
      </c>
      <c r="E3777" t="inlineStr">
        <is>
          <t>SALA</t>
        </is>
      </c>
      <c r="G3777" t="n">
        <v>3.6</v>
      </c>
      <c r="H3777" t="n">
        <v>0</v>
      </c>
      <c r="I3777" t="n">
        <v>0</v>
      </c>
      <c r="J3777" t="n">
        <v>0</v>
      </c>
      <c r="K3777" t="n">
        <v>0</v>
      </c>
      <c r="L3777" t="n">
        <v>0</v>
      </c>
      <c r="M3777" t="n">
        <v>0</v>
      </c>
      <c r="N3777" t="n">
        <v>0</v>
      </c>
      <c r="O3777" t="n">
        <v>0</v>
      </c>
      <c r="P3777" t="n">
        <v>0</v>
      </c>
      <c r="Q3777" t="n">
        <v>0</v>
      </c>
      <c r="R3777" s="2" t="inlineStr"/>
    </row>
    <row r="3778" ht="15" customHeight="1">
      <c r="A3778" t="inlineStr">
        <is>
          <t>A 63905-2023</t>
        </is>
      </c>
      <c r="B3778" s="1" t="n">
        <v>45278</v>
      </c>
      <c r="C3778" s="1" t="n">
        <v>45724</v>
      </c>
      <c r="D3778" t="inlineStr">
        <is>
          <t>VÄSTMANLANDS LÄN</t>
        </is>
      </c>
      <c r="E3778" t="inlineStr">
        <is>
          <t>SALA</t>
        </is>
      </c>
      <c r="G3778" t="n">
        <v>4.1</v>
      </c>
      <c r="H3778" t="n">
        <v>0</v>
      </c>
      <c r="I3778" t="n">
        <v>0</v>
      </c>
      <c r="J3778" t="n">
        <v>0</v>
      </c>
      <c r="K3778" t="n">
        <v>0</v>
      </c>
      <c r="L3778" t="n">
        <v>0</v>
      </c>
      <c r="M3778" t="n">
        <v>0</v>
      </c>
      <c r="N3778" t="n">
        <v>0</v>
      </c>
      <c r="O3778" t="n">
        <v>0</v>
      </c>
      <c r="P3778" t="n">
        <v>0</v>
      </c>
      <c r="Q3778" t="n">
        <v>0</v>
      </c>
      <c r="R3778" s="2" t="inlineStr"/>
    </row>
    <row r="3779" ht="15" customHeight="1">
      <c r="A3779" t="inlineStr">
        <is>
          <t>A 63933-2023</t>
        </is>
      </c>
      <c r="B3779" s="1" t="n">
        <v>45278</v>
      </c>
      <c r="C3779" s="1" t="n">
        <v>45724</v>
      </c>
      <c r="D3779" t="inlineStr">
        <is>
          <t>VÄSTMANLANDS LÄN</t>
        </is>
      </c>
      <c r="E3779" t="inlineStr">
        <is>
          <t>SALA</t>
        </is>
      </c>
      <c r="G3779" t="n">
        <v>1.4</v>
      </c>
      <c r="H3779" t="n">
        <v>0</v>
      </c>
      <c r="I3779" t="n">
        <v>0</v>
      </c>
      <c r="J3779" t="n">
        <v>0</v>
      </c>
      <c r="K3779" t="n">
        <v>0</v>
      </c>
      <c r="L3779" t="n">
        <v>0</v>
      </c>
      <c r="M3779" t="n">
        <v>0</v>
      </c>
      <c r="N3779" t="n">
        <v>0</v>
      </c>
      <c r="O3779" t="n">
        <v>0</v>
      </c>
      <c r="P3779" t="n">
        <v>0</v>
      </c>
      <c r="Q3779" t="n">
        <v>0</v>
      </c>
      <c r="R3779" s="2" t="inlineStr"/>
    </row>
    <row r="3780" ht="15" customHeight="1">
      <c r="A3780" t="inlineStr">
        <is>
          <t>A 64001-2023</t>
        </is>
      </c>
      <c r="B3780" s="1" t="n">
        <v>45278</v>
      </c>
      <c r="C3780" s="1" t="n">
        <v>45724</v>
      </c>
      <c r="D3780" t="inlineStr">
        <is>
          <t>VÄSTMANLANDS LÄN</t>
        </is>
      </c>
      <c r="E3780" t="inlineStr">
        <is>
          <t>SKINNSKATTEBERG</t>
        </is>
      </c>
      <c r="G3780" t="n">
        <v>2.1</v>
      </c>
      <c r="H3780" t="n">
        <v>0</v>
      </c>
      <c r="I3780" t="n">
        <v>0</v>
      </c>
      <c r="J3780" t="n">
        <v>0</v>
      </c>
      <c r="K3780" t="n">
        <v>0</v>
      </c>
      <c r="L3780" t="n">
        <v>0</v>
      </c>
      <c r="M3780" t="n">
        <v>0</v>
      </c>
      <c r="N3780" t="n">
        <v>0</v>
      </c>
      <c r="O3780" t="n">
        <v>0</v>
      </c>
      <c r="P3780" t="n">
        <v>0</v>
      </c>
      <c r="Q3780" t="n">
        <v>0</v>
      </c>
      <c r="R3780" s="2" t="inlineStr"/>
    </row>
    <row r="3781" ht="15" customHeight="1">
      <c r="A3781" t="inlineStr">
        <is>
          <t>A 63999-2023</t>
        </is>
      </c>
      <c r="B3781" s="1" t="n">
        <v>45278</v>
      </c>
      <c r="C3781" s="1" t="n">
        <v>45724</v>
      </c>
      <c r="D3781" t="inlineStr">
        <is>
          <t>VÄSTMANLANDS LÄN</t>
        </is>
      </c>
      <c r="E3781" t="inlineStr">
        <is>
          <t>SKINNSKATTEBERG</t>
        </is>
      </c>
      <c r="G3781" t="n">
        <v>2.3</v>
      </c>
      <c r="H3781" t="n">
        <v>0</v>
      </c>
      <c r="I3781" t="n">
        <v>0</v>
      </c>
      <c r="J3781" t="n">
        <v>0</v>
      </c>
      <c r="K3781" t="n">
        <v>0</v>
      </c>
      <c r="L3781" t="n">
        <v>0</v>
      </c>
      <c r="M3781" t="n">
        <v>0</v>
      </c>
      <c r="N3781" t="n">
        <v>0</v>
      </c>
      <c r="O3781" t="n">
        <v>0</v>
      </c>
      <c r="P3781" t="n">
        <v>0</v>
      </c>
      <c r="Q3781" t="n">
        <v>0</v>
      </c>
      <c r="R3781" s="2" t="inlineStr"/>
    </row>
    <row r="3782" ht="15" customHeight="1">
      <c r="A3782" t="inlineStr">
        <is>
          <t>A 64044-2023</t>
        </is>
      </c>
      <c r="B3782" s="1" t="n">
        <v>45278</v>
      </c>
      <c r="C3782" s="1" t="n">
        <v>45724</v>
      </c>
      <c r="D3782" t="inlineStr">
        <is>
          <t>VÄSTMANLANDS LÄN</t>
        </is>
      </c>
      <c r="E3782" t="inlineStr">
        <is>
          <t>KÖPING</t>
        </is>
      </c>
      <c r="G3782" t="n">
        <v>1.4</v>
      </c>
      <c r="H3782" t="n">
        <v>0</v>
      </c>
      <c r="I3782" t="n">
        <v>0</v>
      </c>
      <c r="J3782" t="n">
        <v>0</v>
      </c>
      <c r="K3782" t="n">
        <v>0</v>
      </c>
      <c r="L3782" t="n">
        <v>0</v>
      </c>
      <c r="M3782" t="n">
        <v>0</v>
      </c>
      <c r="N3782" t="n">
        <v>0</v>
      </c>
      <c r="O3782" t="n">
        <v>0</v>
      </c>
      <c r="P3782" t="n">
        <v>0</v>
      </c>
      <c r="Q3782" t="n">
        <v>0</v>
      </c>
      <c r="R3782" s="2" t="inlineStr"/>
    </row>
    <row r="3783" ht="15" customHeight="1">
      <c r="A3783" t="inlineStr">
        <is>
          <t>A 64109-2023</t>
        </is>
      </c>
      <c r="B3783" s="1" t="n">
        <v>45279</v>
      </c>
      <c r="C3783" s="1" t="n">
        <v>45724</v>
      </c>
      <c r="D3783" t="inlineStr">
        <is>
          <t>VÄSTMANLANDS LÄN</t>
        </is>
      </c>
      <c r="E3783" t="inlineStr">
        <is>
          <t>SALA</t>
        </is>
      </c>
      <c r="G3783" t="n">
        <v>3.7</v>
      </c>
      <c r="H3783" t="n">
        <v>0</v>
      </c>
      <c r="I3783" t="n">
        <v>0</v>
      </c>
      <c r="J3783" t="n">
        <v>0</v>
      </c>
      <c r="K3783" t="n">
        <v>0</v>
      </c>
      <c r="L3783" t="n">
        <v>0</v>
      </c>
      <c r="M3783" t="n">
        <v>0</v>
      </c>
      <c r="N3783" t="n">
        <v>0</v>
      </c>
      <c r="O3783" t="n">
        <v>0</v>
      </c>
      <c r="P3783" t="n">
        <v>0</v>
      </c>
      <c r="Q3783" t="n">
        <v>0</v>
      </c>
      <c r="R3783" s="2" t="inlineStr"/>
    </row>
    <row r="3784" ht="15" customHeight="1">
      <c r="A3784" t="inlineStr">
        <is>
          <t>A 64123-2023</t>
        </is>
      </c>
      <c r="B3784" s="1" t="n">
        <v>45279</v>
      </c>
      <c r="C3784" s="1" t="n">
        <v>45724</v>
      </c>
      <c r="D3784" t="inlineStr">
        <is>
          <t>VÄSTMANLANDS LÄN</t>
        </is>
      </c>
      <c r="E3784" t="inlineStr">
        <is>
          <t>SALA</t>
        </is>
      </c>
      <c r="G3784" t="n">
        <v>4</v>
      </c>
      <c r="H3784" t="n">
        <v>0</v>
      </c>
      <c r="I3784" t="n">
        <v>0</v>
      </c>
      <c r="J3784" t="n">
        <v>0</v>
      </c>
      <c r="K3784" t="n">
        <v>0</v>
      </c>
      <c r="L3784" t="n">
        <v>0</v>
      </c>
      <c r="M3784" t="n">
        <v>0</v>
      </c>
      <c r="N3784" t="n">
        <v>0</v>
      </c>
      <c r="O3784" t="n">
        <v>0</v>
      </c>
      <c r="P3784" t="n">
        <v>0</v>
      </c>
      <c r="Q3784" t="n">
        <v>0</v>
      </c>
      <c r="R3784" s="2" t="inlineStr"/>
    </row>
    <row r="3785" ht="15" customHeight="1">
      <c r="A3785" t="inlineStr">
        <is>
          <t>A 64202-2023</t>
        </is>
      </c>
      <c r="B3785" s="1" t="n">
        <v>45279</v>
      </c>
      <c r="C3785" s="1" t="n">
        <v>45724</v>
      </c>
      <c r="D3785" t="inlineStr">
        <is>
          <t>VÄSTMANLANDS LÄN</t>
        </is>
      </c>
      <c r="E3785" t="inlineStr">
        <is>
          <t>VÄSTERÅS</t>
        </is>
      </c>
      <c r="G3785" t="n">
        <v>0.8</v>
      </c>
      <c r="H3785" t="n">
        <v>0</v>
      </c>
      <c r="I3785" t="n">
        <v>0</v>
      </c>
      <c r="J3785" t="n">
        <v>0</v>
      </c>
      <c r="K3785" t="n">
        <v>0</v>
      </c>
      <c r="L3785" t="n">
        <v>0</v>
      </c>
      <c r="M3785" t="n">
        <v>0</v>
      </c>
      <c r="N3785" t="n">
        <v>0</v>
      </c>
      <c r="O3785" t="n">
        <v>0</v>
      </c>
      <c r="P3785" t="n">
        <v>0</v>
      </c>
      <c r="Q3785" t="n">
        <v>0</v>
      </c>
      <c r="R3785" s="2" t="inlineStr"/>
    </row>
    <row r="3786" ht="15" customHeight="1">
      <c r="A3786" t="inlineStr">
        <is>
          <t>A 64201-2023</t>
        </is>
      </c>
      <c r="B3786" s="1" t="n">
        <v>45279</v>
      </c>
      <c r="C3786" s="1" t="n">
        <v>45724</v>
      </c>
      <c r="D3786" t="inlineStr">
        <is>
          <t>VÄSTMANLANDS LÄN</t>
        </is>
      </c>
      <c r="E3786" t="inlineStr">
        <is>
          <t>VÄSTERÅS</t>
        </is>
      </c>
      <c r="G3786" t="n">
        <v>13</v>
      </c>
      <c r="H3786" t="n">
        <v>0</v>
      </c>
      <c r="I3786" t="n">
        <v>0</v>
      </c>
      <c r="J3786" t="n">
        <v>0</v>
      </c>
      <c r="K3786" t="n">
        <v>0</v>
      </c>
      <c r="L3786" t="n">
        <v>0</v>
      </c>
      <c r="M3786" t="n">
        <v>0</v>
      </c>
      <c r="N3786" t="n">
        <v>0</v>
      </c>
      <c r="O3786" t="n">
        <v>0</v>
      </c>
      <c r="P3786" t="n">
        <v>0</v>
      </c>
      <c r="Q3786" t="n">
        <v>0</v>
      </c>
      <c r="R3786" s="2" t="inlineStr"/>
    </row>
    <row r="3787" ht="15" customHeight="1">
      <c r="A3787" t="inlineStr">
        <is>
          <t>A 64209-2023</t>
        </is>
      </c>
      <c r="B3787" s="1" t="n">
        <v>45279</v>
      </c>
      <c r="C3787" s="1" t="n">
        <v>45724</v>
      </c>
      <c r="D3787" t="inlineStr">
        <is>
          <t>VÄSTMANLANDS LÄN</t>
        </is>
      </c>
      <c r="E3787" t="inlineStr">
        <is>
          <t>KÖPING</t>
        </is>
      </c>
      <c r="G3787" t="n">
        <v>10.2</v>
      </c>
      <c r="H3787" t="n">
        <v>0</v>
      </c>
      <c r="I3787" t="n">
        <v>0</v>
      </c>
      <c r="J3787" t="n">
        <v>0</v>
      </c>
      <c r="K3787" t="n">
        <v>0</v>
      </c>
      <c r="L3787" t="n">
        <v>0</v>
      </c>
      <c r="M3787" t="n">
        <v>0</v>
      </c>
      <c r="N3787" t="n">
        <v>0</v>
      </c>
      <c r="O3787" t="n">
        <v>0</v>
      </c>
      <c r="P3787" t="n">
        <v>0</v>
      </c>
      <c r="Q3787" t="n">
        <v>0</v>
      </c>
      <c r="R3787" s="2" t="inlineStr"/>
    </row>
    <row r="3788" ht="15" customHeight="1">
      <c r="A3788" t="inlineStr">
        <is>
          <t>A 64176-2023</t>
        </is>
      </c>
      <c r="B3788" s="1" t="n">
        <v>45279</v>
      </c>
      <c r="C3788" s="1" t="n">
        <v>45724</v>
      </c>
      <c r="D3788" t="inlineStr">
        <is>
          <t>VÄSTMANLANDS LÄN</t>
        </is>
      </c>
      <c r="E3788" t="inlineStr">
        <is>
          <t>SKINNSKATTEBERG</t>
        </is>
      </c>
      <c r="G3788" t="n">
        <v>1</v>
      </c>
      <c r="H3788" t="n">
        <v>0</v>
      </c>
      <c r="I3788" t="n">
        <v>0</v>
      </c>
      <c r="J3788" t="n">
        <v>0</v>
      </c>
      <c r="K3788" t="n">
        <v>0</v>
      </c>
      <c r="L3788" t="n">
        <v>0</v>
      </c>
      <c r="M3788" t="n">
        <v>0</v>
      </c>
      <c r="N3788" t="n">
        <v>0</v>
      </c>
      <c r="O3788" t="n">
        <v>0</v>
      </c>
      <c r="P3788" t="n">
        <v>0</v>
      </c>
      <c r="Q3788" t="n">
        <v>0</v>
      </c>
      <c r="R3788" s="2" t="inlineStr"/>
    </row>
    <row r="3789" ht="15" customHeight="1">
      <c r="A3789" t="inlineStr">
        <is>
          <t>A 64208-2023</t>
        </is>
      </c>
      <c r="B3789" s="1" t="n">
        <v>45279</v>
      </c>
      <c r="C3789" s="1" t="n">
        <v>45724</v>
      </c>
      <c r="D3789" t="inlineStr">
        <is>
          <t>VÄSTMANLANDS LÄN</t>
        </is>
      </c>
      <c r="E3789" t="inlineStr">
        <is>
          <t>VÄSTERÅS</t>
        </is>
      </c>
      <c r="G3789" t="n">
        <v>13.9</v>
      </c>
      <c r="H3789" t="n">
        <v>0</v>
      </c>
      <c r="I3789" t="n">
        <v>0</v>
      </c>
      <c r="J3789" t="n">
        <v>0</v>
      </c>
      <c r="K3789" t="n">
        <v>0</v>
      </c>
      <c r="L3789" t="n">
        <v>0</v>
      </c>
      <c r="M3789" t="n">
        <v>0</v>
      </c>
      <c r="N3789" t="n">
        <v>0</v>
      </c>
      <c r="O3789" t="n">
        <v>0</v>
      </c>
      <c r="P3789" t="n">
        <v>0</v>
      </c>
      <c r="Q3789" t="n">
        <v>0</v>
      </c>
      <c r="R3789" s="2" t="inlineStr"/>
    </row>
    <row r="3790" ht="15" customHeight="1">
      <c r="A3790" t="inlineStr">
        <is>
          <t>A 64207-2023</t>
        </is>
      </c>
      <c r="B3790" s="1" t="n">
        <v>45279</v>
      </c>
      <c r="C3790" s="1" t="n">
        <v>45724</v>
      </c>
      <c r="D3790" t="inlineStr">
        <is>
          <t>VÄSTMANLANDS LÄN</t>
        </is>
      </c>
      <c r="E3790" t="inlineStr">
        <is>
          <t>VÄSTERÅS</t>
        </is>
      </c>
      <c r="G3790" t="n">
        <v>0.9</v>
      </c>
      <c r="H3790" t="n">
        <v>0</v>
      </c>
      <c r="I3790" t="n">
        <v>0</v>
      </c>
      <c r="J3790" t="n">
        <v>0</v>
      </c>
      <c r="K3790" t="n">
        <v>0</v>
      </c>
      <c r="L3790" t="n">
        <v>0</v>
      </c>
      <c r="M3790" t="n">
        <v>0</v>
      </c>
      <c r="N3790" t="n">
        <v>0</v>
      </c>
      <c r="O3790" t="n">
        <v>0</v>
      </c>
      <c r="P3790" t="n">
        <v>0</v>
      </c>
      <c r="Q3790" t="n">
        <v>0</v>
      </c>
      <c r="R3790" s="2" t="inlineStr"/>
    </row>
    <row r="3791" ht="15" customHeight="1">
      <c r="A3791" t="inlineStr">
        <is>
          <t>A 64300-2023</t>
        </is>
      </c>
      <c r="B3791" s="1" t="n">
        <v>45280</v>
      </c>
      <c r="C3791" s="1" t="n">
        <v>45724</v>
      </c>
      <c r="D3791" t="inlineStr">
        <is>
          <t>VÄSTMANLANDS LÄN</t>
        </is>
      </c>
      <c r="E3791" t="inlineStr">
        <is>
          <t>ARBOGA</t>
        </is>
      </c>
      <c r="F3791" t="inlineStr">
        <is>
          <t>Kyrkan</t>
        </is>
      </c>
      <c r="G3791" t="n">
        <v>3.4</v>
      </c>
      <c r="H3791" t="n">
        <v>0</v>
      </c>
      <c r="I3791" t="n">
        <v>0</v>
      </c>
      <c r="J3791" t="n">
        <v>0</v>
      </c>
      <c r="K3791" t="n">
        <v>0</v>
      </c>
      <c r="L3791" t="n">
        <v>0</v>
      </c>
      <c r="M3791" t="n">
        <v>0</v>
      </c>
      <c r="N3791" t="n">
        <v>0</v>
      </c>
      <c r="O3791" t="n">
        <v>0</v>
      </c>
      <c r="P3791" t="n">
        <v>0</v>
      </c>
      <c r="Q3791" t="n">
        <v>0</v>
      </c>
      <c r="R3791" s="2" t="inlineStr"/>
    </row>
    <row r="3792" ht="15" customHeight="1">
      <c r="A3792" t="inlineStr">
        <is>
          <t>A 64343-2023</t>
        </is>
      </c>
      <c r="B3792" s="1" t="n">
        <v>45280</v>
      </c>
      <c r="C3792" s="1" t="n">
        <v>45724</v>
      </c>
      <c r="D3792" t="inlineStr">
        <is>
          <t>VÄSTMANLANDS LÄN</t>
        </is>
      </c>
      <c r="E3792" t="inlineStr">
        <is>
          <t>SURAHAMMAR</t>
        </is>
      </c>
      <c r="G3792" t="n">
        <v>2.9</v>
      </c>
      <c r="H3792" t="n">
        <v>0</v>
      </c>
      <c r="I3792" t="n">
        <v>0</v>
      </c>
      <c r="J3792" t="n">
        <v>0</v>
      </c>
      <c r="K3792" t="n">
        <v>0</v>
      </c>
      <c r="L3792" t="n">
        <v>0</v>
      </c>
      <c r="M3792" t="n">
        <v>0</v>
      </c>
      <c r="N3792" t="n">
        <v>0</v>
      </c>
      <c r="O3792" t="n">
        <v>0</v>
      </c>
      <c r="P3792" t="n">
        <v>0</v>
      </c>
      <c r="Q3792" t="n">
        <v>0</v>
      </c>
      <c r="R3792" s="2" t="inlineStr"/>
    </row>
    <row r="3793" ht="15" customHeight="1">
      <c r="A3793" t="inlineStr">
        <is>
          <t>A 64448-2023</t>
        </is>
      </c>
      <c r="B3793" s="1" t="n">
        <v>45280</v>
      </c>
      <c r="C3793" s="1" t="n">
        <v>45724</v>
      </c>
      <c r="D3793" t="inlineStr">
        <is>
          <t>VÄSTMANLANDS LÄN</t>
        </is>
      </c>
      <c r="E3793" t="inlineStr">
        <is>
          <t>SKINNSKATTEBERG</t>
        </is>
      </c>
      <c r="G3793" t="n">
        <v>3.4</v>
      </c>
      <c r="H3793" t="n">
        <v>0</v>
      </c>
      <c r="I3793" t="n">
        <v>0</v>
      </c>
      <c r="J3793" t="n">
        <v>0</v>
      </c>
      <c r="K3793" t="n">
        <v>0</v>
      </c>
      <c r="L3793" t="n">
        <v>0</v>
      </c>
      <c r="M3793" t="n">
        <v>0</v>
      </c>
      <c r="N3793" t="n">
        <v>0</v>
      </c>
      <c r="O3793" t="n">
        <v>0</v>
      </c>
      <c r="P3793" t="n">
        <v>0</v>
      </c>
      <c r="Q3793" t="n">
        <v>0</v>
      </c>
      <c r="R3793" s="2" t="inlineStr"/>
    </row>
    <row r="3794" ht="15" customHeight="1">
      <c r="A3794" t="inlineStr">
        <is>
          <t>A 64714-2023</t>
        </is>
      </c>
      <c r="B3794" s="1" t="n">
        <v>45281</v>
      </c>
      <c r="C3794" s="1" t="n">
        <v>45724</v>
      </c>
      <c r="D3794" t="inlineStr">
        <is>
          <t>VÄSTMANLANDS LÄN</t>
        </is>
      </c>
      <c r="E3794" t="inlineStr">
        <is>
          <t>VÄSTERÅS</t>
        </is>
      </c>
      <c r="G3794" t="n">
        <v>0.6</v>
      </c>
      <c r="H3794" t="n">
        <v>0</v>
      </c>
      <c r="I3794" t="n">
        <v>0</v>
      </c>
      <c r="J3794" t="n">
        <v>0</v>
      </c>
      <c r="K3794" t="n">
        <v>0</v>
      </c>
      <c r="L3794" t="n">
        <v>0</v>
      </c>
      <c r="M3794" t="n">
        <v>0</v>
      </c>
      <c r="N3794" t="n">
        <v>0</v>
      </c>
      <c r="O3794" t="n">
        <v>0</v>
      </c>
      <c r="P3794" t="n">
        <v>0</v>
      </c>
      <c r="Q3794" t="n">
        <v>0</v>
      </c>
      <c r="R3794" s="2" t="inlineStr"/>
    </row>
    <row r="3795" ht="15" customHeight="1">
      <c r="A3795" t="inlineStr">
        <is>
          <t>A 64693-2023</t>
        </is>
      </c>
      <c r="B3795" s="1" t="n">
        <v>45281</v>
      </c>
      <c r="C3795" s="1" t="n">
        <v>45724</v>
      </c>
      <c r="D3795" t="inlineStr">
        <is>
          <t>VÄSTMANLANDS LÄN</t>
        </is>
      </c>
      <c r="E3795" t="inlineStr">
        <is>
          <t>SALA</t>
        </is>
      </c>
      <c r="G3795" t="n">
        <v>0.5</v>
      </c>
      <c r="H3795" t="n">
        <v>0</v>
      </c>
      <c r="I3795" t="n">
        <v>0</v>
      </c>
      <c r="J3795" t="n">
        <v>0</v>
      </c>
      <c r="K3795" t="n">
        <v>0</v>
      </c>
      <c r="L3795" t="n">
        <v>0</v>
      </c>
      <c r="M3795" t="n">
        <v>0</v>
      </c>
      <c r="N3795" t="n">
        <v>0</v>
      </c>
      <c r="O3795" t="n">
        <v>0</v>
      </c>
      <c r="P3795" t="n">
        <v>0</v>
      </c>
      <c r="Q3795" t="n">
        <v>0</v>
      </c>
      <c r="R3795" s="2" t="inlineStr"/>
    </row>
    <row r="3796" ht="15" customHeight="1">
      <c r="A3796" t="inlineStr">
        <is>
          <t>A 64729-2023</t>
        </is>
      </c>
      <c r="B3796" s="1" t="n">
        <v>45281</v>
      </c>
      <c r="C3796" s="1" t="n">
        <v>45724</v>
      </c>
      <c r="D3796" t="inlineStr">
        <is>
          <t>VÄSTMANLANDS LÄN</t>
        </is>
      </c>
      <c r="E3796" t="inlineStr">
        <is>
          <t>SALA</t>
        </is>
      </c>
      <c r="G3796" t="n">
        <v>1.8</v>
      </c>
      <c r="H3796" t="n">
        <v>0</v>
      </c>
      <c r="I3796" t="n">
        <v>0</v>
      </c>
      <c r="J3796" t="n">
        <v>0</v>
      </c>
      <c r="K3796" t="n">
        <v>0</v>
      </c>
      <c r="L3796" t="n">
        <v>0</v>
      </c>
      <c r="M3796" t="n">
        <v>0</v>
      </c>
      <c r="N3796" t="n">
        <v>0</v>
      </c>
      <c r="O3796" t="n">
        <v>0</v>
      </c>
      <c r="P3796" t="n">
        <v>0</v>
      </c>
      <c r="Q3796" t="n">
        <v>0</v>
      </c>
      <c r="R3796" s="2" t="inlineStr"/>
    </row>
    <row r="3797" ht="15" customHeight="1">
      <c r="A3797" t="inlineStr">
        <is>
          <t>A 64724-2023</t>
        </is>
      </c>
      <c r="B3797" s="1" t="n">
        <v>45281</v>
      </c>
      <c r="C3797" s="1" t="n">
        <v>45724</v>
      </c>
      <c r="D3797" t="inlineStr">
        <is>
          <t>VÄSTMANLANDS LÄN</t>
        </is>
      </c>
      <c r="E3797" t="inlineStr">
        <is>
          <t>SALA</t>
        </is>
      </c>
      <c r="G3797" t="n">
        <v>2.3</v>
      </c>
      <c r="H3797" t="n">
        <v>0</v>
      </c>
      <c r="I3797" t="n">
        <v>0</v>
      </c>
      <c r="J3797" t="n">
        <v>0</v>
      </c>
      <c r="K3797" t="n">
        <v>0</v>
      </c>
      <c r="L3797" t="n">
        <v>0</v>
      </c>
      <c r="M3797" t="n">
        <v>0</v>
      </c>
      <c r="N3797" t="n">
        <v>0</v>
      </c>
      <c r="O3797" t="n">
        <v>0</v>
      </c>
      <c r="P3797" t="n">
        <v>0</v>
      </c>
      <c r="Q3797" t="n">
        <v>0</v>
      </c>
      <c r="R3797" s="2" t="inlineStr"/>
    </row>
    <row r="3798" ht="15" customHeight="1">
      <c r="A3798" t="inlineStr">
        <is>
          <t>A 64692-2023</t>
        </is>
      </c>
      <c r="B3798" s="1" t="n">
        <v>45281</v>
      </c>
      <c r="C3798" s="1" t="n">
        <v>45724</v>
      </c>
      <c r="D3798" t="inlineStr">
        <is>
          <t>VÄSTMANLANDS LÄN</t>
        </is>
      </c>
      <c r="E3798" t="inlineStr">
        <is>
          <t>SALA</t>
        </is>
      </c>
      <c r="G3798" t="n">
        <v>1.7</v>
      </c>
      <c r="H3798" t="n">
        <v>0</v>
      </c>
      <c r="I3798" t="n">
        <v>0</v>
      </c>
      <c r="J3798" t="n">
        <v>0</v>
      </c>
      <c r="K3798" t="n">
        <v>0</v>
      </c>
      <c r="L3798" t="n">
        <v>0</v>
      </c>
      <c r="M3798" t="n">
        <v>0</v>
      </c>
      <c r="N3798" t="n">
        <v>0</v>
      </c>
      <c r="O3798" t="n">
        <v>0</v>
      </c>
      <c r="P3798" t="n">
        <v>0</v>
      </c>
      <c r="Q3798" t="n">
        <v>0</v>
      </c>
      <c r="R3798" s="2" t="inlineStr"/>
    </row>
    <row r="3799" ht="15" customHeight="1">
      <c r="A3799" t="inlineStr">
        <is>
          <t>A 64687-2023</t>
        </is>
      </c>
      <c r="B3799" s="1" t="n">
        <v>45281</v>
      </c>
      <c r="C3799" s="1" t="n">
        <v>45724</v>
      </c>
      <c r="D3799" t="inlineStr">
        <is>
          <t>VÄSTMANLANDS LÄN</t>
        </is>
      </c>
      <c r="E3799" t="inlineStr">
        <is>
          <t>SALA</t>
        </is>
      </c>
      <c r="G3799" t="n">
        <v>2.8</v>
      </c>
      <c r="H3799" t="n">
        <v>0</v>
      </c>
      <c r="I3799" t="n">
        <v>0</v>
      </c>
      <c r="J3799" t="n">
        <v>0</v>
      </c>
      <c r="K3799" t="n">
        <v>0</v>
      </c>
      <c r="L3799" t="n">
        <v>0</v>
      </c>
      <c r="M3799" t="n">
        <v>0</v>
      </c>
      <c r="N3799" t="n">
        <v>0</v>
      </c>
      <c r="O3799" t="n">
        <v>0</v>
      </c>
      <c r="P3799" t="n">
        <v>0</v>
      </c>
      <c r="Q3799" t="n">
        <v>0</v>
      </c>
      <c r="R3799" s="2" t="inlineStr"/>
    </row>
    <row r="3800" ht="15" customHeight="1">
      <c r="A3800" t="inlineStr">
        <is>
          <t>A 64695-2023</t>
        </is>
      </c>
      <c r="B3800" s="1" t="n">
        <v>45281</v>
      </c>
      <c r="C3800" s="1" t="n">
        <v>45724</v>
      </c>
      <c r="D3800" t="inlineStr">
        <is>
          <t>VÄSTMANLANDS LÄN</t>
        </is>
      </c>
      <c r="E3800" t="inlineStr">
        <is>
          <t>SALA</t>
        </is>
      </c>
      <c r="G3800" t="n">
        <v>0.5</v>
      </c>
      <c r="H3800" t="n">
        <v>0</v>
      </c>
      <c r="I3800" t="n">
        <v>0</v>
      </c>
      <c r="J3800" t="n">
        <v>0</v>
      </c>
      <c r="K3800" t="n">
        <v>0</v>
      </c>
      <c r="L3800" t="n">
        <v>0</v>
      </c>
      <c r="M3800" t="n">
        <v>0</v>
      </c>
      <c r="N3800" t="n">
        <v>0</v>
      </c>
      <c r="O3800" t="n">
        <v>0</v>
      </c>
      <c r="P3800" t="n">
        <v>0</v>
      </c>
      <c r="Q3800" t="n">
        <v>0</v>
      </c>
      <c r="R3800" s="2" t="inlineStr"/>
    </row>
    <row r="3801" ht="15" customHeight="1">
      <c r="A3801" t="inlineStr">
        <is>
          <t>A 64711-2023</t>
        </is>
      </c>
      <c r="B3801" s="1" t="n">
        <v>45281</v>
      </c>
      <c r="C3801" s="1" t="n">
        <v>45724</v>
      </c>
      <c r="D3801" t="inlineStr">
        <is>
          <t>VÄSTMANLANDS LÄN</t>
        </is>
      </c>
      <c r="E3801" t="inlineStr">
        <is>
          <t>VÄSTERÅS</t>
        </is>
      </c>
      <c r="G3801" t="n">
        <v>3.4</v>
      </c>
      <c r="H3801" t="n">
        <v>0</v>
      </c>
      <c r="I3801" t="n">
        <v>0</v>
      </c>
      <c r="J3801" t="n">
        <v>0</v>
      </c>
      <c r="K3801" t="n">
        <v>0</v>
      </c>
      <c r="L3801" t="n">
        <v>0</v>
      </c>
      <c r="M3801" t="n">
        <v>0</v>
      </c>
      <c r="N3801" t="n">
        <v>0</v>
      </c>
      <c r="O3801" t="n">
        <v>0</v>
      </c>
      <c r="P3801" t="n">
        <v>0</v>
      </c>
      <c r="Q3801" t="n">
        <v>0</v>
      </c>
      <c r="R3801" s="2" t="inlineStr"/>
    </row>
    <row r="3802" ht="15" customHeight="1">
      <c r="A3802" t="inlineStr">
        <is>
          <t>A 64787-2023</t>
        </is>
      </c>
      <c r="B3802" s="1" t="n">
        <v>45282</v>
      </c>
      <c r="C3802" s="1" t="n">
        <v>45724</v>
      </c>
      <c r="D3802" t="inlineStr">
        <is>
          <t>VÄSTMANLANDS LÄN</t>
        </is>
      </c>
      <c r="E3802" t="inlineStr">
        <is>
          <t>VÄSTERÅS</t>
        </is>
      </c>
      <c r="G3802" t="n">
        <v>4.5</v>
      </c>
      <c r="H3802" t="n">
        <v>0</v>
      </c>
      <c r="I3802" t="n">
        <v>0</v>
      </c>
      <c r="J3802" t="n">
        <v>0</v>
      </c>
      <c r="K3802" t="n">
        <v>0</v>
      </c>
      <c r="L3802" t="n">
        <v>0</v>
      </c>
      <c r="M3802" t="n">
        <v>0</v>
      </c>
      <c r="N3802" t="n">
        <v>0</v>
      </c>
      <c r="O3802" t="n">
        <v>0</v>
      </c>
      <c r="P3802" t="n">
        <v>0</v>
      </c>
      <c r="Q3802" t="n">
        <v>0</v>
      </c>
      <c r="R3802" s="2" t="inlineStr"/>
    </row>
    <row r="3803" ht="15" customHeight="1">
      <c r="A3803" t="inlineStr">
        <is>
          <t>A 64793-2023</t>
        </is>
      </c>
      <c r="B3803" s="1" t="n">
        <v>45282</v>
      </c>
      <c r="C3803" s="1" t="n">
        <v>45724</v>
      </c>
      <c r="D3803" t="inlineStr">
        <is>
          <t>VÄSTMANLANDS LÄN</t>
        </is>
      </c>
      <c r="E3803" t="inlineStr">
        <is>
          <t>VÄSTERÅS</t>
        </is>
      </c>
      <c r="G3803" t="n">
        <v>2.5</v>
      </c>
      <c r="H3803" t="n">
        <v>0</v>
      </c>
      <c r="I3803" t="n">
        <v>0</v>
      </c>
      <c r="J3803" t="n">
        <v>0</v>
      </c>
      <c r="K3803" t="n">
        <v>0</v>
      </c>
      <c r="L3803" t="n">
        <v>0</v>
      </c>
      <c r="M3803" t="n">
        <v>0</v>
      </c>
      <c r="N3803" t="n">
        <v>0</v>
      </c>
      <c r="O3803" t="n">
        <v>0</v>
      </c>
      <c r="P3803" t="n">
        <v>0</v>
      </c>
      <c r="Q3803" t="n">
        <v>0</v>
      </c>
      <c r="R3803" s="2" t="inlineStr"/>
    </row>
    <row r="3804" ht="15" customHeight="1">
      <c r="A3804" t="inlineStr">
        <is>
          <t>A 64925-2023</t>
        </is>
      </c>
      <c r="B3804" s="1" t="n">
        <v>45282</v>
      </c>
      <c r="C3804" s="1" t="n">
        <v>45724</v>
      </c>
      <c r="D3804" t="inlineStr">
        <is>
          <t>VÄSTMANLANDS LÄN</t>
        </is>
      </c>
      <c r="E3804" t="inlineStr">
        <is>
          <t>SALA</t>
        </is>
      </c>
      <c r="G3804" t="n">
        <v>2.5</v>
      </c>
      <c r="H3804" t="n">
        <v>0</v>
      </c>
      <c r="I3804" t="n">
        <v>0</v>
      </c>
      <c r="J3804" t="n">
        <v>0</v>
      </c>
      <c r="K3804" t="n">
        <v>0</v>
      </c>
      <c r="L3804" t="n">
        <v>0</v>
      </c>
      <c r="M3804" t="n">
        <v>0</v>
      </c>
      <c r="N3804" t="n">
        <v>0</v>
      </c>
      <c r="O3804" t="n">
        <v>0</v>
      </c>
      <c r="P3804" t="n">
        <v>0</v>
      </c>
      <c r="Q3804" t="n">
        <v>0</v>
      </c>
      <c r="R3804" s="2" t="inlineStr"/>
    </row>
    <row r="3805" ht="15" customHeight="1">
      <c r="A3805" t="inlineStr">
        <is>
          <t>A 65255-2023</t>
        </is>
      </c>
      <c r="B3805" s="1" t="n">
        <v>45290</v>
      </c>
      <c r="C3805" s="1" t="n">
        <v>45724</v>
      </c>
      <c r="D3805" t="inlineStr">
        <is>
          <t>VÄSTMANLANDS LÄN</t>
        </is>
      </c>
      <c r="E3805" t="inlineStr">
        <is>
          <t>ARBOGA</t>
        </is>
      </c>
      <c r="G3805" t="n">
        <v>4.8</v>
      </c>
      <c r="H3805" t="n">
        <v>0</v>
      </c>
      <c r="I3805" t="n">
        <v>0</v>
      </c>
      <c r="J3805" t="n">
        <v>0</v>
      </c>
      <c r="K3805" t="n">
        <v>0</v>
      </c>
      <c r="L3805" t="n">
        <v>0</v>
      </c>
      <c r="M3805" t="n">
        <v>0</v>
      </c>
      <c r="N3805" t="n">
        <v>0</v>
      </c>
      <c r="O3805" t="n">
        <v>0</v>
      </c>
      <c r="P3805" t="n">
        <v>0</v>
      </c>
      <c r="Q3805" t="n">
        <v>0</v>
      </c>
      <c r="R3805" s="2" t="inlineStr"/>
    </row>
    <row r="3806" ht="15" customHeight="1">
      <c r="A3806" t="inlineStr">
        <is>
          <t>A 7-2024</t>
        </is>
      </c>
      <c r="B3806" s="1" t="n">
        <v>45293</v>
      </c>
      <c r="C3806" s="1" t="n">
        <v>45724</v>
      </c>
      <c r="D3806" t="inlineStr">
        <is>
          <t>VÄSTMANLANDS LÄN</t>
        </is>
      </c>
      <c r="E3806" t="inlineStr">
        <is>
          <t>ARBOGA</t>
        </is>
      </c>
      <c r="G3806" t="n">
        <v>2.7</v>
      </c>
      <c r="H3806" t="n">
        <v>0</v>
      </c>
      <c r="I3806" t="n">
        <v>0</v>
      </c>
      <c r="J3806" t="n">
        <v>0</v>
      </c>
      <c r="K3806" t="n">
        <v>0</v>
      </c>
      <c r="L3806" t="n">
        <v>0</v>
      </c>
      <c r="M3806" t="n">
        <v>0</v>
      </c>
      <c r="N3806" t="n">
        <v>0</v>
      </c>
      <c r="O3806" t="n">
        <v>0</v>
      </c>
      <c r="P3806" t="n">
        <v>0</v>
      </c>
      <c r="Q3806" t="n">
        <v>0</v>
      </c>
      <c r="R3806" s="2" t="inlineStr"/>
    </row>
    <row r="3807" ht="15" customHeight="1">
      <c r="A3807" t="inlineStr">
        <is>
          <t>A 30-2024</t>
        </is>
      </c>
      <c r="B3807" s="1" t="n">
        <v>45293</v>
      </c>
      <c r="C3807" s="1" t="n">
        <v>45724</v>
      </c>
      <c r="D3807" t="inlineStr">
        <is>
          <t>VÄSTMANLANDS LÄN</t>
        </is>
      </c>
      <c r="E3807" t="inlineStr">
        <is>
          <t>SALA</t>
        </is>
      </c>
      <c r="G3807" t="n">
        <v>1.8</v>
      </c>
      <c r="H3807" t="n">
        <v>0</v>
      </c>
      <c r="I3807" t="n">
        <v>0</v>
      </c>
      <c r="J3807" t="n">
        <v>0</v>
      </c>
      <c r="K3807" t="n">
        <v>0</v>
      </c>
      <c r="L3807" t="n">
        <v>0</v>
      </c>
      <c r="M3807" t="n">
        <v>0</v>
      </c>
      <c r="N3807" t="n">
        <v>0</v>
      </c>
      <c r="O3807" t="n">
        <v>0</v>
      </c>
      <c r="P3807" t="n">
        <v>0</v>
      </c>
      <c r="Q3807" t="n">
        <v>0</v>
      </c>
      <c r="R3807" s="2" t="inlineStr"/>
    </row>
    <row r="3808" ht="15" customHeight="1">
      <c r="A3808" t="inlineStr">
        <is>
          <t>A 96-2024</t>
        </is>
      </c>
      <c r="B3808" s="1" t="n">
        <v>45293</v>
      </c>
      <c r="C3808" s="1" t="n">
        <v>45724</v>
      </c>
      <c r="D3808" t="inlineStr">
        <is>
          <t>VÄSTMANLANDS LÄN</t>
        </is>
      </c>
      <c r="E3808" t="inlineStr">
        <is>
          <t>SALA</t>
        </is>
      </c>
      <c r="G3808" t="n">
        <v>1.1</v>
      </c>
      <c r="H3808" t="n">
        <v>0</v>
      </c>
      <c r="I3808" t="n">
        <v>0</v>
      </c>
      <c r="J3808" t="n">
        <v>0</v>
      </c>
      <c r="K3808" t="n">
        <v>0</v>
      </c>
      <c r="L3808" t="n">
        <v>0</v>
      </c>
      <c r="M3808" t="n">
        <v>0</v>
      </c>
      <c r="N3808" t="n">
        <v>0</v>
      </c>
      <c r="O3808" t="n">
        <v>0</v>
      </c>
      <c r="P3808" t="n">
        <v>0</v>
      </c>
      <c r="Q3808" t="n">
        <v>0</v>
      </c>
      <c r="R3808" s="2" t="inlineStr"/>
    </row>
    <row r="3809" ht="15" customHeight="1">
      <c r="A3809" t="inlineStr">
        <is>
          <t>A 110-2024</t>
        </is>
      </c>
      <c r="B3809" s="1" t="n">
        <v>45294</v>
      </c>
      <c r="C3809" s="1" t="n">
        <v>45724</v>
      </c>
      <c r="D3809" t="inlineStr">
        <is>
          <t>VÄSTMANLANDS LÄN</t>
        </is>
      </c>
      <c r="E3809" t="inlineStr">
        <is>
          <t>SALA</t>
        </is>
      </c>
      <c r="G3809" t="n">
        <v>3.8</v>
      </c>
      <c r="H3809" t="n">
        <v>0</v>
      </c>
      <c r="I3809" t="n">
        <v>0</v>
      </c>
      <c r="J3809" t="n">
        <v>0</v>
      </c>
      <c r="K3809" t="n">
        <v>0</v>
      </c>
      <c r="L3809" t="n">
        <v>0</v>
      </c>
      <c r="M3809" t="n">
        <v>0</v>
      </c>
      <c r="N3809" t="n">
        <v>0</v>
      </c>
      <c r="O3809" t="n">
        <v>0</v>
      </c>
      <c r="P3809" t="n">
        <v>0</v>
      </c>
      <c r="Q3809" t="n">
        <v>0</v>
      </c>
      <c r="R3809" s="2" t="inlineStr"/>
    </row>
    <row r="3810" ht="15" customHeight="1">
      <c r="A3810" t="inlineStr">
        <is>
          <t>A 401-2024</t>
        </is>
      </c>
      <c r="B3810" s="1" t="n">
        <v>45296</v>
      </c>
      <c r="C3810" s="1" t="n">
        <v>45724</v>
      </c>
      <c r="D3810" t="inlineStr">
        <is>
          <t>VÄSTMANLANDS LÄN</t>
        </is>
      </c>
      <c r="E3810" t="inlineStr">
        <is>
          <t>VÄSTERÅS</t>
        </is>
      </c>
      <c r="G3810" t="n">
        <v>6.1</v>
      </c>
      <c r="H3810" t="n">
        <v>0</v>
      </c>
      <c r="I3810" t="n">
        <v>0</v>
      </c>
      <c r="J3810" t="n">
        <v>0</v>
      </c>
      <c r="K3810" t="n">
        <v>0</v>
      </c>
      <c r="L3810" t="n">
        <v>0</v>
      </c>
      <c r="M3810" t="n">
        <v>0</v>
      </c>
      <c r="N3810" t="n">
        <v>0</v>
      </c>
      <c r="O3810" t="n">
        <v>0</v>
      </c>
      <c r="P3810" t="n">
        <v>0</v>
      </c>
      <c r="Q3810" t="n">
        <v>0</v>
      </c>
      <c r="R3810" s="2" t="inlineStr"/>
    </row>
    <row r="3811" ht="15" customHeight="1">
      <c r="A3811" t="inlineStr">
        <is>
          <t>A 456-2024</t>
        </is>
      </c>
      <c r="B3811" s="1" t="n">
        <v>45296</v>
      </c>
      <c r="C3811" s="1" t="n">
        <v>45724</v>
      </c>
      <c r="D3811" t="inlineStr">
        <is>
          <t>VÄSTMANLANDS LÄN</t>
        </is>
      </c>
      <c r="E3811" t="inlineStr">
        <is>
          <t>SALA</t>
        </is>
      </c>
      <c r="G3811" t="n">
        <v>4.7</v>
      </c>
      <c r="H3811" t="n">
        <v>0</v>
      </c>
      <c r="I3811" t="n">
        <v>0</v>
      </c>
      <c r="J3811" t="n">
        <v>0</v>
      </c>
      <c r="K3811" t="n">
        <v>0</v>
      </c>
      <c r="L3811" t="n">
        <v>0</v>
      </c>
      <c r="M3811" t="n">
        <v>0</v>
      </c>
      <c r="N3811" t="n">
        <v>0</v>
      </c>
      <c r="O3811" t="n">
        <v>0</v>
      </c>
      <c r="P3811" t="n">
        <v>0</v>
      </c>
      <c r="Q3811" t="n">
        <v>0</v>
      </c>
      <c r="R3811" s="2" t="inlineStr"/>
    </row>
    <row r="3812" ht="15" customHeight="1">
      <c r="A3812" t="inlineStr">
        <is>
          <t>A 493-2024</t>
        </is>
      </c>
      <c r="B3812" s="1" t="n">
        <v>45299</v>
      </c>
      <c r="C3812" s="1" t="n">
        <v>45724</v>
      </c>
      <c r="D3812" t="inlineStr">
        <is>
          <t>VÄSTMANLANDS LÄN</t>
        </is>
      </c>
      <c r="E3812" t="inlineStr">
        <is>
          <t>VÄSTERÅS</t>
        </is>
      </c>
      <c r="G3812" t="n">
        <v>1.7</v>
      </c>
      <c r="H3812" t="n">
        <v>0</v>
      </c>
      <c r="I3812" t="n">
        <v>0</v>
      </c>
      <c r="J3812" t="n">
        <v>0</v>
      </c>
      <c r="K3812" t="n">
        <v>0</v>
      </c>
      <c r="L3812" t="n">
        <v>0</v>
      </c>
      <c r="M3812" t="n">
        <v>0</v>
      </c>
      <c r="N3812" t="n">
        <v>0</v>
      </c>
      <c r="O3812" t="n">
        <v>0</v>
      </c>
      <c r="P3812" t="n">
        <v>0</v>
      </c>
      <c r="Q3812" t="n">
        <v>0</v>
      </c>
      <c r="R3812" s="2" t="inlineStr"/>
    </row>
    <row r="3813" ht="15" customHeight="1">
      <c r="A3813" t="inlineStr">
        <is>
          <t>A 1118-2024</t>
        </is>
      </c>
      <c r="B3813" s="1" t="n">
        <v>45302</v>
      </c>
      <c r="C3813" s="1" t="n">
        <v>45724</v>
      </c>
      <c r="D3813" t="inlineStr">
        <is>
          <t>VÄSTMANLANDS LÄN</t>
        </is>
      </c>
      <c r="E3813" t="inlineStr">
        <is>
          <t>SALA</t>
        </is>
      </c>
      <c r="G3813" t="n">
        <v>1.9</v>
      </c>
      <c r="H3813" t="n">
        <v>0</v>
      </c>
      <c r="I3813" t="n">
        <v>0</v>
      </c>
      <c r="J3813" t="n">
        <v>0</v>
      </c>
      <c r="K3813" t="n">
        <v>0</v>
      </c>
      <c r="L3813" t="n">
        <v>0</v>
      </c>
      <c r="M3813" t="n">
        <v>0</v>
      </c>
      <c r="N3813" t="n">
        <v>0</v>
      </c>
      <c r="O3813" t="n">
        <v>0</v>
      </c>
      <c r="P3813" t="n">
        <v>0</v>
      </c>
      <c r="Q3813" t="n">
        <v>0</v>
      </c>
      <c r="R3813" s="2" t="inlineStr"/>
    </row>
    <row r="3814" ht="15" customHeight="1">
      <c r="A3814" t="inlineStr">
        <is>
          <t>A 1316-2024</t>
        </is>
      </c>
      <c r="B3814" s="1" t="n">
        <v>45303</v>
      </c>
      <c r="C3814" s="1" t="n">
        <v>45724</v>
      </c>
      <c r="D3814" t="inlineStr">
        <is>
          <t>VÄSTMANLANDS LÄN</t>
        </is>
      </c>
      <c r="E3814" t="inlineStr">
        <is>
          <t>SURAHAMMAR</t>
        </is>
      </c>
      <c r="G3814" t="n">
        <v>1</v>
      </c>
      <c r="H3814" t="n">
        <v>0</v>
      </c>
      <c r="I3814" t="n">
        <v>0</v>
      </c>
      <c r="J3814" t="n">
        <v>0</v>
      </c>
      <c r="K3814" t="n">
        <v>0</v>
      </c>
      <c r="L3814" t="n">
        <v>0</v>
      </c>
      <c r="M3814" t="n">
        <v>0</v>
      </c>
      <c r="N3814" t="n">
        <v>0</v>
      </c>
      <c r="O3814" t="n">
        <v>0</v>
      </c>
      <c r="P3814" t="n">
        <v>0</v>
      </c>
      <c r="Q3814" t="n">
        <v>0</v>
      </c>
      <c r="R3814" s="2" t="inlineStr"/>
    </row>
    <row r="3815" ht="15" customHeight="1">
      <c r="A3815" t="inlineStr">
        <is>
          <t>A 1393-2024</t>
        </is>
      </c>
      <c r="B3815" s="1" t="n">
        <v>45303</v>
      </c>
      <c r="C3815" s="1" t="n">
        <v>45724</v>
      </c>
      <c r="D3815" t="inlineStr">
        <is>
          <t>VÄSTMANLANDS LÄN</t>
        </is>
      </c>
      <c r="E3815" t="inlineStr">
        <is>
          <t>KÖPING</t>
        </is>
      </c>
      <c r="G3815" t="n">
        <v>3.4</v>
      </c>
      <c r="H3815" t="n">
        <v>0</v>
      </c>
      <c r="I3815" t="n">
        <v>0</v>
      </c>
      <c r="J3815" t="n">
        <v>0</v>
      </c>
      <c r="K3815" t="n">
        <v>0</v>
      </c>
      <c r="L3815" t="n">
        <v>0</v>
      </c>
      <c r="M3815" t="n">
        <v>0</v>
      </c>
      <c r="N3815" t="n">
        <v>0</v>
      </c>
      <c r="O3815" t="n">
        <v>0</v>
      </c>
      <c r="P3815" t="n">
        <v>0</v>
      </c>
      <c r="Q3815" t="n">
        <v>0</v>
      </c>
      <c r="R3815" s="2" t="inlineStr"/>
    </row>
    <row r="3816" ht="15" customHeight="1">
      <c r="A3816" t="inlineStr">
        <is>
          <t>A 1433-2024</t>
        </is>
      </c>
      <c r="B3816" s="1" t="n">
        <v>45303</v>
      </c>
      <c r="C3816" s="1" t="n">
        <v>45724</v>
      </c>
      <c r="D3816" t="inlineStr">
        <is>
          <t>VÄSTMANLANDS LÄN</t>
        </is>
      </c>
      <c r="E3816" t="inlineStr">
        <is>
          <t>VÄSTERÅS</t>
        </is>
      </c>
      <c r="G3816" t="n">
        <v>6.8</v>
      </c>
      <c r="H3816" t="n">
        <v>0</v>
      </c>
      <c r="I3816" t="n">
        <v>0</v>
      </c>
      <c r="J3816" t="n">
        <v>0</v>
      </c>
      <c r="K3816" t="n">
        <v>0</v>
      </c>
      <c r="L3816" t="n">
        <v>0</v>
      </c>
      <c r="M3816" t="n">
        <v>0</v>
      </c>
      <c r="N3816" t="n">
        <v>0</v>
      </c>
      <c r="O3816" t="n">
        <v>0</v>
      </c>
      <c r="P3816" t="n">
        <v>0</v>
      </c>
      <c r="Q3816" t="n">
        <v>0</v>
      </c>
      <c r="R3816" s="2" t="inlineStr"/>
    </row>
    <row r="3817" ht="15" customHeight="1">
      <c r="A3817" t="inlineStr">
        <is>
          <t>A 1435-2024</t>
        </is>
      </c>
      <c r="B3817" s="1" t="n">
        <v>45303</v>
      </c>
      <c r="C3817" s="1" t="n">
        <v>45724</v>
      </c>
      <c r="D3817" t="inlineStr">
        <is>
          <t>VÄSTMANLANDS LÄN</t>
        </is>
      </c>
      <c r="E3817" t="inlineStr">
        <is>
          <t>VÄSTERÅS</t>
        </is>
      </c>
      <c r="G3817" t="n">
        <v>14.5</v>
      </c>
      <c r="H3817" t="n">
        <v>0</v>
      </c>
      <c r="I3817" t="n">
        <v>0</v>
      </c>
      <c r="J3817" t="n">
        <v>0</v>
      </c>
      <c r="K3817" t="n">
        <v>0</v>
      </c>
      <c r="L3817" t="n">
        <v>0</v>
      </c>
      <c r="M3817" t="n">
        <v>0</v>
      </c>
      <c r="N3817" t="n">
        <v>0</v>
      </c>
      <c r="O3817" t="n">
        <v>0</v>
      </c>
      <c r="P3817" t="n">
        <v>0</v>
      </c>
      <c r="Q3817" t="n">
        <v>0</v>
      </c>
      <c r="R3817" s="2" t="inlineStr"/>
    </row>
    <row r="3818" ht="15" customHeight="1">
      <c r="A3818" t="inlineStr">
        <is>
          <t>A 1360-2024</t>
        </is>
      </c>
      <c r="B3818" s="1" t="n">
        <v>45303</v>
      </c>
      <c r="C3818" s="1" t="n">
        <v>45724</v>
      </c>
      <c r="D3818" t="inlineStr">
        <is>
          <t>VÄSTMANLANDS LÄN</t>
        </is>
      </c>
      <c r="E3818" t="inlineStr">
        <is>
          <t>KÖPING</t>
        </is>
      </c>
      <c r="G3818" t="n">
        <v>1.5</v>
      </c>
      <c r="H3818" t="n">
        <v>0</v>
      </c>
      <c r="I3818" t="n">
        <v>0</v>
      </c>
      <c r="J3818" t="n">
        <v>0</v>
      </c>
      <c r="K3818" t="n">
        <v>0</v>
      </c>
      <c r="L3818" t="n">
        <v>0</v>
      </c>
      <c r="M3818" t="n">
        <v>0</v>
      </c>
      <c r="N3818" t="n">
        <v>0</v>
      </c>
      <c r="O3818" t="n">
        <v>0</v>
      </c>
      <c r="P3818" t="n">
        <v>0</v>
      </c>
      <c r="Q3818" t="n">
        <v>0</v>
      </c>
      <c r="R3818" s="2" t="inlineStr"/>
    </row>
    <row r="3819" ht="15" customHeight="1">
      <c r="A3819" t="inlineStr">
        <is>
          <t>A 1555-2024</t>
        </is>
      </c>
      <c r="B3819" s="1" t="n">
        <v>45306</v>
      </c>
      <c r="C3819" s="1" t="n">
        <v>45724</v>
      </c>
      <c r="D3819" t="inlineStr">
        <is>
          <t>VÄSTMANLANDS LÄN</t>
        </is>
      </c>
      <c r="E3819" t="inlineStr">
        <is>
          <t>SALA</t>
        </is>
      </c>
      <c r="G3819" t="n">
        <v>1.3</v>
      </c>
      <c r="H3819" t="n">
        <v>0</v>
      </c>
      <c r="I3819" t="n">
        <v>0</v>
      </c>
      <c r="J3819" t="n">
        <v>0</v>
      </c>
      <c r="K3819" t="n">
        <v>0</v>
      </c>
      <c r="L3819" t="n">
        <v>0</v>
      </c>
      <c r="M3819" t="n">
        <v>0</v>
      </c>
      <c r="N3819" t="n">
        <v>0</v>
      </c>
      <c r="O3819" t="n">
        <v>0</v>
      </c>
      <c r="P3819" t="n">
        <v>0</v>
      </c>
      <c r="Q3819" t="n">
        <v>0</v>
      </c>
      <c r="R3819" s="2" t="inlineStr"/>
    </row>
    <row r="3820" ht="15" customHeight="1">
      <c r="A3820" t="inlineStr">
        <is>
          <t>A 1552-2024</t>
        </is>
      </c>
      <c r="B3820" s="1" t="n">
        <v>45306</v>
      </c>
      <c r="C3820" s="1" t="n">
        <v>45724</v>
      </c>
      <c r="D3820" t="inlineStr">
        <is>
          <t>VÄSTMANLANDS LÄN</t>
        </is>
      </c>
      <c r="E3820" t="inlineStr">
        <is>
          <t>SALA</t>
        </is>
      </c>
      <c r="G3820" t="n">
        <v>3.3</v>
      </c>
      <c r="H3820" t="n">
        <v>0</v>
      </c>
      <c r="I3820" t="n">
        <v>0</v>
      </c>
      <c r="J3820" t="n">
        <v>0</v>
      </c>
      <c r="K3820" t="n">
        <v>0</v>
      </c>
      <c r="L3820" t="n">
        <v>0</v>
      </c>
      <c r="M3820" t="n">
        <v>0</v>
      </c>
      <c r="N3820" t="n">
        <v>0</v>
      </c>
      <c r="O3820" t="n">
        <v>0</v>
      </c>
      <c r="P3820" t="n">
        <v>0</v>
      </c>
      <c r="Q3820" t="n">
        <v>0</v>
      </c>
      <c r="R3820" s="2" t="inlineStr"/>
    </row>
    <row r="3821" ht="15" customHeight="1">
      <c r="A3821" t="inlineStr">
        <is>
          <t>A 1611-2024</t>
        </is>
      </c>
      <c r="B3821" s="1" t="n">
        <v>45306</v>
      </c>
      <c r="C3821" s="1" t="n">
        <v>45724</v>
      </c>
      <c r="D3821" t="inlineStr">
        <is>
          <t>VÄSTMANLANDS LÄN</t>
        </is>
      </c>
      <c r="E3821" t="inlineStr">
        <is>
          <t>SKINNSKATTEBERG</t>
        </is>
      </c>
      <c r="G3821" t="n">
        <v>4</v>
      </c>
      <c r="H3821" t="n">
        <v>0</v>
      </c>
      <c r="I3821" t="n">
        <v>0</v>
      </c>
      <c r="J3821" t="n">
        <v>0</v>
      </c>
      <c r="K3821" t="n">
        <v>0</v>
      </c>
      <c r="L3821" t="n">
        <v>0</v>
      </c>
      <c r="M3821" t="n">
        <v>0</v>
      </c>
      <c r="N3821" t="n">
        <v>0</v>
      </c>
      <c r="O3821" t="n">
        <v>0</v>
      </c>
      <c r="P3821" t="n">
        <v>0</v>
      </c>
      <c r="Q3821" t="n">
        <v>0</v>
      </c>
      <c r="R3821" s="2" t="inlineStr"/>
    </row>
    <row r="3822" ht="15" customHeight="1">
      <c r="A3822" t="inlineStr">
        <is>
          <t>A 1619-2024</t>
        </is>
      </c>
      <c r="B3822" s="1" t="n">
        <v>45306</v>
      </c>
      <c r="C3822" s="1" t="n">
        <v>45724</v>
      </c>
      <c r="D3822" t="inlineStr">
        <is>
          <t>VÄSTMANLANDS LÄN</t>
        </is>
      </c>
      <c r="E3822" t="inlineStr">
        <is>
          <t>SKINNSKATTEBERG</t>
        </is>
      </c>
      <c r="G3822" t="n">
        <v>3.4</v>
      </c>
      <c r="H3822" t="n">
        <v>0</v>
      </c>
      <c r="I3822" t="n">
        <v>0</v>
      </c>
      <c r="J3822" t="n">
        <v>0</v>
      </c>
      <c r="K3822" t="n">
        <v>0</v>
      </c>
      <c r="L3822" t="n">
        <v>0</v>
      </c>
      <c r="M3822" t="n">
        <v>0</v>
      </c>
      <c r="N3822" t="n">
        <v>0</v>
      </c>
      <c r="O3822" t="n">
        <v>0</v>
      </c>
      <c r="P3822" t="n">
        <v>0</v>
      </c>
      <c r="Q3822" t="n">
        <v>0</v>
      </c>
      <c r="R3822" s="2" t="inlineStr"/>
    </row>
    <row r="3823" ht="15" customHeight="1">
      <c r="A3823" t="inlineStr">
        <is>
          <t>A 1620-2024</t>
        </is>
      </c>
      <c r="B3823" s="1" t="n">
        <v>45306</v>
      </c>
      <c r="C3823" s="1" t="n">
        <v>45724</v>
      </c>
      <c r="D3823" t="inlineStr">
        <is>
          <t>VÄSTMANLANDS LÄN</t>
        </is>
      </c>
      <c r="E3823" t="inlineStr">
        <is>
          <t>SKINNSKATTEBERG</t>
        </is>
      </c>
      <c r="G3823" t="n">
        <v>2.2</v>
      </c>
      <c r="H3823" t="n">
        <v>0</v>
      </c>
      <c r="I3823" t="n">
        <v>0</v>
      </c>
      <c r="J3823" t="n">
        <v>0</v>
      </c>
      <c r="K3823" t="n">
        <v>0</v>
      </c>
      <c r="L3823" t="n">
        <v>0</v>
      </c>
      <c r="M3823" t="n">
        <v>0</v>
      </c>
      <c r="N3823" t="n">
        <v>0</v>
      </c>
      <c r="O3823" t="n">
        <v>0</v>
      </c>
      <c r="P3823" t="n">
        <v>0</v>
      </c>
      <c r="Q3823" t="n">
        <v>0</v>
      </c>
      <c r="R3823" s="2" t="inlineStr"/>
    </row>
    <row r="3824" ht="15" customHeight="1">
      <c r="A3824" t="inlineStr">
        <is>
          <t>A 1899-2024</t>
        </is>
      </c>
      <c r="B3824" s="1" t="n">
        <v>45308</v>
      </c>
      <c r="C3824" s="1" t="n">
        <v>45724</v>
      </c>
      <c r="D3824" t="inlineStr">
        <is>
          <t>VÄSTMANLANDS LÄN</t>
        </is>
      </c>
      <c r="E3824" t="inlineStr">
        <is>
          <t>VÄSTERÅS</t>
        </is>
      </c>
      <c r="G3824" t="n">
        <v>3.6</v>
      </c>
      <c r="H3824" t="n">
        <v>0</v>
      </c>
      <c r="I3824" t="n">
        <v>0</v>
      </c>
      <c r="J3824" t="n">
        <v>0</v>
      </c>
      <c r="K3824" t="n">
        <v>0</v>
      </c>
      <c r="L3824" t="n">
        <v>0</v>
      </c>
      <c r="M3824" t="n">
        <v>0</v>
      </c>
      <c r="N3824" t="n">
        <v>0</v>
      </c>
      <c r="O3824" t="n">
        <v>0</v>
      </c>
      <c r="P3824" t="n">
        <v>0</v>
      </c>
      <c r="Q3824" t="n">
        <v>0</v>
      </c>
      <c r="R3824" s="2" t="inlineStr"/>
    </row>
    <row r="3825" ht="15" customHeight="1">
      <c r="A3825" t="inlineStr">
        <is>
          <t>A 2342-2024</t>
        </is>
      </c>
      <c r="B3825" s="1" t="n">
        <v>45310</v>
      </c>
      <c r="C3825" s="1" t="n">
        <v>45724</v>
      </c>
      <c r="D3825" t="inlineStr">
        <is>
          <t>VÄSTMANLANDS LÄN</t>
        </is>
      </c>
      <c r="E3825" t="inlineStr">
        <is>
          <t>VÄSTERÅS</t>
        </is>
      </c>
      <c r="G3825" t="n">
        <v>4.2</v>
      </c>
      <c r="H3825" t="n">
        <v>0</v>
      </c>
      <c r="I3825" t="n">
        <v>0</v>
      </c>
      <c r="J3825" t="n">
        <v>0</v>
      </c>
      <c r="K3825" t="n">
        <v>0</v>
      </c>
      <c r="L3825" t="n">
        <v>0</v>
      </c>
      <c r="M3825" t="n">
        <v>0</v>
      </c>
      <c r="N3825" t="n">
        <v>0</v>
      </c>
      <c r="O3825" t="n">
        <v>0</v>
      </c>
      <c r="P3825" t="n">
        <v>0</v>
      </c>
      <c r="Q3825" t="n">
        <v>0</v>
      </c>
      <c r="R3825" s="2" t="inlineStr"/>
    </row>
    <row r="3826" ht="15" customHeight="1">
      <c r="A3826" t="inlineStr">
        <is>
          <t>A 2392-2024</t>
        </is>
      </c>
      <c r="B3826" s="1" t="n">
        <v>45310</v>
      </c>
      <c r="C3826" s="1" t="n">
        <v>45724</v>
      </c>
      <c r="D3826" t="inlineStr">
        <is>
          <t>VÄSTMANLANDS LÄN</t>
        </is>
      </c>
      <c r="E3826" t="inlineStr">
        <is>
          <t>SALA</t>
        </is>
      </c>
      <c r="G3826" t="n">
        <v>8.800000000000001</v>
      </c>
      <c r="H3826" t="n">
        <v>0</v>
      </c>
      <c r="I3826" t="n">
        <v>0</v>
      </c>
      <c r="J3826" t="n">
        <v>0</v>
      </c>
      <c r="K3826" t="n">
        <v>0</v>
      </c>
      <c r="L3826" t="n">
        <v>0</v>
      </c>
      <c r="M3826" t="n">
        <v>0</v>
      </c>
      <c r="N3826" t="n">
        <v>0</v>
      </c>
      <c r="O3826" t="n">
        <v>0</v>
      </c>
      <c r="P3826" t="n">
        <v>0</v>
      </c>
      <c r="Q3826" t="n">
        <v>0</v>
      </c>
      <c r="R3826" s="2" t="inlineStr"/>
    </row>
    <row r="3827" ht="15" customHeight="1">
      <c r="A3827" t="inlineStr">
        <is>
          <t>A 2387-2024</t>
        </is>
      </c>
      <c r="B3827" s="1" t="n">
        <v>45310</v>
      </c>
      <c r="C3827" s="1" t="n">
        <v>45724</v>
      </c>
      <c r="D3827" t="inlineStr">
        <is>
          <t>VÄSTMANLANDS LÄN</t>
        </is>
      </c>
      <c r="E3827" t="inlineStr">
        <is>
          <t>KÖPING</t>
        </is>
      </c>
      <c r="G3827" t="n">
        <v>2.8</v>
      </c>
      <c r="H3827" t="n">
        <v>0</v>
      </c>
      <c r="I3827" t="n">
        <v>0</v>
      </c>
      <c r="J3827" t="n">
        <v>0</v>
      </c>
      <c r="K3827" t="n">
        <v>0</v>
      </c>
      <c r="L3827" t="n">
        <v>0</v>
      </c>
      <c r="M3827" t="n">
        <v>0</v>
      </c>
      <c r="N3827" t="n">
        <v>0</v>
      </c>
      <c r="O3827" t="n">
        <v>0</v>
      </c>
      <c r="P3827" t="n">
        <v>0</v>
      </c>
      <c r="Q3827" t="n">
        <v>0</v>
      </c>
      <c r="R3827" s="2" t="inlineStr"/>
    </row>
    <row r="3828" ht="15" customHeight="1">
      <c r="A3828" t="inlineStr">
        <is>
          <t>A 2391-2024</t>
        </is>
      </c>
      <c r="B3828" s="1" t="n">
        <v>45310</v>
      </c>
      <c r="C3828" s="1" t="n">
        <v>45724</v>
      </c>
      <c r="D3828" t="inlineStr">
        <is>
          <t>VÄSTMANLANDS LÄN</t>
        </is>
      </c>
      <c r="E3828" t="inlineStr">
        <is>
          <t>KÖPING</t>
        </is>
      </c>
      <c r="G3828" t="n">
        <v>2.7</v>
      </c>
      <c r="H3828" t="n">
        <v>0</v>
      </c>
      <c r="I3828" t="n">
        <v>0</v>
      </c>
      <c r="J3828" t="n">
        <v>0</v>
      </c>
      <c r="K3828" t="n">
        <v>0</v>
      </c>
      <c r="L3828" t="n">
        <v>0</v>
      </c>
      <c r="M3828" t="n">
        <v>0</v>
      </c>
      <c r="N3828" t="n">
        <v>0</v>
      </c>
      <c r="O3828" t="n">
        <v>0</v>
      </c>
      <c r="P3828" t="n">
        <v>0</v>
      </c>
      <c r="Q3828" t="n">
        <v>0</v>
      </c>
      <c r="R3828" s="2" t="inlineStr"/>
    </row>
    <row r="3829" ht="15" customHeight="1">
      <c r="A3829" t="inlineStr">
        <is>
          <t>A 2680-2024</t>
        </is>
      </c>
      <c r="B3829" s="1" t="n">
        <v>45310</v>
      </c>
      <c r="C3829" s="1" t="n">
        <v>45724</v>
      </c>
      <c r="D3829" t="inlineStr">
        <is>
          <t>VÄSTMANLANDS LÄN</t>
        </is>
      </c>
      <c r="E3829" t="inlineStr">
        <is>
          <t>SURAHAMMAR</t>
        </is>
      </c>
      <c r="G3829" t="n">
        <v>1.8</v>
      </c>
      <c r="H3829" t="n">
        <v>0</v>
      </c>
      <c r="I3829" t="n">
        <v>0</v>
      </c>
      <c r="J3829" t="n">
        <v>0</v>
      </c>
      <c r="K3829" t="n">
        <v>0</v>
      </c>
      <c r="L3829" t="n">
        <v>0</v>
      </c>
      <c r="M3829" t="n">
        <v>0</v>
      </c>
      <c r="N3829" t="n">
        <v>0</v>
      </c>
      <c r="O3829" t="n">
        <v>0</v>
      </c>
      <c r="P3829" t="n">
        <v>0</v>
      </c>
      <c r="Q3829" t="n">
        <v>0</v>
      </c>
      <c r="R3829" s="2" t="inlineStr"/>
    </row>
    <row r="3830" ht="15" customHeight="1">
      <c r="A3830" t="inlineStr">
        <is>
          <t>A 2660-2024</t>
        </is>
      </c>
      <c r="B3830" s="1" t="n">
        <v>45310</v>
      </c>
      <c r="C3830" s="1" t="n">
        <v>45724</v>
      </c>
      <c r="D3830" t="inlineStr">
        <is>
          <t>VÄSTMANLANDS LÄN</t>
        </is>
      </c>
      <c r="E3830" t="inlineStr">
        <is>
          <t>SURAHAMMAR</t>
        </is>
      </c>
      <c r="G3830" t="n">
        <v>2.1</v>
      </c>
      <c r="H3830" t="n">
        <v>0</v>
      </c>
      <c r="I3830" t="n">
        <v>0</v>
      </c>
      <c r="J3830" t="n">
        <v>0</v>
      </c>
      <c r="K3830" t="n">
        <v>0</v>
      </c>
      <c r="L3830" t="n">
        <v>0</v>
      </c>
      <c r="M3830" t="n">
        <v>0</v>
      </c>
      <c r="N3830" t="n">
        <v>0</v>
      </c>
      <c r="O3830" t="n">
        <v>0</v>
      </c>
      <c r="P3830" t="n">
        <v>0</v>
      </c>
      <c r="Q3830" t="n">
        <v>0</v>
      </c>
      <c r="R3830" s="2" t="inlineStr"/>
    </row>
    <row r="3831" ht="15" customHeight="1">
      <c r="A3831" t="inlineStr">
        <is>
          <t>A 2584-2024</t>
        </is>
      </c>
      <c r="B3831" s="1" t="n">
        <v>45313</v>
      </c>
      <c r="C3831" s="1" t="n">
        <v>45724</v>
      </c>
      <c r="D3831" t="inlineStr">
        <is>
          <t>VÄSTMANLANDS LÄN</t>
        </is>
      </c>
      <c r="E3831" t="inlineStr">
        <is>
          <t>KÖPING</t>
        </is>
      </c>
      <c r="G3831" t="n">
        <v>3.5</v>
      </c>
      <c r="H3831" t="n">
        <v>0</v>
      </c>
      <c r="I3831" t="n">
        <v>0</v>
      </c>
      <c r="J3831" t="n">
        <v>0</v>
      </c>
      <c r="K3831" t="n">
        <v>0</v>
      </c>
      <c r="L3831" t="n">
        <v>0</v>
      </c>
      <c r="M3831" t="n">
        <v>0</v>
      </c>
      <c r="N3831" t="n">
        <v>0</v>
      </c>
      <c r="O3831" t="n">
        <v>0</v>
      </c>
      <c r="P3831" t="n">
        <v>0</v>
      </c>
      <c r="Q3831" t="n">
        <v>0</v>
      </c>
      <c r="R3831" s="2" t="inlineStr"/>
    </row>
    <row r="3832" ht="15" customHeight="1">
      <c r="A3832" t="inlineStr">
        <is>
          <t>A 2478-2024</t>
        </is>
      </c>
      <c r="B3832" s="1" t="n">
        <v>45313</v>
      </c>
      <c r="C3832" s="1" t="n">
        <v>45724</v>
      </c>
      <c r="D3832" t="inlineStr">
        <is>
          <t>VÄSTMANLANDS LÄN</t>
        </is>
      </c>
      <c r="E3832" t="inlineStr">
        <is>
          <t>SALA</t>
        </is>
      </c>
      <c r="G3832" t="n">
        <v>0.9</v>
      </c>
      <c r="H3832" t="n">
        <v>0</v>
      </c>
      <c r="I3832" t="n">
        <v>0</v>
      </c>
      <c r="J3832" t="n">
        <v>0</v>
      </c>
      <c r="K3832" t="n">
        <v>0</v>
      </c>
      <c r="L3832" t="n">
        <v>0</v>
      </c>
      <c r="M3832" t="n">
        <v>0</v>
      </c>
      <c r="N3832" t="n">
        <v>0</v>
      </c>
      <c r="O3832" t="n">
        <v>0</v>
      </c>
      <c r="P3832" t="n">
        <v>0</v>
      </c>
      <c r="Q3832" t="n">
        <v>0</v>
      </c>
      <c r="R3832" s="2" t="inlineStr"/>
    </row>
    <row r="3833" ht="15" customHeight="1">
      <c r="A3833" t="inlineStr">
        <is>
          <t>A 2599-2024</t>
        </is>
      </c>
      <c r="B3833" s="1" t="n">
        <v>45313</v>
      </c>
      <c r="C3833" s="1" t="n">
        <v>45724</v>
      </c>
      <c r="D3833" t="inlineStr">
        <is>
          <t>VÄSTMANLANDS LÄN</t>
        </is>
      </c>
      <c r="E3833" t="inlineStr">
        <is>
          <t>SALA</t>
        </is>
      </c>
      <c r="G3833" t="n">
        <v>1.8</v>
      </c>
      <c r="H3833" t="n">
        <v>0</v>
      </c>
      <c r="I3833" t="n">
        <v>0</v>
      </c>
      <c r="J3833" t="n">
        <v>0</v>
      </c>
      <c r="K3833" t="n">
        <v>0</v>
      </c>
      <c r="L3833" t="n">
        <v>0</v>
      </c>
      <c r="M3833" t="n">
        <v>0</v>
      </c>
      <c r="N3833" t="n">
        <v>0</v>
      </c>
      <c r="O3833" t="n">
        <v>0</v>
      </c>
      <c r="P3833" t="n">
        <v>0</v>
      </c>
      <c r="Q3833" t="n">
        <v>0</v>
      </c>
      <c r="R3833" s="2" t="inlineStr"/>
    </row>
    <row r="3834" ht="15" customHeight="1">
      <c r="A3834" t="inlineStr">
        <is>
          <t>A 2766-2024</t>
        </is>
      </c>
      <c r="B3834" s="1" t="n">
        <v>45314</v>
      </c>
      <c r="C3834" s="1" t="n">
        <v>45724</v>
      </c>
      <c r="D3834" t="inlineStr">
        <is>
          <t>VÄSTMANLANDS LÄN</t>
        </is>
      </c>
      <c r="E3834" t="inlineStr">
        <is>
          <t>SALA</t>
        </is>
      </c>
      <c r="G3834" t="n">
        <v>2.8</v>
      </c>
      <c r="H3834" t="n">
        <v>0</v>
      </c>
      <c r="I3834" t="n">
        <v>0</v>
      </c>
      <c r="J3834" t="n">
        <v>0</v>
      </c>
      <c r="K3834" t="n">
        <v>0</v>
      </c>
      <c r="L3834" t="n">
        <v>0</v>
      </c>
      <c r="M3834" t="n">
        <v>0</v>
      </c>
      <c r="N3834" t="n">
        <v>0</v>
      </c>
      <c r="O3834" t="n">
        <v>0</v>
      </c>
      <c r="P3834" t="n">
        <v>0</v>
      </c>
      <c r="Q3834" t="n">
        <v>0</v>
      </c>
      <c r="R3834" s="2" t="inlineStr"/>
    </row>
    <row r="3835" ht="15" customHeight="1">
      <c r="A3835" t="inlineStr">
        <is>
          <t>A 2763-2024</t>
        </is>
      </c>
      <c r="B3835" s="1" t="n">
        <v>45314</v>
      </c>
      <c r="C3835" s="1" t="n">
        <v>45724</v>
      </c>
      <c r="D3835" t="inlineStr">
        <is>
          <t>VÄSTMANLANDS LÄN</t>
        </is>
      </c>
      <c r="E3835" t="inlineStr">
        <is>
          <t>ARBOGA</t>
        </is>
      </c>
      <c r="G3835" t="n">
        <v>1.5</v>
      </c>
      <c r="H3835" t="n">
        <v>0</v>
      </c>
      <c r="I3835" t="n">
        <v>0</v>
      </c>
      <c r="J3835" t="n">
        <v>0</v>
      </c>
      <c r="K3835" t="n">
        <v>0</v>
      </c>
      <c r="L3835" t="n">
        <v>0</v>
      </c>
      <c r="M3835" t="n">
        <v>0</v>
      </c>
      <c r="N3835" t="n">
        <v>0</v>
      </c>
      <c r="O3835" t="n">
        <v>0</v>
      </c>
      <c r="P3835" t="n">
        <v>0</v>
      </c>
      <c r="Q3835" t="n">
        <v>0</v>
      </c>
      <c r="R3835" s="2" t="inlineStr"/>
    </row>
    <row r="3836" ht="15" customHeight="1">
      <c r="A3836" t="inlineStr">
        <is>
          <t>A 2925-2024</t>
        </is>
      </c>
      <c r="B3836" s="1" t="n">
        <v>45315</v>
      </c>
      <c r="C3836" s="1" t="n">
        <v>45724</v>
      </c>
      <c r="D3836" t="inlineStr">
        <is>
          <t>VÄSTMANLANDS LÄN</t>
        </is>
      </c>
      <c r="E3836" t="inlineStr">
        <is>
          <t>SALA</t>
        </is>
      </c>
      <c r="G3836" t="n">
        <v>1.3</v>
      </c>
      <c r="H3836" t="n">
        <v>0</v>
      </c>
      <c r="I3836" t="n">
        <v>0</v>
      </c>
      <c r="J3836" t="n">
        <v>0</v>
      </c>
      <c r="K3836" t="n">
        <v>0</v>
      </c>
      <c r="L3836" t="n">
        <v>0</v>
      </c>
      <c r="M3836" t="n">
        <v>0</v>
      </c>
      <c r="N3836" t="n">
        <v>0</v>
      </c>
      <c r="O3836" t="n">
        <v>0</v>
      </c>
      <c r="P3836" t="n">
        <v>0</v>
      </c>
      <c r="Q3836" t="n">
        <v>0</v>
      </c>
      <c r="R3836" s="2" t="inlineStr"/>
    </row>
    <row r="3837" ht="15" customHeight="1">
      <c r="A3837" t="inlineStr">
        <is>
          <t>A 2866-2024</t>
        </is>
      </c>
      <c r="B3837" s="1" t="n">
        <v>45315</v>
      </c>
      <c r="C3837" s="1" t="n">
        <v>45724</v>
      </c>
      <c r="D3837" t="inlineStr">
        <is>
          <t>VÄSTMANLANDS LÄN</t>
        </is>
      </c>
      <c r="E3837" t="inlineStr">
        <is>
          <t>SURAHAMMAR</t>
        </is>
      </c>
      <c r="F3837" t="inlineStr">
        <is>
          <t>Bergvik skog väst AB</t>
        </is>
      </c>
      <c r="G3837" t="n">
        <v>5.1</v>
      </c>
      <c r="H3837" t="n">
        <v>0</v>
      </c>
      <c r="I3837" t="n">
        <v>0</v>
      </c>
      <c r="J3837" t="n">
        <v>0</v>
      </c>
      <c r="K3837" t="n">
        <v>0</v>
      </c>
      <c r="L3837" t="n">
        <v>0</v>
      </c>
      <c r="M3837" t="n">
        <v>0</v>
      </c>
      <c r="N3837" t="n">
        <v>0</v>
      </c>
      <c r="O3837" t="n">
        <v>0</v>
      </c>
      <c r="P3837" t="n">
        <v>0</v>
      </c>
      <c r="Q3837" t="n">
        <v>0</v>
      </c>
      <c r="R3837" s="2" t="inlineStr"/>
    </row>
    <row r="3838" ht="15" customHeight="1">
      <c r="A3838" t="inlineStr">
        <is>
          <t>A 2928-2024</t>
        </is>
      </c>
      <c r="B3838" s="1" t="n">
        <v>45315</v>
      </c>
      <c r="C3838" s="1" t="n">
        <v>45724</v>
      </c>
      <c r="D3838" t="inlineStr">
        <is>
          <t>VÄSTMANLANDS LÄN</t>
        </is>
      </c>
      <c r="E3838" t="inlineStr">
        <is>
          <t>SALA</t>
        </is>
      </c>
      <c r="G3838" t="n">
        <v>1.4</v>
      </c>
      <c r="H3838" t="n">
        <v>0</v>
      </c>
      <c r="I3838" t="n">
        <v>0</v>
      </c>
      <c r="J3838" t="n">
        <v>0</v>
      </c>
      <c r="K3838" t="n">
        <v>0</v>
      </c>
      <c r="L3838" t="n">
        <v>0</v>
      </c>
      <c r="M3838" t="n">
        <v>0</v>
      </c>
      <c r="N3838" t="n">
        <v>0</v>
      </c>
      <c r="O3838" t="n">
        <v>0</v>
      </c>
      <c r="P3838" t="n">
        <v>0</v>
      </c>
      <c r="Q3838" t="n">
        <v>0</v>
      </c>
      <c r="R3838" s="2" t="inlineStr"/>
    </row>
    <row r="3839" ht="15" customHeight="1">
      <c r="A3839" t="inlineStr">
        <is>
          <t>A 2918-2024</t>
        </is>
      </c>
      <c r="B3839" s="1" t="n">
        <v>45315</v>
      </c>
      <c r="C3839" s="1" t="n">
        <v>45724</v>
      </c>
      <c r="D3839" t="inlineStr">
        <is>
          <t>VÄSTMANLANDS LÄN</t>
        </is>
      </c>
      <c r="E3839" t="inlineStr">
        <is>
          <t>KÖPING</t>
        </is>
      </c>
      <c r="G3839" t="n">
        <v>2</v>
      </c>
      <c r="H3839" t="n">
        <v>0</v>
      </c>
      <c r="I3839" t="n">
        <v>0</v>
      </c>
      <c r="J3839" t="n">
        <v>0</v>
      </c>
      <c r="K3839" t="n">
        <v>0</v>
      </c>
      <c r="L3839" t="n">
        <v>0</v>
      </c>
      <c r="M3839" t="n">
        <v>0</v>
      </c>
      <c r="N3839" t="n">
        <v>0</v>
      </c>
      <c r="O3839" t="n">
        <v>0</v>
      </c>
      <c r="P3839" t="n">
        <v>0</v>
      </c>
      <c r="Q3839" t="n">
        <v>0</v>
      </c>
      <c r="R3839" s="2" t="inlineStr"/>
    </row>
    <row r="3840" ht="15" customHeight="1">
      <c r="A3840" t="inlineStr">
        <is>
          <t>A 2927-2024</t>
        </is>
      </c>
      <c r="B3840" s="1" t="n">
        <v>45315</v>
      </c>
      <c r="C3840" s="1" t="n">
        <v>45724</v>
      </c>
      <c r="D3840" t="inlineStr">
        <is>
          <t>VÄSTMANLANDS LÄN</t>
        </is>
      </c>
      <c r="E3840" t="inlineStr">
        <is>
          <t>SALA</t>
        </is>
      </c>
      <c r="G3840" t="n">
        <v>2.5</v>
      </c>
      <c r="H3840" t="n">
        <v>0</v>
      </c>
      <c r="I3840" t="n">
        <v>0</v>
      </c>
      <c r="J3840" t="n">
        <v>0</v>
      </c>
      <c r="K3840" t="n">
        <v>0</v>
      </c>
      <c r="L3840" t="n">
        <v>0</v>
      </c>
      <c r="M3840" t="n">
        <v>0</v>
      </c>
      <c r="N3840" t="n">
        <v>0</v>
      </c>
      <c r="O3840" t="n">
        <v>0</v>
      </c>
      <c r="P3840" t="n">
        <v>0</v>
      </c>
      <c r="Q3840" t="n">
        <v>0</v>
      </c>
      <c r="R3840" s="2" t="inlineStr"/>
    </row>
    <row r="3841" ht="15" customHeight="1">
      <c r="A3841" t="inlineStr">
        <is>
          <t>A 2867-2024</t>
        </is>
      </c>
      <c r="B3841" s="1" t="n">
        <v>45315</v>
      </c>
      <c r="C3841" s="1" t="n">
        <v>45724</v>
      </c>
      <c r="D3841" t="inlineStr">
        <is>
          <t>VÄSTMANLANDS LÄN</t>
        </is>
      </c>
      <c r="E3841" t="inlineStr">
        <is>
          <t>SURAHAMMAR</t>
        </is>
      </c>
      <c r="F3841" t="inlineStr">
        <is>
          <t>Bergvik skog väst AB</t>
        </is>
      </c>
      <c r="G3841" t="n">
        <v>1.4</v>
      </c>
      <c r="H3841" t="n">
        <v>0</v>
      </c>
      <c r="I3841" t="n">
        <v>0</v>
      </c>
      <c r="J3841" t="n">
        <v>0</v>
      </c>
      <c r="K3841" t="n">
        <v>0</v>
      </c>
      <c r="L3841" t="n">
        <v>0</v>
      </c>
      <c r="M3841" t="n">
        <v>0</v>
      </c>
      <c r="N3841" t="n">
        <v>0</v>
      </c>
      <c r="O3841" t="n">
        <v>0</v>
      </c>
      <c r="P3841" t="n">
        <v>0</v>
      </c>
      <c r="Q3841" t="n">
        <v>0</v>
      </c>
      <c r="R3841" s="2" t="inlineStr"/>
    </row>
    <row r="3842" ht="15" customHeight="1">
      <c r="A3842" t="inlineStr">
        <is>
          <t>A 3131-2024</t>
        </is>
      </c>
      <c r="B3842" s="1" t="n">
        <v>45316</v>
      </c>
      <c r="C3842" s="1" t="n">
        <v>45724</v>
      </c>
      <c r="D3842" t="inlineStr">
        <is>
          <t>VÄSTMANLANDS LÄN</t>
        </is>
      </c>
      <c r="E3842" t="inlineStr">
        <is>
          <t>NORBERG</t>
        </is>
      </c>
      <c r="G3842" t="n">
        <v>8</v>
      </c>
      <c r="H3842" t="n">
        <v>0</v>
      </c>
      <c r="I3842" t="n">
        <v>0</v>
      </c>
      <c r="J3842" t="n">
        <v>0</v>
      </c>
      <c r="K3842" t="n">
        <v>0</v>
      </c>
      <c r="L3842" t="n">
        <v>0</v>
      </c>
      <c r="M3842" t="n">
        <v>0</v>
      </c>
      <c r="N3842" t="n">
        <v>0</v>
      </c>
      <c r="O3842" t="n">
        <v>0</v>
      </c>
      <c r="P3842" t="n">
        <v>0</v>
      </c>
      <c r="Q3842" t="n">
        <v>0</v>
      </c>
      <c r="R3842" s="2" t="inlineStr"/>
    </row>
    <row r="3843" ht="15" customHeight="1">
      <c r="A3843" t="inlineStr">
        <is>
          <t>A 3061-2024</t>
        </is>
      </c>
      <c r="B3843" s="1" t="n">
        <v>45316</v>
      </c>
      <c r="C3843" s="1" t="n">
        <v>45724</v>
      </c>
      <c r="D3843" t="inlineStr">
        <is>
          <t>VÄSTMANLANDS LÄN</t>
        </is>
      </c>
      <c r="E3843" t="inlineStr">
        <is>
          <t>SALA</t>
        </is>
      </c>
      <c r="G3843" t="n">
        <v>5.7</v>
      </c>
      <c r="H3843" t="n">
        <v>0</v>
      </c>
      <c r="I3843" t="n">
        <v>0</v>
      </c>
      <c r="J3843" t="n">
        <v>0</v>
      </c>
      <c r="K3843" t="n">
        <v>0</v>
      </c>
      <c r="L3843" t="n">
        <v>0</v>
      </c>
      <c r="M3843" t="n">
        <v>0</v>
      </c>
      <c r="N3843" t="n">
        <v>0</v>
      </c>
      <c r="O3843" t="n">
        <v>0</v>
      </c>
      <c r="P3843" t="n">
        <v>0</v>
      </c>
      <c r="Q3843" t="n">
        <v>0</v>
      </c>
      <c r="R3843" s="2" t="inlineStr"/>
    </row>
    <row r="3844" ht="15" customHeight="1">
      <c r="A3844" t="inlineStr">
        <is>
          <t>A 3181-2024</t>
        </is>
      </c>
      <c r="B3844" s="1" t="n">
        <v>45316</v>
      </c>
      <c r="C3844" s="1" t="n">
        <v>45724</v>
      </c>
      <c r="D3844" t="inlineStr">
        <is>
          <t>VÄSTMANLANDS LÄN</t>
        </is>
      </c>
      <c r="E3844" t="inlineStr">
        <is>
          <t>VÄSTERÅS</t>
        </is>
      </c>
      <c r="G3844" t="n">
        <v>3.4</v>
      </c>
      <c r="H3844" t="n">
        <v>0</v>
      </c>
      <c r="I3844" t="n">
        <v>0</v>
      </c>
      <c r="J3844" t="n">
        <v>0</v>
      </c>
      <c r="K3844" t="n">
        <v>0</v>
      </c>
      <c r="L3844" t="n">
        <v>0</v>
      </c>
      <c r="M3844" t="n">
        <v>0</v>
      </c>
      <c r="N3844" t="n">
        <v>0</v>
      </c>
      <c r="O3844" t="n">
        <v>0</v>
      </c>
      <c r="P3844" t="n">
        <v>0</v>
      </c>
      <c r="Q3844" t="n">
        <v>0</v>
      </c>
      <c r="R3844" s="2" t="inlineStr"/>
    </row>
    <row r="3845" ht="15" customHeight="1">
      <c r="A3845" t="inlineStr">
        <is>
          <t>A 3332-2024</t>
        </is>
      </c>
      <c r="B3845" s="1" t="n">
        <v>45317</v>
      </c>
      <c r="C3845" s="1" t="n">
        <v>45724</v>
      </c>
      <c r="D3845" t="inlineStr">
        <is>
          <t>VÄSTMANLANDS LÄN</t>
        </is>
      </c>
      <c r="E3845" t="inlineStr">
        <is>
          <t>SALA</t>
        </is>
      </c>
      <c r="G3845" t="n">
        <v>2</v>
      </c>
      <c r="H3845" t="n">
        <v>0</v>
      </c>
      <c r="I3845" t="n">
        <v>0</v>
      </c>
      <c r="J3845" t="n">
        <v>0</v>
      </c>
      <c r="K3845" t="n">
        <v>0</v>
      </c>
      <c r="L3845" t="n">
        <v>0</v>
      </c>
      <c r="M3845" t="n">
        <v>0</v>
      </c>
      <c r="N3845" t="n">
        <v>0</v>
      </c>
      <c r="O3845" t="n">
        <v>0</v>
      </c>
      <c r="P3845" t="n">
        <v>0</v>
      </c>
      <c r="Q3845" t="n">
        <v>0</v>
      </c>
      <c r="R3845" s="2" t="inlineStr"/>
    </row>
    <row r="3846" ht="15" customHeight="1">
      <c r="A3846" t="inlineStr">
        <is>
          <t>A 3577-2024</t>
        </is>
      </c>
      <c r="B3846" s="1" t="n">
        <v>45320</v>
      </c>
      <c r="C3846" s="1" t="n">
        <v>45724</v>
      </c>
      <c r="D3846" t="inlineStr">
        <is>
          <t>VÄSTMANLANDS LÄN</t>
        </is>
      </c>
      <c r="E3846" t="inlineStr">
        <is>
          <t>SALA</t>
        </is>
      </c>
      <c r="F3846" t="inlineStr">
        <is>
          <t>Kommuner</t>
        </is>
      </c>
      <c r="G3846" t="n">
        <v>7.2</v>
      </c>
      <c r="H3846" t="n">
        <v>0</v>
      </c>
      <c r="I3846" t="n">
        <v>0</v>
      </c>
      <c r="J3846" t="n">
        <v>0</v>
      </c>
      <c r="K3846" t="n">
        <v>0</v>
      </c>
      <c r="L3846" t="n">
        <v>0</v>
      </c>
      <c r="M3846" t="n">
        <v>0</v>
      </c>
      <c r="N3846" t="n">
        <v>0</v>
      </c>
      <c r="O3846" t="n">
        <v>0</v>
      </c>
      <c r="P3846" t="n">
        <v>0</v>
      </c>
      <c r="Q3846" t="n">
        <v>0</v>
      </c>
      <c r="R3846" s="2" t="inlineStr"/>
    </row>
    <row r="3847" ht="15" customHeight="1">
      <c r="A3847" t="inlineStr">
        <is>
          <t>A 3527-2024</t>
        </is>
      </c>
      <c r="B3847" s="1" t="n">
        <v>45320</v>
      </c>
      <c r="C3847" s="1" t="n">
        <v>45724</v>
      </c>
      <c r="D3847" t="inlineStr">
        <is>
          <t>VÄSTMANLANDS LÄN</t>
        </is>
      </c>
      <c r="E3847" t="inlineStr">
        <is>
          <t>SALA</t>
        </is>
      </c>
      <c r="G3847" t="n">
        <v>1.7</v>
      </c>
      <c r="H3847" t="n">
        <v>0</v>
      </c>
      <c r="I3847" t="n">
        <v>0</v>
      </c>
      <c r="J3847" t="n">
        <v>0</v>
      </c>
      <c r="K3847" t="n">
        <v>0</v>
      </c>
      <c r="L3847" t="n">
        <v>0</v>
      </c>
      <c r="M3847" t="n">
        <v>0</v>
      </c>
      <c r="N3847" t="n">
        <v>0</v>
      </c>
      <c r="O3847" t="n">
        <v>0</v>
      </c>
      <c r="P3847" t="n">
        <v>0</v>
      </c>
      <c r="Q3847" t="n">
        <v>0</v>
      </c>
      <c r="R3847" s="2" t="inlineStr"/>
    </row>
    <row r="3848" ht="15" customHeight="1">
      <c r="A3848" t="inlineStr">
        <is>
          <t>A 3551-2024</t>
        </is>
      </c>
      <c r="B3848" s="1" t="n">
        <v>45320</v>
      </c>
      <c r="C3848" s="1" t="n">
        <v>45724</v>
      </c>
      <c r="D3848" t="inlineStr">
        <is>
          <t>VÄSTMANLANDS LÄN</t>
        </is>
      </c>
      <c r="E3848" t="inlineStr">
        <is>
          <t>SALA</t>
        </is>
      </c>
      <c r="F3848" t="inlineStr">
        <is>
          <t>Kommuner</t>
        </is>
      </c>
      <c r="G3848" t="n">
        <v>6</v>
      </c>
      <c r="H3848" t="n">
        <v>0</v>
      </c>
      <c r="I3848" t="n">
        <v>0</v>
      </c>
      <c r="J3848" t="n">
        <v>0</v>
      </c>
      <c r="K3848" t="n">
        <v>0</v>
      </c>
      <c r="L3848" t="n">
        <v>0</v>
      </c>
      <c r="M3848" t="n">
        <v>0</v>
      </c>
      <c r="N3848" t="n">
        <v>0</v>
      </c>
      <c r="O3848" t="n">
        <v>0</v>
      </c>
      <c r="P3848" t="n">
        <v>0</v>
      </c>
      <c r="Q3848" t="n">
        <v>0</v>
      </c>
      <c r="R3848" s="2" t="inlineStr"/>
    </row>
    <row r="3849" ht="15" customHeight="1">
      <c r="A3849" t="inlineStr">
        <is>
          <t>A 3587-2024</t>
        </is>
      </c>
      <c r="B3849" s="1" t="n">
        <v>45320</v>
      </c>
      <c r="C3849" s="1" t="n">
        <v>45724</v>
      </c>
      <c r="D3849" t="inlineStr">
        <is>
          <t>VÄSTMANLANDS LÄN</t>
        </is>
      </c>
      <c r="E3849" t="inlineStr">
        <is>
          <t>NORBERG</t>
        </is>
      </c>
      <c r="G3849" t="n">
        <v>0.4</v>
      </c>
      <c r="H3849" t="n">
        <v>0</v>
      </c>
      <c r="I3849" t="n">
        <v>0</v>
      </c>
      <c r="J3849" t="n">
        <v>0</v>
      </c>
      <c r="K3849" t="n">
        <v>0</v>
      </c>
      <c r="L3849" t="n">
        <v>0</v>
      </c>
      <c r="M3849" t="n">
        <v>0</v>
      </c>
      <c r="N3849" t="n">
        <v>0</v>
      </c>
      <c r="O3849" t="n">
        <v>0</v>
      </c>
      <c r="P3849" t="n">
        <v>0</v>
      </c>
      <c r="Q3849" t="n">
        <v>0</v>
      </c>
      <c r="R3849" s="2" t="inlineStr"/>
    </row>
    <row r="3850" ht="15" customHeight="1">
      <c r="A3850" t="inlineStr">
        <is>
          <t>A 3525-2024</t>
        </is>
      </c>
      <c r="B3850" s="1" t="n">
        <v>45320</v>
      </c>
      <c r="C3850" s="1" t="n">
        <v>45724</v>
      </c>
      <c r="D3850" t="inlineStr">
        <is>
          <t>VÄSTMANLANDS LÄN</t>
        </is>
      </c>
      <c r="E3850" t="inlineStr">
        <is>
          <t>SALA</t>
        </is>
      </c>
      <c r="G3850" t="n">
        <v>3.5</v>
      </c>
      <c r="H3850" t="n">
        <v>0</v>
      </c>
      <c r="I3850" t="n">
        <v>0</v>
      </c>
      <c r="J3850" t="n">
        <v>0</v>
      </c>
      <c r="K3850" t="n">
        <v>0</v>
      </c>
      <c r="L3850" t="n">
        <v>0</v>
      </c>
      <c r="M3850" t="n">
        <v>0</v>
      </c>
      <c r="N3850" t="n">
        <v>0</v>
      </c>
      <c r="O3850" t="n">
        <v>0</v>
      </c>
      <c r="P3850" t="n">
        <v>0</v>
      </c>
      <c r="Q3850" t="n">
        <v>0</v>
      </c>
      <c r="R3850" s="2" t="inlineStr"/>
    </row>
    <row r="3851" ht="15" customHeight="1">
      <c r="A3851" t="inlineStr">
        <is>
          <t>A 3570-2024</t>
        </is>
      </c>
      <c r="B3851" s="1" t="n">
        <v>45320</v>
      </c>
      <c r="C3851" s="1" t="n">
        <v>45724</v>
      </c>
      <c r="D3851" t="inlineStr">
        <is>
          <t>VÄSTMANLANDS LÄN</t>
        </is>
      </c>
      <c r="E3851" t="inlineStr">
        <is>
          <t>KÖPING</t>
        </is>
      </c>
      <c r="G3851" t="n">
        <v>3.6</v>
      </c>
      <c r="H3851" t="n">
        <v>0</v>
      </c>
      <c r="I3851" t="n">
        <v>0</v>
      </c>
      <c r="J3851" t="n">
        <v>0</v>
      </c>
      <c r="K3851" t="n">
        <v>0</v>
      </c>
      <c r="L3851" t="n">
        <v>0</v>
      </c>
      <c r="M3851" t="n">
        <v>0</v>
      </c>
      <c r="N3851" t="n">
        <v>0</v>
      </c>
      <c r="O3851" t="n">
        <v>0</v>
      </c>
      <c r="P3851" t="n">
        <v>0</v>
      </c>
      <c r="Q3851" t="n">
        <v>0</v>
      </c>
      <c r="R3851" s="2" t="inlineStr"/>
    </row>
    <row r="3852" ht="15" customHeight="1">
      <c r="A3852" t="inlineStr">
        <is>
          <t>A 3560-2024</t>
        </is>
      </c>
      <c r="B3852" s="1" t="n">
        <v>45320</v>
      </c>
      <c r="C3852" s="1" t="n">
        <v>45724</v>
      </c>
      <c r="D3852" t="inlineStr">
        <is>
          <t>VÄSTMANLANDS LÄN</t>
        </is>
      </c>
      <c r="E3852" t="inlineStr">
        <is>
          <t>SALA</t>
        </is>
      </c>
      <c r="F3852" t="inlineStr">
        <is>
          <t>Kommuner</t>
        </is>
      </c>
      <c r="G3852" t="n">
        <v>4.2</v>
      </c>
      <c r="H3852" t="n">
        <v>0</v>
      </c>
      <c r="I3852" t="n">
        <v>0</v>
      </c>
      <c r="J3852" t="n">
        <v>0</v>
      </c>
      <c r="K3852" t="n">
        <v>0</v>
      </c>
      <c r="L3852" t="n">
        <v>0</v>
      </c>
      <c r="M3852" t="n">
        <v>0</v>
      </c>
      <c r="N3852" t="n">
        <v>0</v>
      </c>
      <c r="O3852" t="n">
        <v>0</v>
      </c>
      <c r="P3852" t="n">
        <v>0</v>
      </c>
      <c r="Q3852" t="n">
        <v>0</v>
      </c>
      <c r="R3852" s="2" t="inlineStr"/>
    </row>
    <row r="3853" ht="15" customHeight="1">
      <c r="A3853" t="inlineStr">
        <is>
          <t>A 3755-2024</t>
        </is>
      </c>
      <c r="B3853" s="1" t="n">
        <v>45321</v>
      </c>
      <c r="C3853" s="1" t="n">
        <v>45724</v>
      </c>
      <c r="D3853" t="inlineStr">
        <is>
          <t>VÄSTMANLANDS LÄN</t>
        </is>
      </c>
      <c r="E3853" t="inlineStr">
        <is>
          <t>SKINNSKATTEBERG</t>
        </is>
      </c>
      <c r="F3853" t="inlineStr">
        <is>
          <t>Sveaskog</t>
        </is>
      </c>
      <c r="G3853" t="n">
        <v>2.7</v>
      </c>
      <c r="H3853" t="n">
        <v>0</v>
      </c>
      <c r="I3853" t="n">
        <v>0</v>
      </c>
      <c r="J3853" t="n">
        <v>0</v>
      </c>
      <c r="K3853" t="n">
        <v>0</v>
      </c>
      <c r="L3853" t="n">
        <v>0</v>
      </c>
      <c r="M3853" t="n">
        <v>0</v>
      </c>
      <c r="N3853" t="n">
        <v>0</v>
      </c>
      <c r="O3853" t="n">
        <v>0</v>
      </c>
      <c r="P3853" t="n">
        <v>0</v>
      </c>
      <c r="Q3853" t="n">
        <v>0</v>
      </c>
      <c r="R3853" s="2" t="inlineStr"/>
    </row>
    <row r="3854" ht="15" customHeight="1">
      <c r="A3854" t="inlineStr">
        <is>
          <t>A 3882-2024</t>
        </is>
      </c>
      <c r="B3854" s="1" t="n">
        <v>45322</v>
      </c>
      <c r="C3854" s="1" t="n">
        <v>45724</v>
      </c>
      <c r="D3854" t="inlineStr">
        <is>
          <t>VÄSTMANLANDS LÄN</t>
        </is>
      </c>
      <c r="E3854" t="inlineStr">
        <is>
          <t>VÄSTERÅS</t>
        </is>
      </c>
      <c r="G3854" t="n">
        <v>2.2</v>
      </c>
      <c r="H3854" t="n">
        <v>0</v>
      </c>
      <c r="I3854" t="n">
        <v>0</v>
      </c>
      <c r="J3854" t="n">
        <v>0</v>
      </c>
      <c r="K3854" t="n">
        <v>0</v>
      </c>
      <c r="L3854" t="n">
        <v>0</v>
      </c>
      <c r="M3854" t="n">
        <v>0</v>
      </c>
      <c r="N3854" t="n">
        <v>0</v>
      </c>
      <c r="O3854" t="n">
        <v>0</v>
      </c>
      <c r="P3854" t="n">
        <v>0</v>
      </c>
      <c r="Q3854" t="n">
        <v>0</v>
      </c>
      <c r="R3854" s="2" t="inlineStr"/>
    </row>
    <row r="3855" ht="15" customHeight="1">
      <c r="A3855" t="inlineStr">
        <is>
          <t>A 3887-2024</t>
        </is>
      </c>
      <c r="B3855" s="1" t="n">
        <v>45322</v>
      </c>
      <c r="C3855" s="1" t="n">
        <v>45724</v>
      </c>
      <c r="D3855" t="inlineStr">
        <is>
          <t>VÄSTMANLANDS LÄN</t>
        </is>
      </c>
      <c r="E3855" t="inlineStr">
        <is>
          <t>VÄSTERÅS</t>
        </is>
      </c>
      <c r="G3855" t="n">
        <v>0.8</v>
      </c>
      <c r="H3855" t="n">
        <v>0</v>
      </c>
      <c r="I3855" t="n">
        <v>0</v>
      </c>
      <c r="J3855" t="n">
        <v>0</v>
      </c>
      <c r="K3855" t="n">
        <v>0</v>
      </c>
      <c r="L3855" t="n">
        <v>0</v>
      </c>
      <c r="M3855" t="n">
        <v>0</v>
      </c>
      <c r="N3855" t="n">
        <v>0</v>
      </c>
      <c r="O3855" t="n">
        <v>0</v>
      </c>
      <c r="P3855" t="n">
        <v>0</v>
      </c>
      <c r="Q3855" t="n">
        <v>0</v>
      </c>
      <c r="R3855" s="2" t="inlineStr"/>
    </row>
    <row r="3856" ht="15" customHeight="1">
      <c r="A3856" t="inlineStr">
        <is>
          <t>A 3933-2024</t>
        </is>
      </c>
      <c r="B3856" s="1" t="n">
        <v>45322</v>
      </c>
      <c r="C3856" s="1" t="n">
        <v>45724</v>
      </c>
      <c r="D3856" t="inlineStr">
        <is>
          <t>VÄSTMANLANDS LÄN</t>
        </is>
      </c>
      <c r="E3856" t="inlineStr">
        <is>
          <t>KÖPING</t>
        </is>
      </c>
      <c r="G3856" t="n">
        <v>6.3</v>
      </c>
      <c r="H3856" t="n">
        <v>0</v>
      </c>
      <c r="I3856" t="n">
        <v>0</v>
      </c>
      <c r="J3856" t="n">
        <v>0</v>
      </c>
      <c r="K3856" t="n">
        <v>0</v>
      </c>
      <c r="L3856" t="n">
        <v>0</v>
      </c>
      <c r="M3856" t="n">
        <v>0</v>
      </c>
      <c r="N3856" t="n">
        <v>0</v>
      </c>
      <c r="O3856" t="n">
        <v>0</v>
      </c>
      <c r="P3856" t="n">
        <v>0</v>
      </c>
      <c r="Q3856" t="n">
        <v>0</v>
      </c>
      <c r="R3856" s="2" t="inlineStr"/>
    </row>
    <row r="3857" ht="15" customHeight="1">
      <c r="A3857" t="inlineStr">
        <is>
          <t>A 3945-2024</t>
        </is>
      </c>
      <c r="B3857" s="1" t="n">
        <v>45322</v>
      </c>
      <c r="C3857" s="1" t="n">
        <v>45724</v>
      </c>
      <c r="D3857" t="inlineStr">
        <is>
          <t>VÄSTMANLANDS LÄN</t>
        </is>
      </c>
      <c r="E3857" t="inlineStr">
        <is>
          <t>KÖPING</t>
        </is>
      </c>
      <c r="G3857" t="n">
        <v>1.6</v>
      </c>
      <c r="H3857" t="n">
        <v>0</v>
      </c>
      <c r="I3857" t="n">
        <v>0</v>
      </c>
      <c r="J3857" t="n">
        <v>0</v>
      </c>
      <c r="K3857" t="n">
        <v>0</v>
      </c>
      <c r="L3857" t="n">
        <v>0</v>
      </c>
      <c r="M3857" t="n">
        <v>0</v>
      </c>
      <c r="N3857" t="n">
        <v>0</v>
      </c>
      <c r="O3857" t="n">
        <v>0</v>
      </c>
      <c r="P3857" t="n">
        <v>0</v>
      </c>
      <c r="Q3857" t="n">
        <v>0</v>
      </c>
      <c r="R3857" s="2" t="inlineStr"/>
    </row>
    <row r="3858" ht="15" customHeight="1">
      <c r="A3858" t="inlineStr">
        <is>
          <t>A 4000-2024</t>
        </is>
      </c>
      <c r="B3858" s="1" t="n">
        <v>45322</v>
      </c>
      <c r="C3858" s="1" t="n">
        <v>45724</v>
      </c>
      <c r="D3858" t="inlineStr">
        <is>
          <t>VÄSTMANLANDS LÄN</t>
        </is>
      </c>
      <c r="E3858" t="inlineStr">
        <is>
          <t>SKINNSKATTEBERG</t>
        </is>
      </c>
      <c r="G3858" t="n">
        <v>14</v>
      </c>
      <c r="H3858" t="n">
        <v>0</v>
      </c>
      <c r="I3858" t="n">
        <v>0</v>
      </c>
      <c r="J3858" t="n">
        <v>0</v>
      </c>
      <c r="K3858" t="n">
        <v>0</v>
      </c>
      <c r="L3858" t="n">
        <v>0</v>
      </c>
      <c r="M3858" t="n">
        <v>0</v>
      </c>
      <c r="N3858" t="n">
        <v>0</v>
      </c>
      <c r="O3858" t="n">
        <v>0</v>
      </c>
      <c r="P3858" t="n">
        <v>0</v>
      </c>
      <c r="Q3858" t="n">
        <v>0</v>
      </c>
      <c r="R3858" s="2" t="inlineStr"/>
    </row>
    <row r="3859" ht="15" customHeight="1">
      <c r="A3859" t="inlineStr">
        <is>
          <t>A 4372-2024</t>
        </is>
      </c>
      <c r="B3859" s="1" t="n">
        <v>45326</v>
      </c>
      <c r="C3859" s="1" t="n">
        <v>45724</v>
      </c>
      <c r="D3859" t="inlineStr">
        <is>
          <t>VÄSTMANLANDS LÄN</t>
        </is>
      </c>
      <c r="E3859" t="inlineStr">
        <is>
          <t>VÄSTERÅS</t>
        </is>
      </c>
      <c r="G3859" t="n">
        <v>1.1</v>
      </c>
      <c r="H3859" t="n">
        <v>0</v>
      </c>
      <c r="I3859" t="n">
        <v>0</v>
      </c>
      <c r="J3859" t="n">
        <v>0</v>
      </c>
      <c r="K3859" t="n">
        <v>0</v>
      </c>
      <c r="L3859" t="n">
        <v>0</v>
      </c>
      <c r="M3859" t="n">
        <v>0</v>
      </c>
      <c r="N3859" t="n">
        <v>0</v>
      </c>
      <c r="O3859" t="n">
        <v>0</v>
      </c>
      <c r="P3859" t="n">
        <v>0</v>
      </c>
      <c r="Q3859" t="n">
        <v>0</v>
      </c>
      <c r="R3859" s="2" t="inlineStr"/>
    </row>
    <row r="3860" ht="15" customHeight="1">
      <c r="A3860" t="inlineStr">
        <is>
          <t>A 4417-2024</t>
        </is>
      </c>
      <c r="B3860" s="1" t="n">
        <v>45327</v>
      </c>
      <c r="C3860" s="1" t="n">
        <v>45724</v>
      </c>
      <c r="D3860" t="inlineStr">
        <is>
          <t>VÄSTMANLANDS LÄN</t>
        </is>
      </c>
      <c r="E3860" t="inlineStr">
        <is>
          <t>SALA</t>
        </is>
      </c>
      <c r="G3860" t="n">
        <v>3.7</v>
      </c>
      <c r="H3860" t="n">
        <v>0</v>
      </c>
      <c r="I3860" t="n">
        <v>0</v>
      </c>
      <c r="J3860" t="n">
        <v>0</v>
      </c>
      <c r="K3860" t="n">
        <v>0</v>
      </c>
      <c r="L3860" t="n">
        <v>0</v>
      </c>
      <c r="M3860" t="n">
        <v>0</v>
      </c>
      <c r="N3860" t="n">
        <v>0</v>
      </c>
      <c r="O3860" t="n">
        <v>0</v>
      </c>
      <c r="P3860" t="n">
        <v>0</v>
      </c>
      <c r="Q3860" t="n">
        <v>0</v>
      </c>
      <c r="R3860" s="2" t="inlineStr"/>
    </row>
    <row r="3861" ht="15" customHeight="1">
      <c r="A3861" t="inlineStr">
        <is>
          <t>A 4599-2024</t>
        </is>
      </c>
      <c r="B3861" s="1" t="n">
        <v>45328</v>
      </c>
      <c r="C3861" s="1" t="n">
        <v>45724</v>
      </c>
      <c r="D3861" t="inlineStr">
        <is>
          <t>VÄSTMANLANDS LÄN</t>
        </is>
      </c>
      <c r="E3861" t="inlineStr">
        <is>
          <t>NORBERG</t>
        </is>
      </c>
      <c r="F3861" t="inlineStr">
        <is>
          <t>Övriga Aktiebolag</t>
        </is>
      </c>
      <c r="G3861" t="n">
        <v>3.9</v>
      </c>
      <c r="H3861" t="n">
        <v>0</v>
      </c>
      <c r="I3861" t="n">
        <v>0</v>
      </c>
      <c r="J3861" t="n">
        <v>0</v>
      </c>
      <c r="K3861" t="n">
        <v>0</v>
      </c>
      <c r="L3861" t="n">
        <v>0</v>
      </c>
      <c r="M3861" t="n">
        <v>0</v>
      </c>
      <c r="N3861" t="n">
        <v>0</v>
      </c>
      <c r="O3861" t="n">
        <v>0</v>
      </c>
      <c r="P3861" t="n">
        <v>0</v>
      </c>
      <c r="Q3861" t="n">
        <v>0</v>
      </c>
      <c r="R3861" s="2" t="inlineStr"/>
    </row>
    <row r="3862" ht="15" customHeight="1">
      <c r="A3862" t="inlineStr">
        <is>
          <t>A 4711-2024</t>
        </is>
      </c>
      <c r="B3862" s="1" t="n">
        <v>45328</v>
      </c>
      <c r="C3862" s="1" t="n">
        <v>45724</v>
      </c>
      <c r="D3862" t="inlineStr">
        <is>
          <t>VÄSTMANLANDS LÄN</t>
        </is>
      </c>
      <c r="E3862" t="inlineStr">
        <is>
          <t>KÖPING</t>
        </is>
      </c>
      <c r="F3862" t="inlineStr">
        <is>
          <t>Sveaskog</t>
        </is>
      </c>
      <c r="G3862" t="n">
        <v>1.1</v>
      </c>
      <c r="H3862" t="n">
        <v>0</v>
      </c>
      <c r="I3862" t="n">
        <v>0</v>
      </c>
      <c r="J3862" t="n">
        <v>0</v>
      </c>
      <c r="K3862" t="n">
        <v>0</v>
      </c>
      <c r="L3862" t="n">
        <v>0</v>
      </c>
      <c r="M3862" t="n">
        <v>0</v>
      </c>
      <c r="N3862" t="n">
        <v>0</v>
      </c>
      <c r="O3862" t="n">
        <v>0</v>
      </c>
      <c r="P3862" t="n">
        <v>0</v>
      </c>
      <c r="Q3862" t="n">
        <v>0</v>
      </c>
      <c r="R3862" s="2" t="inlineStr"/>
    </row>
    <row r="3863" ht="15" customHeight="1">
      <c r="A3863" t="inlineStr">
        <is>
          <t>A 4713-2024</t>
        </is>
      </c>
      <c r="B3863" s="1" t="n">
        <v>45328</v>
      </c>
      <c r="C3863" s="1" t="n">
        <v>45724</v>
      </c>
      <c r="D3863" t="inlineStr">
        <is>
          <t>VÄSTMANLANDS LÄN</t>
        </is>
      </c>
      <c r="E3863" t="inlineStr">
        <is>
          <t>KÖPING</t>
        </is>
      </c>
      <c r="F3863" t="inlineStr">
        <is>
          <t>Sveaskog</t>
        </is>
      </c>
      <c r="G3863" t="n">
        <v>2.1</v>
      </c>
      <c r="H3863" t="n">
        <v>0</v>
      </c>
      <c r="I3863" t="n">
        <v>0</v>
      </c>
      <c r="J3863" t="n">
        <v>0</v>
      </c>
      <c r="K3863" t="n">
        <v>0</v>
      </c>
      <c r="L3863" t="n">
        <v>0</v>
      </c>
      <c r="M3863" t="n">
        <v>0</v>
      </c>
      <c r="N3863" t="n">
        <v>0</v>
      </c>
      <c r="O3863" t="n">
        <v>0</v>
      </c>
      <c r="P3863" t="n">
        <v>0</v>
      </c>
      <c r="Q3863" t="n">
        <v>0</v>
      </c>
      <c r="R3863" s="2" t="inlineStr"/>
    </row>
    <row r="3864" ht="15" customHeight="1">
      <c r="A3864" t="inlineStr">
        <is>
          <t>A 4614-2024</t>
        </is>
      </c>
      <c r="B3864" s="1" t="n">
        <v>45328</v>
      </c>
      <c r="C3864" s="1" t="n">
        <v>45724</v>
      </c>
      <c r="D3864" t="inlineStr">
        <is>
          <t>VÄSTMANLANDS LÄN</t>
        </is>
      </c>
      <c r="E3864" t="inlineStr">
        <is>
          <t>KÖPING</t>
        </is>
      </c>
      <c r="G3864" t="n">
        <v>8.699999999999999</v>
      </c>
      <c r="H3864" t="n">
        <v>0</v>
      </c>
      <c r="I3864" t="n">
        <v>0</v>
      </c>
      <c r="J3864" t="n">
        <v>0</v>
      </c>
      <c r="K3864" t="n">
        <v>0</v>
      </c>
      <c r="L3864" t="n">
        <v>0</v>
      </c>
      <c r="M3864" t="n">
        <v>0</v>
      </c>
      <c r="N3864" t="n">
        <v>0</v>
      </c>
      <c r="O3864" t="n">
        <v>0</v>
      </c>
      <c r="P3864" t="n">
        <v>0</v>
      </c>
      <c r="Q3864" t="n">
        <v>0</v>
      </c>
      <c r="R3864" s="2" t="inlineStr"/>
    </row>
    <row r="3865" ht="15" customHeight="1">
      <c r="A3865" t="inlineStr">
        <is>
          <t>A 4759-2024</t>
        </is>
      </c>
      <c r="B3865" s="1" t="n">
        <v>45328</v>
      </c>
      <c r="C3865" s="1" t="n">
        <v>45724</v>
      </c>
      <c r="D3865" t="inlineStr">
        <is>
          <t>VÄSTMANLANDS LÄN</t>
        </is>
      </c>
      <c r="E3865" t="inlineStr">
        <is>
          <t>SURAHAMMAR</t>
        </is>
      </c>
      <c r="F3865" t="inlineStr">
        <is>
          <t>Bergvik skog väst AB</t>
        </is>
      </c>
      <c r="G3865" t="n">
        <v>2.3</v>
      </c>
      <c r="H3865" t="n">
        <v>0</v>
      </c>
      <c r="I3865" t="n">
        <v>0</v>
      </c>
      <c r="J3865" t="n">
        <v>0</v>
      </c>
      <c r="K3865" t="n">
        <v>0</v>
      </c>
      <c r="L3865" t="n">
        <v>0</v>
      </c>
      <c r="M3865" t="n">
        <v>0</v>
      </c>
      <c r="N3865" t="n">
        <v>0</v>
      </c>
      <c r="O3865" t="n">
        <v>0</v>
      </c>
      <c r="P3865" t="n">
        <v>0</v>
      </c>
      <c r="Q3865" t="n">
        <v>0</v>
      </c>
      <c r="R3865" s="2" t="inlineStr"/>
    </row>
    <row r="3866" ht="15" customHeight="1">
      <c r="A3866" t="inlineStr">
        <is>
          <t>A 4924-2024</t>
        </is>
      </c>
      <c r="B3866" s="1" t="n">
        <v>45329</v>
      </c>
      <c r="C3866" s="1" t="n">
        <v>45724</v>
      </c>
      <c r="D3866" t="inlineStr">
        <is>
          <t>VÄSTMANLANDS LÄN</t>
        </is>
      </c>
      <c r="E3866" t="inlineStr">
        <is>
          <t>VÄSTERÅS</t>
        </is>
      </c>
      <c r="G3866" t="n">
        <v>2.3</v>
      </c>
      <c r="H3866" t="n">
        <v>0</v>
      </c>
      <c r="I3866" t="n">
        <v>0</v>
      </c>
      <c r="J3866" t="n">
        <v>0</v>
      </c>
      <c r="K3866" t="n">
        <v>0</v>
      </c>
      <c r="L3866" t="n">
        <v>0</v>
      </c>
      <c r="M3866" t="n">
        <v>0</v>
      </c>
      <c r="N3866" t="n">
        <v>0</v>
      </c>
      <c r="O3866" t="n">
        <v>0</v>
      </c>
      <c r="P3866" t="n">
        <v>0</v>
      </c>
      <c r="Q3866" t="n">
        <v>0</v>
      </c>
      <c r="R3866" s="2" t="inlineStr"/>
    </row>
    <row r="3867" ht="15" customHeight="1">
      <c r="A3867" t="inlineStr">
        <is>
          <t>A 4897-2024</t>
        </is>
      </c>
      <c r="B3867" s="1" t="n">
        <v>45329</v>
      </c>
      <c r="C3867" s="1" t="n">
        <v>45724</v>
      </c>
      <c r="D3867" t="inlineStr">
        <is>
          <t>VÄSTMANLANDS LÄN</t>
        </is>
      </c>
      <c r="E3867" t="inlineStr">
        <is>
          <t>SALA</t>
        </is>
      </c>
      <c r="G3867" t="n">
        <v>3.4</v>
      </c>
      <c r="H3867" t="n">
        <v>0</v>
      </c>
      <c r="I3867" t="n">
        <v>0</v>
      </c>
      <c r="J3867" t="n">
        <v>0</v>
      </c>
      <c r="K3867" t="n">
        <v>0</v>
      </c>
      <c r="L3867" t="n">
        <v>0</v>
      </c>
      <c r="M3867" t="n">
        <v>0</v>
      </c>
      <c r="N3867" t="n">
        <v>0</v>
      </c>
      <c r="O3867" t="n">
        <v>0</v>
      </c>
      <c r="P3867" t="n">
        <v>0</v>
      </c>
      <c r="Q3867" t="n">
        <v>0</v>
      </c>
      <c r="R3867" s="2" t="inlineStr"/>
    </row>
    <row r="3868" ht="15" customHeight="1">
      <c r="A3868" t="inlineStr">
        <is>
          <t>A 4981-2024</t>
        </is>
      </c>
      <c r="B3868" s="1" t="n">
        <v>45329</v>
      </c>
      <c r="C3868" s="1" t="n">
        <v>45724</v>
      </c>
      <c r="D3868" t="inlineStr">
        <is>
          <t>VÄSTMANLANDS LÄN</t>
        </is>
      </c>
      <c r="E3868" t="inlineStr">
        <is>
          <t>KÖPING</t>
        </is>
      </c>
      <c r="G3868" t="n">
        <v>1</v>
      </c>
      <c r="H3868" t="n">
        <v>0</v>
      </c>
      <c r="I3868" t="n">
        <v>0</v>
      </c>
      <c r="J3868" t="n">
        <v>0</v>
      </c>
      <c r="K3868" t="n">
        <v>0</v>
      </c>
      <c r="L3868" t="n">
        <v>0</v>
      </c>
      <c r="M3868" t="n">
        <v>0</v>
      </c>
      <c r="N3868" t="n">
        <v>0</v>
      </c>
      <c r="O3868" t="n">
        <v>0</v>
      </c>
      <c r="P3868" t="n">
        <v>0</v>
      </c>
      <c r="Q3868" t="n">
        <v>0</v>
      </c>
      <c r="R3868" s="2" t="inlineStr"/>
    </row>
    <row r="3869" ht="15" customHeight="1">
      <c r="A3869" t="inlineStr">
        <is>
          <t>A 5001-2024</t>
        </is>
      </c>
      <c r="B3869" s="1" t="n">
        <v>45329</v>
      </c>
      <c r="C3869" s="1" t="n">
        <v>45724</v>
      </c>
      <c r="D3869" t="inlineStr">
        <is>
          <t>VÄSTMANLANDS LÄN</t>
        </is>
      </c>
      <c r="E3869" t="inlineStr">
        <is>
          <t>SKINNSKATTEBERG</t>
        </is>
      </c>
      <c r="G3869" t="n">
        <v>3.4</v>
      </c>
      <c r="H3869" t="n">
        <v>0</v>
      </c>
      <c r="I3869" t="n">
        <v>0</v>
      </c>
      <c r="J3869" t="n">
        <v>0</v>
      </c>
      <c r="K3869" t="n">
        <v>0</v>
      </c>
      <c r="L3869" t="n">
        <v>0</v>
      </c>
      <c r="M3869" t="n">
        <v>0</v>
      </c>
      <c r="N3869" t="n">
        <v>0</v>
      </c>
      <c r="O3869" t="n">
        <v>0</v>
      </c>
      <c r="P3869" t="n">
        <v>0</v>
      </c>
      <c r="Q3869" t="n">
        <v>0</v>
      </c>
      <c r="R3869" s="2" t="inlineStr"/>
    </row>
    <row r="3870" ht="15" customHeight="1">
      <c r="A3870" t="inlineStr">
        <is>
          <t>A 5168-2024</t>
        </is>
      </c>
      <c r="B3870" s="1" t="n">
        <v>45330</v>
      </c>
      <c r="C3870" s="1" t="n">
        <v>45724</v>
      </c>
      <c r="D3870" t="inlineStr">
        <is>
          <t>VÄSTMANLANDS LÄN</t>
        </is>
      </c>
      <c r="E3870" t="inlineStr">
        <is>
          <t>SURAHAMMAR</t>
        </is>
      </c>
      <c r="F3870" t="inlineStr">
        <is>
          <t>Övriga Aktiebolag</t>
        </is>
      </c>
      <c r="G3870" t="n">
        <v>3.4</v>
      </c>
      <c r="H3870" t="n">
        <v>0</v>
      </c>
      <c r="I3870" t="n">
        <v>0</v>
      </c>
      <c r="J3870" t="n">
        <v>0</v>
      </c>
      <c r="K3870" t="n">
        <v>0</v>
      </c>
      <c r="L3870" t="n">
        <v>0</v>
      </c>
      <c r="M3870" t="n">
        <v>0</v>
      </c>
      <c r="N3870" t="n">
        <v>0</v>
      </c>
      <c r="O3870" t="n">
        <v>0</v>
      </c>
      <c r="P3870" t="n">
        <v>0</v>
      </c>
      <c r="Q3870" t="n">
        <v>0</v>
      </c>
      <c r="R3870" s="2" t="inlineStr"/>
    </row>
    <row r="3871" ht="15" customHeight="1">
      <c r="A3871" t="inlineStr">
        <is>
          <t>A 5154-2024</t>
        </is>
      </c>
      <c r="B3871" s="1" t="n">
        <v>45330</v>
      </c>
      <c r="C3871" s="1" t="n">
        <v>45724</v>
      </c>
      <c r="D3871" t="inlineStr">
        <is>
          <t>VÄSTMANLANDS LÄN</t>
        </is>
      </c>
      <c r="E3871" t="inlineStr">
        <is>
          <t>SKINNSKATTEBERG</t>
        </is>
      </c>
      <c r="G3871" t="n">
        <v>12.4</v>
      </c>
      <c r="H3871" t="n">
        <v>0</v>
      </c>
      <c r="I3871" t="n">
        <v>0</v>
      </c>
      <c r="J3871" t="n">
        <v>0</v>
      </c>
      <c r="K3871" t="n">
        <v>0</v>
      </c>
      <c r="L3871" t="n">
        <v>0</v>
      </c>
      <c r="M3871" t="n">
        <v>0</v>
      </c>
      <c r="N3871" t="n">
        <v>0</v>
      </c>
      <c r="O3871" t="n">
        <v>0</v>
      </c>
      <c r="P3871" t="n">
        <v>0</v>
      </c>
      <c r="Q3871" t="n">
        <v>0</v>
      </c>
      <c r="R3871" s="2" t="inlineStr"/>
    </row>
    <row r="3872" ht="15" customHeight="1">
      <c r="A3872" t="inlineStr">
        <is>
          <t>A 5301-2024</t>
        </is>
      </c>
      <c r="B3872" s="1" t="n">
        <v>45331</v>
      </c>
      <c r="C3872" s="1" t="n">
        <v>45724</v>
      </c>
      <c r="D3872" t="inlineStr">
        <is>
          <t>VÄSTMANLANDS LÄN</t>
        </is>
      </c>
      <c r="E3872" t="inlineStr">
        <is>
          <t>VÄSTERÅS</t>
        </is>
      </c>
      <c r="G3872" t="n">
        <v>2.5</v>
      </c>
      <c r="H3872" t="n">
        <v>0</v>
      </c>
      <c r="I3872" t="n">
        <v>0</v>
      </c>
      <c r="J3872" t="n">
        <v>0</v>
      </c>
      <c r="K3872" t="n">
        <v>0</v>
      </c>
      <c r="L3872" t="n">
        <v>0</v>
      </c>
      <c r="M3872" t="n">
        <v>0</v>
      </c>
      <c r="N3872" t="n">
        <v>0</v>
      </c>
      <c r="O3872" t="n">
        <v>0</v>
      </c>
      <c r="P3872" t="n">
        <v>0</v>
      </c>
      <c r="Q3872" t="n">
        <v>0</v>
      </c>
      <c r="R3872" s="2" t="inlineStr"/>
    </row>
    <row r="3873" ht="15" customHeight="1">
      <c r="A3873" t="inlineStr">
        <is>
          <t>A 5478-2024</t>
        </is>
      </c>
      <c r="B3873" s="1" t="n">
        <v>45333</v>
      </c>
      <c r="C3873" s="1" t="n">
        <v>45724</v>
      </c>
      <c r="D3873" t="inlineStr">
        <is>
          <t>VÄSTMANLANDS LÄN</t>
        </is>
      </c>
      <c r="E3873" t="inlineStr">
        <is>
          <t>SALA</t>
        </is>
      </c>
      <c r="G3873" t="n">
        <v>1.5</v>
      </c>
      <c r="H3873" t="n">
        <v>0</v>
      </c>
      <c r="I3873" t="n">
        <v>0</v>
      </c>
      <c r="J3873" t="n">
        <v>0</v>
      </c>
      <c r="K3873" t="n">
        <v>0</v>
      </c>
      <c r="L3873" t="n">
        <v>0</v>
      </c>
      <c r="M3873" t="n">
        <v>0</v>
      </c>
      <c r="N3873" t="n">
        <v>0</v>
      </c>
      <c r="O3873" t="n">
        <v>0</v>
      </c>
      <c r="P3873" t="n">
        <v>0</v>
      </c>
      <c r="Q3873" t="n">
        <v>0</v>
      </c>
      <c r="R3873" s="2" t="inlineStr"/>
    </row>
    <row r="3874" ht="15" customHeight="1">
      <c r="A3874" t="inlineStr">
        <is>
          <t>A 5477-2024</t>
        </is>
      </c>
      <c r="B3874" s="1" t="n">
        <v>45333</v>
      </c>
      <c r="C3874" s="1" t="n">
        <v>45724</v>
      </c>
      <c r="D3874" t="inlineStr">
        <is>
          <t>VÄSTMANLANDS LÄN</t>
        </is>
      </c>
      <c r="E3874" t="inlineStr">
        <is>
          <t>SALA</t>
        </is>
      </c>
      <c r="G3874" t="n">
        <v>2.3</v>
      </c>
      <c r="H3874" t="n">
        <v>0</v>
      </c>
      <c r="I3874" t="n">
        <v>0</v>
      </c>
      <c r="J3874" t="n">
        <v>0</v>
      </c>
      <c r="K3874" t="n">
        <v>0</v>
      </c>
      <c r="L3874" t="n">
        <v>0</v>
      </c>
      <c r="M3874" t="n">
        <v>0</v>
      </c>
      <c r="N3874" t="n">
        <v>0</v>
      </c>
      <c r="O3874" t="n">
        <v>0</v>
      </c>
      <c r="P3874" t="n">
        <v>0</v>
      </c>
      <c r="Q3874" t="n">
        <v>0</v>
      </c>
      <c r="R3874" s="2" t="inlineStr"/>
    </row>
    <row r="3875" ht="15" customHeight="1">
      <c r="A3875" t="inlineStr">
        <is>
          <t>A 5546-2024</t>
        </is>
      </c>
      <c r="B3875" s="1" t="n">
        <v>45334</v>
      </c>
      <c r="C3875" s="1" t="n">
        <v>45724</v>
      </c>
      <c r="D3875" t="inlineStr">
        <is>
          <t>VÄSTMANLANDS LÄN</t>
        </is>
      </c>
      <c r="E3875" t="inlineStr">
        <is>
          <t>VÄSTERÅS</t>
        </is>
      </c>
      <c r="G3875" t="n">
        <v>2.6</v>
      </c>
      <c r="H3875" t="n">
        <v>0</v>
      </c>
      <c r="I3875" t="n">
        <v>0</v>
      </c>
      <c r="J3875" t="n">
        <v>0</v>
      </c>
      <c r="K3875" t="n">
        <v>0</v>
      </c>
      <c r="L3875" t="n">
        <v>0</v>
      </c>
      <c r="M3875" t="n">
        <v>0</v>
      </c>
      <c r="N3875" t="n">
        <v>0</v>
      </c>
      <c r="O3875" t="n">
        <v>0</v>
      </c>
      <c r="P3875" t="n">
        <v>0</v>
      </c>
      <c r="Q3875" t="n">
        <v>0</v>
      </c>
      <c r="R3875" s="2" t="inlineStr"/>
    </row>
    <row r="3876" ht="15" customHeight="1">
      <c r="A3876" t="inlineStr">
        <is>
          <t>A 5548-2024</t>
        </is>
      </c>
      <c r="B3876" s="1" t="n">
        <v>45334</v>
      </c>
      <c r="C3876" s="1" t="n">
        <v>45724</v>
      </c>
      <c r="D3876" t="inlineStr">
        <is>
          <t>VÄSTMANLANDS LÄN</t>
        </is>
      </c>
      <c r="E3876" t="inlineStr">
        <is>
          <t>VÄSTERÅS</t>
        </is>
      </c>
      <c r="G3876" t="n">
        <v>0.7</v>
      </c>
      <c r="H3876" t="n">
        <v>0</v>
      </c>
      <c r="I3876" t="n">
        <v>0</v>
      </c>
      <c r="J3876" t="n">
        <v>0</v>
      </c>
      <c r="K3876" t="n">
        <v>0</v>
      </c>
      <c r="L3876" t="n">
        <v>0</v>
      </c>
      <c r="M3876" t="n">
        <v>0</v>
      </c>
      <c r="N3876" t="n">
        <v>0</v>
      </c>
      <c r="O3876" t="n">
        <v>0</v>
      </c>
      <c r="P3876" t="n">
        <v>0</v>
      </c>
      <c r="Q3876" t="n">
        <v>0</v>
      </c>
      <c r="R3876" s="2" t="inlineStr"/>
    </row>
    <row r="3877" ht="15" customHeight="1">
      <c r="A3877" t="inlineStr">
        <is>
          <t>A 5696-2024</t>
        </is>
      </c>
      <c r="B3877" s="1" t="n">
        <v>45334</v>
      </c>
      <c r="C3877" s="1" t="n">
        <v>45724</v>
      </c>
      <c r="D3877" t="inlineStr">
        <is>
          <t>VÄSTMANLANDS LÄN</t>
        </is>
      </c>
      <c r="E3877" t="inlineStr">
        <is>
          <t>VÄSTERÅS</t>
        </is>
      </c>
      <c r="G3877" t="n">
        <v>5.6</v>
      </c>
      <c r="H3877" t="n">
        <v>0</v>
      </c>
      <c r="I3877" t="n">
        <v>0</v>
      </c>
      <c r="J3877" t="n">
        <v>0</v>
      </c>
      <c r="K3877" t="n">
        <v>0</v>
      </c>
      <c r="L3877" t="n">
        <v>0</v>
      </c>
      <c r="M3877" t="n">
        <v>0</v>
      </c>
      <c r="N3877" t="n">
        <v>0</v>
      </c>
      <c r="O3877" t="n">
        <v>0</v>
      </c>
      <c r="P3877" t="n">
        <v>0</v>
      </c>
      <c r="Q3877" t="n">
        <v>0</v>
      </c>
      <c r="R3877" s="2" t="inlineStr"/>
    </row>
    <row r="3878" ht="15" customHeight="1">
      <c r="A3878" t="inlineStr">
        <is>
          <t>A 5705-2024</t>
        </is>
      </c>
      <c r="B3878" s="1" t="n">
        <v>45334</v>
      </c>
      <c r="C3878" s="1" t="n">
        <v>45724</v>
      </c>
      <c r="D3878" t="inlineStr">
        <is>
          <t>VÄSTMANLANDS LÄN</t>
        </is>
      </c>
      <c r="E3878" t="inlineStr">
        <is>
          <t>SALA</t>
        </is>
      </c>
      <c r="G3878" t="n">
        <v>2.1</v>
      </c>
      <c r="H3878" t="n">
        <v>0</v>
      </c>
      <c r="I3878" t="n">
        <v>0</v>
      </c>
      <c r="J3878" t="n">
        <v>0</v>
      </c>
      <c r="K3878" t="n">
        <v>0</v>
      </c>
      <c r="L3878" t="n">
        <v>0</v>
      </c>
      <c r="M3878" t="n">
        <v>0</v>
      </c>
      <c r="N3878" t="n">
        <v>0</v>
      </c>
      <c r="O3878" t="n">
        <v>0</v>
      </c>
      <c r="P3878" t="n">
        <v>0</v>
      </c>
      <c r="Q3878" t="n">
        <v>0</v>
      </c>
      <c r="R3878" s="2" t="inlineStr"/>
    </row>
    <row r="3879" ht="15" customHeight="1">
      <c r="A3879" t="inlineStr">
        <is>
          <t>A 5952-2024</t>
        </is>
      </c>
      <c r="B3879" s="1" t="n">
        <v>45335</v>
      </c>
      <c r="C3879" s="1" t="n">
        <v>45724</v>
      </c>
      <c r="D3879" t="inlineStr">
        <is>
          <t>VÄSTMANLANDS LÄN</t>
        </is>
      </c>
      <c r="E3879" t="inlineStr">
        <is>
          <t>KUNGSÖR</t>
        </is>
      </c>
      <c r="G3879" t="n">
        <v>2.1</v>
      </c>
      <c r="H3879" t="n">
        <v>0</v>
      </c>
      <c r="I3879" t="n">
        <v>0</v>
      </c>
      <c r="J3879" t="n">
        <v>0</v>
      </c>
      <c r="K3879" t="n">
        <v>0</v>
      </c>
      <c r="L3879" t="n">
        <v>0</v>
      </c>
      <c r="M3879" t="n">
        <v>0</v>
      </c>
      <c r="N3879" t="n">
        <v>0</v>
      </c>
      <c r="O3879" t="n">
        <v>0</v>
      </c>
      <c r="P3879" t="n">
        <v>0</v>
      </c>
      <c r="Q3879" t="n">
        <v>0</v>
      </c>
      <c r="R3879" s="2" t="inlineStr"/>
    </row>
    <row r="3880" ht="15" customHeight="1">
      <c r="A3880" t="inlineStr">
        <is>
          <t>A 5977-2024</t>
        </is>
      </c>
      <c r="B3880" s="1" t="n">
        <v>45336</v>
      </c>
      <c r="C3880" s="1" t="n">
        <v>45724</v>
      </c>
      <c r="D3880" t="inlineStr">
        <is>
          <t>VÄSTMANLANDS LÄN</t>
        </is>
      </c>
      <c r="E3880" t="inlineStr">
        <is>
          <t>SALA</t>
        </is>
      </c>
      <c r="G3880" t="n">
        <v>13.1</v>
      </c>
      <c r="H3880" t="n">
        <v>0</v>
      </c>
      <c r="I3880" t="n">
        <v>0</v>
      </c>
      <c r="J3880" t="n">
        <v>0</v>
      </c>
      <c r="K3880" t="n">
        <v>0</v>
      </c>
      <c r="L3880" t="n">
        <v>0</v>
      </c>
      <c r="M3880" t="n">
        <v>0</v>
      </c>
      <c r="N3880" t="n">
        <v>0</v>
      </c>
      <c r="O3880" t="n">
        <v>0</v>
      </c>
      <c r="P3880" t="n">
        <v>0</v>
      </c>
      <c r="Q3880" t="n">
        <v>0</v>
      </c>
      <c r="R3880" s="2" t="inlineStr"/>
    </row>
    <row r="3881" ht="15" customHeight="1">
      <c r="A3881" t="inlineStr">
        <is>
          <t>A 6030-2024</t>
        </is>
      </c>
      <c r="B3881" s="1" t="n">
        <v>45336</v>
      </c>
      <c r="C3881" s="1" t="n">
        <v>45724</v>
      </c>
      <c r="D3881" t="inlineStr">
        <is>
          <t>VÄSTMANLANDS LÄN</t>
        </is>
      </c>
      <c r="E3881" t="inlineStr">
        <is>
          <t>SALA</t>
        </is>
      </c>
      <c r="G3881" t="n">
        <v>3.9</v>
      </c>
      <c r="H3881" t="n">
        <v>0</v>
      </c>
      <c r="I3881" t="n">
        <v>0</v>
      </c>
      <c r="J3881" t="n">
        <v>0</v>
      </c>
      <c r="K3881" t="n">
        <v>0</v>
      </c>
      <c r="L3881" t="n">
        <v>0</v>
      </c>
      <c r="M3881" t="n">
        <v>0</v>
      </c>
      <c r="N3881" t="n">
        <v>0</v>
      </c>
      <c r="O3881" t="n">
        <v>0</v>
      </c>
      <c r="P3881" t="n">
        <v>0</v>
      </c>
      <c r="Q3881" t="n">
        <v>0</v>
      </c>
      <c r="R3881" s="2" t="inlineStr"/>
    </row>
    <row r="3882" ht="15" customHeight="1">
      <c r="A3882" t="inlineStr">
        <is>
          <t>A 5984-2024</t>
        </is>
      </c>
      <c r="B3882" s="1" t="n">
        <v>45336</v>
      </c>
      <c r="C3882" s="1" t="n">
        <v>45724</v>
      </c>
      <c r="D3882" t="inlineStr">
        <is>
          <t>VÄSTMANLANDS LÄN</t>
        </is>
      </c>
      <c r="E3882" t="inlineStr">
        <is>
          <t>SALA</t>
        </is>
      </c>
      <c r="G3882" t="n">
        <v>0.7</v>
      </c>
      <c r="H3882" t="n">
        <v>0</v>
      </c>
      <c r="I3882" t="n">
        <v>0</v>
      </c>
      <c r="J3882" t="n">
        <v>0</v>
      </c>
      <c r="K3882" t="n">
        <v>0</v>
      </c>
      <c r="L3882" t="n">
        <v>0</v>
      </c>
      <c r="M3882" t="n">
        <v>0</v>
      </c>
      <c r="N3882" t="n">
        <v>0</v>
      </c>
      <c r="O3882" t="n">
        <v>0</v>
      </c>
      <c r="P3882" t="n">
        <v>0</v>
      </c>
      <c r="Q3882" t="n">
        <v>0</v>
      </c>
      <c r="R3882" s="2" t="inlineStr"/>
    </row>
    <row r="3883" ht="15" customHeight="1">
      <c r="A3883" t="inlineStr">
        <is>
          <t>A 6134-2024</t>
        </is>
      </c>
      <c r="B3883" s="1" t="n">
        <v>45337</v>
      </c>
      <c r="C3883" s="1" t="n">
        <v>45724</v>
      </c>
      <c r="D3883" t="inlineStr">
        <is>
          <t>VÄSTMANLANDS LÄN</t>
        </is>
      </c>
      <c r="E3883" t="inlineStr">
        <is>
          <t>SALA</t>
        </is>
      </c>
      <c r="G3883" t="n">
        <v>1.8</v>
      </c>
      <c r="H3883" t="n">
        <v>0</v>
      </c>
      <c r="I3883" t="n">
        <v>0</v>
      </c>
      <c r="J3883" t="n">
        <v>0</v>
      </c>
      <c r="K3883" t="n">
        <v>0</v>
      </c>
      <c r="L3883" t="n">
        <v>0</v>
      </c>
      <c r="M3883" t="n">
        <v>0</v>
      </c>
      <c r="N3883" t="n">
        <v>0</v>
      </c>
      <c r="O3883" t="n">
        <v>0</v>
      </c>
      <c r="P3883" t="n">
        <v>0</v>
      </c>
      <c r="Q3883" t="n">
        <v>0</v>
      </c>
      <c r="R3883" s="2" t="inlineStr"/>
    </row>
    <row r="3884" ht="15" customHeight="1">
      <c r="A3884" t="inlineStr">
        <is>
          <t>A 6400-2024</t>
        </is>
      </c>
      <c r="B3884" s="1" t="n">
        <v>45338</v>
      </c>
      <c r="C3884" s="1" t="n">
        <v>45724</v>
      </c>
      <c r="D3884" t="inlineStr">
        <is>
          <t>VÄSTMANLANDS LÄN</t>
        </is>
      </c>
      <c r="E3884" t="inlineStr">
        <is>
          <t>VÄSTERÅS</t>
        </is>
      </c>
      <c r="G3884" t="n">
        <v>2.9</v>
      </c>
      <c r="H3884" t="n">
        <v>0</v>
      </c>
      <c r="I3884" t="n">
        <v>0</v>
      </c>
      <c r="J3884" t="n">
        <v>0</v>
      </c>
      <c r="K3884" t="n">
        <v>0</v>
      </c>
      <c r="L3884" t="n">
        <v>0</v>
      </c>
      <c r="M3884" t="n">
        <v>0</v>
      </c>
      <c r="N3884" t="n">
        <v>0</v>
      </c>
      <c r="O3884" t="n">
        <v>0</v>
      </c>
      <c r="P3884" t="n">
        <v>0</v>
      </c>
      <c r="Q3884" t="n">
        <v>0</v>
      </c>
      <c r="R3884" s="2" t="inlineStr"/>
    </row>
    <row r="3885" ht="15" customHeight="1">
      <c r="A3885" t="inlineStr">
        <is>
          <t>A 6572-2024</t>
        </is>
      </c>
      <c r="B3885" s="1" t="n">
        <v>45338</v>
      </c>
      <c r="C3885" s="1" t="n">
        <v>45724</v>
      </c>
      <c r="D3885" t="inlineStr">
        <is>
          <t>VÄSTMANLANDS LÄN</t>
        </is>
      </c>
      <c r="E3885" t="inlineStr">
        <is>
          <t>SALA</t>
        </is>
      </c>
      <c r="G3885" t="n">
        <v>0.5</v>
      </c>
      <c r="H3885" t="n">
        <v>0</v>
      </c>
      <c r="I3885" t="n">
        <v>0</v>
      </c>
      <c r="J3885" t="n">
        <v>0</v>
      </c>
      <c r="K3885" t="n">
        <v>0</v>
      </c>
      <c r="L3885" t="n">
        <v>0</v>
      </c>
      <c r="M3885" t="n">
        <v>0</v>
      </c>
      <c r="N3885" t="n">
        <v>0</v>
      </c>
      <c r="O3885" t="n">
        <v>0</v>
      </c>
      <c r="P3885" t="n">
        <v>0</v>
      </c>
      <c r="Q3885" t="n">
        <v>0</v>
      </c>
      <c r="R3885" s="2" t="inlineStr"/>
    </row>
    <row r="3886" ht="15" customHeight="1">
      <c r="A3886" t="inlineStr">
        <is>
          <t>A 6538-2024</t>
        </is>
      </c>
      <c r="B3886" s="1" t="n">
        <v>45338</v>
      </c>
      <c r="C3886" s="1" t="n">
        <v>45724</v>
      </c>
      <c r="D3886" t="inlineStr">
        <is>
          <t>VÄSTMANLANDS LÄN</t>
        </is>
      </c>
      <c r="E3886" t="inlineStr">
        <is>
          <t>SALA</t>
        </is>
      </c>
      <c r="G3886" t="n">
        <v>8.300000000000001</v>
      </c>
      <c r="H3886" t="n">
        <v>0</v>
      </c>
      <c r="I3886" t="n">
        <v>0</v>
      </c>
      <c r="J3886" t="n">
        <v>0</v>
      </c>
      <c r="K3886" t="n">
        <v>0</v>
      </c>
      <c r="L3886" t="n">
        <v>0</v>
      </c>
      <c r="M3886" t="n">
        <v>0</v>
      </c>
      <c r="N3886" t="n">
        <v>0</v>
      </c>
      <c r="O3886" t="n">
        <v>0</v>
      </c>
      <c r="P3886" t="n">
        <v>0</v>
      </c>
      <c r="Q3886" t="n">
        <v>0</v>
      </c>
      <c r="R3886" s="2" t="inlineStr"/>
    </row>
    <row r="3887" ht="15" customHeight="1">
      <c r="A3887" t="inlineStr">
        <is>
          <t>A 6601-2024</t>
        </is>
      </c>
      <c r="B3887" s="1" t="n">
        <v>45338</v>
      </c>
      <c r="C3887" s="1" t="n">
        <v>45724</v>
      </c>
      <c r="D3887" t="inlineStr">
        <is>
          <t>VÄSTMANLANDS LÄN</t>
        </is>
      </c>
      <c r="E3887" t="inlineStr">
        <is>
          <t>SALA</t>
        </is>
      </c>
      <c r="G3887" t="n">
        <v>4</v>
      </c>
      <c r="H3887" t="n">
        <v>0</v>
      </c>
      <c r="I3887" t="n">
        <v>0</v>
      </c>
      <c r="J3887" t="n">
        <v>0</v>
      </c>
      <c r="K3887" t="n">
        <v>0</v>
      </c>
      <c r="L3887" t="n">
        <v>0</v>
      </c>
      <c r="M3887" t="n">
        <v>0</v>
      </c>
      <c r="N3887" t="n">
        <v>0</v>
      </c>
      <c r="O3887" t="n">
        <v>0</v>
      </c>
      <c r="P3887" t="n">
        <v>0</v>
      </c>
      <c r="Q3887" t="n">
        <v>0</v>
      </c>
      <c r="R3887" s="2" t="inlineStr"/>
    </row>
    <row r="3888" ht="15" customHeight="1">
      <c r="A3888" t="inlineStr">
        <is>
          <t>A 6585-2024</t>
        </is>
      </c>
      <c r="B3888" s="1" t="n">
        <v>45338</v>
      </c>
      <c r="C3888" s="1" t="n">
        <v>45724</v>
      </c>
      <c r="D3888" t="inlineStr">
        <is>
          <t>VÄSTMANLANDS LÄN</t>
        </is>
      </c>
      <c r="E3888" t="inlineStr">
        <is>
          <t>SALA</t>
        </is>
      </c>
      <c r="G3888" t="n">
        <v>9.699999999999999</v>
      </c>
      <c r="H3888" t="n">
        <v>0</v>
      </c>
      <c r="I3888" t="n">
        <v>0</v>
      </c>
      <c r="J3888" t="n">
        <v>0</v>
      </c>
      <c r="K3888" t="n">
        <v>0</v>
      </c>
      <c r="L3888" t="n">
        <v>0</v>
      </c>
      <c r="M3888" t="n">
        <v>0</v>
      </c>
      <c r="N3888" t="n">
        <v>0</v>
      </c>
      <c r="O3888" t="n">
        <v>0</v>
      </c>
      <c r="P3888" t="n">
        <v>0</v>
      </c>
      <c r="Q3888" t="n">
        <v>0</v>
      </c>
      <c r="R3888" s="2" t="inlineStr"/>
    </row>
    <row r="3889" ht="15" customHeight="1">
      <c r="A3889" t="inlineStr">
        <is>
          <t>A 6541-2024</t>
        </is>
      </c>
      <c r="B3889" s="1" t="n">
        <v>45338</v>
      </c>
      <c r="C3889" s="1" t="n">
        <v>45724</v>
      </c>
      <c r="D3889" t="inlineStr">
        <is>
          <t>VÄSTMANLANDS LÄN</t>
        </is>
      </c>
      <c r="E3889" t="inlineStr">
        <is>
          <t>SALA</t>
        </is>
      </c>
      <c r="G3889" t="n">
        <v>0.8</v>
      </c>
      <c r="H3889" t="n">
        <v>0</v>
      </c>
      <c r="I3889" t="n">
        <v>0</v>
      </c>
      <c r="J3889" t="n">
        <v>0</v>
      </c>
      <c r="K3889" t="n">
        <v>0</v>
      </c>
      <c r="L3889" t="n">
        <v>0</v>
      </c>
      <c r="M3889" t="n">
        <v>0</v>
      </c>
      <c r="N3889" t="n">
        <v>0</v>
      </c>
      <c r="O3889" t="n">
        <v>0</v>
      </c>
      <c r="P3889" t="n">
        <v>0</v>
      </c>
      <c r="Q3889" t="n">
        <v>0</v>
      </c>
      <c r="R3889" s="2" t="inlineStr"/>
    </row>
    <row r="3890" ht="15" customHeight="1">
      <c r="A3890" t="inlineStr">
        <is>
          <t>A 6666-2024</t>
        </is>
      </c>
      <c r="B3890" s="1" t="n">
        <v>45341</v>
      </c>
      <c r="C3890" s="1" t="n">
        <v>45724</v>
      </c>
      <c r="D3890" t="inlineStr">
        <is>
          <t>VÄSTMANLANDS LÄN</t>
        </is>
      </c>
      <c r="E3890" t="inlineStr">
        <is>
          <t>ARBOGA</t>
        </is>
      </c>
      <c r="G3890" t="n">
        <v>1.5</v>
      </c>
      <c r="H3890" t="n">
        <v>0</v>
      </c>
      <c r="I3890" t="n">
        <v>0</v>
      </c>
      <c r="J3890" t="n">
        <v>0</v>
      </c>
      <c r="K3890" t="n">
        <v>0</v>
      </c>
      <c r="L3890" t="n">
        <v>0</v>
      </c>
      <c r="M3890" t="n">
        <v>0</v>
      </c>
      <c r="N3890" t="n">
        <v>0</v>
      </c>
      <c r="O3890" t="n">
        <v>0</v>
      </c>
      <c r="P3890" t="n">
        <v>0</v>
      </c>
      <c r="Q3890" t="n">
        <v>0</v>
      </c>
      <c r="R3890" s="2" t="inlineStr"/>
    </row>
    <row r="3891" ht="15" customHeight="1">
      <c r="A3891" t="inlineStr">
        <is>
          <t>A 6664-2024</t>
        </is>
      </c>
      <c r="B3891" s="1" t="n">
        <v>45341</v>
      </c>
      <c r="C3891" s="1" t="n">
        <v>45724</v>
      </c>
      <c r="D3891" t="inlineStr">
        <is>
          <t>VÄSTMANLANDS LÄN</t>
        </is>
      </c>
      <c r="E3891" t="inlineStr">
        <is>
          <t>ARBOGA</t>
        </is>
      </c>
      <c r="G3891" t="n">
        <v>1.2</v>
      </c>
      <c r="H3891" t="n">
        <v>0</v>
      </c>
      <c r="I3891" t="n">
        <v>0</v>
      </c>
      <c r="J3891" t="n">
        <v>0</v>
      </c>
      <c r="K3891" t="n">
        <v>0</v>
      </c>
      <c r="L3891" t="n">
        <v>0</v>
      </c>
      <c r="M3891" t="n">
        <v>0</v>
      </c>
      <c r="N3891" t="n">
        <v>0</v>
      </c>
      <c r="O3891" t="n">
        <v>0</v>
      </c>
      <c r="P3891" t="n">
        <v>0</v>
      </c>
      <c r="Q3891" t="n">
        <v>0</v>
      </c>
      <c r="R3891" s="2" t="inlineStr"/>
    </row>
    <row r="3892" ht="15" customHeight="1">
      <c r="A3892" t="inlineStr">
        <is>
          <t>A 6657-2024</t>
        </is>
      </c>
      <c r="B3892" s="1" t="n">
        <v>45341</v>
      </c>
      <c r="C3892" s="1" t="n">
        <v>45724</v>
      </c>
      <c r="D3892" t="inlineStr">
        <is>
          <t>VÄSTMANLANDS LÄN</t>
        </is>
      </c>
      <c r="E3892" t="inlineStr">
        <is>
          <t>SALA</t>
        </is>
      </c>
      <c r="G3892" t="n">
        <v>0.8</v>
      </c>
      <c r="H3892" t="n">
        <v>0</v>
      </c>
      <c r="I3892" t="n">
        <v>0</v>
      </c>
      <c r="J3892" t="n">
        <v>0</v>
      </c>
      <c r="K3892" t="n">
        <v>0</v>
      </c>
      <c r="L3892" t="n">
        <v>0</v>
      </c>
      <c r="M3892" t="n">
        <v>0</v>
      </c>
      <c r="N3892" t="n">
        <v>0</v>
      </c>
      <c r="O3892" t="n">
        <v>0</v>
      </c>
      <c r="P3892" t="n">
        <v>0</v>
      </c>
      <c r="Q3892" t="n">
        <v>0</v>
      </c>
      <c r="R3892" s="2" t="inlineStr"/>
    </row>
    <row r="3893" ht="15" customHeight="1">
      <c r="A3893" t="inlineStr">
        <is>
          <t>A 7787-2024</t>
        </is>
      </c>
      <c r="B3893" s="1" t="n">
        <v>45348</v>
      </c>
      <c r="C3893" s="1" t="n">
        <v>45724</v>
      </c>
      <c r="D3893" t="inlineStr">
        <is>
          <t>VÄSTMANLANDS LÄN</t>
        </is>
      </c>
      <c r="E3893" t="inlineStr">
        <is>
          <t>SURAHAMMAR</t>
        </is>
      </c>
      <c r="G3893" t="n">
        <v>1</v>
      </c>
      <c r="H3893" t="n">
        <v>0</v>
      </c>
      <c r="I3893" t="n">
        <v>0</v>
      </c>
      <c r="J3893" t="n">
        <v>0</v>
      </c>
      <c r="K3893" t="n">
        <v>0</v>
      </c>
      <c r="L3893" t="n">
        <v>0</v>
      </c>
      <c r="M3893" t="n">
        <v>0</v>
      </c>
      <c r="N3893" t="n">
        <v>0</v>
      </c>
      <c r="O3893" t="n">
        <v>0</v>
      </c>
      <c r="P3893" t="n">
        <v>0</v>
      </c>
      <c r="Q3893" t="n">
        <v>0</v>
      </c>
      <c r="R3893" s="2" t="inlineStr"/>
    </row>
    <row r="3894" ht="15" customHeight="1">
      <c r="A3894" t="inlineStr">
        <is>
          <t>A 7765-2024</t>
        </is>
      </c>
      <c r="B3894" s="1" t="n">
        <v>45349</v>
      </c>
      <c r="C3894" s="1" t="n">
        <v>45724</v>
      </c>
      <c r="D3894" t="inlineStr">
        <is>
          <t>VÄSTMANLANDS LÄN</t>
        </is>
      </c>
      <c r="E3894" t="inlineStr">
        <is>
          <t>VÄSTERÅS</t>
        </is>
      </c>
      <c r="G3894" t="n">
        <v>5.6</v>
      </c>
      <c r="H3894" t="n">
        <v>0</v>
      </c>
      <c r="I3894" t="n">
        <v>0</v>
      </c>
      <c r="J3894" t="n">
        <v>0</v>
      </c>
      <c r="K3894" t="n">
        <v>0</v>
      </c>
      <c r="L3894" t="n">
        <v>0</v>
      </c>
      <c r="M3894" t="n">
        <v>0</v>
      </c>
      <c r="N3894" t="n">
        <v>0</v>
      </c>
      <c r="O3894" t="n">
        <v>0</v>
      </c>
      <c r="P3894" t="n">
        <v>0</v>
      </c>
      <c r="Q3894" t="n">
        <v>0</v>
      </c>
      <c r="R3894" s="2" t="inlineStr"/>
    </row>
    <row r="3895" ht="15" customHeight="1">
      <c r="A3895" t="inlineStr">
        <is>
          <t>A 7782-2024</t>
        </is>
      </c>
      <c r="B3895" s="1" t="n">
        <v>45349</v>
      </c>
      <c r="C3895" s="1" t="n">
        <v>45724</v>
      </c>
      <c r="D3895" t="inlineStr">
        <is>
          <t>VÄSTMANLANDS LÄN</t>
        </is>
      </c>
      <c r="E3895" t="inlineStr">
        <is>
          <t>SURAHAMMAR</t>
        </is>
      </c>
      <c r="F3895" t="inlineStr">
        <is>
          <t>Sveaskog</t>
        </is>
      </c>
      <c r="G3895" t="n">
        <v>2.6</v>
      </c>
      <c r="H3895" t="n">
        <v>0</v>
      </c>
      <c r="I3895" t="n">
        <v>0</v>
      </c>
      <c r="J3895" t="n">
        <v>0</v>
      </c>
      <c r="K3895" t="n">
        <v>0</v>
      </c>
      <c r="L3895" t="n">
        <v>0</v>
      </c>
      <c r="M3895" t="n">
        <v>0</v>
      </c>
      <c r="N3895" t="n">
        <v>0</v>
      </c>
      <c r="O3895" t="n">
        <v>0</v>
      </c>
      <c r="P3895" t="n">
        <v>0</v>
      </c>
      <c r="Q3895" t="n">
        <v>0</v>
      </c>
      <c r="R3895" s="2" t="inlineStr"/>
    </row>
    <row r="3896" ht="15" customHeight="1">
      <c r="A3896" t="inlineStr">
        <is>
          <t>A 7769-2024</t>
        </is>
      </c>
      <c r="B3896" s="1" t="n">
        <v>45349</v>
      </c>
      <c r="C3896" s="1" t="n">
        <v>45724</v>
      </c>
      <c r="D3896" t="inlineStr">
        <is>
          <t>VÄSTMANLANDS LÄN</t>
        </is>
      </c>
      <c r="E3896" t="inlineStr">
        <is>
          <t>VÄSTERÅS</t>
        </is>
      </c>
      <c r="G3896" t="n">
        <v>3.7</v>
      </c>
      <c r="H3896" t="n">
        <v>0</v>
      </c>
      <c r="I3896" t="n">
        <v>0</v>
      </c>
      <c r="J3896" t="n">
        <v>0</v>
      </c>
      <c r="K3896" t="n">
        <v>0</v>
      </c>
      <c r="L3896" t="n">
        <v>0</v>
      </c>
      <c r="M3896" t="n">
        <v>0</v>
      </c>
      <c r="N3896" t="n">
        <v>0</v>
      </c>
      <c r="O3896" t="n">
        <v>0</v>
      </c>
      <c r="P3896" t="n">
        <v>0</v>
      </c>
      <c r="Q3896" t="n">
        <v>0</v>
      </c>
      <c r="R3896" s="2" t="inlineStr"/>
    </row>
    <row r="3897" ht="15" customHeight="1">
      <c r="A3897" t="inlineStr">
        <is>
          <t>A 7953-2024</t>
        </is>
      </c>
      <c r="B3897" s="1" t="n">
        <v>45350</v>
      </c>
      <c r="C3897" s="1" t="n">
        <v>45724</v>
      </c>
      <c r="D3897" t="inlineStr">
        <is>
          <t>VÄSTMANLANDS LÄN</t>
        </is>
      </c>
      <c r="E3897" t="inlineStr">
        <is>
          <t>SALA</t>
        </is>
      </c>
      <c r="G3897" t="n">
        <v>2.6</v>
      </c>
      <c r="H3897" t="n">
        <v>0</v>
      </c>
      <c r="I3897" t="n">
        <v>0</v>
      </c>
      <c r="J3897" t="n">
        <v>0</v>
      </c>
      <c r="K3897" t="n">
        <v>0</v>
      </c>
      <c r="L3897" t="n">
        <v>0</v>
      </c>
      <c r="M3897" t="n">
        <v>0</v>
      </c>
      <c r="N3897" t="n">
        <v>0</v>
      </c>
      <c r="O3897" t="n">
        <v>0</v>
      </c>
      <c r="P3897" t="n">
        <v>0</v>
      </c>
      <c r="Q3897" t="n">
        <v>0</v>
      </c>
      <c r="R3897" s="2" t="inlineStr"/>
    </row>
    <row r="3898" ht="15" customHeight="1">
      <c r="A3898" t="inlineStr">
        <is>
          <t>A 8066-2024</t>
        </is>
      </c>
      <c r="B3898" s="1" t="n">
        <v>45351</v>
      </c>
      <c r="C3898" s="1" t="n">
        <v>45724</v>
      </c>
      <c r="D3898" t="inlineStr">
        <is>
          <t>VÄSTMANLANDS LÄN</t>
        </is>
      </c>
      <c r="E3898" t="inlineStr">
        <is>
          <t>SURAHAMMAR</t>
        </is>
      </c>
      <c r="G3898" t="n">
        <v>12.7</v>
      </c>
      <c r="H3898" t="n">
        <v>0</v>
      </c>
      <c r="I3898" t="n">
        <v>0</v>
      </c>
      <c r="J3898" t="n">
        <v>0</v>
      </c>
      <c r="K3898" t="n">
        <v>0</v>
      </c>
      <c r="L3898" t="n">
        <v>0</v>
      </c>
      <c r="M3898" t="n">
        <v>0</v>
      </c>
      <c r="N3898" t="n">
        <v>0</v>
      </c>
      <c r="O3898" t="n">
        <v>0</v>
      </c>
      <c r="P3898" t="n">
        <v>0</v>
      </c>
      <c r="Q3898" t="n">
        <v>0</v>
      </c>
      <c r="R3898" s="2" t="inlineStr"/>
    </row>
    <row r="3899" ht="15" customHeight="1">
      <c r="A3899" t="inlineStr">
        <is>
          <t>A 8521-2024</t>
        </is>
      </c>
      <c r="B3899" s="1" t="n">
        <v>45355</v>
      </c>
      <c r="C3899" s="1" t="n">
        <v>45724</v>
      </c>
      <c r="D3899" t="inlineStr">
        <is>
          <t>VÄSTMANLANDS LÄN</t>
        </is>
      </c>
      <c r="E3899" t="inlineStr">
        <is>
          <t>HALLSTAHAMMAR</t>
        </is>
      </c>
      <c r="G3899" t="n">
        <v>1.8</v>
      </c>
      <c r="H3899" t="n">
        <v>0</v>
      </c>
      <c r="I3899" t="n">
        <v>0</v>
      </c>
      <c r="J3899" t="n">
        <v>0</v>
      </c>
      <c r="K3899" t="n">
        <v>0</v>
      </c>
      <c r="L3899" t="n">
        <v>0</v>
      </c>
      <c r="M3899" t="n">
        <v>0</v>
      </c>
      <c r="N3899" t="n">
        <v>0</v>
      </c>
      <c r="O3899" t="n">
        <v>0</v>
      </c>
      <c r="P3899" t="n">
        <v>0</v>
      </c>
      <c r="Q3899" t="n">
        <v>0</v>
      </c>
      <c r="R3899" s="2" t="inlineStr"/>
    </row>
    <row r="3900" ht="15" customHeight="1">
      <c r="A3900" t="inlineStr">
        <is>
          <t>A 8580-2024</t>
        </is>
      </c>
      <c r="B3900" s="1" t="n">
        <v>45355</v>
      </c>
      <c r="C3900" s="1" t="n">
        <v>45724</v>
      </c>
      <c r="D3900" t="inlineStr">
        <is>
          <t>VÄSTMANLANDS LÄN</t>
        </is>
      </c>
      <c r="E3900" t="inlineStr">
        <is>
          <t>ARBOGA</t>
        </is>
      </c>
      <c r="F3900" t="inlineStr">
        <is>
          <t>Allmännings- och besparingsskogar</t>
        </is>
      </c>
      <c r="G3900" t="n">
        <v>3.3</v>
      </c>
      <c r="H3900" t="n">
        <v>0</v>
      </c>
      <c r="I3900" t="n">
        <v>0</v>
      </c>
      <c r="J3900" t="n">
        <v>0</v>
      </c>
      <c r="K3900" t="n">
        <v>0</v>
      </c>
      <c r="L3900" t="n">
        <v>0</v>
      </c>
      <c r="M3900" t="n">
        <v>0</v>
      </c>
      <c r="N3900" t="n">
        <v>0</v>
      </c>
      <c r="O3900" t="n">
        <v>0</v>
      </c>
      <c r="P3900" t="n">
        <v>0</v>
      </c>
      <c r="Q3900" t="n">
        <v>0</v>
      </c>
      <c r="R3900" s="2" t="inlineStr"/>
    </row>
    <row r="3901" ht="15" customHeight="1">
      <c r="A3901" t="inlineStr">
        <is>
          <t>A 8591-2024</t>
        </is>
      </c>
      <c r="B3901" s="1" t="n">
        <v>45355</v>
      </c>
      <c r="C3901" s="1" t="n">
        <v>45724</v>
      </c>
      <c r="D3901" t="inlineStr">
        <is>
          <t>VÄSTMANLANDS LÄN</t>
        </is>
      </c>
      <c r="E3901" t="inlineStr">
        <is>
          <t>SALA</t>
        </is>
      </c>
      <c r="G3901" t="n">
        <v>4.6</v>
      </c>
      <c r="H3901" t="n">
        <v>0</v>
      </c>
      <c r="I3901" t="n">
        <v>0</v>
      </c>
      <c r="J3901" t="n">
        <v>0</v>
      </c>
      <c r="K3901" t="n">
        <v>0</v>
      </c>
      <c r="L3901" t="n">
        <v>0</v>
      </c>
      <c r="M3901" t="n">
        <v>0</v>
      </c>
      <c r="N3901" t="n">
        <v>0</v>
      </c>
      <c r="O3901" t="n">
        <v>0</v>
      </c>
      <c r="P3901" t="n">
        <v>0</v>
      </c>
      <c r="Q3901" t="n">
        <v>0</v>
      </c>
      <c r="R3901" s="2" t="inlineStr"/>
    </row>
    <row r="3902" ht="15" customHeight="1">
      <c r="A3902" t="inlineStr">
        <is>
          <t>A 8775-2024</t>
        </is>
      </c>
      <c r="B3902" s="1" t="n">
        <v>45356</v>
      </c>
      <c r="C3902" s="1" t="n">
        <v>45724</v>
      </c>
      <c r="D3902" t="inlineStr">
        <is>
          <t>VÄSTMANLANDS LÄN</t>
        </is>
      </c>
      <c r="E3902" t="inlineStr">
        <is>
          <t>SALA</t>
        </is>
      </c>
      <c r="G3902" t="n">
        <v>0.6</v>
      </c>
      <c r="H3902" t="n">
        <v>0</v>
      </c>
      <c r="I3902" t="n">
        <v>0</v>
      </c>
      <c r="J3902" t="n">
        <v>0</v>
      </c>
      <c r="K3902" t="n">
        <v>0</v>
      </c>
      <c r="L3902" t="n">
        <v>0</v>
      </c>
      <c r="M3902" t="n">
        <v>0</v>
      </c>
      <c r="N3902" t="n">
        <v>0</v>
      </c>
      <c r="O3902" t="n">
        <v>0</v>
      </c>
      <c r="P3902" t="n">
        <v>0</v>
      </c>
      <c r="Q3902" t="n">
        <v>0</v>
      </c>
      <c r="R3902" s="2" t="inlineStr"/>
    </row>
    <row r="3903" ht="15" customHeight="1">
      <c r="A3903" t="inlineStr">
        <is>
          <t>A 8793-2024</t>
        </is>
      </c>
      <c r="B3903" s="1" t="n">
        <v>45356</v>
      </c>
      <c r="C3903" s="1" t="n">
        <v>45724</v>
      </c>
      <c r="D3903" t="inlineStr">
        <is>
          <t>VÄSTMANLANDS LÄN</t>
        </is>
      </c>
      <c r="E3903" t="inlineStr">
        <is>
          <t>SALA</t>
        </is>
      </c>
      <c r="G3903" t="n">
        <v>2</v>
      </c>
      <c r="H3903" t="n">
        <v>0</v>
      </c>
      <c r="I3903" t="n">
        <v>0</v>
      </c>
      <c r="J3903" t="n">
        <v>0</v>
      </c>
      <c r="K3903" t="n">
        <v>0</v>
      </c>
      <c r="L3903" t="n">
        <v>0</v>
      </c>
      <c r="M3903" t="n">
        <v>0</v>
      </c>
      <c r="N3903" t="n">
        <v>0</v>
      </c>
      <c r="O3903" t="n">
        <v>0</v>
      </c>
      <c r="P3903" t="n">
        <v>0</v>
      </c>
      <c r="Q3903" t="n">
        <v>0</v>
      </c>
      <c r="R3903" s="2" t="inlineStr"/>
    </row>
    <row r="3904" ht="15" customHeight="1">
      <c r="A3904" t="inlineStr">
        <is>
          <t>A 8683-2024</t>
        </is>
      </c>
      <c r="B3904" s="1" t="n">
        <v>45356</v>
      </c>
      <c r="C3904" s="1" t="n">
        <v>45724</v>
      </c>
      <c r="D3904" t="inlineStr">
        <is>
          <t>VÄSTMANLANDS LÄN</t>
        </is>
      </c>
      <c r="E3904" t="inlineStr">
        <is>
          <t>KÖPING</t>
        </is>
      </c>
      <c r="F3904" t="inlineStr">
        <is>
          <t>Kommuner</t>
        </is>
      </c>
      <c r="G3904" t="n">
        <v>2.9</v>
      </c>
      <c r="H3904" t="n">
        <v>0</v>
      </c>
      <c r="I3904" t="n">
        <v>0</v>
      </c>
      <c r="J3904" t="n">
        <v>0</v>
      </c>
      <c r="K3904" t="n">
        <v>0</v>
      </c>
      <c r="L3904" t="n">
        <v>0</v>
      </c>
      <c r="M3904" t="n">
        <v>0</v>
      </c>
      <c r="N3904" t="n">
        <v>0</v>
      </c>
      <c r="O3904" t="n">
        <v>0</v>
      </c>
      <c r="P3904" t="n">
        <v>0</v>
      </c>
      <c r="Q3904" t="n">
        <v>0</v>
      </c>
      <c r="R3904" s="2" t="inlineStr"/>
    </row>
    <row r="3905" ht="15" customHeight="1">
      <c r="A3905" t="inlineStr">
        <is>
          <t>A 8703-2024</t>
        </is>
      </c>
      <c r="B3905" s="1" t="n">
        <v>45356</v>
      </c>
      <c r="C3905" s="1" t="n">
        <v>45724</v>
      </c>
      <c r="D3905" t="inlineStr">
        <is>
          <t>VÄSTMANLANDS LÄN</t>
        </is>
      </c>
      <c r="E3905" t="inlineStr">
        <is>
          <t>KÖPING</t>
        </is>
      </c>
      <c r="G3905" t="n">
        <v>6.5</v>
      </c>
      <c r="H3905" t="n">
        <v>0</v>
      </c>
      <c r="I3905" t="n">
        <v>0</v>
      </c>
      <c r="J3905" t="n">
        <v>0</v>
      </c>
      <c r="K3905" t="n">
        <v>0</v>
      </c>
      <c r="L3905" t="n">
        <v>0</v>
      </c>
      <c r="M3905" t="n">
        <v>0</v>
      </c>
      <c r="N3905" t="n">
        <v>0</v>
      </c>
      <c r="O3905" t="n">
        <v>0</v>
      </c>
      <c r="P3905" t="n">
        <v>0</v>
      </c>
      <c r="Q3905" t="n">
        <v>0</v>
      </c>
      <c r="R3905" s="2" t="inlineStr"/>
    </row>
    <row r="3906" ht="15" customHeight="1">
      <c r="A3906" t="inlineStr">
        <is>
          <t>A 8778-2024</t>
        </is>
      </c>
      <c r="B3906" s="1" t="n">
        <v>45356</v>
      </c>
      <c r="C3906" s="1" t="n">
        <v>45724</v>
      </c>
      <c r="D3906" t="inlineStr">
        <is>
          <t>VÄSTMANLANDS LÄN</t>
        </is>
      </c>
      <c r="E3906" t="inlineStr">
        <is>
          <t>SALA</t>
        </is>
      </c>
      <c r="G3906" t="n">
        <v>0.8</v>
      </c>
      <c r="H3906" t="n">
        <v>0</v>
      </c>
      <c r="I3906" t="n">
        <v>0</v>
      </c>
      <c r="J3906" t="n">
        <v>0</v>
      </c>
      <c r="K3906" t="n">
        <v>0</v>
      </c>
      <c r="L3906" t="n">
        <v>0</v>
      </c>
      <c r="M3906" t="n">
        <v>0</v>
      </c>
      <c r="N3906" t="n">
        <v>0</v>
      </c>
      <c r="O3906" t="n">
        <v>0</v>
      </c>
      <c r="P3906" t="n">
        <v>0</v>
      </c>
      <c r="Q3906" t="n">
        <v>0</v>
      </c>
      <c r="R3906" s="2" t="inlineStr"/>
    </row>
    <row r="3907" ht="15" customHeight="1">
      <c r="A3907" t="inlineStr">
        <is>
          <t>A 9205-2024</t>
        </is>
      </c>
      <c r="B3907" s="1" t="n">
        <v>45358</v>
      </c>
      <c r="C3907" s="1" t="n">
        <v>45724</v>
      </c>
      <c r="D3907" t="inlineStr">
        <is>
          <t>VÄSTMANLANDS LÄN</t>
        </is>
      </c>
      <c r="E3907" t="inlineStr">
        <is>
          <t>SALA</t>
        </is>
      </c>
      <c r="G3907" t="n">
        <v>0.8</v>
      </c>
      <c r="H3907" t="n">
        <v>0</v>
      </c>
      <c r="I3907" t="n">
        <v>0</v>
      </c>
      <c r="J3907" t="n">
        <v>0</v>
      </c>
      <c r="K3907" t="n">
        <v>0</v>
      </c>
      <c r="L3907" t="n">
        <v>0</v>
      </c>
      <c r="M3907" t="n">
        <v>0</v>
      </c>
      <c r="N3907" t="n">
        <v>0</v>
      </c>
      <c r="O3907" t="n">
        <v>0</v>
      </c>
      <c r="P3907" t="n">
        <v>0</v>
      </c>
      <c r="Q3907" t="n">
        <v>0</v>
      </c>
      <c r="R3907" s="2" t="inlineStr"/>
    </row>
    <row r="3908" ht="15" customHeight="1">
      <c r="A3908" t="inlineStr">
        <is>
          <t>A 9303-2024</t>
        </is>
      </c>
      <c r="B3908" s="1" t="n">
        <v>45358</v>
      </c>
      <c r="C3908" s="1" t="n">
        <v>45724</v>
      </c>
      <c r="D3908" t="inlineStr">
        <is>
          <t>VÄSTMANLANDS LÄN</t>
        </is>
      </c>
      <c r="E3908" t="inlineStr">
        <is>
          <t>KÖPING</t>
        </is>
      </c>
      <c r="G3908" t="n">
        <v>2.3</v>
      </c>
      <c r="H3908" t="n">
        <v>0</v>
      </c>
      <c r="I3908" t="n">
        <v>0</v>
      </c>
      <c r="J3908" t="n">
        <v>0</v>
      </c>
      <c r="K3908" t="n">
        <v>0</v>
      </c>
      <c r="L3908" t="n">
        <v>0</v>
      </c>
      <c r="M3908" t="n">
        <v>0</v>
      </c>
      <c r="N3908" t="n">
        <v>0</v>
      </c>
      <c r="O3908" t="n">
        <v>0</v>
      </c>
      <c r="P3908" t="n">
        <v>0</v>
      </c>
      <c r="Q3908" t="n">
        <v>0</v>
      </c>
      <c r="R3908" s="2" t="inlineStr"/>
    </row>
    <row r="3909" ht="15" customHeight="1">
      <c r="A3909" t="inlineStr">
        <is>
          <t>A 9302-2024</t>
        </is>
      </c>
      <c r="B3909" s="1" t="n">
        <v>45358</v>
      </c>
      <c r="C3909" s="1" t="n">
        <v>45724</v>
      </c>
      <c r="D3909" t="inlineStr">
        <is>
          <t>VÄSTMANLANDS LÄN</t>
        </is>
      </c>
      <c r="E3909" t="inlineStr">
        <is>
          <t>KÖPING</t>
        </is>
      </c>
      <c r="G3909" t="n">
        <v>3.6</v>
      </c>
      <c r="H3909" t="n">
        <v>0</v>
      </c>
      <c r="I3909" t="n">
        <v>0</v>
      </c>
      <c r="J3909" t="n">
        <v>0</v>
      </c>
      <c r="K3909" t="n">
        <v>0</v>
      </c>
      <c r="L3909" t="n">
        <v>0</v>
      </c>
      <c r="M3909" t="n">
        <v>0</v>
      </c>
      <c r="N3909" t="n">
        <v>0</v>
      </c>
      <c r="O3909" t="n">
        <v>0</v>
      </c>
      <c r="P3909" t="n">
        <v>0</v>
      </c>
      <c r="Q3909" t="n">
        <v>0</v>
      </c>
      <c r="R3909" s="2" t="inlineStr"/>
    </row>
    <row r="3910" ht="15" customHeight="1">
      <c r="A3910" t="inlineStr">
        <is>
          <t>A 9204-2024</t>
        </is>
      </c>
      <c r="B3910" s="1" t="n">
        <v>45358</v>
      </c>
      <c r="C3910" s="1" t="n">
        <v>45724</v>
      </c>
      <c r="D3910" t="inlineStr">
        <is>
          <t>VÄSTMANLANDS LÄN</t>
        </is>
      </c>
      <c r="E3910" t="inlineStr">
        <is>
          <t>SALA</t>
        </is>
      </c>
      <c r="G3910" t="n">
        <v>0.6</v>
      </c>
      <c r="H3910" t="n">
        <v>0</v>
      </c>
      <c r="I3910" t="n">
        <v>0</v>
      </c>
      <c r="J3910" t="n">
        <v>0</v>
      </c>
      <c r="K3910" t="n">
        <v>0</v>
      </c>
      <c r="L3910" t="n">
        <v>0</v>
      </c>
      <c r="M3910" t="n">
        <v>0</v>
      </c>
      <c r="N3910" t="n">
        <v>0</v>
      </c>
      <c r="O3910" t="n">
        <v>0</v>
      </c>
      <c r="P3910" t="n">
        <v>0</v>
      </c>
      <c r="Q3910" t="n">
        <v>0</v>
      </c>
      <c r="R3910" s="2" t="inlineStr"/>
    </row>
    <row r="3911" ht="15" customHeight="1">
      <c r="A3911" t="inlineStr">
        <is>
          <t>A 9247-2024</t>
        </is>
      </c>
      <c r="B3911" s="1" t="n">
        <v>45358</v>
      </c>
      <c r="C3911" s="1" t="n">
        <v>45724</v>
      </c>
      <c r="D3911" t="inlineStr">
        <is>
          <t>VÄSTMANLANDS LÄN</t>
        </is>
      </c>
      <c r="E3911" t="inlineStr">
        <is>
          <t>ARBOGA</t>
        </is>
      </c>
      <c r="G3911" t="n">
        <v>2.3</v>
      </c>
      <c r="H3911" t="n">
        <v>0</v>
      </c>
      <c r="I3911" t="n">
        <v>0</v>
      </c>
      <c r="J3911" t="n">
        <v>0</v>
      </c>
      <c r="K3911" t="n">
        <v>0</v>
      </c>
      <c r="L3911" t="n">
        <v>0</v>
      </c>
      <c r="M3911" t="n">
        <v>0</v>
      </c>
      <c r="N3911" t="n">
        <v>0</v>
      </c>
      <c r="O3911" t="n">
        <v>0</v>
      </c>
      <c r="P3911" t="n">
        <v>0</v>
      </c>
      <c r="Q3911" t="n">
        <v>0</v>
      </c>
      <c r="R3911" s="2" t="inlineStr"/>
    </row>
    <row r="3912" ht="15" customHeight="1">
      <c r="A3912" t="inlineStr">
        <is>
          <t>A 9485-2024</t>
        </is>
      </c>
      <c r="B3912" s="1" t="n">
        <v>45359</v>
      </c>
      <c r="C3912" s="1" t="n">
        <v>45724</v>
      </c>
      <c r="D3912" t="inlineStr">
        <is>
          <t>VÄSTMANLANDS LÄN</t>
        </is>
      </c>
      <c r="E3912" t="inlineStr">
        <is>
          <t>SKINNSKATTEBERG</t>
        </is>
      </c>
      <c r="F3912" t="inlineStr">
        <is>
          <t>Sveaskog</t>
        </is>
      </c>
      <c r="G3912" t="n">
        <v>7.5</v>
      </c>
      <c r="H3912" t="n">
        <v>0</v>
      </c>
      <c r="I3912" t="n">
        <v>0</v>
      </c>
      <c r="J3912" t="n">
        <v>0</v>
      </c>
      <c r="K3912" t="n">
        <v>0</v>
      </c>
      <c r="L3912" t="n">
        <v>0</v>
      </c>
      <c r="M3912" t="n">
        <v>0</v>
      </c>
      <c r="N3912" t="n">
        <v>0</v>
      </c>
      <c r="O3912" t="n">
        <v>0</v>
      </c>
      <c r="P3912" t="n">
        <v>0</v>
      </c>
      <c r="Q3912" t="n">
        <v>0</v>
      </c>
      <c r="R3912" s="2" t="inlineStr"/>
    </row>
    <row r="3913" ht="15" customHeight="1">
      <c r="A3913" t="inlineStr">
        <is>
          <t>A 9489-2024</t>
        </is>
      </c>
      <c r="B3913" s="1" t="n">
        <v>45359</v>
      </c>
      <c r="C3913" s="1" t="n">
        <v>45724</v>
      </c>
      <c r="D3913" t="inlineStr">
        <is>
          <t>VÄSTMANLANDS LÄN</t>
        </is>
      </c>
      <c r="E3913" t="inlineStr">
        <is>
          <t>SKINNSKATTEBERG</t>
        </is>
      </c>
      <c r="F3913" t="inlineStr">
        <is>
          <t>Sveaskog</t>
        </is>
      </c>
      <c r="G3913" t="n">
        <v>4.8</v>
      </c>
      <c r="H3913" t="n">
        <v>0</v>
      </c>
      <c r="I3913" t="n">
        <v>0</v>
      </c>
      <c r="J3913" t="n">
        <v>0</v>
      </c>
      <c r="K3913" t="n">
        <v>0</v>
      </c>
      <c r="L3913" t="n">
        <v>0</v>
      </c>
      <c r="M3913" t="n">
        <v>0</v>
      </c>
      <c r="N3913" t="n">
        <v>0</v>
      </c>
      <c r="O3913" t="n">
        <v>0</v>
      </c>
      <c r="P3913" t="n">
        <v>0</v>
      </c>
      <c r="Q3913" t="n">
        <v>0</v>
      </c>
      <c r="R3913" s="2" t="inlineStr"/>
    </row>
    <row r="3914" ht="15" customHeight="1">
      <c r="A3914" t="inlineStr">
        <is>
          <t>A 9487-2024</t>
        </is>
      </c>
      <c r="B3914" s="1" t="n">
        <v>45359</v>
      </c>
      <c r="C3914" s="1" t="n">
        <v>45724</v>
      </c>
      <c r="D3914" t="inlineStr">
        <is>
          <t>VÄSTMANLANDS LÄN</t>
        </is>
      </c>
      <c r="E3914" t="inlineStr">
        <is>
          <t>SKINNSKATTEBERG</t>
        </is>
      </c>
      <c r="F3914" t="inlineStr">
        <is>
          <t>Sveaskog</t>
        </is>
      </c>
      <c r="G3914" t="n">
        <v>2.9</v>
      </c>
      <c r="H3914" t="n">
        <v>0</v>
      </c>
      <c r="I3914" t="n">
        <v>0</v>
      </c>
      <c r="J3914" t="n">
        <v>0</v>
      </c>
      <c r="K3914" t="n">
        <v>0</v>
      </c>
      <c r="L3914" t="n">
        <v>0</v>
      </c>
      <c r="M3914" t="n">
        <v>0</v>
      </c>
      <c r="N3914" t="n">
        <v>0</v>
      </c>
      <c r="O3914" t="n">
        <v>0</v>
      </c>
      <c r="P3914" t="n">
        <v>0</v>
      </c>
      <c r="Q3914" t="n">
        <v>0</v>
      </c>
      <c r="R3914" s="2" t="inlineStr"/>
    </row>
    <row r="3915" ht="15" customHeight="1">
      <c r="A3915" t="inlineStr">
        <is>
          <t>A 9491-2024</t>
        </is>
      </c>
      <c r="B3915" s="1" t="n">
        <v>45359</v>
      </c>
      <c r="C3915" s="1" t="n">
        <v>45724</v>
      </c>
      <c r="D3915" t="inlineStr">
        <is>
          <t>VÄSTMANLANDS LÄN</t>
        </is>
      </c>
      <c r="E3915" t="inlineStr">
        <is>
          <t>SKINNSKATTEBERG</t>
        </is>
      </c>
      <c r="F3915" t="inlineStr">
        <is>
          <t>Sveaskog</t>
        </is>
      </c>
      <c r="G3915" t="n">
        <v>1.2</v>
      </c>
      <c r="H3915" t="n">
        <v>0</v>
      </c>
      <c r="I3915" t="n">
        <v>0</v>
      </c>
      <c r="J3915" t="n">
        <v>0</v>
      </c>
      <c r="K3915" t="n">
        <v>0</v>
      </c>
      <c r="L3915" t="n">
        <v>0</v>
      </c>
      <c r="M3915" t="n">
        <v>0</v>
      </c>
      <c r="N3915" t="n">
        <v>0</v>
      </c>
      <c r="O3915" t="n">
        <v>0</v>
      </c>
      <c r="P3915" t="n">
        <v>0</v>
      </c>
      <c r="Q3915" t="n">
        <v>0</v>
      </c>
      <c r="R3915" s="2" t="inlineStr"/>
    </row>
    <row r="3916" ht="15" customHeight="1">
      <c r="A3916" t="inlineStr">
        <is>
          <t>A 9509-2024</t>
        </is>
      </c>
      <c r="B3916" s="1" t="n">
        <v>45359</v>
      </c>
      <c r="C3916" s="1" t="n">
        <v>45724</v>
      </c>
      <c r="D3916" t="inlineStr">
        <is>
          <t>VÄSTMANLANDS LÄN</t>
        </is>
      </c>
      <c r="E3916" t="inlineStr">
        <is>
          <t>KÖPING</t>
        </is>
      </c>
      <c r="F3916" t="inlineStr">
        <is>
          <t>Sveaskog</t>
        </is>
      </c>
      <c r="G3916" t="n">
        <v>1.8</v>
      </c>
      <c r="H3916" t="n">
        <v>0</v>
      </c>
      <c r="I3916" t="n">
        <v>0</v>
      </c>
      <c r="J3916" t="n">
        <v>0</v>
      </c>
      <c r="K3916" t="n">
        <v>0</v>
      </c>
      <c r="L3916" t="n">
        <v>0</v>
      </c>
      <c r="M3916" t="n">
        <v>0</v>
      </c>
      <c r="N3916" t="n">
        <v>0</v>
      </c>
      <c r="O3916" t="n">
        <v>0</v>
      </c>
      <c r="P3916" t="n">
        <v>0</v>
      </c>
      <c r="Q3916" t="n">
        <v>0</v>
      </c>
      <c r="R3916" s="2" t="inlineStr"/>
    </row>
    <row r="3917" ht="15" customHeight="1">
      <c r="A3917" t="inlineStr">
        <is>
          <t>A 9517-2024</t>
        </is>
      </c>
      <c r="B3917" s="1" t="n">
        <v>45359</v>
      </c>
      <c r="C3917" s="1" t="n">
        <v>45724</v>
      </c>
      <c r="D3917" t="inlineStr">
        <is>
          <t>VÄSTMANLANDS LÄN</t>
        </is>
      </c>
      <c r="E3917" t="inlineStr">
        <is>
          <t>KÖPING</t>
        </is>
      </c>
      <c r="F3917" t="inlineStr">
        <is>
          <t>Sveaskog</t>
        </is>
      </c>
      <c r="G3917" t="n">
        <v>1.4</v>
      </c>
      <c r="H3917" t="n">
        <v>0</v>
      </c>
      <c r="I3917" t="n">
        <v>0</v>
      </c>
      <c r="J3917" t="n">
        <v>0</v>
      </c>
      <c r="K3917" t="n">
        <v>0</v>
      </c>
      <c r="L3917" t="n">
        <v>0</v>
      </c>
      <c r="M3917" t="n">
        <v>0</v>
      </c>
      <c r="N3917" t="n">
        <v>0</v>
      </c>
      <c r="O3917" t="n">
        <v>0</v>
      </c>
      <c r="P3917" t="n">
        <v>0</v>
      </c>
      <c r="Q3917" t="n">
        <v>0</v>
      </c>
      <c r="R3917" s="2" t="inlineStr"/>
    </row>
    <row r="3918" ht="15" customHeight="1">
      <c r="A3918" t="inlineStr">
        <is>
          <t>A 9474-2024</t>
        </is>
      </c>
      <c r="B3918" s="1" t="n">
        <v>45359</v>
      </c>
      <c r="C3918" s="1" t="n">
        <v>45724</v>
      </c>
      <c r="D3918" t="inlineStr">
        <is>
          <t>VÄSTMANLANDS LÄN</t>
        </is>
      </c>
      <c r="E3918" t="inlineStr">
        <is>
          <t>SALA</t>
        </is>
      </c>
      <c r="F3918" t="inlineStr">
        <is>
          <t>Kommuner</t>
        </is>
      </c>
      <c r="G3918" t="n">
        <v>4.1</v>
      </c>
      <c r="H3918" t="n">
        <v>0</v>
      </c>
      <c r="I3918" t="n">
        <v>0</v>
      </c>
      <c r="J3918" t="n">
        <v>0</v>
      </c>
      <c r="K3918" t="n">
        <v>0</v>
      </c>
      <c r="L3918" t="n">
        <v>0</v>
      </c>
      <c r="M3918" t="n">
        <v>0</v>
      </c>
      <c r="N3918" t="n">
        <v>0</v>
      </c>
      <c r="O3918" t="n">
        <v>0</v>
      </c>
      <c r="P3918" t="n">
        <v>0</v>
      </c>
      <c r="Q3918" t="n">
        <v>0</v>
      </c>
      <c r="R3918" s="2" t="inlineStr"/>
    </row>
    <row r="3919" ht="15" customHeight="1">
      <c r="A3919" t="inlineStr">
        <is>
          <t>A 9486-2024</t>
        </is>
      </c>
      <c r="B3919" s="1" t="n">
        <v>45359</v>
      </c>
      <c r="C3919" s="1" t="n">
        <v>45724</v>
      </c>
      <c r="D3919" t="inlineStr">
        <is>
          <t>VÄSTMANLANDS LÄN</t>
        </is>
      </c>
      <c r="E3919" t="inlineStr">
        <is>
          <t>SKINNSKATTEBERG</t>
        </is>
      </c>
      <c r="F3919" t="inlineStr">
        <is>
          <t>Sveaskog</t>
        </is>
      </c>
      <c r="G3919" t="n">
        <v>3.8</v>
      </c>
      <c r="H3919" t="n">
        <v>0</v>
      </c>
      <c r="I3919" t="n">
        <v>0</v>
      </c>
      <c r="J3919" t="n">
        <v>0</v>
      </c>
      <c r="K3919" t="n">
        <v>0</v>
      </c>
      <c r="L3919" t="n">
        <v>0</v>
      </c>
      <c r="M3919" t="n">
        <v>0</v>
      </c>
      <c r="N3919" t="n">
        <v>0</v>
      </c>
      <c r="O3919" t="n">
        <v>0</v>
      </c>
      <c r="P3919" t="n">
        <v>0</v>
      </c>
      <c r="Q3919" t="n">
        <v>0</v>
      </c>
      <c r="R3919" s="2" t="inlineStr"/>
    </row>
    <row r="3920" ht="15" customHeight="1">
      <c r="A3920" t="inlineStr">
        <is>
          <t>A 9490-2024</t>
        </is>
      </c>
      <c r="B3920" s="1" t="n">
        <v>45359</v>
      </c>
      <c r="C3920" s="1" t="n">
        <v>45724</v>
      </c>
      <c r="D3920" t="inlineStr">
        <is>
          <t>VÄSTMANLANDS LÄN</t>
        </is>
      </c>
      <c r="E3920" t="inlineStr">
        <is>
          <t>SKINNSKATTEBERG</t>
        </is>
      </c>
      <c r="F3920" t="inlineStr">
        <is>
          <t>Sveaskog</t>
        </is>
      </c>
      <c r="G3920" t="n">
        <v>0.5</v>
      </c>
      <c r="H3920" t="n">
        <v>0</v>
      </c>
      <c r="I3920" t="n">
        <v>0</v>
      </c>
      <c r="J3920" t="n">
        <v>0</v>
      </c>
      <c r="K3920" t="n">
        <v>0</v>
      </c>
      <c r="L3920" t="n">
        <v>0</v>
      </c>
      <c r="M3920" t="n">
        <v>0</v>
      </c>
      <c r="N3920" t="n">
        <v>0</v>
      </c>
      <c r="O3920" t="n">
        <v>0</v>
      </c>
      <c r="P3920" t="n">
        <v>0</v>
      </c>
      <c r="Q3920" t="n">
        <v>0</v>
      </c>
      <c r="R3920" s="2" t="inlineStr"/>
    </row>
    <row r="3921" ht="15" customHeight="1">
      <c r="A3921" t="inlineStr">
        <is>
          <t>A 9515-2024</t>
        </is>
      </c>
      <c r="B3921" s="1" t="n">
        <v>45359</v>
      </c>
      <c r="C3921" s="1" t="n">
        <v>45724</v>
      </c>
      <c r="D3921" t="inlineStr">
        <is>
          <t>VÄSTMANLANDS LÄN</t>
        </is>
      </c>
      <c r="E3921" t="inlineStr">
        <is>
          <t>KÖPING</t>
        </is>
      </c>
      <c r="F3921" t="inlineStr">
        <is>
          <t>Sveaskog</t>
        </is>
      </c>
      <c r="G3921" t="n">
        <v>1.2</v>
      </c>
      <c r="H3921" t="n">
        <v>0</v>
      </c>
      <c r="I3921" t="n">
        <v>0</v>
      </c>
      <c r="J3921" t="n">
        <v>0</v>
      </c>
      <c r="K3921" t="n">
        <v>0</v>
      </c>
      <c r="L3921" t="n">
        <v>0</v>
      </c>
      <c r="M3921" t="n">
        <v>0</v>
      </c>
      <c r="N3921" t="n">
        <v>0</v>
      </c>
      <c r="O3921" t="n">
        <v>0</v>
      </c>
      <c r="P3921" t="n">
        <v>0</v>
      </c>
      <c r="Q3921" t="n">
        <v>0</v>
      </c>
      <c r="R3921" s="2" t="inlineStr"/>
    </row>
    <row r="3922" ht="15" customHeight="1">
      <c r="A3922" t="inlineStr">
        <is>
          <t>A 9741-2024</t>
        </is>
      </c>
      <c r="B3922" s="1" t="n">
        <v>45362</v>
      </c>
      <c r="C3922" s="1" t="n">
        <v>45724</v>
      </c>
      <c r="D3922" t="inlineStr">
        <is>
          <t>VÄSTMANLANDS LÄN</t>
        </is>
      </c>
      <c r="E3922" t="inlineStr">
        <is>
          <t>SURAHAMMAR</t>
        </is>
      </c>
      <c r="G3922" t="n">
        <v>4.6</v>
      </c>
      <c r="H3922" t="n">
        <v>0</v>
      </c>
      <c r="I3922" t="n">
        <v>0</v>
      </c>
      <c r="J3922" t="n">
        <v>0</v>
      </c>
      <c r="K3922" t="n">
        <v>0</v>
      </c>
      <c r="L3922" t="n">
        <v>0</v>
      </c>
      <c r="M3922" t="n">
        <v>0</v>
      </c>
      <c r="N3922" t="n">
        <v>0</v>
      </c>
      <c r="O3922" t="n">
        <v>0</v>
      </c>
      <c r="P3922" t="n">
        <v>0</v>
      </c>
      <c r="Q3922" t="n">
        <v>0</v>
      </c>
      <c r="R3922" s="2" t="inlineStr"/>
    </row>
    <row r="3923" ht="15" customHeight="1">
      <c r="A3923" t="inlineStr">
        <is>
          <t>A 9843-2024</t>
        </is>
      </c>
      <c r="B3923" s="1" t="n">
        <v>45363</v>
      </c>
      <c r="C3923" s="1" t="n">
        <v>45724</v>
      </c>
      <c r="D3923" t="inlineStr">
        <is>
          <t>VÄSTMANLANDS LÄN</t>
        </is>
      </c>
      <c r="E3923" t="inlineStr">
        <is>
          <t>NORBERG</t>
        </is>
      </c>
      <c r="G3923" t="n">
        <v>8.199999999999999</v>
      </c>
      <c r="H3923" t="n">
        <v>0</v>
      </c>
      <c r="I3923" t="n">
        <v>0</v>
      </c>
      <c r="J3923" t="n">
        <v>0</v>
      </c>
      <c r="K3923" t="n">
        <v>0</v>
      </c>
      <c r="L3923" t="n">
        <v>0</v>
      </c>
      <c r="M3923" t="n">
        <v>0</v>
      </c>
      <c r="N3923" t="n">
        <v>0</v>
      </c>
      <c r="O3923" t="n">
        <v>0</v>
      </c>
      <c r="P3923" t="n">
        <v>0</v>
      </c>
      <c r="Q3923" t="n">
        <v>0</v>
      </c>
      <c r="R3923" s="2" t="inlineStr"/>
    </row>
    <row r="3924" ht="15" customHeight="1">
      <c r="A3924" t="inlineStr">
        <is>
          <t>A 9853-2024</t>
        </is>
      </c>
      <c r="B3924" s="1" t="n">
        <v>45363</v>
      </c>
      <c r="C3924" s="1" t="n">
        <v>45724</v>
      </c>
      <c r="D3924" t="inlineStr">
        <is>
          <t>VÄSTMANLANDS LÄN</t>
        </is>
      </c>
      <c r="E3924" t="inlineStr">
        <is>
          <t>SALA</t>
        </is>
      </c>
      <c r="G3924" t="n">
        <v>3.2</v>
      </c>
      <c r="H3924" t="n">
        <v>0</v>
      </c>
      <c r="I3924" t="n">
        <v>0</v>
      </c>
      <c r="J3924" t="n">
        <v>0</v>
      </c>
      <c r="K3924" t="n">
        <v>0</v>
      </c>
      <c r="L3924" t="n">
        <v>0</v>
      </c>
      <c r="M3924" t="n">
        <v>0</v>
      </c>
      <c r="N3924" t="n">
        <v>0</v>
      </c>
      <c r="O3924" t="n">
        <v>0</v>
      </c>
      <c r="P3924" t="n">
        <v>0</v>
      </c>
      <c r="Q3924" t="n">
        <v>0</v>
      </c>
      <c r="R3924" s="2" t="inlineStr"/>
    </row>
    <row r="3925" ht="15" customHeight="1">
      <c r="A3925" t="inlineStr">
        <is>
          <t>A 9874-2024</t>
        </is>
      </c>
      <c r="B3925" s="1" t="n">
        <v>45363</v>
      </c>
      <c r="C3925" s="1" t="n">
        <v>45724</v>
      </c>
      <c r="D3925" t="inlineStr">
        <is>
          <t>VÄSTMANLANDS LÄN</t>
        </is>
      </c>
      <c r="E3925" t="inlineStr">
        <is>
          <t>SALA</t>
        </is>
      </c>
      <c r="G3925" t="n">
        <v>1.3</v>
      </c>
      <c r="H3925" t="n">
        <v>0</v>
      </c>
      <c r="I3925" t="n">
        <v>0</v>
      </c>
      <c r="J3925" t="n">
        <v>0</v>
      </c>
      <c r="K3925" t="n">
        <v>0</v>
      </c>
      <c r="L3925" t="n">
        <v>0</v>
      </c>
      <c r="M3925" t="n">
        <v>0</v>
      </c>
      <c r="N3925" t="n">
        <v>0</v>
      </c>
      <c r="O3925" t="n">
        <v>0</v>
      </c>
      <c r="P3925" t="n">
        <v>0</v>
      </c>
      <c r="Q3925" t="n">
        <v>0</v>
      </c>
      <c r="R3925" s="2" t="inlineStr"/>
    </row>
    <row r="3926" ht="15" customHeight="1">
      <c r="A3926" t="inlineStr">
        <is>
          <t>A 9907-2024</t>
        </is>
      </c>
      <c r="B3926" s="1" t="n">
        <v>45363</v>
      </c>
      <c r="C3926" s="1" t="n">
        <v>45724</v>
      </c>
      <c r="D3926" t="inlineStr">
        <is>
          <t>VÄSTMANLANDS LÄN</t>
        </is>
      </c>
      <c r="E3926" t="inlineStr">
        <is>
          <t>NORBERG</t>
        </is>
      </c>
      <c r="G3926" t="n">
        <v>2.7</v>
      </c>
      <c r="H3926" t="n">
        <v>0</v>
      </c>
      <c r="I3926" t="n">
        <v>0</v>
      </c>
      <c r="J3926" t="n">
        <v>0</v>
      </c>
      <c r="K3926" t="n">
        <v>0</v>
      </c>
      <c r="L3926" t="n">
        <v>0</v>
      </c>
      <c r="M3926" t="n">
        <v>0</v>
      </c>
      <c r="N3926" t="n">
        <v>0</v>
      </c>
      <c r="O3926" t="n">
        <v>0</v>
      </c>
      <c r="P3926" t="n">
        <v>0</v>
      </c>
      <c r="Q3926" t="n">
        <v>0</v>
      </c>
      <c r="R3926" s="2" t="inlineStr"/>
    </row>
    <row r="3927" ht="15" customHeight="1">
      <c r="A3927" t="inlineStr">
        <is>
          <t>A 10098-2024</t>
        </is>
      </c>
      <c r="B3927" s="1" t="n">
        <v>45364</v>
      </c>
      <c r="C3927" s="1" t="n">
        <v>45724</v>
      </c>
      <c r="D3927" t="inlineStr">
        <is>
          <t>VÄSTMANLANDS LÄN</t>
        </is>
      </c>
      <c r="E3927" t="inlineStr">
        <is>
          <t>KUNGSÖR</t>
        </is>
      </c>
      <c r="G3927" t="n">
        <v>2.6</v>
      </c>
      <c r="H3927" t="n">
        <v>0</v>
      </c>
      <c r="I3927" t="n">
        <v>0</v>
      </c>
      <c r="J3927" t="n">
        <v>0</v>
      </c>
      <c r="K3927" t="n">
        <v>0</v>
      </c>
      <c r="L3927" t="n">
        <v>0</v>
      </c>
      <c r="M3927" t="n">
        <v>0</v>
      </c>
      <c r="N3927" t="n">
        <v>0</v>
      </c>
      <c r="O3927" t="n">
        <v>0</v>
      </c>
      <c r="P3927" t="n">
        <v>0</v>
      </c>
      <c r="Q3927" t="n">
        <v>0</v>
      </c>
      <c r="R3927" s="2" t="inlineStr"/>
    </row>
    <row r="3928" ht="15" customHeight="1">
      <c r="A3928" t="inlineStr">
        <is>
          <t>A 10128-2024</t>
        </is>
      </c>
      <c r="B3928" s="1" t="n">
        <v>45364</v>
      </c>
      <c r="C3928" s="1" t="n">
        <v>45724</v>
      </c>
      <c r="D3928" t="inlineStr">
        <is>
          <t>VÄSTMANLANDS LÄN</t>
        </is>
      </c>
      <c r="E3928" t="inlineStr">
        <is>
          <t>KUNGSÖR</t>
        </is>
      </c>
      <c r="G3928" t="n">
        <v>3.1</v>
      </c>
      <c r="H3928" t="n">
        <v>0</v>
      </c>
      <c r="I3928" t="n">
        <v>0</v>
      </c>
      <c r="J3928" t="n">
        <v>0</v>
      </c>
      <c r="K3928" t="n">
        <v>0</v>
      </c>
      <c r="L3928" t="n">
        <v>0</v>
      </c>
      <c r="M3928" t="n">
        <v>0</v>
      </c>
      <c r="N3928" t="n">
        <v>0</v>
      </c>
      <c r="O3928" t="n">
        <v>0</v>
      </c>
      <c r="P3928" t="n">
        <v>0</v>
      </c>
      <c r="Q3928" t="n">
        <v>0</v>
      </c>
      <c r="R3928" s="2" t="inlineStr"/>
    </row>
    <row r="3929" ht="15" customHeight="1">
      <c r="A3929" t="inlineStr">
        <is>
          <t>A 10112-2024</t>
        </is>
      </c>
      <c r="B3929" s="1" t="n">
        <v>45364</v>
      </c>
      <c r="C3929" s="1" t="n">
        <v>45724</v>
      </c>
      <c r="D3929" t="inlineStr">
        <is>
          <t>VÄSTMANLANDS LÄN</t>
        </is>
      </c>
      <c r="E3929" t="inlineStr">
        <is>
          <t>KUNGSÖR</t>
        </is>
      </c>
      <c r="G3929" t="n">
        <v>2.9</v>
      </c>
      <c r="H3929" t="n">
        <v>0</v>
      </c>
      <c r="I3929" t="n">
        <v>0</v>
      </c>
      <c r="J3929" t="n">
        <v>0</v>
      </c>
      <c r="K3929" t="n">
        <v>0</v>
      </c>
      <c r="L3929" t="n">
        <v>0</v>
      </c>
      <c r="M3929" t="n">
        <v>0</v>
      </c>
      <c r="N3929" t="n">
        <v>0</v>
      </c>
      <c r="O3929" t="n">
        <v>0</v>
      </c>
      <c r="P3929" t="n">
        <v>0</v>
      </c>
      <c r="Q3929" t="n">
        <v>0</v>
      </c>
      <c r="R3929" s="2" t="inlineStr"/>
    </row>
    <row r="3930" ht="15" customHeight="1">
      <c r="A3930" t="inlineStr">
        <is>
          <t>A 10120-2024</t>
        </is>
      </c>
      <c r="B3930" s="1" t="n">
        <v>45364</v>
      </c>
      <c r="C3930" s="1" t="n">
        <v>45724</v>
      </c>
      <c r="D3930" t="inlineStr">
        <is>
          <t>VÄSTMANLANDS LÄN</t>
        </is>
      </c>
      <c r="E3930" t="inlineStr">
        <is>
          <t>KUNGSÖR</t>
        </is>
      </c>
      <c r="G3930" t="n">
        <v>6.7</v>
      </c>
      <c r="H3930" t="n">
        <v>0</v>
      </c>
      <c r="I3930" t="n">
        <v>0</v>
      </c>
      <c r="J3930" t="n">
        <v>0</v>
      </c>
      <c r="K3930" t="n">
        <v>0</v>
      </c>
      <c r="L3930" t="n">
        <v>0</v>
      </c>
      <c r="M3930" t="n">
        <v>0</v>
      </c>
      <c r="N3930" t="n">
        <v>0</v>
      </c>
      <c r="O3930" t="n">
        <v>0</v>
      </c>
      <c r="P3930" t="n">
        <v>0</v>
      </c>
      <c r="Q3930" t="n">
        <v>0</v>
      </c>
      <c r="R3930" s="2" t="inlineStr"/>
    </row>
    <row r="3931" ht="15" customHeight="1">
      <c r="A3931" t="inlineStr">
        <is>
          <t>A 10255-2024</t>
        </is>
      </c>
      <c r="B3931" s="1" t="n">
        <v>45365</v>
      </c>
      <c r="C3931" s="1" t="n">
        <v>45724</v>
      </c>
      <c r="D3931" t="inlineStr">
        <is>
          <t>VÄSTMANLANDS LÄN</t>
        </is>
      </c>
      <c r="E3931" t="inlineStr">
        <is>
          <t>SALA</t>
        </is>
      </c>
      <c r="F3931" t="inlineStr">
        <is>
          <t>Kommuner</t>
        </is>
      </c>
      <c r="G3931" t="n">
        <v>0.8</v>
      </c>
      <c r="H3931" t="n">
        <v>0</v>
      </c>
      <c r="I3931" t="n">
        <v>0</v>
      </c>
      <c r="J3931" t="n">
        <v>0</v>
      </c>
      <c r="K3931" t="n">
        <v>0</v>
      </c>
      <c r="L3931" t="n">
        <v>0</v>
      </c>
      <c r="M3931" t="n">
        <v>0</v>
      </c>
      <c r="N3931" t="n">
        <v>0</v>
      </c>
      <c r="O3931" t="n">
        <v>0</v>
      </c>
      <c r="P3931" t="n">
        <v>0</v>
      </c>
      <c r="Q3931" t="n">
        <v>0</v>
      </c>
      <c r="R3931" s="2" t="inlineStr"/>
    </row>
    <row r="3932" ht="15" customHeight="1">
      <c r="A3932" t="inlineStr">
        <is>
          <t>A 10263-2024</t>
        </is>
      </c>
      <c r="B3932" s="1" t="n">
        <v>45365</v>
      </c>
      <c r="C3932" s="1" t="n">
        <v>45724</v>
      </c>
      <c r="D3932" t="inlineStr">
        <is>
          <t>VÄSTMANLANDS LÄN</t>
        </is>
      </c>
      <c r="E3932" t="inlineStr">
        <is>
          <t>HALLSTAHAMMAR</t>
        </is>
      </c>
      <c r="F3932" t="inlineStr">
        <is>
          <t>Kyrkan</t>
        </is>
      </c>
      <c r="G3932" t="n">
        <v>1.4</v>
      </c>
      <c r="H3932" t="n">
        <v>0</v>
      </c>
      <c r="I3932" t="n">
        <v>0</v>
      </c>
      <c r="J3932" t="n">
        <v>0</v>
      </c>
      <c r="K3932" t="n">
        <v>0</v>
      </c>
      <c r="L3932" t="n">
        <v>0</v>
      </c>
      <c r="M3932" t="n">
        <v>0</v>
      </c>
      <c r="N3932" t="n">
        <v>0</v>
      </c>
      <c r="O3932" t="n">
        <v>0</v>
      </c>
      <c r="P3932" t="n">
        <v>0</v>
      </c>
      <c r="Q3932" t="n">
        <v>0</v>
      </c>
      <c r="R3932" s="2" t="inlineStr"/>
    </row>
    <row r="3933" ht="15" customHeight="1">
      <c r="A3933" t="inlineStr">
        <is>
          <t>A 10332-2024</t>
        </is>
      </c>
      <c r="B3933" s="1" t="n">
        <v>45365</v>
      </c>
      <c r="C3933" s="1" t="n">
        <v>45724</v>
      </c>
      <c r="D3933" t="inlineStr">
        <is>
          <t>VÄSTMANLANDS LÄN</t>
        </is>
      </c>
      <c r="E3933" t="inlineStr">
        <is>
          <t>ARBOGA</t>
        </is>
      </c>
      <c r="G3933" t="n">
        <v>3.3</v>
      </c>
      <c r="H3933" t="n">
        <v>0</v>
      </c>
      <c r="I3933" t="n">
        <v>0</v>
      </c>
      <c r="J3933" t="n">
        <v>0</v>
      </c>
      <c r="K3933" t="n">
        <v>0</v>
      </c>
      <c r="L3933" t="n">
        <v>0</v>
      </c>
      <c r="M3933" t="n">
        <v>0</v>
      </c>
      <c r="N3933" t="n">
        <v>0</v>
      </c>
      <c r="O3933" t="n">
        <v>0</v>
      </c>
      <c r="P3933" t="n">
        <v>0</v>
      </c>
      <c r="Q3933" t="n">
        <v>0</v>
      </c>
      <c r="R3933" s="2" t="inlineStr"/>
    </row>
    <row r="3934" ht="15" customHeight="1">
      <c r="A3934" t="inlineStr">
        <is>
          <t>A 10505-2024</t>
        </is>
      </c>
      <c r="B3934" s="1" t="n">
        <v>45366</v>
      </c>
      <c r="C3934" s="1" t="n">
        <v>45724</v>
      </c>
      <c r="D3934" t="inlineStr">
        <is>
          <t>VÄSTMANLANDS LÄN</t>
        </is>
      </c>
      <c r="E3934" t="inlineStr">
        <is>
          <t>KÖPING</t>
        </is>
      </c>
      <c r="F3934" t="inlineStr">
        <is>
          <t>Sveaskog</t>
        </is>
      </c>
      <c r="G3934" t="n">
        <v>10.2</v>
      </c>
      <c r="H3934" t="n">
        <v>0</v>
      </c>
      <c r="I3934" t="n">
        <v>0</v>
      </c>
      <c r="J3934" t="n">
        <v>0</v>
      </c>
      <c r="K3934" t="n">
        <v>0</v>
      </c>
      <c r="L3934" t="n">
        <v>0</v>
      </c>
      <c r="M3934" t="n">
        <v>0</v>
      </c>
      <c r="N3934" t="n">
        <v>0</v>
      </c>
      <c r="O3934" t="n">
        <v>0</v>
      </c>
      <c r="P3934" t="n">
        <v>0</v>
      </c>
      <c r="Q3934" t="n">
        <v>0</v>
      </c>
      <c r="R3934" s="2" t="inlineStr"/>
    </row>
    <row r="3935" ht="15" customHeight="1">
      <c r="A3935" t="inlineStr">
        <is>
          <t>A 10530-2024</t>
        </is>
      </c>
      <c r="B3935" s="1" t="n">
        <v>45366</v>
      </c>
      <c r="C3935" s="1" t="n">
        <v>45724</v>
      </c>
      <c r="D3935" t="inlineStr">
        <is>
          <t>VÄSTMANLANDS LÄN</t>
        </is>
      </c>
      <c r="E3935" t="inlineStr">
        <is>
          <t>SKINNSKATTEBERG</t>
        </is>
      </c>
      <c r="F3935" t="inlineStr">
        <is>
          <t>Sveaskog</t>
        </is>
      </c>
      <c r="G3935" t="n">
        <v>4.1</v>
      </c>
      <c r="H3935" t="n">
        <v>0</v>
      </c>
      <c r="I3935" t="n">
        <v>0</v>
      </c>
      <c r="J3935" t="n">
        <v>0</v>
      </c>
      <c r="K3935" t="n">
        <v>0</v>
      </c>
      <c r="L3935" t="n">
        <v>0</v>
      </c>
      <c r="M3935" t="n">
        <v>0</v>
      </c>
      <c r="N3935" t="n">
        <v>0</v>
      </c>
      <c r="O3935" t="n">
        <v>0</v>
      </c>
      <c r="P3935" t="n">
        <v>0</v>
      </c>
      <c r="Q3935" t="n">
        <v>0</v>
      </c>
      <c r="R3935" s="2" t="inlineStr"/>
    </row>
    <row r="3936" ht="15" customHeight="1">
      <c r="A3936" t="inlineStr">
        <is>
          <t>A 10546-2024</t>
        </is>
      </c>
      <c r="B3936" s="1" t="n">
        <v>45366</v>
      </c>
      <c r="C3936" s="1" t="n">
        <v>45724</v>
      </c>
      <c r="D3936" t="inlineStr">
        <is>
          <t>VÄSTMANLANDS LÄN</t>
        </is>
      </c>
      <c r="E3936" t="inlineStr">
        <is>
          <t>VÄSTERÅS</t>
        </is>
      </c>
      <c r="G3936" t="n">
        <v>0.5</v>
      </c>
      <c r="H3936" t="n">
        <v>0</v>
      </c>
      <c r="I3936" t="n">
        <v>0</v>
      </c>
      <c r="J3936" t="n">
        <v>0</v>
      </c>
      <c r="K3936" t="n">
        <v>0</v>
      </c>
      <c r="L3936" t="n">
        <v>0</v>
      </c>
      <c r="M3936" t="n">
        <v>0</v>
      </c>
      <c r="N3936" t="n">
        <v>0</v>
      </c>
      <c r="O3936" t="n">
        <v>0</v>
      </c>
      <c r="P3936" t="n">
        <v>0</v>
      </c>
      <c r="Q3936" t="n">
        <v>0</v>
      </c>
      <c r="R3936" s="2" t="inlineStr"/>
    </row>
    <row r="3937" ht="15" customHeight="1">
      <c r="A3937" t="inlineStr">
        <is>
          <t>A 10536-2024</t>
        </is>
      </c>
      <c r="B3937" s="1" t="n">
        <v>45366</v>
      </c>
      <c r="C3937" s="1" t="n">
        <v>45724</v>
      </c>
      <c r="D3937" t="inlineStr">
        <is>
          <t>VÄSTMANLANDS LÄN</t>
        </is>
      </c>
      <c r="E3937" t="inlineStr">
        <is>
          <t>SKINNSKATTEBERG</t>
        </is>
      </c>
      <c r="F3937" t="inlineStr">
        <is>
          <t>Sveaskog</t>
        </is>
      </c>
      <c r="G3937" t="n">
        <v>5</v>
      </c>
      <c r="H3937" t="n">
        <v>0</v>
      </c>
      <c r="I3937" t="n">
        <v>0</v>
      </c>
      <c r="J3937" t="n">
        <v>0</v>
      </c>
      <c r="K3937" t="n">
        <v>0</v>
      </c>
      <c r="L3937" t="n">
        <v>0</v>
      </c>
      <c r="M3937" t="n">
        <v>0</v>
      </c>
      <c r="N3937" t="n">
        <v>0</v>
      </c>
      <c r="O3937" t="n">
        <v>0</v>
      </c>
      <c r="P3937" t="n">
        <v>0</v>
      </c>
      <c r="Q3937" t="n">
        <v>0</v>
      </c>
      <c r="R3937" s="2" t="inlineStr"/>
    </row>
    <row r="3938" ht="15" customHeight="1">
      <c r="A3938" t="inlineStr">
        <is>
          <t>A 10582-2024</t>
        </is>
      </c>
      <c r="B3938" s="1" t="n">
        <v>45366</v>
      </c>
      <c r="C3938" s="1" t="n">
        <v>45724</v>
      </c>
      <c r="D3938" t="inlineStr">
        <is>
          <t>VÄSTMANLANDS LÄN</t>
        </is>
      </c>
      <c r="E3938" t="inlineStr">
        <is>
          <t>KÖPING</t>
        </is>
      </c>
      <c r="F3938" t="inlineStr">
        <is>
          <t>Sveaskog</t>
        </is>
      </c>
      <c r="G3938" t="n">
        <v>1</v>
      </c>
      <c r="H3938" t="n">
        <v>0</v>
      </c>
      <c r="I3938" t="n">
        <v>0</v>
      </c>
      <c r="J3938" t="n">
        <v>0</v>
      </c>
      <c r="K3938" t="n">
        <v>0</v>
      </c>
      <c r="L3938" t="n">
        <v>0</v>
      </c>
      <c r="M3938" t="n">
        <v>0</v>
      </c>
      <c r="N3938" t="n">
        <v>0</v>
      </c>
      <c r="O3938" t="n">
        <v>0</v>
      </c>
      <c r="P3938" t="n">
        <v>0</v>
      </c>
      <c r="Q3938" t="n">
        <v>0</v>
      </c>
      <c r="R3938" s="2" t="inlineStr"/>
    </row>
    <row r="3939" ht="15" customHeight="1">
      <c r="A3939" t="inlineStr">
        <is>
          <t>A 10519-2024</t>
        </is>
      </c>
      <c r="B3939" s="1" t="n">
        <v>45366</v>
      </c>
      <c r="C3939" s="1" t="n">
        <v>45724</v>
      </c>
      <c r="D3939" t="inlineStr">
        <is>
          <t>VÄSTMANLANDS LÄN</t>
        </is>
      </c>
      <c r="E3939" t="inlineStr">
        <is>
          <t>SKINNSKATTEBERG</t>
        </is>
      </c>
      <c r="F3939" t="inlineStr">
        <is>
          <t>Sveaskog</t>
        </is>
      </c>
      <c r="G3939" t="n">
        <v>2.3</v>
      </c>
      <c r="H3939" t="n">
        <v>0</v>
      </c>
      <c r="I3939" t="n">
        <v>0</v>
      </c>
      <c r="J3939" t="n">
        <v>0</v>
      </c>
      <c r="K3939" t="n">
        <v>0</v>
      </c>
      <c r="L3939" t="n">
        <v>0</v>
      </c>
      <c r="M3939" t="n">
        <v>0</v>
      </c>
      <c r="N3939" t="n">
        <v>0</v>
      </c>
      <c r="O3939" t="n">
        <v>0</v>
      </c>
      <c r="P3939" t="n">
        <v>0</v>
      </c>
      <c r="Q3939" t="n">
        <v>0</v>
      </c>
      <c r="R3939" s="2" t="inlineStr"/>
    </row>
    <row r="3940" ht="15" customHeight="1">
      <c r="A3940" t="inlineStr">
        <is>
          <t>A 10527-2024</t>
        </is>
      </c>
      <c r="B3940" s="1" t="n">
        <v>45366</v>
      </c>
      <c r="C3940" s="1" t="n">
        <v>45724</v>
      </c>
      <c r="D3940" t="inlineStr">
        <is>
          <t>VÄSTMANLANDS LÄN</t>
        </is>
      </c>
      <c r="E3940" t="inlineStr">
        <is>
          <t>SKINNSKATTEBERG</t>
        </is>
      </c>
      <c r="F3940" t="inlineStr">
        <is>
          <t>Sveaskog</t>
        </is>
      </c>
      <c r="G3940" t="n">
        <v>2</v>
      </c>
      <c r="H3940" t="n">
        <v>0</v>
      </c>
      <c r="I3940" t="n">
        <v>0</v>
      </c>
      <c r="J3940" t="n">
        <v>0</v>
      </c>
      <c r="K3940" t="n">
        <v>0</v>
      </c>
      <c r="L3940" t="n">
        <v>0</v>
      </c>
      <c r="M3940" t="n">
        <v>0</v>
      </c>
      <c r="N3940" t="n">
        <v>0</v>
      </c>
      <c r="O3940" t="n">
        <v>0</v>
      </c>
      <c r="P3940" t="n">
        <v>0</v>
      </c>
      <c r="Q3940" t="n">
        <v>0</v>
      </c>
      <c r="R3940" s="2" t="inlineStr"/>
    </row>
    <row r="3941" ht="15" customHeight="1">
      <c r="A3941" t="inlineStr">
        <is>
          <t>A 10535-2024</t>
        </is>
      </c>
      <c r="B3941" s="1" t="n">
        <v>45366</v>
      </c>
      <c r="C3941" s="1" t="n">
        <v>45724</v>
      </c>
      <c r="D3941" t="inlineStr">
        <is>
          <t>VÄSTMANLANDS LÄN</t>
        </is>
      </c>
      <c r="E3941" t="inlineStr">
        <is>
          <t>SKINNSKATTEBERG</t>
        </is>
      </c>
      <c r="F3941" t="inlineStr">
        <is>
          <t>Sveaskog</t>
        </is>
      </c>
      <c r="G3941" t="n">
        <v>2.5</v>
      </c>
      <c r="H3941" t="n">
        <v>0</v>
      </c>
      <c r="I3941" t="n">
        <v>0</v>
      </c>
      <c r="J3941" t="n">
        <v>0</v>
      </c>
      <c r="K3941" t="n">
        <v>0</v>
      </c>
      <c r="L3941" t="n">
        <v>0</v>
      </c>
      <c r="M3941" t="n">
        <v>0</v>
      </c>
      <c r="N3941" t="n">
        <v>0</v>
      </c>
      <c r="O3941" t="n">
        <v>0</v>
      </c>
      <c r="P3941" t="n">
        <v>0</v>
      </c>
      <c r="Q3941" t="n">
        <v>0</v>
      </c>
      <c r="R3941" s="2" t="inlineStr"/>
    </row>
    <row r="3942" ht="15" customHeight="1">
      <c r="A3942" t="inlineStr">
        <is>
          <t>A 10555-2024</t>
        </is>
      </c>
      <c r="B3942" s="1" t="n">
        <v>45366</v>
      </c>
      <c r="C3942" s="1" t="n">
        <v>45724</v>
      </c>
      <c r="D3942" t="inlineStr">
        <is>
          <t>VÄSTMANLANDS LÄN</t>
        </is>
      </c>
      <c r="E3942" t="inlineStr">
        <is>
          <t>SKINNSKATTEBERG</t>
        </is>
      </c>
      <c r="G3942" t="n">
        <v>4.3</v>
      </c>
      <c r="H3942" t="n">
        <v>0</v>
      </c>
      <c r="I3942" t="n">
        <v>0</v>
      </c>
      <c r="J3942" t="n">
        <v>0</v>
      </c>
      <c r="K3942" t="n">
        <v>0</v>
      </c>
      <c r="L3942" t="n">
        <v>0</v>
      </c>
      <c r="M3942" t="n">
        <v>0</v>
      </c>
      <c r="N3942" t="n">
        <v>0</v>
      </c>
      <c r="O3942" t="n">
        <v>0</v>
      </c>
      <c r="P3942" t="n">
        <v>0</v>
      </c>
      <c r="Q3942" t="n">
        <v>0</v>
      </c>
      <c r="R3942" s="2" t="inlineStr"/>
    </row>
    <row r="3943" ht="15" customHeight="1">
      <c r="A3943" t="inlineStr">
        <is>
          <t>A 10559-2024</t>
        </is>
      </c>
      <c r="B3943" s="1" t="n">
        <v>45366</v>
      </c>
      <c r="C3943" s="1" t="n">
        <v>45724</v>
      </c>
      <c r="D3943" t="inlineStr">
        <is>
          <t>VÄSTMANLANDS LÄN</t>
        </is>
      </c>
      <c r="E3943" t="inlineStr">
        <is>
          <t>SALA</t>
        </is>
      </c>
      <c r="G3943" t="n">
        <v>0.3</v>
      </c>
      <c r="H3943" t="n">
        <v>0</v>
      </c>
      <c r="I3943" t="n">
        <v>0</v>
      </c>
      <c r="J3943" t="n">
        <v>0</v>
      </c>
      <c r="K3943" t="n">
        <v>0</v>
      </c>
      <c r="L3943" t="n">
        <v>0</v>
      </c>
      <c r="M3943" t="n">
        <v>0</v>
      </c>
      <c r="N3943" t="n">
        <v>0</v>
      </c>
      <c r="O3943" t="n">
        <v>0</v>
      </c>
      <c r="P3943" t="n">
        <v>0</v>
      </c>
      <c r="Q3943" t="n">
        <v>0</v>
      </c>
      <c r="R3943" s="2" t="inlineStr"/>
    </row>
    <row r="3944" ht="15" customHeight="1">
      <c r="A3944" t="inlineStr">
        <is>
          <t>A 10678-2024</t>
        </is>
      </c>
      <c r="B3944" s="1" t="n">
        <v>45368</v>
      </c>
      <c r="C3944" s="1" t="n">
        <v>45724</v>
      </c>
      <c r="D3944" t="inlineStr">
        <is>
          <t>VÄSTMANLANDS LÄN</t>
        </is>
      </c>
      <c r="E3944" t="inlineStr">
        <is>
          <t>ARBOGA</t>
        </is>
      </c>
      <c r="G3944" t="n">
        <v>1</v>
      </c>
      <c r="H3944" t="n">
        <v>0</v>
      </c>
      <c r="I3944" t="n">
        <v>0</v>
      </c>
      <c r="J3944" t="n">
        <v>0</v>
      </c>
      <c r="K3944" t="n">
        <v>0</v>
      </c>
      <c r="L3944" t="n">
        <v>0</v>
      </c>
      <c r="M3944" t="n">
        <v>0</v>
      </c>
      <c r="N3944" t="n">
        <v>0</v>
      </c>
      <c r="O3944" t="n">
        <v>0</v>
      </c>
      <c r="P3944" t="n">
        <v>0</v>
      </c>
      <c r="Q3944" t="n">
        <v>0</v>
      </c>
      <c r="R3944" s="2" t="inlineStr"/>
    </row>
    <row r="3945" ht="15" customHeight="1">
      <c r="A3945" t="inlineStr">
        <is>
          <t>A 10679-2024</t>
        </is>
      </c>
      <c r="B3945" s="1" t="n">
        <v>45368</v>
      </c>
      <c r="C3945" s="1" t="n">
        <v>45724</v>
      </c>
      <c r="D3945" t="inlineStr">
        <is>
          <t>VÄSTMANLANDS LÄN</t>
        </is>
      </c>
      <c r="E3945" t="inlineStr">
        <is>
          <t>ARBOGA</t>
        </is>
      </c>
      <c r="G3945" t="n">
        <v>4.8</v>
      </c>
      <c r="H3945" t="n">
        <v>0</v>
      </c>
      <c r="I3945" t="n">
        <v>0</v>
      </c>
      <c r="J3945" t="n">
        <v>0</v>
      </c>
      <c r="K3945" t="n">
        <v>0</v>
      </c>
      <c r="L3945" t="n">
        <v>0</v>
      </c>
      <c r="M3945" t="n">
        <v>0</v>
      </c>
      <c r="N3945" t="n">
        <v>0</v>
      </c>
      <c r="O3945" t="n">
        <v>0</v>
      </c>
      <c r="P3945" t="n">
        <v>0</v>
      </c>
      <c r="Q3945" t="n">
        <v>0</v>
      </c>
      <c r="R3945" s="2" t="inlineStr"/>
    </row>
    <row r="3946" ht="15" customHeight="1">
      <c r="A3946" t="inlineStr">
        <is>
          <t>A 10751-2024</t>
        </is>
      </c>
      <c r="B3946" s="1" t="n">
        <v>45369</v>
      </c>
      <c r="C3946" s="1" t="n">
        <v>45724</v>
      </c>
      <c r="D3946" t="inlineStr">
        <is>
          <t>VÄSTMANLANDS LÄN</t>
        </is>
      </c>
      <c r="E3946" t="inlineStr">
        <is>
          <t>SALA</t>
        </is>
      </c>
      <c r="G3946" t="n">
        <v>1.6</v>
      </c>
      <c r="H3946" t="n">
        <v>0</v>
      </c>
      <c r="I3946" t="n">
        <v>0</v>
      </c>
      <c r="J3946" t="n">
        <v>0</v>
      </c>
      <c r="K3946" t="n">
        <v>0</v>
      </c>
      <c r="L3946" t="n">
        <v>0</v>
      </c>
      <c r="M3946" t="n">
        <v>0</v>
      </c>
      <c r="N3946" t="n">
        <v>0</v>
      </c>
      <c r="O3946" t="n">
        <v>0</v>
      </c>
      <c r="P3946" t="n">
        <v>0</v>
      </c>
      <c r="Q3946" t="n">
        <v>0</v>
      </c>
      <c r="R3946" s="2" t="inlineStr"/>
    </row>
    <row r="3947" ht="15" customHeight="1">
      <c r="A3947" t="inlineStr">
        <is>
          <t>A 10817-2024</t>
        </is>
      </c>
      <c r="B3947" s="1" t="n">
        <v>45369</v>
      </c>
      <c r="C3947" s="1" t="n">
        <v>45724</v>
      </c>
      <c r="D3947" t="inlineStr">
        <is>
          <t>VÄSTMANLANDS LÄN</t>
        </is>
      </c>
      <c r="E3947" t="inlineStr">
        <is>
          <t>VÄSTERÅS</t>
        </is>
      </c>
      <c r="G3947" t="n">
        <v>6.7</v>
      </c>
      <c r="H3947" t="n">
        <v>0</v>
      </c>
      <c r="I3947" t="n">
        <v>0</v>
      </c>
      <c r="J3947" t="n">
        <v>0</v>
      </c>
      <c r="K3947" t="n">
        <v>0</v>
      </c>
      <c r="L3947" t="n">
        <v>0</v>
      </c>
      <c r="M3947" t="n">
        <v>0</v>
      </c>
      <c r="N3947" t="n">
        <v>0</v>
      </c>
      <c r="O3947" t="n">
        <v>0</v>
      </c>
      <c r="P3947" t="n">
        <v>0</v>
      </c>
      <c r="Q3947" t="n">
        <v>0</v>
      </c>
      <c r="R3947" s="2" t="inlineStr"/>
    </row>
    <row r="3948" ht="15" customHeight="1">
      <c r="A3948" t="inlineStr">
        <is>
          <t>A 10754-2024</t>
        </is>
      </c>
      <c r="B3948" s="1" t="n">
        <v>45369</v>
      </c>
      <c r="C3948" s="1" t="n">
        <v>45724</v>
      </c>
      <c r="D3948" t="inlineStr">
        <is>
          <t>VÄSTMANLANDS LÄN</t>
        </is>
      </c>
      <c r="E3948" t="inlineStr">
        <is>
          <t>SALA</t>
        </is>
      </c>
      <c r="G3948" t="n">
        <v>1.4</v>
      </c>
      <c r="H3948" t="n">
        <v>0</v>
      </c>
      <c r="I3948" t="n">
        <v>0</v>
      </c>
      <c r="J3948" t="n">
        <v>0</v>
      </c>
      <c r="K3948" t="n">
        <v>0</v>
      </c>
      <c r="L3948" t="n">
        <v>0</v>
      </c>
      <c r="M3948" t="n">
        <v>0</v>
      </c>
      <c r="N3948" t="n">
        <v>0</v>
      </c>
      <c r="O3948" t="n">
        <v>0</v>
      </c>
      <c r="P3948" t="n">
        <v>0</v>
      </c>
      <c r="Q3948" t="n">
        <v>0</v>
      </c>
      <c r="R3948" s="2" t="inlineStr"/>
    </row>
    <row r="3949" ht="15" customHeight="1">
      <c r="A3949" t="inlineStr">
        <is>
          <t>A 10905-2024</t>
        </is>
      </c>
      <c r="B3949" s="1" t="n">
        <v>45370</v>
      </c>
      <c r="C3949" s="1" t="n">
        <v>45724</v>
      </c>
      <c r="D3949" t="inlineStr">
        <is>
          <t>VÄSTMANLANDS LÄN</t>
        </is>
      </c>
      <c r="E3949" t="inlineStr">
        <is>
          <t>VÄSTERÅS</t>
        </is>
      </c>
      <c r="G3949" t="n">
        <v>0.9</v>
      </c>
      <c r="H3949" t="n">
        <v>0</v>
      </c>
      <c r="I3949" t="n">
        <v>0</v>
      </c>
      <c r="J3949" t="n">
        <v>0</v>
      </c>
      <c r="K3949" t="n">
        <v>0</v>
      </c>
      <c r="L3949" t="n">
        <v>0</v>
      </c>
      <c r="M3949" t="n">
        <v>0</v>
      </c>
      <c r="N3949" t="n">
        <v>0</v>
      </c>
      <c r="O3949" t="n">
        <v>0</v>
      </c>
      <c r="P3949" t="n">
        <v>0</v>
      </c>
      <c r="Q3949" t="n">
        <v>0</v>
      </c>
      <c r="R3949" s="2" t="inlineStr"/>
    </row>
    <row r="3950" ht="15" customHeight="1">
      <c r="A3950" t="inlineStr">
        <is>
          <t>A 10909-2024</t>
        </is>
      </c>
      <c r="B3950" s="1" t="n">
        <v>45370</v>
      </c>
      <c r="C3950" s="1" t="n">
        <v>45724</v>
      </c>
      <c r="D3950" t="inlineStr">
        <is>
          <t>VÄSTMANLANDS LÄN</t>
        </is>
      </c>
      <c r="E3950" t="inlineStr">
        <is>
          <t>SALA</t>
        </is>
      </c>
      <c r="G3950" t="n">
        <v>3.3</v>
      </c>
      <c r="H3950" t="n">
        <v>0</v>
      </c>
      <c r="I3950" t="n">
        <v>0</v>
      </c>
      <c r="J3950" t="n">
        <v>0</v>
      </c>
      <c r="K3950" t="n">
        <v>0</v>
      </c>
      <c r="L3950" t="n">
        <v>0</v>
      </c>
      <c r="M3950" t="n">
        <v>0</v>
      </c>
      <c r="N3950" t="n">
        <v>0</v>
      </c>
      <c r="O3950" t="n">
        <v>0</v>
      </c>
      <c r="P3950" t="n">
        <v>0</v>
      </c>
      <c r="Q3950" t="n">
        <v>0</v>
      </c>
      <c r="R3950" s="2" t="inlineStr"/>
    </row>
    <row r="3951" ht="15" customHeight="1">
      <c r="A3951" t="inlineStr">
        <is>
          <t>A 10946-2024</t>
        </is>
      </c>
      <c r="B3951" s="1" t="n">
        <v>45370</v>
      </c>
      <c r="C3951" s="1" t="n">
        <v>45724</v>
      </c>
      <c r="D3951" t="inlineStr">
        <is>
          <t>VÄSTMANLANDS LÄN</t>
        </is>
      </c>
      <c r="E3951" t="inlineStr">
        <is>
          <t>NORBERG</t>
        </is>
      </c>
      <c r="G3951" t="n">
        <v>2.5</v>
      </c>
      <c r="H3951" t="n">
        <v>0</v>
      </c>
      <c r="I3951" t="n">
        <v>0</v>
      </c>
      <c r="J3951" t="n">
        <v>0</v>
      </c>
      <c r="K3951" t="n">
        <v>0</v>
      </c>
      <c r="L3951" t="n">
        <v>0</v>
      </c>
      <c r="M3951" t="n">
        <v>0</v>
      </c>
      <c r="N3951" t="n">
        <v>0</v>
      </c>
      <c r="O3951" t="n">
        <v>0</v>
      </c>
      <c r="P3951" t="n">
        <v>0</v>
      </c>
      <c r="Q3951" t="n">
        <v>0</v>
      </c>
      <c r="R3951" s="2" t="inlineStr"/>
    </row>
    <row r="3952" ht="15" customHeight="1">
      <c r="A3952" t="inlineStr">
        <is>
          <t>A 10979-2024</t>
        </is>
      </c>
      <c r="B3952" s="1" t="n">
        <v>45370</v>
      </c>
      <c r="C3952" s="1" t="n">
        <v>45724</v>
      </c>
      <c r="D3952" t="inlineStr">
        <is>
          <t>VÄSTMANLANDS LÄN</t>
        </is>
      </c>
      <c r="E3952" t="inlineStr">
        <is>
          <t>KÖPING</t>
        </is>
      </c>
      <c r="G3952" t="n">
        <v>5.8</v>
      </c>
      <c r="H3952" t="n">
        <v>0</v>
      </c>
      <c r="I3952" t="n">
        <v>0</v>
      </c>
      <c r="J3952" t="n">
        <v>0</v>
      </c>
      <c r="K3952" t="n">
        <v>0</v>
      </c>
      <c r="L3952" t="n">
        <v>0</v>
      </c>
      <c r="M3952" t="n">
        <v>0</v>
      </c>
      <c r="N3952" t="n">
        <v>0</v>
      </c>
      <c r="O3952" t="n">
        <v>0</v>
      </c>
      <c r="P3952" t="n">
        <v>0</v>
      </c>
      <c r="Q3952" t="n">
        <v>0</v>
      </c>
      <c r="R3952" s="2" t="inlineStr"/>
    </row>
    <row r="3953" ht="15" customHeight="1">
      <c r="A3953" t="inlineStr">
        <is>
          <t>A 10912-2024</t>
        </is>
      </c>
      <c r="B3953" s="1" t="n">
        <v>45370</v>
      </c>
      <c r="C3953" s="1" t="n">
        <v>45724</v>
      </c>
      <c r="D3953" t="inlineStr">
        <is>
          <t>VÄSTMANLANDS LÄN</t>
        </is>
      </c>
      <c r="E3953" t="inlineStr">
        <is>
          <t>VÄSTERÅS</t>
        </is>
      </c>
      <c r="G3953" t="n">
        <v>0.5</v>
      </c>
      <c r="H3953" t="n">
        <v>0</v>
      </c>
      <c r="I3953" t="n">
        <v>0</v>
      </c>
      <c r="J3953" t="n">
        <v>0</v>
      </c>
      <c r="K3953" t="n">
        <v>0</v>
      </c>
      <c r="L3953" t="n">
        <v>0</v>
      </c>
      <c r="M3953" t="n">
        <v>0</v>
      </c>
      <c r="N3953" t="n">
        <v>0</v>
      </c>
      <c r="O3953" t="n">
        <v>0</v>
      </c>
      <c r="P3953" t="n">
        <v>0</v>
      </c>
      <c r="Q3953" t="n">
        <v>0</v>
      </c>
      <c r="R3953" s="2" t="inlineStr"/>
    </row>
    <row r="3954" ht="15" customHeight="1">
      <c r="A3954" t="inlineStr">
        <is>
          <t>A 10916-2024</t>
        </is>
      </c>
      <c r="B3954" s="1" t="n">
        <v>45370</v>
      </c>
      <c r="C3954" s="1" t="n">
        <v>45724</v>
      </c>
      <c r="D3954" t="inlineStr">
        <is>
          <t>VÄSTMANLANDS LÄN</t>
        </is>
      </c>
      <c r="E3954" t="inlineStr">
        <is>
          <t>KUNGSÖR</t>
        </is>
      </c>
      <c r="G3954" t="n">
        <v>8.699999999999999</v>
      </c>
      <c r="H3954" t="n">
        <v>0</v>
      </c>
      <c r="I3954" t="n">
        <v>0</v>
      </c>
      <c r="J3954" t="n">
        <v>0</v>
      </c>
      <c r="K3954" t="n">
        <v>0</v>
      </c>
      <c r="L3954" t="n">
        <v>0</v>
      </c>
      <c r="M3954" t="n">
        <v>0</v>
      </c>
      <c r="N3954" t="n">
        <v>0</v>
      </c>
      <c r="O3954" t="n">
        <v>0</v>
      </c>
      <c r="P3954" t="n">
        <v>0</v>
      </c>
      <c r="Q3954" t="n">
        <v>0</v>
      </c>
      <c r="R3954" s="2" t="inlineStr"/>
    </row>
    <row r="3955" ht="15" customHeight="1">
      <c r="A3955" t="inlineStr">
        <is>
          <t>A 10948-2024</t>
        </is>
      </c>
      <c r="B3955" s="1" t="n">
        <v>45370</v>
      </c>
      <c r="C3955" s="1" t="n">
        <v>45724</v>
      </c>
      <c r="D3955" t="inlineStr">
        <is>
          <t>VÄSTMANLANDS LÄN</t>
        </is>
      </c>
      <c r="E3955" t="inlineStr">
        <is>
          <t>KÖPING</t>
        </is>
      </c>
      <c r="G3955" t="n">
        <v>3.4</v>
      </c>
      <c r="H3955" t="n">
        <v>0</v>
      </c>
      <c r="I3955" t="n">
        <v>0</v>
      </c>
      <c r="J3955" t="n">
        <v>0</v>
      </c>
      <c r="K3955" t="n">
        <v>0</v>
      </c>
      <c r="L3955" t="n">
        <v>0</v>
      </c>
      <c r="M3955" t="n">
        <v>0</v>
      </c>
      <c r="N3955" t="n">
        <v>0</v>
      </c>
      <c r="O3955" t="n">
        <v>0</v>
      </c>
      <c r="P3955" t="n">
        <v>0</v>
      </c>
      <c r="Q3955" t="n">
        <v>0</v>
      </c>
      <c r="R3955" s="2" t="inlineStr"/>
    </row>
    <row r="3956" ht="15" customHeight="1">
      <c r="A3956" t="inlineStr">
        <is>
          <t>A 11216-2024</t>
        </is>
      </c>
      <c r="B3956" s="1" t="n">
        <v>45371</v>
      </c>
      <c r="C3956" s="1" t="n">
        <v>45724</v>
      </c>
      <c r="D3956" t="inlineStr">
        <is>
          <t>VÄSTMANLANDS LÄN</t>
        </is>
      </c>
      <c r="E3956" t="inlineStr">
        <is>
          <t>ARBOGA</t>
        </is>
      </c>
      <c r="G3956" t="n">
        <v>2</v>
      </c>
      <c r="H3956" t="n">
        <v>0</v>
      </c>
      <c r="I3956" t="n">
        <v>0</v>
      </c>
      <c r="J3956" t="n">
        <v>0</v>
      </c>
      <c r="K3956" t="n">
        <v>0</v>
      </c>
      <c r="L3956" t="n">
        <v>0</v>
      </c>
      <c r="M3956" t="n">
        <v>0</v>
      </c>
      <c r="N3956" t="n">
        <v>0</v>
      </c>
      <c r="O3956" t="n">
        <v>0</v>
      </c>
      <c r="P3956" t="n">
        <v>0</v>
      </c>
      <c r="Q3956" t="n">
        <v>0</v>
      </c>
      <c r="R3956" s="2" t="inlineStr"/>
    </row>
    <row r="3957" ht="15" customHeight="1">
      <c r="A3957" t="inlineStr">
        <is>
          <t>A 11244-2024</t>
        </is>
      </c>
      <c r="B3957" s="1" t="n">
        <v>45371</v>
      </c>
      <c r="C3957" s="1" t="n">
        <v>45724</v>
      </c>
      <c r="D3957" t="inlineStr">
        <is>
          <t>VÄSTMANLANDS LÄN</t>
        </is>
      </c>
      <c r="E3957" t="inlineStr">
        <is>
          <t>SALA</t>
        </is>
      </c>
      <c r="G3957" t="n">
        <v>1.2</v>
      </c>
      <c r="H3957" t="n">
        <v>0</v>
      </c>
      <c r="I3957" t="n">
        <v>0</v>
      </c>
      <c r="J3957" t="n">
        <v>0</v>
      </c>
      <c r="K3957" t="n">
        <v>0</v>
      </c>
      <c r="L3957" t="n">
        <v>0</v>
      </c>
      <c r="M3957" t="n">
        <v>0</v>
      </c>
      <c r="N3957" t="n">
        <v>0</v>
      </c>
      <c r="O3957" t="n">
        <v>0</v>
      </c>
      <c r="P3957" t="n">
        <v>0</v>
      </c>
      <c r="Q3957" t="n">
        <v>0</v>
      </c>
      <c r="R3957" s="2" t="inlineStr"/>
    </row>
    <row r="3958" ht="15" customHeight="1">
      <c r="A3958" t="inlineStr">
        <is>
          <t>A 11381-2024</t>
        </is>
      </c>
      <c r="B3958" s="1" t="n">
        <v>45372</v>
      </c>
      <c r="C3958" s="1" t="n">
        <v>45724</v>
      </c>
      <c r="D3958" t="inlineStr">
        <is>
          <t>VÄSTMANLANDS LÄN</t>
        </is>
      </c>
      <c r="E3958" t="inlineStr">
        <is>
          <t>SALA</t>
        </is>
      </c>
      <c r="G3958" t="n">
        <v>1</v>
      </c>
      <c r="H3958" t="n">
        <v>0</v>
      </c>
      <c r="I3958" t="n">
        <v>0</v>
      </c>
      <c r="J3958" t="n">
        <v>0</v>
      </c>
      <c r="K3958" t="n">
        <v>0</v>
      </c>
      <c r="L3958" t="n">
        <v>0</v>
      </c>
      <c r="M3958" t="n">
        <v>0</v>
      </c>
      <c r="N3958" t="n">
        <v>0</v>
      </c>
      <c r="O3958" t="n">
        <v>0</v>
      </c>
      <c r="P3958" t="n">
        <v>0</v>
      </c>
      <c r="Q3958" t="n">
        <v>0</v>
      </c>
      <c r="R3958" s="2" t="inlineStr"/>
    </row>
    <row r="3959" ht="15" customHeight="1">
      <c r="A3959" t="inlineStr">
        <is>
          <t>A 11389-2024</t>
        </is>
      </c>
      <c r="B3959" s="1" t="n">
        <v>45372</v>
      </c>
      <c r="C3959" s="1" t="n">
        <v>45724</v>
      </c>
      <c r="D3959" t="inlineStr">
        <is>
          <t>VÄSTMANLANDS LÄN</t>
        </is>
      </c>
      <c r="E3959" t="inlineStr">
        <is>
          <t>SALA</t>
        </is>
      </c>
      <c r="G3959" t="n">
        <v>0.5</v>
      </c>
      <c r="H3959" t="n">
        <v>0</v>
      </c>
      <c r="I3959" t="n">
        <v>0</v>
      </c>
      <c r="J3959" t="n">
        <v>0</v>
      </c>
      <c r="K3959" t="n">
        <v>0</v>
      </c>
      <c r="L3959" t="n">
        <v>0</v>
      </c>
      <c r="M3959" t="n">
        <v>0</v>
      </c>
      <c r="N3959" t="n">
        <v>0</v>
      </c>
      <c r="O3959" t="n">
        <v>0</v>
      </c>
      <c r="P3959" t="n">
        <v>0</v>
      </c>
      <c r="Q3959" t="n">
        <v>0</v>
      </c>
      <c r="R3959" s="2" t="inlineStr"/>
    </row>
    <row r="3960" ht="15" customHeight="1">
      <c r="A3960" t="inlineStr">
        <is>
          <t>A 11374-2024</t>
        </is>
      </c>
      <c r="B3960" s="1" t="n">
        <v>45372</v>
      </c>
      <c r="C3960" s="1" t="n">
        <v>45724</v>
      </c>
      <c r="D3960" t="inlineStr">
        <is>
          <t>VÄSTMANLANDS LÄN</t>
        </is>
      </c>
      <c r="E3960" t="inlineStr">
        <is>
          <t>VÄSTERÅS</t>
        </is>
      </c>
      <c r="G3960" t="n">
        <v>2.1</v>
      </c>
      <c r="H3960" t="n">
        <v>0</v>
      </c>
      <c r="I3960" t="n">
        <v>0</v>
      </c>
      <c r="J3960" t="n">
        <v>0</v>
      </c>
      <c r="K3960" t="n">
        <v>0</v>
      </c>
      <c r="L3960" t="n">
        <v>0</v>
      </c>
      <c r="M3960" t="n">
        <v>0</v>
      </c>
      <c r="N3960" t="n">
        <v>0</v>
      </c>
      <c r="O3960" t="n">
        <v>0</v>
      </c>
      <c r="P3960" t="n">
        <v>0</v>
      </c>
      <c r="Q3960" t="n">
        <v>0</v>
      </c>
      <c r="R3960" s="2" t="inlineStr"/>
    </row>
    <row r="3961" ht="15" customHeight="1">
      <c r="A3961" t="inlineStr">
        <is>
          <t>A 11378-2024</t>
        </is>
      </c>
      <c r="B3961" s="1" t="n">
        <v>45372</v>
      </c>
      <c r="C3961" s="1" t="n">
        <v>45724</v>
      </c>
      <c r="D3961" t="inlineStr">
        <is>
          <t>VÄSTMANLANDS LÄN</t>
        </is>
      </c>
      <c r="E3961" t="inlineStr">
        <is>
          <t>SALA</t>
        </is>
      </c>
      <c r="G3961" t="n">
        <v>2.9</v>
      </c>
      <c r="H3961" t="n">
        <v>0</v>
      </c>
      <c r="I3961" t="n">
        <v>0</v>
      </c>
      <c r="J3961" t="n">
        <v>0</v>
      </c>
      <c r="K3961" t="n">
        <v>0</v>
      </c>
      <c r="L3961" t="n">
        <v>0</v>
      </c>
      <c r="M3961" t="n">
        <v>0</v>
      </c>
      <c r="N3961" t="n">
        <v>0</v>
      </c>
      <c r="O3961" t="n">
        <v>0</v>
      </c>
      <c r="P3961" t="n">
        <v>0</v>
      </c>
      <c r="Q3961" t="n">
        <v>0</v>
      </c>
      <c r="R3961" s="2" t="inlineStr"/>
    </row>
    <row r="3962" ht="15" customHeight="1">
      <c r="A3962" t="inlineStr">
        <is>
          <t>A 11492-2024</t>
        </is>
      </c>
      <c r="B3962" s="1" t="n">
        <v>45372</v>
      </c>
      <c r="C3962" s="1" t="n">
        <v>45724</v>
      </c>
      <c r="D3962" t="inlineStr">
        <is>
          <t>VÄSTMANLANDS LÄN</t>
        </is>
      </c>
      <c r="E3962" t="inlineStr">
        <is>
          <t>SALA</t>
        </is>
      </c>
      <c r="G3962" t="n">
        <v>6.9</v>
      </c>
      <c r="H3962" t="n">
        <v>0</v>
      </c>
      <c r="I3962" t="n">
        <v>0</v>
      </c>
      <c r="J3962" t="n">
        <v>0</v>
      </c>
      <c r="K3962" t="n">
        <v>0</v>
      </c>
      <c r="L3962" t="n">
        <v>0</v>
      </c>
      <c r="M3962" t="n">
        <v>0</v>
      </c>
      <c r="N3962" t="n">
        <v>0</v>
      </c>
      <c r="O3962" t="n">
        <v>0</v>
      </c>
      <c r="P3962" t="n">
        <v>0</v>
      </c>
      <c r="Q3962" t="n">
        <v>0</v>
      </c>
      <c r="R3962" s="2" t="inlineStr"/>
    </row>
    <row r="3963" ht="15" customHeight="1">
      <c r="A3963" t="inlineStr">
        <is>
          <t>A 11675-2024</t>
        </is>
      </c>
      <c r="B3963" s="1" t="n">
        <v>45373</v>
      </c>
      <c r="C3963" s="1" t="n">
        <v>45724</v>
      </c>
      <c r="D3963" t="inlineStr">
        <is>
          <t>VÄSTMANLANDS LÄN</t>
        </is>
      </c>
      <c r="E3963" t="inlineStr">
        <is>
          <t>KÖPING</t>
        </is>
      </c>
      <c r="F3963" t="inlineStr">
        <is>
          <t>Sveaskog</t>
        </is>
      </c>
      <c r="G3963" t="n">
        <v>2.5</v>
      </c>
      <c r="H3963" t="n">
        <v>0</v>
      </c>
      <c r="I3963" t="n">
        <v>0</v>
      </c>
      <c r="J3963" t="n">
        <v>0</v>
      </c>
      <c r="K3963" t="n">
        <v>0</v>
      </c>
      <c r="L3963" t="n">
        <v>0</v>
      </c>
      <c r="M3963" t="n">
        <v>0</v>
      </c>
      <c r="N3963" t="n">
        <v>0</v>
      </c>
      <c r="O3963" t="n">
        <v>0</v>
      </c>
      <c r="P3963" t="n">
        <v>0</v>
      </c>
      <c r="Q3963" t="n">
        <v>0</v>
      </c>
      <c r="R3963" s="2" t="inlineStr"/>
    </row>
    <row r="3964" ht="15" customHeight="1">
      <c r="A3964" t="inlineStr">
        <is>
          <t>A 11800-2024</t>
        </is>
      </c>
      <c r="B3964" s="1" t="n">
        <v>45375</v>
      </c>
      <c r="C3964" s="1" t="n">
        <v>45724</v>
      </c>
      <c r="D3964" t="inlineStr">
        <is>
          <t>VÄSTMANLANDS LÄN</t>
        </is>
      </c>
      <c r="E3964" t="inlineStr">
        <is>
          <t>SKINNSKATTEBERG</t>
        </is>
      </c>
      <c r="G3964" t="n">
        <v>0.3</v>
      </c>
      <c r="H3964" t="n">
        <v>0</v>
      </c>
      <c r="I3964" t="n">
        <v>0</v>
      </c>
      <c r="J3964" t="n">
        <v>0</v>
      </c>
      <c r="K3964" t="n">
        <v>0</v>
      </c>
      <c r="L3964" t="n">
        <v>0</v>
      </c>
      <c r="M3964" t="n">
        <v>0</v>
      </c>
      <c r="N3964" t="n">
        <v>0</v>
      </c>
      <c r="O3964" t="n">
        <v>0</v>
      </c>
      <c r="P3964" t="n">
        <v>0</v>
      </c>
      <c r="Q3964" t="n">
        <v>0</v>
      </c>
      <c r="R3964" s="2" t="inlineStr"/>
    </row>
    <row r="3965" ht="15" customHeight="1">
      <c r="A3965" t="inlineStr">
        <is>
          <t>A 11823-2024</t>
        </is>
      </c>
      <c r="B3965" s="1" t="n">
        <v>45376</v>
      </c>
      <c r="C3965" s="1" t="n">
        <v>45724</v>
      </c>
      <c r="D3965" t="inlineStr">
        <is>
          <t>VÄSTMANLANDS LÄN</t>
        </is>
      </c>
      <c r="E3965" t="inlineStr">
        <is>
          <t>SKINNSKATTEBERG</t>
        </is>
      </c>
      <c r="F3965" t="inlineStr">
        <is>
          <t>Sveaskog</t>
        </is>
      </c>
      <c r="G3965" t="n">
        <v>1.9</v>
      </c>
      <c r="H3965" t="n">
        <v>0</v>
      </c>
      <c r="I3965" t="n">
        <v>0</v>
      </c>
      <c r="J3965" t="n">
        <v>0</v>
      </c>
      <c r="K3965" t="n">
        <v>0</v>
      </c>
      <c r="L3965" t="n">
        <v>0</v>
      </c>
      <c r="M3965" t="n">
        <v>0</v>
      </c>
      <c r="N3965" t="n">
        <v>0</v>
      </c>
      <c r="O3965" t="n">
        <v>0</v>
      </c>
      <c r="P3965" t="n">
        <v>0</v>
      </c>
      <c r="Q3965" t="n">
        <v>0</v>
      </c>
      <c r="R3965" s="2" t="inlineStr"/>
    </row>
    <row r="3966" ht="15" customHeight="1">
      <c r="A3966" t="inlineStr">
        <is>
          <t>A 11826-2024</t>
        </is>
      </c>
      <c r="B3966" s="1" t="n">
        <v>45376</v>
      </c>
      <c r="C3966" s="1" t="n">
        <v>45724</v>
      </c>
      <c r="D3966" t="inlineStr">
        <is>
          <t>VÄSTMANLANDS LÄN</t>
        </is>
      </c>
      <c r="E3966" t="inlineStr">
        <is>
          <t>SKINNSKATTEBERG</t>
        </is>
      </c>
      <c r="F3966" t="inlineStr">
        <is>
          <t>Sveaskog</t>
        </is>
      </c>
      <c r="G3966" t="n">
        <v>1.2</v>
      </c>
      <c r="H3966" t="n">
        <v>0</v>
      </c>
      <c r="I3966" t="n">
        <v>0</v>
      </c>
      <c r="J3966" t="n">
        <v>0</v>
      </c>
      <c r="K3966" t="n">
        <v>0</v>
      </c>
      <c r="L3966" t="n">
        <v>0</v>
      </c>
      <c r="M3966" t="n">
        <v>0</v>
      </c>
      <c r="N3966" t="n">
        <v>0</v>
      </c>
      <c r="O3966" t="n">
        <v>0</v>
      </c>
      <c r="P3966" t="n">
        <v>0</v>
      </c>
      <c r="Q3966" t="n">
        <v>0</v>
      </c>
      <c r="R3966" s="2" t="inlineStr"/>
    </row>
    <row r="3967" ht="15" customHeight="1">
      <c r="A3967" t="inlineStr">
        <is>
          <t>A 11834-2024</t>
        </is>
      </c>
      <c r="B3967" s="1" t="n">
        <v>45376</v>
      </c>
      <c r="C3967" s="1" t="n">
        <v>45724</v>
      </c>
      <c r="D3967" t="inlineStr">
        <is>
          <t>VÄSTMANLANDS LÄN</t>
        </is>
      </c>
      <c r="E3967" t="inlineStr">
        <is>
          <t>NORBERG</t>
        </is>
      </c>
      <c r="G3967" t="n">
        <v>2.9</v>
      </c>
      <c r="H3967" t="n">
        <v>0</v>
      </c>
      <c r="I3967" t="n">
        <v>0</v>
      </c>
      <c r="J3967" t="n">
        <v>0</v>
      </c>
      <c r="K3967" t="n">
        <v>0</v>
      </c>
      <c r="L3967" t="n">
        <v>0</v>
      </c>
      <c r="M3967" t="n">
        <v>0</v>
      </c>
      <c r="N3967" t="n">
        <v>0</v>
      </c>
      <c r="O3967" t="n">
        <v>0</v>
      </c>
      <c r="P3967" t="n">
        <v>0</v>
      </c>
      <c r="Q3967" t="n">
        <v>0</v>
      </c>
      <c r="R3967" s="2" t="inlineStr"/>
    </row>
    <row r="3968" ht="15" customHeight="1">
      <c r="A3968" t="inlineStr">
        <is>
          <t>A 11822-2024</t>
        </is>
      </c>
      <c r="B3968" s="1" t="n">
        <v>45376</v>
      </c>
      <c r="C3968" s="1" t="n">
        <v>45724</v>
      </c>
      <c r="D3968" t="inlineStr">
        <is>
          <t>VÄSTMANLANDS LÄN</t>
        </is>
      </c>
      <c r="E3968" t="inlineStr">
        <is>
          <t>SKINNSKATTEBERG</t>
        </is>
      </c>
      <c r="F3968" t="inlineStr">
        <is>
          <t>Sveaskog</t>
        </is>
      </c>
      <c r="G3968" t="n">
        <v>1.1</v>
      </c>
      <c r="H3968" t="n">
        <v>0</v>
      </c>
      <c r="I3968" t="n">
        <v>0</v>
      </c>
      <c r="J3968" t="n">
        <v>0</v>
      </c>
      <c r="K3968" t="n">
        <v>0</v>
      </c>
      <c r="L3968" t="n">
        <v>0</v>
      </c>
      <c r="M3968" t="n">
        <v>0</v>
      </c>
      <c r="N3968" t="n">
        <v>0</v>
      </c>
      <c r="O3968" t="n">
        <v>0</v>
      </c>
      <c r="P3968" t="n">
        <v>0</v>
      </c>
      <c r="Q3968" t="n">
        <v>0</v>
      </c>
      <c r="R3968" s="2" t="inlineStr"/>
    </row>
    <row r="3969" ht="15" customHeight="1">
      <c r="A3969" t="inlineStr">
        <is>
          <t>A 11827-2024</t>
        </is>
      </c>
      <c r="B3969" s="1" t="n">
        <v>45376</v>
      </c>
      <c r="C3969" s="1" t="n">
        <v>45724</v>
      </c>
      <c r="D3969" t="inlineStr">
        <is>
          <t>VÄSTMANLANDS LÄN</t>
        </is>
      </c>
      <c r="E3969" t="inlineStr">
        <is>
          <t>SKINNSKATTEBERG</t>
        </is>
      </c>
      <c r="F3969" t="inlineStr">
        <is>
          <t>Sveaskog</t>
        </is>
      </c>
      <c r="G3969" t="n">
        <v>1.6</v>
      </c>
      <c r="H3969" t="n">
        <v>0</v>
      </c>
      <c r="I3969" t="n">
        <v>0</v>
      </c>
      <c r="J3969" t="n">
        <v>0</v>
      </c>
      <c r="K3969" t="n">
        <v>0</v>
      </c>
      <c r="L3969" t="n">
        <v>0</v>
      </c>
      <c r="M3969" t="n">
        <v>0</v>
      </c>
      <c r="N3969" t="n">
        <v>0</v>
      </c>
      <c r="O3969" t="n">
        <v>0</v>
      </c>
      <c r="P3969" t="n">
        <v>0</v>
      </c>
      <c r="Q3969" t="n">
        <v>0</v>
      </c>
      <c r="R3969" s="2" t="inlineStr"/>
    </row>
    <row r="3970" ht="15" customHeight="1">
      <c r="A3970" t="inlineStr">
        <is>
          <t>A 11847-2024</t>
        </is>
      </c>
      <c r="B3970" s="1" t="n">
        <v>45376</v>
      </c>
      <c r="C3970" s="1" t="n">
        <v>45724</v>
      </c>
      <c r="D3970" t="inlineStr">
        <is>
          <t>VÄSTMANLANDS LÄN</t>
        </is>
      </c>
      <c r="E3970" t="inlineStr">
        <is>
          <t>SALA</t>
        </is>
      </c>
      <c r="G3970" t="n">
        <v>7.1</v>
      </c>
      <c r="H3970" t="n">
        <v>0</v>
      </c>
      <c r="I3970" t="n">
        <v>0</v>
      </c>
      <c r="J3970" t="n">
        <v>0</v>
      </c>
      <c r="K3970" t="n">
        <v>0</v>
      </c>
      <c r="L3970" t="n">
        <v>0</v>
      </c>
      <c r="M3970" t="n">
        <v>0</v>
      </c>
      <c r="N3970" t="n">
        <v>0</v>
      </c>
      <c r="O3970" t="n">
        <v>0</v>
      </c>
      <c r="P3970" t="n">
        <v>0</v>
      </c>
      <c r="Q3970" t="n">
        <v>0</v>
      </c>
      <c r="R3970" s="2" t="inlineStr"/>
    </row>
    <row r="3971" ht="15" customHeight="1">
      <c r="A3971" t="inlineStr">
        <is>
          <t>A 12115-2024</t>
        </is>
      </c>
      <c r="B3971" s="1" t="n">
        <v>45376</v>
      </c>
      <c r="C3971" s="1" t="n">
        <v>45724</v>
      </c>
      <c r="D3971" t="inlineStr">
        <is>
          <t>VÄSTMANLANDS LÄN</t>
        </is>
      </c>
      <c r="E3971" t="inlineStr">
        <is>
          <t>KÖPING</t>
        </is>
      </c>
      <c r="G3971" t="n">
        <v>1.5</v>
      </c>
      <c r="H3971" t="n">
        <v>0</v>
      </c>
      <c r="I3971" t="n">
        <v>0</v>
      </c>
      <c r="J3971" t="n">
        <v>0</v>
      </c>
      <c r="K3971" t="n">
        <v>0</v>
      </c>
      <c r="L3971" t="n">
        <v>0</v>
      </c>
      <c r="M3971" t="n">
        <v>0</v>
      </c>
      <c r="N3971" t="n">
        <v>0</v>
      </c>
      <c r="O3971" t="n">
        <v>0</v>
      </c>
      <c r="P3971" t="n">
        <v>0</v>
      </c>
      <c r="Q3971" t="n">
        <v>0</v>
      </c>
      <c r="R3971" s="2" t="inlineStr"/>
    </row>
    <row r="3972" ht="15" customHeight="1">
      <c r="A3972" t="inlineStr">
        <is>
          <t>A 12158-2024</t>
        </is>
      </c>
      <c r="B3972" s="1" t="n">
        <v>45377</v>
      </c>
      <c r="C3972" s="1" t="n">
        <v>45724</v>
      </c>
      <c r="D3972" t="inlineStr">
        <is>
          <t>VÄSTMANLANDS LÄN</t>
        </is>
      </c>
      <c r="E3972" t="inlineStr">
        <is>
          <t>SKINNSKATTEBERG</t>
        </is>
      </c>
      <c r="G3972" t="n">
        <v>2.9</v>
      </c>
      <c r="H3972" t="n">
        <v>0</v>
      </c>
      <c r="I3972" t="n">
        <v>0</v>
      </c>
      <c r="J3972" t="n">
        <v>0</v>
      </c>
      <c r="K3972" t="n">
        <v>0</v>
      </c>
      <c r="L3972" t="n">
        <v>0</v>
      </c>
      <c r="M3972" t="n">
        <v>0</v>
      </c>
      <c r="N3972" t="n">
        <v>0</v>
      </c>
      <c r="O3972" t="n">
        <v>0</v>
      </c>
      <c r="P3972" t="n">
        <v>0</v>
      </c>
      <c r="Q3972" t="n">
        <v>0</v>
      </c>
      <c r="R3972" s="2" t="inlineStr"/>
    </row>
    <row r="3973" ht="15" customHeight="1">
      <c r="A3973" t="inlineStr">
        <is>
          <t>A 12094-2024</t>
        </is>
      </c>
      <c r="B3973" s="1" t="n">
        <v>45377</v>
      </c>
      <c r="C3973" s="1" t="n">
        <v>45724</v>
      </c>
      <c r="D3973" t="inlineStr">
        <is>
          <t>VÄSTMANLANDS LÄN</t>
        </is>
      </c>
      <c r="E3973" t="inlineStr">
        <is>
          <t>SKINNSKATTEBERG</t>
        </is>
      </c>
      <c r="F3973" t="inlineStr">
        <is>
          <t>Sveaskog</t>
        </is>
      </c>
      <c r="G3973" t="n">
        <v>13.4</v>
      </c>
      <c r="H3973" t="n">
        <v>0</v>
      </c>
      <c r="I3973" t="n">
        <v>0</v>
      </c>
      <c r="J3973" t="n">
        <v>0</v>
      </c>
      <c r="K3973" t="n">
        <v>0</v>
      </c>
      <c r="L3973" t="n">
        <v>0</v>
      </c>
      <c r="M3973" t="n">
        <v>0</v>
      </c>
      <c r="N3973" t="n">
        <v>0</v>
      </c>
      <c r="O3973" t="n">
        <v>0</v>
      </c>
      <c r="P3973" t="n">
        <v>0</v>
      </c>
      <c r="Q3973" t="n">
        <v>0</v>
      </c>
      <c r="R3973" s="2" t="inlineStr"/>
    </row>
    <row r="3974" ht="15" customHeight="1">
      <c r="A3974" t="inlineStr">
        <is>
          <t>A 12057-2024</t>
        </is>
      </c>
      <c r="B3974" s="1" t="n">
        <v>45377</v>
      </c>
      <c r="C3974" s="1" t="n">
        <v>45724</v>
      </c>
      <c r="D3974" t="inlineStr">
        <is>
          <t>VÄSTMANLANDS LÄN</t>
        </is>
      </c>
      <c r="E3974" t="inlineStr">
        <is>
          <t>KÖPING</t>
        </is>
      </c>
      <c r="F3974" t="inlineStr">
        <is>
          <t>Sveaskog</t>
        </is>
      </c>
      <c r="G3974" t="n">
        <v>3.1</v>
      </c>
      <c r="H3974" t="n">
        <v>0</v>
      </c>
      <c r="I3974" t="n">
        <v>0</v>
      </c>
      <c r="J3974" t="n">
        <v>0</v>
      </c>
      <c r="K3974" t="n">
        <v>0</v>
      </c>
      <c r="L3974" t="n">
        <v>0</v>
      </c>
      <c r="M3974" t="n">
        <v>0</v>
      </c>
      <c r="N3974" t="n">
        <v>0</v>
      </c>
      <c r="O3974" t="n">
        <v>0</v>
      </c>
      <c r="P3974" t="n">
        <v>0</v>
      </c>
      <c r="Q3974" t="n">
        <v>0</v>
      </c>
      <c r="R3974" s="2" t="inlineStr"/>
    </row>
    <row r="3975" ht="15" customHeight="1">
      <c r="A3975" t="inlineStr">
        <is>
          <t>A 12095-2024</t>
        </is>
      </c>
      <c r="B3975" s="1" t="n">
        <v>45377</v>
      </c>
      <c r="C3975" s="1" t="n">
        <v>45724</v>
      </c>
      <c r="D3975" t="inlineStr">
        <is>
          <t>VÄSTMANLANDS LÄN</t>
        </is>
      </c>
      <c r="E3975" t="inlineStr">
        <is>
          <t>SKINNSKATTEBERG</t>
        </is>
      </c>
      <c r="F3975" t="inlineStr">
        <is>
          <t>Sveaskog</t>
        </is>
      </c>
      <c r="G3975" t="n">
        <v>6.6</v>
      </c>
      <c r="H3975" t="n">
        <v>0</v>
      </c>
      <c r="I3975" t="n">
        <v>0</v>
      </c>
      <c r="J3975" t="n">
        <v>0</v>
      </c>
      <c r="K3975" t="n">
        <v>0</v>
      </c>
      <c r="L3975" t="n">
        <v>0</v>
      </c>
      <c r="M3975" t="n">
        <v>0</v>
      </c>
      <c r="N3975" t="n">
        <v>0</v>
      </c>
      <c r="O3975" t="n">
        <v>0</v>
      </c>
      <c r="P3975" t="n">
        <v>0</v>
      </c>
      <c r="Q3975" t="n">
        <v>0</v>
      </c>
      <c r="R3975" s="2" t="inlineStr"/>
    </row>
    <row r="3976" ht="15" customHeight="1">
      <c r="A3976" t="inlineStr">
        <is>
          <t>A 12055-2024</t>
        </is>
      </c>
      <c r="B3976" s="1" t="n">
        <v>45377</v>
      </c>
      <c r="C3976" s="1" t="n">
        <v>45724</v>
      </c>
      <c r="D3976" t="inlineStr">
        <is>
          <t>VÄSTMANLANDS LÄN</t>
        </is>
      </c>
      <c r="E3976" t="inlineStr">
        <is>
          <t>KÖPING</t>
        </is>
      </c>
      <c r="F3976" t="inlineStr">
        <is>
          <t>Sveaskog</t>
        </is>
      </c>
      <c r="G3976" t="n">
        <v>10.7</v>
      </c>
      <c r="H3976" t="n">
        <v>0</v>
      </c>
      <c r="I3976" t="n">
        <v>0</v>
      </c>
      <c r="J3976" t="n">
        <v>0</v>
      </c>
      <c r="K3976" t="n">
        <v>0</v>
      </c>
      <c r="L3976" t="n">
        <v>0</v>
      </c>
      <c r="M3976" t="n">
        <v>0</v>
      </c>
      <c r="N3976" t="n">
        <v>0</v>
      </c>
      <c r="O3976" t="n">
        <v>0</v>
      </c>
      <c r="P3976" t="n">
        <v>0</v>
      </c>
      <c r="Q3976" t="n">
        <v>0</v>
      </c>
      <c r="R3976" s="2" t="inlineStr"/>
    </row>
    <row r="3977" ht="15" customHeight="1">
      <c r="A3977" t="inlineStr">
        <is>
          <t>A 12096-2024</t>
        </is>
      </c>
      <c r="B3977" s="1" t="n">
        <v>45377</v>
      </c>
      <c r="C3977" s="1" t="n">
        <v>45724</v>
      </c>
      <c r="D3977" t="inlineStr">
        <is>
          <t>VÄSTMANLANDS LÄN</t>
        </is>
      </c>
      <c r="E3977" t="inlineStr">
        <is>
          <t>SKINNSKATTEBERG</t>
        </is>
      </c>
      <c r="F3977" t="inlineStr">
        <is>
          <t>Sveaskog</t>
        </is>
      </c>
      <c r="G3977" t="n">
        <v>2.4</v>
      </c>
      <c r="H3977" t="n">
        <v>0</v>
      </c>
      <c r="I3977" t="n">
        <v>0</v>
      </c>
      <c r="J3977" t="n">
        <v>0</v>
      </c>
      <c r="K3977" t="n">
        <v>0</v>
      </c>
      <c r="L3977" t="n">
        <v>0</v>
      </c>
      <c r="M3977" t="n">
        <v>0</v>
      </c>
      <c r="N3977" t="n">
        <v>0</v>
      </c>
      <c r="O3977" t="n">
        <v>0</v>
      </c>
      <c r="P3977" t="n">
        <v>0</v>
      </c>
      <c r="Q3977" t="n">
        <v>0</v>
      </c>
      <c r="R3977" s="2" t="inlineStr"/>
    </row>
    <row r="3978" ht="15" customHeight="1">
      <c r="A3978" t="inlineStr">
        <is>
          <t>A 12236-2024</t>
        </is>
      </c>
      <c r="B3978" s="1" t="n">
        <v>45378</v>
      </c>
      <c r="C3978" s="1" t="n">
        <v>45724</v>
      </c>
      <c r="D3978" t="inlineStr">
        <is>
          <t>VÄSTMANLANDS LÄN</t>
        </is>
      </c>
      <c r="E3978" t="inlineStr">
        <is>
          <t>SALA</t>
        </is>
      </c>
      <c r="F3978" t="inlineStr">
        <is>
          <t>Kommuner</t>
        </is>
      </c>
      <c r="G3978" t="n">
        <v>4.4</v>
      </c>
      <c r="H3978" t="n">
        <v>0</v>
      </c>
      <c r="I3978" t="n">
        <v>0</v>
      </c>
      <c r="J3978" t="n">
        <v>0</v>
      </c>
      <c r="K3978" t="n">
        <v>0</v>
      </c>
      <c r="L3978" t="n">
        <v>0</v>
      </c>
      <c r="M3978" t="n">
        <v>0</v>
      </c>
      <c r="N3978" t="n">
        <v>0</v>
      </c>
      <c r="O3978" t="n">
        <v>0</v>
      </c>
      <c r="P3978" t="n">
        <v>0</v>
      </c>
      <c r="Q3978" t="n">
        <v>0</v>
      </c>
      <c r="R3978" s="2" t="inlineStr"/>
    </row>
    <row r="3979" ht="15" customHeight="1">
      <c r="A3979" t="inlineStr">
        <is>
          <t>A 12289-2024</t>
        </is>
      </c>
      <c r="B3979" s="1" t="n">
        <v>45378</v>
      </c>
      <c r="C3979" s="1" t="n">
        <v>45724</v>
      </c>
      <c r="D3979" t="inlineStr">
        <is>
          <t>VÄSTMANLANDS LÄN</t>
        </is>
      </c>
      <c r="E3979" t="inlineStr">
        <is>
          <t>VÄSTERÅS</t>
        </is>
      </c>
      <c r="G3979" t="n">
        <v>15.4</v>
      </c>
      <c r="H3979" t="n">
        <v>0</v>
      </c>
      <c r="I3979" t="n">
        <v>0</v>
      </c>
      <c r="J3979" t="n">
        <v>0</v>
      </c>
      <c r="K3979" t="n">
        <v>0</v>
      </c>
      <c r="L3979" t="n">
        <v>0</v>
      </c>
      <c r="M3979" t="n">
        <v>0</v>
      </c>
      <c r="N3979" t="n">
        <v>0</v>
      </c>
      <c r="O3979" t="n">
        <v>0</v>
      </c>
      <c r="P3979" t="n">
        <v>0</v>
      </c>
      <c r="Q3979" t="n">
        <v>0</v>
      </c>
      <c r="R3979" s="2" t="inlineStr"/>
    </row>
    <row r="3980" ht="15" customHeight="1">
      <c r="A3980" t="inlineStr">
        <is>
          <t>A 12302-2024</t>
        </is>
      </c>
      <c r="B3980" s="1" t="n">
        <v>45378</v>
      </c>
      <c r="C3980" s="1" t="n">
        <v>45724</v>
      </c>
      <c r="D3980" t="inlineStr">
        <is>
          <t>VÄSTMANLANDS LÄN</t>
        </is>
      </c>
      <c r="E3980" t="inlineStr">
        <is>
          <t>KÖPING</t>
        </is>
      </c>
      <c r="G3980" t="n">
        <v>0.8</v>
      </c>
      <c r="H3980" t="n">
        <v>0</v>
      </c>
      <c r="I3980" t="n">
        <v>0</v>
      </c>
      <c r="J3980" t="n">
        <v>0</v>
      </c>
      <c r="K3980" t="n">
        <v>0</v>
      </c>
      <c r="L3980" t="n">
        <v>0</v>
      </c>
      <c r="M3980" t="n">
        <v>0</v>
      </c>
      <c r="N3980" t="n">
        <v>0</v>
      </c>
      <c r="O3980" t="n">
        <v>0</v>
      </c>
      <c r="P3980" t="n">
        <v>0</v>
      </c>
      <c r="Q3980" t="n">
        <v>0</v>
      </c>
      <c r="R3980" s="2" t="inlineStr"/>
    </row>
    <row r="3981" ht="15" customHeight="1">
      <c r="A3981" t="inlineStr">
        <is>
          <t>A 12244-2024</t>
        </is>
      </c>
      <c r="B3981" s="1" t="n">
        <v>45378</v>
      </c>
      <c r="C3981" s="1" t="n">
        <v>45724</v>
      </c>
      <c r="D3981" t="inlineStr">
        <is>
          <t>VÄSTMANLANDS LÄN</t>
        </is>
      </c>
      <c r="E3981" t="inlineStr">
        <is>
          <t>SALA</t>
        </is>
      </c>
      <c r="G3981" t="n">
        <v>3.6</v>
      </c>
      <c r="H3981" t="n">
        <v>0</v>
      </c>
      <c r="I3981" t="n">
        <v>0</v>
      </c>
      <c r="J3981" t="n">
        <v>0</v>
      </c>
      <c r="K3981" t="n">
        <v>0</v>
      </c>
      <c r="L3981" t="n">
        <v>0</v>
      </c>
      <c r="M3981" t="n">
        <v>0</v>
      </c>
      <c r="N3981" t="n">
        <v>0</v>
      </c>
      <c r="O3981" t="n">
        <v>0</v>
      </c>
      <c r="P3981" t="n">
        <v>0</v>
      </c>
      <c r="Q3981" t="n">
        <v>0</v>
      </c>
      <c r="R3981" s="2" t="inlineStr"/>
    </row>
    <row r="3982" ht="15" customHeight="1">
      <c r="A3982" t="inlineStr">
        <is>
          <t>A 12237-2024</t>
        </is>
      </c>
      <c r="B3982" s="1" t="n">
        <v>45378</v>
      </c>
      <c r="C3982" s="1" t="n">
        <v>45724</v>
      </c>
      <c r="D3982" t="inlineStr">
        <is>
          <t>VÄSTMANLANDS LÄN</t>
        </is>
      </c>
      <c r="E3982" t="inlineStr">
        <is>
          <t>SALA</t>
        </is>
      </c>
      <c r="F3982" t="inlineStr">
        <is>
          <t>Kommuner</t>
        </is>
      </c>
      <c r="G3982" t="n">
        <v>4</v>
      </c>
      <c r="H3982" t="n">
        <v>0</v>
      </c>
      <c r="I3982" t="n">
        <v>0</v>
      </c>
      <c r="J3982" t="n">
        <v>0</v>
      </c>
      <c r="K3982" t="n">
        <v>0</v>
      </c>
      <c r="L3982" t="n">
        <v>0</v>
      </c>
      <c r="M3982" t="n">
        <v>0</v>
      </c>
      <c r="N3982" t="n">
        <v>0</v>
      </c>
      <c r="O3982" t="n">
        <v>0</v>
      </c>
      <c r="P3982" t="n">
        <v>0</v>
      </c>
      <c r="Q3982" t="n">
        <v>0</v>
      </c>
      <c r="R3982" s="2" t="inlineStr"/>
    </row>
    <row r="3983" ht="15" customHeight="1">
      <c r="A3983" t="inlineStr">
        <is>
          <t>A 12242-2024</t>
        </is>
      </c>
      <c r="B3983" s="1" t="n">
        <v>45378</v>
      </c>
      <c r="C3983" s="1" t="n">
        <v>45724</v>
      </c>
      <c r="D3983" t="inlineStr">
        <is>
          <t>VÄSTMANLANDS LÄN</t>
        </is>
      </c>
      <c r="E3983" t="inlineStr">
        <is>
          <t>SALA</t>
        </is>
      </c>
      <c r="F3983" t="inlineStr">
        <is>
          <t>Kommuner</t>
        </is>
      </c>
      <c r="G3983" t="n">
        <v>1.2</v>
      </c>
      <c r="H3983" t="n">
        <v>0</v>
      </c>
      <c r="I3983" t="n">
        <v>0</v>
      </c>
      <c r="J3983" t="n">
        <v>0</v>
      </c>
      <c r="K3983" t="n">
        <v>0</v>
      </c>
      <c r="L3983" t="n">
        <v>0</v>
      </c>
      <c r="M3983" t="n">
        <v>0</v>
      </c>
      <c r="N3983" t="n">
        <v>0</v>
      </c>
      <c r="O3983" t="n">
        <v>0</v>
      </c>
      <c r="P3983" t="n">
        <v>0</v>
      </c>
      <c r="Q3983" t="n">
        <v>0</v>
      </c>
      <c r="R3983" s="2" t="inlineStr"/>
    </row>
    <row r="3984" ht="15" customHeight="1">
      <c r="A3984" t="inlineStr">
        <is>
          <t>A 12463-2024</t>
        </is>
      </c>
      <c r="B3984" s="1" t="n">
        <v>45378</v>
      </c>
      <c r="C3984" s="1" t="n">
        <v>45724</v>
      </c>
      <c r="D3984" t="inlineStr">
        <is>
          <t>VÄSTMANLANDS LÄN</t>
        </is>
      </c>
      <c r="E3984" t="inlineStr">
        <is>
          <t>SALA</t>
        </is>
      </c>
      <c r="G3984" t="n">
        <v>1.9</v>
      </c>
      <c r="H3984" t="n">
        <v>0</v>
      </c>
      <c r="I3984" t="n">
        <v>0</v>
      </c>
      <c r="J3984" t="n">
        <v>0</v>
      </c>
      <c r="K3984" t="n">
        <v>0</v>
      </c>
      <c r="L3984" t="n">
        <v>0</v>
      </c>
      <c r="M3984" t="n">
        <v>0</v>
      </c>
      <c r="N3984" t="n">
        <v>0</v>
      </c>
      <c r="O3984" t="n">
        <v>0</v>
      </c>
      <c r="P3984" t="n">
        <v>0</v>
      </c>
      <c r="Q3984" t="n">
        <v>0</v>
      </c>
      <c r="R3984" s="2" t="inlineStr"/>
    </row>
    <row r="3985" ht="15" customHeight="1">
      <c r="A3985" t="inlineStr">
        <is>
          <t>A 12405-2024</t>
        </is>
      </c>
      <c r="B3985" s="1" t="n">
        <v>45379</v>
      </c>
      <c r="C3985" s="1" t="n">
        <v>45724</v>
      </c>
      <c r="D3985" t="inlineStr">
        <is>
          <t>VÄSTMANLANDS LÄN</t>
        </is>
      </c>
      <c r="E3985" t="inlineStr">
        <is>
          <t>ARBOGA</t>
        </is>
      </c>
      <c r="G3985" t="n">
        <v>1.3</v>
      </c>
      <c r="H3985" t="n">
        <v>0</v>
      </c>
      <c r="I3985" t="n">
        <v>0</v>
      </c>
      <c r="J3985" t="n">
        <v>0</v>
      </c>
      <c r="K3985" t="n">
        <v>0</v>
      </c>
      <c r="L3985" t="n">
        <v>0</v>
      </c>
      <c r="M3985" t="n">
        <v>0</v>
      </c>
      <c r="N3985" t="n">
        <v>0</v>
      </c>
      <c r="O3985" t="n">
        <v>0</v>
      </c>
      <c r="P3985" t="n">
        <v>0</v>
      </c>
      <c r="Q3985" t="n">
        <v>0</v>
      </c>
      <c r="R3985" s="2" t="inlineStr"/>
    </row>
    <row r="3986" ht="15" customHeight="1">
      <c r="A3986" t="inlineStr">
        <is>
          <t>A 12485-2024</t>
        </is>
      </c>
      <c r="B3986" s="1" t="n">
        <v>45379</v>
      </c>
      <c r="C3986" s="1" t="n">
        <v>45724</v>
      </c>
      <c r="D3986" t="inlineStr">
        <is>
          <t>VÄSTMANLANDS LÄN</t>
        </is>
      </c>
      <c r="E3986" t="inlineStr">
        <is>
          <t>SALA</t>
        </is>
      </c>
      <c r="G3986" t="n">
        <v>2.6</v>
      </c>
      <c r="H3986" t="n">
        <v>0</v>
      </c>
      <c r="I3986" t="n">
        <v>0</v>
      </c>
      <c r="J3986" t="n">
        <v>0</v>
      </c>
      <c r="K3986" t="n">
        <v>0</v>
      </c>
      <c r="L3986" t="n">
        <v>0</v>
      </c>
      <c r="M3986" t="n">
        <v>0</v>
      </c>
      <c r="N3986" t="n">
        <v>0</v>
      </c>
      <c r="O3986" t="n">
        <v>0</v>
      </c>
      <c r="P3986" t="n">
        <v>0</v>
      </c>
      <c r="Q3986" t="n">
        <v>0</v>
      </c>
      <c r="R3986" s="2" t="inlineStr"/>
    </row>
    <row r="3987" ht="15" customHeight="1">
      <c r="A3987" t="inlineStr">
        <is>
          <t>A 12406-2024</t>
        </is>
      </c>
      <c r="B3987" s="1" t="n">
        <v>45379</v>
      </c>
      <c r="C3987" s="1" t="n">
        <v>45724</v>
      </c>
      <c r="D3987" t="inlineStr">
        <is>
          <t>VÄSTMANLANDS LÄN</t>
        </is>
      </c>
      <c r="E3987" t="inlineStr">
        <is>
          <t>ARBOGA</t>
        </is>
      </c>
      <c r="G3987" t="n">
        <v>2.7</v>
      </c>
      <c r="H3987" t="n">
        <v>0</v>
      </c>
      <c r="I3987" t="n">
        <v>0</v>
      </c>
      <c r="J3987" t="n">
        <v>0</v>
      </c>
      <c r="K3987" t="n">
        <v>0</v>
      </c>
      <c r="L3987" t="n">
        <v>0</v>
      </c>
      <c r="M3987" t="n">
        <v>0</v>
      </c>
      <c r="N3987" t="n">
        <v>0</v>
      </c>
      <c r="O3987" t="n">
        <v>0</v>
      </c>
      <c r="P3987" t="n">
        <v>0</v>
      </c>
      <c r="Q3987" t="n">
        <v>0</v>
      </c>
      <c r="R3987" s="2" t="inlineStr"/>
    </row>
    <row r="3988" ht="15" customHeight="1">
      <c r="A3988" t="inlineStr">
        <is>
          <t>A 12398-2024</t>
        </is>
      </c>
      <c r="B3988" s="1" t="n">
        <v>45379</v>
      </c>
      <c r="C3988" s="1" t="n">
        <v>45724</v>
      </c>
      <c r="D3988" t="inlineStr">
        <is>
          <t>VÄSTMANLANDS LÄN</t>
        </is>
      </c>
      <c r="E3988" t="inlineStr">
        <is>
          <t>ARBOGA</t>
        </is>
      </c>
      <c r="G3988" t="n">
        <v>2.3</v>
      </c>
      <c r="H3988" t="n">
        <v>0</v>
      </c>
      <c r="I3988" t="n">
        <v>0</v>
      </c>
      <c r="J3988" t="n">
        <v>0</v>
      </c>
      <c r="K3988" t="n">
        <v>0</v>
      </c>
      <c r="L3988" t="n">
        <v>0</v>
      </c>
      <c r="M3988" t="n">
        <v>0</v>
      </c>
      <c r="N3988" t="n">
        <v>0</v>
      </c>
      <c r="O3988" t="n">
        <v>0</v>
      </c>
      <c r="P3988" t="n">
        <v>0</v>
      </c>
      <c r="Q3988" t="n">
        <v>0</v>
      </c>
      <c r="R3988" s="2" t="inlineStr"/>
    </row>
    <row r="3989" ht="15" customHeight="1">
      <c r="A3989" t="inlineStr">
        <is>
          <t>A 12678-2024</t>
        </is>
      </c>
      <c r="B3989" s="1" t="n">
        <v>45384</v>
      </c>
      <c r="C3989" s="1" t="n">
        <v>45724</v>
      </c>
      <c r="D3989" t="inlineStr">
        <is>
          <t>VÄSTMANLANDS LÄN</t>
        </is>
      </c>
      <c r="E3989" t="inlineStr">
        <is>
          <t>ARBOGA</t>
        </is>
      </c>
      <c r="F3989" t="inlineStr">
        <is>
          <t>Allmännings- och besparingsskogar</t>
        </is>
      </c>
      <c r="G3989" t="n">
        <v>8.300000000000001</v>
      </c>
      <c r="H3989" t="n">
        <v>0</v>
      </c>
      <c r="I3989" t="n">
        <v>0</v>
      </c>
      <c r="J3989" t="n">
        <v>0</v>
      </c>
      <c r="K3989" t="n">
        <v>0</v>
      </c>
      <c r="L3989" t="n">
        <v>0</v>
      </c>
      <c r="M3989" t="n">
        <v>0</v>
      </c>
      <c r="N3989" t="n">
        <v>0</v>
      </c>
      <c r="O3989" t="n">
        <v>0</v>
      </c>
      <c r="P3989" t="n">
        <v>0</v>
      </c>
      <c r="Q3989" t="n">
        <v>0</v>
      </c>
      <c r="R3989" s="2" t="inlineStr"/>
    </row>
    <row r="3990" ht="15" customHeight="1">
      <c r="A3990" t="inlineStr">
        <is>
          <t>A 12779-2024</t>
        </is>
      </c>
      <c r="B3990" s="1" t="n">
        <v>45384</v>
      </c>
      <c r="C3990" s="1" t="n">
        <v>45724</v>
      </c>
      <c r="D3990" t="inlineStr">
        <is>
          <t>VÄSTMANLANDS LÄN</t>
        </is>
      </c>
      <c r="E3990" t="inlineStr">
        <is>
          <t>HALLSTAHAMMAR</t>
        </is>
      </c>
      <c r="G3990" t="n">
        <v>0.7</v>
      </c>
      <c r="H3990" t="n">
        <v>0</v>
      </c>
      <c r="I3990" t="n">
        <v>0</v>
      </c>
      <c r="J3990" t="n">
        <v>0</v>
      </c>
      <c r="K3990" t="n">
        <v>0</v>
      </c>
      <c r="L3990" t="n">
        <v>0</v>
      </c>
      <c r="M3990" t="n">
        <v>0</v>
      </c>
      <c r="N3990" t="n">
        <v>0</v>
      </c>
      <c r="O3990" t="n">
        <v>0</v>
      </c>
      <c r="P3990" t="n">
        <v>0</v>
      </c>
      <c r="Q3990" t="n">
        <v>0</v>
      </c>
      <c r="R3990" s="2" t="inlineStr"/>
    </row>
    <row r="3991" ht="15" customHeight="1">
      <c r="A3991" t="inlineStr">
        <is>
          <t>A 12773-2024</t>
        </is>
      </c>
      <c r="B3991" s="1" t="n">
        <v>45384</v>
      </c>
      <c r="C3991" s="1" t="n">
        <v>45724</v>
      </c>
      <c r="D3991" t="inlineStr">
        <is>
          <t>VÄSTMANLANDS LÄN</t>
        </is>
      </c>
      <c r="E3991" t="inlineStr">
        <is>
          <t>HALLSTAHAMMAR</t>
        </is>
      </c>
      <c r="G3991" t="n">
        <v>5.8</v>
      </c>
      <c r="H3991" t="n">
        <v>0</v>
      </c>
      <c r="I3991" t="n">
        <v>0</v>
      </c>
      <c r="J3991" t="n">
        <v>0</v>
      </c>
      <c r="K3991" t="n">
        <v>0</v>
      </c>
      <c r="L3991" t="n">
        <v>0</v>
      </c>
      <c r="M3991" t="n">
        <v>0</v>
      </c>
      <c r="N3991" t="n">
        <v>0</v>
      </c>
      <c r="O3991" t="n">
        <v>0</v>
      </c>
      <c r="P3991" t="n">
        <v>0</v>
      </c>
      <c r="Q3991" t="n">
        <v>0</v>
      </c>
      <c r="R3991" s="2" t="inlineStr"/>
    </row>
    <row r="3992" ht="15" customHeight="1">
      <c r="A3992" t="inlineStr">
        <is>
          <t>A 12703-2024</t>
        </is>
      </c>
      <c r="B3992" s="1" t="n">
        <v>45384</v>
      </c>
      <c r="C3992" s="1" t="n">
        <v>45724</v>
      </c>
      <c r="D3992" t="inlineStr">
        <is>
          <t>VÄSTMANLANDS LÄN</t>
        </is>
      </c>
      <c r="E3992" t="inlineStr">
        <is>
          <t>KÖPING</t>
        </is>
      </c>
      <c r="F3992" t="inlineStr">
        <is>
          <t>Allmännings- och besparingsskogar</t>
        </is>
      </c>
      <c r="G3992" t="n">
        <v>1.5</v>
      </c>
      <c r="H3992" t="n">
        <v>0</v>
      </c>
      <c r="I3992" t="n">
        <v>0</v>
      </c>
      <c r="J3992" t="n">
        <v>0</v>
      </c>
      <c r="K3992" t="n">
        <v>0</v>
      </c>
      <c r="L3992" t="n">
        <v>0</v>
      </c>
      <c r="M3992" t="n">
        <v>0</v>
      </c>
      <c r="N3992" t="n">
        <v>0</v>
      </c>
      <c r="O3992" t="n">
        <v>0</v>
      </c>
      <c r="P3992" t="n">
        <v>0</v>
      </c>
      <c r="Q3992" t="n">
        <v>0</v>
      </c>
      <c r="R3992" s="2" t="inlineStr"/>
    </row>
    <row r="3993" ht="15" customHeight="1">
      <c r="A3993" t="inlineStr">
        <is>
          <t>A 12770-2024</t>
        </is>
      </c>
      <c r="B3993" s="1" t="n">
        <v>45384</v>
      </c>
      <c r="C3993" s="1" t="n">
        <v>45724</v>
      </c>
      <c r="D3993" t="inlineStr">
        <is>
          <t>VÄSTMANLANDS LÄN</t>
        </is>
      </c>
      <c r="E3993" t="inlineStr">
        <is>
          <t>HALLSTAHAMMAR</t>
        </is>
      </c>
      <c r="G3993" t="n">
        <v>3.5</v>
      </c>
      <c r="H3993" t="n">
        <v>0</v>
      </c>
      <c r="I3993" t="n">
        <v>0</v>
      </c>
      <c r="J3993" t="n">
        <v>0</v>
      </c>
      <c r="K3993" t="n">
        <v>0</v>
      </c>
      <c r="L3993" t="n">
        <v>0</v>
      </c>
      <c r="M3993" t="n">
        <v>0</v>
      </c>
      <c r="N3993" t="n">
        <v>0</v>
      </c>
      <c r="O3993" t="n">
        <v>0</v>
      </c>
      <c r="P3993" t="n">
        <v>0</v>
      </c>
      <c r="Q3993" t="n">
        <v>0</v>
      </c>
      <c r="R3993" s="2" t="inlineStr"/>
    </row>
    <row r="3994" ht="15" customHeight="1">
      <c r="A3994" t="inlineStr">
        <is>
          <t>A 12667-2024</t>
        </is>
      </c>
      <c r="B3994" s="1" t="n">
        <v>45384</v>
      </c>
      <c r="C3994" s="1" t="n">
        <v>45724</v>
      </c>
      <c r="D3994" t="inlineStr">
        <is>
          <t>VÄSTMANLANDS LÄN</t>
        </is>
      </c>
      <c r="E3994" t="inlineStr">
        <is>
          <t>ARBOGA</t>
        </is>
      </c>
      <c r="F3994" t="inlineStr">
        <is>
          <t>Allmännings- och besparingsskogar</t>
        </is>
      </c>
      <c r="G3994" t="n">
        <v>4.8</v>
      </c>
      <c r="H3994" t="n">
        <v>0</v>
      </c>
      <c r="I3994" t="n">
        <v>0</v>
      </c>
      <c r="J3994" t="n">
        <v>0</v>
      </c>
      <c r="K3994" t="n">
        <v>0</v>
      </c>
      <c r="L3994" t="n">
        <v>0</v>
      </c>
      <c r="M3994" t="n">
        <v>0</v>
      </c>
      <c r="N3994" t="n">
        <v>0</v>
      </c>
      <c r="O3994" t="n">
        <v>0</v>
      </c>
      <c r="P3994" t="n">
        <v>0</v>
      </c>
      <c r="Q3994" t="n">
        <v>0</v>
      </c>
      <c r="R3994" s="2" t="inlineStr"/>
    </row>
    <row r="3995" ht="15" customHeight="1">
      <c r="A3995" t="inlineStr">
        <is>
          <t>A 12697-2024</t>
        </is>
      </c>
      <c r="B3995" s="1" t="n">
        <v>45384</v>
      </c>
      <c r="C3995" s="1" t="n">
        <v>45724</v>
      </c>
      <c r="D3995" t="inlineStr">
        <is>
          <t>VÄSTMANLANDS LÄN</t>
        </is>
      </c>
      <c r="E3995" t="inlineStr">
        <is>
          <t>ARBOGA</t>
        </is>
      </c>
      <c r="F3995" t="inlineStr">
        <is>
          <t>Allmännings- och besparingsskogar</t>
        </is>
      </c>
      <c r="G3995" t="n">
        <v>1.1</v>
      </c>
      <c r="H3995" t="n">
        <v>0</v>
      </c>
      <c r="I3995" t="n">
        <v>0</v>
      </c>
      <c r="J3995" t="n">
        <v>0</v>
      </c>
      <c r="K3995" t="n">
        <v>0</v>
      </c>
      <c r="L3995" t="n">
        <v>0</v>
      </c>
      <c r="M3995" t="n">
        <v>0</v>
      </c>
      <c r="N3995" t="n">
        <v>0</v>
      </c>
      <c r="O3995" t="n">
        <v>0</v>
      </c>
      <c r="P3995" t="n">
        <v>0</v>
      </c>
      <c r="Q3995" t="n">
        <v>0</v>
      </c>
      <c r="R3995" s="2" t="inlineStr"/>
    </row>
    <row r="3996" ht="15" customHeight="1">
      <c r="A3996" t="inlineStr">
        <is>
          <t>A 12735-2024</t>
        </is>
      </c>
      <c r="B3996" s="1" t="n">
        <v>45384</v>
      </c>
      <c r="C3996" s="1" t="n">
        <v>45724</v>
      </c>
      <c r="D3996" t="inlineStr">
        <is>
          <t>VÄSTMANLANDS LÄN</t>
        </is>
      </c>
      <c r="E3996" t="inlineStr">
        <is>
          <t>KÖPING</t>
        </is>
      </c>
      <c r="F3996" t="inlineStr">
        <is>
          <t>Allmännings- och besparingsskogar</t>
        </is>
      </c>
      <c r="G3996" t="n">
        <v>3</v>
      </c>
      <c r="H3996" t="n">
        <v>0</v>
      </c>
      <c r="I3996" t="n">
        <v>0</v>
      </c>
      <c r="J3996" t="n">
        <v>0</v>
      </c>
      <c r="K3996" t="n">
        <v>0</v>
      </c>
      <c r="L3996" t="n">
        <v>0</v>
      </c>
      <c r="M3996" t="n">
        <v>0</v>
      </c>
      <c r="N3996" t="n">
        <v>0</v>
      </c>
      <c r="O3996" t="n">
        <v>0</v>
      </c>
      <c r="P3996" t="n">
        <v>0</v>
      </c>
      <c r="Q3996" t="n">
        <v>0</v>
      </c>
      <c r="R3996" s="2" t="inlineStr"/>
    </row>
    <row r="3997" ht="15" customHeight="1">
      <c r="A3997" t="inlineStr">
        <is>
          <t>A 12887-2024</t>
        </is>
      </c>
      <c r="B3997" s="1" t="n">
        <v>45385</v>
      </c>
      <c r="C3997" s="1" t="n">
        <v>45724</v>
      </c>
      <c r="D3997" t="inlineStr">
        <is>
          <t>VÄSTMANLANDS LÄN</t>
        </is>
      </c>
      <c r="E3997" t="inlineStr">
        <is>
          <t>SKINNSKATTEBERG</t>
        </is>
      </c>
      <c r="F3997" t="inlineStr">
        <is>
          <t>Sveaskog</t>
        </is>
      </c>
      <c r="G3997" t="n">
        <v>6.5</v>
      </c>
      <c r="H3997" t="n">
        <v>0</v>
      </c>
      <c r="I3997" t="n">
        <v>0</v>
      </c>
      <c r="J3997" t="n">
        <v>0</v>
      </c>
      <c r="K3997" t="n">
        <v>0</v>
      </c>
      <c r="L3997" t="n">
        <v>0</v>
      </c>
      <c r="M3997" t="n">
        <v>0</v>
      </c>
      <c r="N3997" t="n">
        <v>0</v>
      </c>
      <c r="O3997" t="n">
        <v>0</v>
      </c>
      <c r="P3997" t="n">
        <v>0</v>
      </c>
      <c r="Q3997" t="n">
        <v>0</v>
      </c>
      <c r="R3997" s="2" t="inlineStr"/>
    </row>
    <row r="3998" ht="15" customHeight="1">
      <c r="A3998" t="inlineStr">
        <is>
          <t>A 12888-2024</t>
        </is>
      </c>
      <c r="B3998" s="1" t="n">
        <v>45385</v>
      </c>
      <c r="C3998" s="1" t="n">
        <v>45724</v>
      </c>
      <c r="D3998" t="inlineStr">
        <is>
          <t>VÄSTMANLANDS LÄN</t>
        </is>
      </c>
      <c r="E3998" t="inlineStr">
        <is>
          <t>SKINNSKATTEBERG</t>
        </is>
      </c>
      <c r="F3998" t="inlineStr">
        <is>
          <t>Sveaskog</t>
        </is>
      </c>
      <c r="G3998" t="n">
        <v>0.9</v>
      </c>
      <c r="H3998" t="n">
        <v>0</v>
      </c>
      <c r="I3998" t="n">
        <v>0</v>
      </c>
      <c r="J3998" t="n">
        <v>0</v>
      </c>
      <c r="K3998" t="n">
        <v>0</v>
      </c>
      <c r="L3998" t="n">
        <v>0</v>
      </c>
      <c r="M3998" t="n">
        <v>0</v>
      </c>
      <c r="N3998" t="n">
        <v>0</v>
      </c>
      <c r="O3998" t="n">
        <v>0</v>
      </c>
      <c r="P3998" t="n">
        <v>0</v>
      </c>
      <c r="Q3998" t="n">
        <v>0</v>
      </c>
      <c r="R3998" s="2" t="inlineStr"/>
    </row>
    <row r="3999" ht="15" customHeight="1">
      <c r="A3999" t="inlineStr">
        <is>
          <t>A 13121-2024</t>
        </is>
      </c>
      <c r="B3999" s="1" t="n">
        <v>45385</v>
      </c>
      <c r="C3999" s="1" t="n">
        <v>45724</v>
      </c>
      <c r="D3999" t="inlineStr">
        <is>
          <t>VÄSTMANLANDS LÄN</t>
        </is>
      </c>
      <c r="E3999" t="inlineStr">
        <is>
          <t>ARBOGA</t>
        </is>
      </c>
      <c r="G3999" t="n">
        <v>1.4</v>
      </c>
      <c r="H3999" t="n">
        <v>0</v>
      </c>
      <c r="I3999" t="n">
        <v>0</v>
      </c>
      <c r="J3999" t="n">
        <v>0</v>
      </c>
      <c r="K3999" t="n">
        <v>0</v>
      </c>
      <c r="L3999" t="n">
        <v>0</v>
      </c>
      <c r="M3999" t="n">
        <v>0</v>
      </c>
      <c r="N3999" t="n">
        <v>0</v>
      </c>
      <c r="O3999" t="n">
        <v>0</v>
      </c>
      <c r="P3999" t="n">
        <v>0</v>
      </c>
      <c r="Q3999" t="n">
        <v>0</v>
      </c>
      <c r="R3999" s="2" t="inlineStr"/>
    </row>
    <row r="4000" ht="15" customHeight="1">
      <c r="A4000" t="inlineStr">
        <is>
          <t>A 13106-2024</t>
        </is>
      </c>
      <c r="B4000" s="1" t="n">
        <v>45385</v>
      </c>
      <c r="C4000" s="1" t="n">
        <v>45724</v>
      </c>
      <c r="D4000" t="inlineStr">
        <is>
          <t>VÄSTMANLANDS LÄN</t>
        </is>
      </c>
      <c r="E4000" t="inlineStr">
        <is>
          <t>SALA</t>
        </is>
      </c>
      <c r="G4000" t="n">
        <v>2.4</v>
      </c>
      <c r="H4000" t="n">
        <v>0</v>
      </c>
      <c r="I4000" t="n">
        <v>0</v>
      </c>
      <c r="J4000" t="n">
        <v>0</v>
      </c>
      <c r="K4000" t="n">
        <v>0</v>
      </c>
      <c r="L4000" t="n">
        <v>0</v>
      </c>
      <c r="M4000" t="n">
        <v>0</v>
      </c>
      <c r="N4000" t="n">
        <v>0</v>
      </c>
      <c r="O4000" t="n">
        <v>0</v>
      </c>
      <c r="P4000" t="n">
        <v>0</v>
      </c>
      <c r="Q4000" t="n">
        <v>0</v>
      </c>
      <c r="R4000" s="2" t="inlineStr"/>
    </row>
    <row r="4001" ht="15" customHeight="1">
      <c r="A4001" t="inlineStr">
        <is>
          <t>A 13110-2024</t>
        </is>
      </c>
      <c r="B4001" s="1" t="n">
        <v>45385</v>
      </c>
      <c r="C4001" s="1" t="n">
        <v>45724</v>
      </c>
      <c r="D4001" t="inlineStr">
        <is>
          <t>VÄSTMANLANDS LÄN</t>
        </is>
      </c>
      <c r="E4001" t="inlineStr">
        <is>
          <t>SALA</t>
        </is>
      </c>
      <c r="G4001" t="n">
        <v>3</v>
      </c>
      <c r="H4001" t="n">
        <v>0</v>
      </c>
      <c r="I4001" t="n">
        <v>0</v>
      </c>
      <c r="J4001" t="n">
        <v>0</v>
      </c>
      <c r="K4001" t="n">
        <v>0</v>
      </c>
      <c r="L4001" t="n">
        <v>0</v>
      </c>
      <c r="M4001" t="n">
        <v>0</v>
      </c>
      <c r="N4001" t="n">
        <v>0</v>
      </c>
      <c r="O4001" t="n">
        <v>0</v>
      </c>
      <c r="P4001" t="n">
        <v>0</v>
      </c>
      <c r="Q4001" t="n">
        <v>0</v>
      </c>
      <c r="R4001" s="2" t="inlineStr"/>
    </row>
    <row r="4002" ht="15" customHeight="1">
      <c r="A4002" t="inlineStr">
        <is>
          <t>A 13295-2024</t>
        </is>
      </c>
      <c r="B4002" s="1" t="n">
        <v>45386</v>
      </c>
      <c r="C4002" s="1" t="n">
        <v>45724</v>
      </c>
      <c r="D4002" t="inlineStr">
        <is>
          <t>VÄSTMANLANDS LÄN</t>
        </is>
      </c>
      <c r="E4002" t="inlineStr">
        <is>
          <t>SKINNSKATTEBERG</t>
        </is>
      </c>
      <c r="G4002" t="n">
        <v>1.3</v>
      </c>
      <c r="H4002" t="n">
        <v>0</v>
      </c>
      <c r="I4002" t="n">
        <v>0</v>
      </c>
      <c r="J4002" t="n">
        <v>0</v>
      </c>
      <c r="K4002" t="n">
        <v>0</v>
      </c>
      <c r="L4002" t="n">
        <v>0</v>
      </c>
      <c r="M4002" t="n">
        <v>0</v>
      </c>
      <c r="N4002" t="n">
        <v>0</v>
      </c>
      <c r="O4002" t="n">
        <v>0</v>
      </c>
      <c r="P4002" t="n">
        <v>0</v>
      </c>
      <c r="Q4002" t="n">
        <v>0</v>
      </c>
      <c r="R4002" s="2" t="inlineStr"/>
    </row>
    <row r="4003" ht="15" customHeight="1">
      <c r="A4003" t="inlineStr">
        <is>
          <t>A 13160-2024</t>
        </is>
      </c>
      <c r="B4003" s="1" t="n">
        <v>45386</v>
      </c>
      <c r="C4003" s="1" t="n">
        <v>45724</v>
      </c>
      <c r="D4003" t="inlineStr">
        <is>
          <t>VÄSTMANLANDS LÄN</t>
        </is>
      </c>
      <c r="E4003" t="inlineStr">
        <is>
          <t>KÖPING</t>
        </is>
      </c>
      <c r="G4003" t="n">
        <v>1.5</v>
      </c>
      <c r="H4003" t="n">
        <v>0</v>
      </c>
      <c r="I4003" t="n">
        <v>0</v>
      </c>
      <c r="J4003" t="n">
        <v>0</v>
      </c>
      <c r="K4003" t="n">
        <v>0</v>
      </c>
      <c r="L4003" t="n">
        <v>0</v>
      </c>
      <c r="M4003" t="n">
        <v>0</v>
      </c>
      <c r="N4003" t="n">
        <v>0</v>
      </c>
      <c r="O4003" t="n">
        <v>0</v>
      </c>
      <c r="P4003" t="n">
        <v>0</v>
      </c>
      <c r="Q4003" t="n">
        <v>0</v>
      </c>
      <c r="R4003" s="2" t="inlineStr"/>
    </row>
    <row r="4004" ht="15" customHeight="1">
      <c r="A4004" t="inlineStr">
        <is>
          <t>A 13388-2024</t>
        </is>
      </c>
      <c r="B4004" s="1" t="n">
        <v>45387</v>
      </c>
      <c r="C4004" s="1" t="n">
        <v>45724</v>
      </c>
      <c r="D4004" t="inlineStr">
        <is>
          <t>VÄSTMANLANDS LÄN</t>
        </is>
      </c>
      <c r="E4004" t="inlineStr">
        <is>
          <t>SKINNSKATTEBERG</t>
        </is>
      </c>
      <c r="G4004" t="n">
        <v>1.5</v>
      </c>
      <c r="H4004" t="n">
        <v>0</v>
      </c>
      <c r="I4004" t="n">
        <v>0</v>
      </c>
      <c r="J4004" t="n">
        <v>0</v>
      </c>
      <c r="K4004" t="n">
        <v>0</v>
      </c>
      <c r="L4004" t="n">
        <v>0</v>
      </c>
      <c r="M4004" t="n">
        <v>0</v>
      </c>
      <c r="N4004" t="n">
        <v>0</v>
      </c>
      <c r="O4004" t="n">
        <v>0</v>
      </c>
      <c r="P4004" t="n">
        <v>0</v>
      </c>
      <c r="Q4004" t="n">
        <v>0</v>
      </c>
      <c r="R4004" s="2" t="inlineStr"/>
    </row>
    <row r="4005" ht="15" customHeight="1">
      <c r="A4005" t="inlineStr">
        <is>
          <t>A 13387-2024</t>
        </is>
      </c>
      <c r="B4005" s="1" t="n">
        <v>45387</v>
      </c>
      <c r="C4005" s="1" t="n">
        <v>45724</v>
      </c>
      <c r="D4005" t="inlineStr">
        <is>
          <t>VÄSTMANLANDS LÄN</t>
        </is>
      </c>
      <c r="E4005" t="inlineStr">
        <is>
          <t>SKINNSKATTEBERG</t>
        </is>
      </c>
      <c r="F4005" t="inlineStr">
        <is>
          <t>Sveaskog</t>
        </is>
      </c>
      <c r="G4005" t="n">
        <v>1</v>
      </c>
      <c r="H4005" t="n">
        <v>0</v>
      </c>
      <c r="I4005" t="n">
        <v>0</v>
      </c>
      <c r="J4005" t="n">
        <v>0</v>
      </c>
      <c r="K4005" t="n">
        <v>0</v>
      </c>
      <c r="L4005" t="n">
        <v>0</v>
      </c>
      <c r="M4005" t="n">
        <v>0</v>
      </c>
      <c r="N4005" t="n">
        <v>0</v>
      </c>
      <c r="O4005" t="n">
        <v>0</v>
      </c>
      <c r="P4005" t="n">
        <v>0</v>
      </c>
      <c r="Q4005" t="n">
        <v>0</v>
      </c>
      <c r="R4005" s="2" t="inlineStr"/>
    </row>
    <row r="4006" ht="15" customHeight="1">
      <c r="A4006" t="inlineStr">
        <is>
          <t>A 13383-2024</t>
        </is>
      </c>
      <c r="B4006" s="1" t="n">
        <v>45387</v>
      </c>
      <c r="C4006" s="1" t="n">
        <v>45724</v>
      </c>
      <c r="D4006" t="inlineStr">
        <is>
          <t>VÄSTMANLANDS LÄN</t>
        </is>
      </c>
      <c r="E4006" t="inlineStr">
        <is>
          <t>SKINNSKATTEBERG</t>
        </is>
      </c>
      <c r="F4006" t="inlineStr">
        <is>
          <t>Sveaskog</t>
        </is>
      </c>
      <c r="G4006" t="n">
        <v>2.1</v>
      </c>
      <c r="H4006" t="n">
        <v>0</v>
      </c>
      <c r="I4006" t="n">
        <v>0</v>
      </c>
      <c r="J4006" t="n">
        <v>0</v>
      </c>
      <c r="K4006" t="n">
        <v>0</v>
      </c>
      <c r="L4006" t="n">
        <v>0</v>
      </c>
      <c r="M4006" t="n">
        <v>0</v>
      </c>
      <c r="N4006" t="n">
        <v>0</v>
      </c>
      <c r="O4006" t="n">
        <v>0</v>
      </c>
      <c r="P4006" t="n">
        <v>0</v>
      </c>
      <c r="Q4006" t="n">
        <v>0</v>
      </c>
      <c r="R4006" s="2" t="inlineStr"/>
    </row>
    <row r="4007" ht="15" customHeight="1">
      <c r="A4007" t="inlineStr">
        <is>
          <t>A 13409-2024</t>
        </is>
      </c>
      <c r="B4007" s="1" t="n">
        <v>45387</v>
      </c>
      <c r="C4007" s="1" t="n">
        <v>45724</v>
      </c>
      <c r="D4007" t="inlineStr">
        <is>
          <t>VÄSTMANLANDS LÄN</t>
        </is>
      </c>
      <c r="E4007" t="inlineStr">
        <is>
          <t>KÖPING</t>
        </is>
      </c>
      <c r="F4007" t="inlineStr">
        <is>
          <t>Sveaskog</t>
        </is>
      </c>
      <c r="G4007" t="n">
        <v>4.1</v>
      </c>
      <c r="H4007" t="n">
        <v>0</v>
      </c>
      <c r="I4007" t="n">
        <v>0</v>
      </c>
      <c r="J4007" t="n">
        <v>0</v>
      </c>
      <c r="K4007" t="n">
        <v>0</v>
      </c>
      <c r="L4007" t="n">
        <v>0</v>
      </c>
      <c r="M4007" t="n">
        <v>0</v>
      </c>
      <c r="N4007" t="n">
        <v>0</v>
      </c>
      <c r="O4007" t="n">
        <v>0</v>
      </c>
      <c r="P4007" t="n">
        <v>0</v>
      </c>
      <c r="Q4007" t="n">
        <v>0</v>
      </c>
      <c r="R4007" s="2" t="inlineStr"/>
    </row>
    <row r="4008" ht="15" customHeight="1">
      <c r="A4008" t="inlineStr">
        <is>
          <t>A 13401-2024</t>
        </is>
      </c>
      <c r="B4008" s="1" t="n">
        <v>45387</v>
      </c>
      <c r="C4008" s="1" t="n">
        <v>45724</v>
      </c>
      <c r="D4008" t="inlineStr">
        <is>
          <t>VÄSTMANLANDS LÄN</t>
        </is>
      </c>
      <c r="E4008" t="inlineStr">
        <is>
          <t>KÖPING</t>
        </is>
      </c>
      <c r="F4008" t="inlineStr">
        <is>
          <t>Sveaskog</t>
        </is>
      </c>
      <c r="G4008" t="n">
        <v>1.7</v>
      </c>
      <c r="H4008" t="n">
        <v>0</v>
      </c>
      <c r="I4008" t="n">
        <v>0</v>
      </c>
      <c r="J4008" t="n">
        <v>0</v>
      </c>
      <c r="K4008" t="n">
        <v>0</v>
      </c>
      <c r="L4008" t="n">
        <v>0</v>
      </c>
      <c r="M4008" t="n">
        <v>0</v>
      </c>
      <c r="N4008" t="n">
        <v>0</v>
      </c>
      <c r="O4008" t="n">
        <v>0</v>
      </c>
      <c r="P4008" t="n">
        <v>0</v>
      </c>
      <c r="Q4008" t="n">
        <v>0</v>
      </c>
      <c r="R4008" s="2" t="inlineStr"/>
    </row>
    <row r="4009" ht="15" customHeight="1">
      <c r="A4009" t="inlineStr">
        <is>
          <t>A 13385-2024</t>
        </is>
      </c>
      <c r="B4009" s="1" t="n">
        <v>45387</v>
      </c>
      <c r="C4009" s="1" t="n">
        <v>45724</v>
      </c>
      <c r="D4009" t="inlineStr">
        <is>
          <t>VÄSTMANLANDS LÄN</t>
        </is>
      </c>
      <c r="E4009" t="inlineStr">
        <is>
          <t>SKINNSKATTEBERG</t>
        </is>
      </c>
      <c r="F4009" t="inlineStr">
        <is>
          <t>Sveaskog</t>
        </is>
      </c>
      <c r="G4009" t="n">
        <v>0.7</v>
      </c>
      <c r="H4009" t="n">
        <v>0</v>
      </c>
      <c r="I4009" t="n">
        <v>0</v>
      </c>
      <c r="J4009" t="n">
        <v>0</v>
      </c>
      <c r="K4009" t="n">
        <v>0</v>
      </c>
      <c r="L4009" t="n">
        <v>0</v>
      </c>
      <c r="M4009" t="n">
        <v>0</v>
      </c>
      <c r="N4009" t="n">
        <v>0</v>
      </c>
      <c r="O4009" t="n">
        <v>0</v>
      </c>
      <c r="P4009" t="n">
        <v>0</v>
      </c>
      <c r="Q4009" t="n">
        <v>0</v>
      </c>
      <c r="R4009" s="2" t="inlineStr"/>
    </row>
    <row r="4010" ht="15" customHeight="1">
      <c r="A4010" t="inlineStr">
        <is>
          <t>A 13654-2024</t>
        </is>
      </c>
      <c r="B4010" s="1" t="n">
        <v>45390</v>
      </c>
      <c r="C4010" s="1" t="n">
        <v>45724</v>
      </c>
      <c r="D4010" t="inlineStr">
        <is>
          <t>VÄSTMANLANDS LÄN</t>
        </is>
      </c>
      <c r="E4010" t="inlineStr">
        <is>
          <t>NORBERG</t>
        </is>
      </c>
      <c r="G4010" t="n">
        <v>4</v>
      </c>
      <c r="H4010" t="n">
        <v>0</v>
      </c>
      <c r="I4010" t="n">
        <v>0</v>
      </c>
      <c r="J4010" t="n">
        <v>0</v>
      </c>
      <c r="K4010" t="n">
        <v>0</v>
      </c>
      <c r="L4010" t="n">
        <v>0</v>
      </c>
      <c r="M4010" t="n">
        <v>0</v>
      </c>
      <c r="N4010" t="n">
        <v>0</v>
      </c>
      <c r="O4010" t="n">
        <v>0</v>
      </c>
      <c r="P4010" t="n">
        <v>0</v>
      </c>
      <c r="Q4010" t="n">
        <v>0</v>
      </c>
      <c r="R4010" s="2" t="inlineStr"/>
    </row>
    <row r="4011" ht="15" customHeight="1">
      <c r="A4011" t="inlineStr">
        <is>
          <t>A 13715-2024</t>
        </is>
      </c>
      <c r="B4011" s="1" t="n">
        <v>45390</v>
      </c>
      <c r="C4011" s="1" t="n">
        <v>45724</v>
      </c>
      <c r="D4011" t="inlineStr">
        <is>
          <t>VÄSTMANLANDS LÄN</t>
        </is>
      </c>
      <c r="E4011" t="inlineStr">
        <is>
          <t>SKINNSKATTEBERG</t>
        </is>
      </c>
      <c r="F4011" t="inlineStr">
        <is>
          <t>Sveaskog</t>
        </is>
      </c>
      <c r="G4011" t="n">
        <v>2.2</v>
      </c>
      <c r="H4011" t="n">
        <v>0</v>
      </c>
      <c r="I4011" t="n">
        <v>0</v>
      </c>
      <c r="J4011" t="n">
        <v>0</v>
      </c>
      <c r="K4011" t="n">
        <v>0</v>
      </c>
      <c r="L4011" t="n">
        <v>0</v>
      </c>
      <c r="M4011" t="n">
        <v>0</v>
      </c>
      <c r="N4011" t="n">
        <v>0</v>
      </c>
      <c r="O4011" t="n">
        <v>0</v>
      </c>
      <c r="P4011" t="n">
        <v>0</v>
      </c>
      <c r="Q4011" t="n">
        <v>0</v>
      </c>
      <c r="R4011" s="2" t="inlineStr"/>
    </row>
    <row r="4012" ht="15" customHeight="1">
      <c r="A4012" t="inlineStr">
        <is>
          <t>A 13721-2024</t>
        </is>
      </c>
      <c r="B4012" s="1" t="n">
        <v>45390</v>
      </c>
      <c r="C4012" s="1" t="n">
        <v>45724</v>
      </c>
      <c r="D4012" t="inlineStr">
        <is>
          <t>VÄSTMANLANDS LÄN</t>
        </is>
      </c>
      <c r="E4012" t="inlineStr">
        <is>
          <t>FAGERSTA</t>
        </is>
      </c>
      <c r="F4012" t="inlineStr">
        <is>
          <t>Kommuner</t>
        </is>
      </c>
      <c r="G4012" t="n">
        <v>1.1</v>
      </c>
      <c r="H4012" t="n">
        <v>0</v>
      </c>
      <c r="I4012" t="n">
        <v>0</v>
      </c>
      <c r="J4012" t="n">
        <v>0</v>
      </c>
      <c r="K4012" t="n">
        <v>0</v>
      </c>
      <c r="L4012" t="n">
        <v>0</v>
      </c>
      <c r="M4012" t="n">
        <v>0</v>
      </c>
      <c r="N4012" t="n">
        <v>0</v>
      </c>
      <c r="O4012" t="n">
        <v>0</v>
      </c>
      <c r="P4012" t="n">
        <v>0</v>
      </c>
      <c r="Q4012" t="n">
        <v>0</v>
      </c>
      <c r="R4012" s="2" t="inlineStr"/>
    </row>
    <row r="4013" ht="15" customHeight="1">
      <c r="A4013" t="inlineStr">
        <is>
          <t>A 13656-2024</t>
        </is>
      </c>
      <c r="B4013" s="1" t="n">
        <v>45390</v>
      </c>
      <c r="C4013" s="1" t="n">
        <v>45724</v>
      </c>
      <c r="D4013" t="inlineStr">
        <is>
          <t>VÄSTMANLANDS LÄN</t>
        </is>
      </c>
      <c r="E4013" t="inlineStr">
        <is>
          <t>VÄSTERÅS</t>
        </is>
      </c>
      <c r="G4013" t="n">
        <v>1.1</v>
      </c>
      <c r="H4013" t="n">
        <v>0</v>
      </c>
      <c r="I4013" t="n">
        <v>0</v>
      </c>
      <c r="J4013" t="n">
        <v>0</v>
      </c>
      <c r="K4013" t="n">
        <v>0</v>
      </c>
      <c r="L4013" t="n">
        <v>0</v>
      </c>
      <c r="M4013" t="n">
        <v>0</v>
      </c>
      <c r="N4013" t="n">
        <v>0</v>
      </c>
      <c r="O4013" t="n">
        <v>0</v>
      </c>
      <c r="P4013" t="n">
        <v>0</v>
      </c>
      <c r="Q4013" t="n">
        <v>0</v>
      </c>
      <c r="R4013" s="2" t="inlineStr"/>
    </row>
    <row r="4014" ht="15" customHeight="1">
      <c r="A4014" t="inlineStr">
        <is>
          <t>A 13713-2024</t>
        </is>
      </c>
      <c r="B4014" s="1" t="n">
        <v>45390</v>
      </c>
      <c r="C4014" s="1" t="n">
        <v>45724</v>
      </c>
      <c r="D4014" t="inlineStr">
        <is>
          <t>VÄSTMANLANDS LÄN</t>
        </is>
      </c>
      <c r="E4014" t="inlineStr">
        <is>
          <t>SKINNSKATTEBERG</t>
        </is>
      </c>
      <c r="F4014" t="inlineStr">
        <is>
          <t>Sveaskog</t>
        </is>
      </c>
      <c r="G4014" t="n">
        <v>4</v>
      </c>
      <c r="H4014" t="n">
        <v>0</v>
      </c>
      <c r="I4014" t="n">
        <v>0</v>
      </c>
      <c r="J4014" t="n">
        <v>0</v>
      </c>
      <c r="K4014" t="n">
        <v>0</v>
      </c>
      <c r="L4014" t="n">
        <v>0</v>
      </c>
      <c r="M4014" t="n">
        <v>0</v>
      </c>
      <c r="N4014" t="n">
        <v>0</v>
      </c>
      <c r="O4014" t="n">
        <v>0</v>
      </c>
      <c r="P4014" t="n">
        <v>0</v>
      </c>
      <c r="Q4014" t="n">
        <v>0</v>
      </c>
      <c r="R4014" s="2" t="inlineStr"/>
    </row>
    <row r="4015" ht="15" customHeight="1">
      <c r="A4015" t="inlineStr">
        <is>
          <t>A 14051-2024</t>
        </is>
      </c>
      <c r="B4015" s="1" t="n">
        <v>45392</v>
      </c>
      <c r="C4015" s="1" t="n">
        <v>45724</v>
      </c>
      <c r="D4015" t="inlineStr">
        <is>
          <t>VÄSTMANLANDS LÄN</t>
        </is>
      </c>
      <c r="E4015" t="inlineStr">
        <is>
          <t>KÖPING</t>
        </is>
      </c>
      <c r="G4015" t="n">
        <v>0.5</v>
      </c>
      <c r="H4015" t="n">
        <v>0</v>
      </c>
      <c r="I4015" t="n">
        <v>0</v>
      </c>
      <c r="J4015" t="n">
        <v>0</v>
      </c>
      <c r="K4015" t="n">
        <v>0</v>
      </c>
      <c r="L4015" t="n">
        <v>0</v>
      </c>
      <c r="M4015" t="n">
        <v>0</v>
      </c>
      <c r="N4015" t="n">
        <v>0</v>
      </c>
      <c r="O4015" t="n">
        <v>0</v>
      </c>
      <c r="P4015" t="n">
        <v>0</v>
      </c>
      <c r="Q4015" t="n">
        <v>0</v>
      </c>
      <c r="R4015" s="2" t="inlineStr"/>
    </row>
    <row r="4016" ht="15" customHeight="1">
      <c r="A4016" t="inlineStr">
        <is>
          <t>A 14001-2024</t>
        </is>
      </c>
      <c r="B4016" s="1" t="n">
        <v>45392</v>
      </c>
      <c r="C4016" s="1" t="n">
        <v>45724</v>
      </c>
      <c r="D4016" t="inlineStr">
        <is>
          <t>VÄSTMANLANDS LÄN</t>
        </is>
      </c>
      <c r="E4016" t="inlineStr">
        <is>
          <t>SALA</t>
        </is>
      </c>
      <c r="G4016" t="n">
        <v>2.2</v>
      </c>
      <c r="H4016" t="n">
        <v>0</v>
      </c>
      <c r="I4016" t="n">
        <v>0</v>
      </c>
      <c r="J4016" t="n">
        <v>0</v>
      </c>
      <c r="K4016" t="n">
        <v>0</v>
      </c>
      <c r="L4016" t="n">
        <v>0</v>
      </c>
      <c r="M4016" t="n">
        <v>0</v>
      </c>
      <c r="N4016" t="n">
        <v>0</v>
      </c>
      <c r="O4016" t="n">
        <v>0</v>
      </c>
      <c r="P4016" t="n">
        <v>0</v>
      </c>
      <c r="Q4016" t="n">
        <v>0</v>
      </c>
      <c r="R4016" s="2" t="inlineStr"/>
    </row>
    <row r="4017" ht="15" customHeight="1">
      <c r="A4017" t="inlineStr">
        <is>
          <t>A 14062-2024</t>
        </is>
      </c>
      <c r="B4017" s="1" t="n">
        <v>45392</v>
      </c>
      <c r="C4017" s="1" t="n">
        <v>45724</v>
      </c>
      <c r="D4017" t="inlineStr">
        <is>
          <t>VÄSTMANLANDS LÄN</t>
        </is>
      </c>
      <c r="E4017" t="inlineStr">
        <is>
          <t>KÖPING</t>
        </is>
      </c>
      <c r="G4017" t="n">
        <v>2.5</v>
      </c>
      <c r="H4017" t="n">
        <v>0</v>
      </c>
      <c r="I4017" t="n">
        <v>0</v>
      </c>
      <c r="J4017" t="n">
        <v>0</v>
      </c>
      <c r="K4017" t="n">
        <v>0</v>
      </c>
      <c r="L4017" t="n">
        <v>0</v>
      </c>
      <c r="M4017" t="n">
        <v>0</v>
      </c>
      <c r="N4017" t="n">
        <v>0</v>
      </c>
      <c r="O4017" t="n">
        <v>0</v>
      </c>
      <c r="P4017" t="n">
        <v>0</v>
      </c>
      <c r="Q4017" t="n">
        <v>0</v>
      </c>
      <c r="R4017" s="2" t="inlineStr"/>
    </row>
    <row r="4018" ht="15" customHeight="1">
      <c r="A4018" t="inlineStr">
        <is>
          <t>A 14115-2024</t>
        </is>
      </c>
      <c r="B4018" s="1" t="n">
        <v>45392</v>
      </c>
      <c r="C4018" s="1" t="n">
        <v>45724</v>
      </c>
      <c r="D4018" t="inlineStr">
        <is>
          <t>VÄSTMANLANDS LÄN</t>
        </is>
      </c>
      <c r="E4018" t="inlineStr">
        <is>
          <t>SALA</t>
        </is>
      </c>
      <c r="G4018" t="n">
        <v>5</v>
      </c>
      <c r="H4018" t="n">
        <v>0</v>
      </c>
      <c r="I4018" t="n">
        <v>0</v>
      </c>
      <c r="J4018" t="n">
        <v>0</v>
      </c>
      <c r="K4018" t="n">
        <v>0</v>
      </c>
      <c r="L4018" t="n">
        <v>0</v>
      </c>
      <c r="M4018" t="n">
        <v>0</v>
      </c>
      <c r="N4018" t="n">
        <v>0</v>
      </c>
      <c r="O4018" t="n">
        <v>0</v>
      </c>
      <c r="P4018" t="n">
        <v>0</v>
      </c>
      <c r="Q4018" t="n">
        <v>0</v>
      </c>
      <c r="R4018" s="2" t="inlineStr"/>
    </row>
    <row r="4019" ht="15" customHeight="1">
      <c r="A4019" t="inlineStr">
        <is>
          <t>A 13996-2024</t>
        </is>
      </c>
      <c r="B4019" s="1" t="n">
        <v>45392</v>
      </c>
      <c r="C4019" s="1" t="n">
        <v>45724</v>
      </c>
      <c r="D4019" t="inlineStr">
        <is>
          <t>VÄSTMANLANDS LÄN</t>
        </is>
      </c>
      <c r="E4019" t="inlineStr">
        <is>
          <t>SKINNSKATTEBERG</t>
        </is>
      </c>
      <c r="G4019" t="n">
        <v>3.4</v>
      </c>
      <c r="H4019" t="n">
        <v>0</v>
      </c>
      <c r="I4019" t="n">
        <v>0</v>
      </c>
      <c r="J4019" t="n">
        <v>0</v>
      </c>
      <c r="K4019" t="n">
        <v>0</v>
      </c>
      <c r="L4019" t="n">
        <v>0</v>
      </c>
      <c r="M4019" t="n">
        <v>0</v>
      </c>
      <c r="N4019" t="n">
        <v>0</v>
      </c>
      <c r="O4019" t="n">
        <v>0</v>
      </c>
      <c r="P4019" t="n">
        <v>0</v>
      </c>
      <c r="Q4019" t="n">
        <v>0</v>
      </c>
      <c r="R4019" s="2" t="inlineStr"/>
    </row>
    <row r="4020" ht="15" customHeight="1">
      <c r="A4020" t="inlineStr">
        <is>
          <t>A 14114-2024</t>
        </is>
      </c>
      <c r="B4020" s="1" t="n">
        <v>45392</v>
      </c>
      <c r="C4020" s="1" t="n">
        <v>45724</v>
      </c>
      <c r="D4020" t="inlineStr">
        <is>
          <t>VÄSTMANLANDS LÄN</t>
        </is>
      </c>
      <c r="E4020" t="inlineStr">
        <is>
          <t>KÖPING</t>
        </is>
      </c>
      <c r="G4020" t="n">
        <v>2.1</v>
      </c>
      <c r="H4020" t="n">
        <v>0</v>
      </c>
      <c r="I4020" t="n">
        <v>0</v>
      </c>
      <c r="J4020" t="n">
        <v>0</v>
      </c>
      <c r="K4020" t="n">
        <v>0</v>
      </c>
      <c r="L4020" t="n">
        <v>0</v>
      </c>
      <c r="M4020" t="n">
        <v>0</v>
      </c>
      <c r="N4020" t="n">
        <v>0</v>
      </c>
      <c r="O4020" t="n">
        <v>0</v>
      </c>
      <c r="P4020" t="n">
        <v>0</v>
      </c>
      <c r="Q4020" t="n">
        <v>0</v>
      </c>
      <c r="R4020" s="2" t="inlineStr"/>
    </row>
    <row r="4021" ht="15" customHeight="1">
      <c r="A4021" t="inlineStr">
        <is>
          <t>A 14002-2024</t>
        </is>
      </c>
      <c r="B4021" s="1" t="n">
        <v>45392</v>
      </c>
      <c r="C4021" s="1" t="n">
        <v>45724</v>
      </c>
      <c r="D4021" t="inlineStr">
        <is>
          <t>VÄSTMANLANDS LÄN</t>
        </is>
      </c>
      <c r="E4021" t="inlineStr">
        <is>
          <t>SKINNSKATTEBERG</t>
        </is>
      </c>
      <c r="G4021" t="n">
        <v>0.8</v>
      </c>
      <c r="H4021" t="n">
        <v>0</v>
      </c>
      <c r="I4021" t="n">
        <v>0</v>
      </c>
      <c r="J4021" t="n">
        <v>0</v>
      </c>
      <c r="K4021" t="n">
        <v>0</v>
      </c>
      <c r="L4021" t="n">
        <v>0</v>
      </c>
      <c r="M4021" t="n">
        <v>0</v>
      </c>
      <c r="N4021" t="n">
        <v>0</v>
      </c>
      <c r="O4021" t="n">
        <v>0</v>
      </c>
      <c r="P4021" t="n">
        <v>0</v>
      </c>
      <c r="Q4021" t="n">
        <v>0</v>
      </c>
      <c r="R4021" s="2" t="inlineStr"/>
    </row>
    <row r="4022" ht="15" customHeight="1">
      <c r="A4022" t="inlineStr">
        <is>
          <t>A 14181-2024</t>
        </is>
      </c>
      <c r="B4022" s="1" t="n">
        <v>45393</v>
      </c>
      <c r="C4022" s="1" t="n">
        <v>45724</v>
      </c>
      <c r="D4022" t="inlineStr">
        <is>
          <t>VÄSTMANLANDS LÄN</t>
        </is>
      </c>
      <c r="E4022" t="inlineStr">
        <is>
          <t>SALA</t>
        </is>
      </c>
      <c r="G4022" t="n">
        <v>6.4</v>
      </c>
      <c r="H4022" t="n">
        <v>0</v>
      </c>
      <c r="I4022" t="n">
        <v>0</v>
      </c>
      <c r="J4022" t="n">
        <v>0</v>
      </c>
      <c r="K4022" t="n">
        <v>0</v>
      </c>
      <c r="L4022" t="n">
        <v>0</v>
      </c>
      <c r="M4022" t="n">
        <v>0</v>
      </c>
      <c r="N4022" t="n">
        <v>0</v>
      </c>
      <c r="O4022" t="n">
        <v>0</v>
      </c>
      <c r="P4022" t="n">
        <v>0</v>
      </c>
      <c r="Q4022" t="n">
        <v>0</v>
      </c>
      <c r="R4022" s="2" t="inlineStr"/>
    </row>
    <row r="4023" ht="15" customHeight="1">
      <c r="A4023" t="inlineStr">
        <is>
          <t>A 14189-2024</t>
        </is>
      </c>
      <c r="B4023" s="1" t="n">
        <v>45393</v>
      </c>
      <c r="C4023" s="1" t="n">
        <v>45724</v>
      </c>
      <c r="D4023" t="inlineStr">
        <is>
          <t>VÄSTMANLANDS LÄN</t>
        </is>
      </c>
      <c r="E4023" t="inlineStr">
        <is>
          <t>SKINNSKATTEBERG</t>
        </is>
      </c>
      <c r="F4023" t="inlineStr">
        <is>
          <t>Sveaskog</t>
        </is>
      </c>
      <c r="G4023" t="n">
        <v>3.6</v>
      </c>
      <c r="H4023" t="n">
        <v>0</v>
      </c>
      <c r="I4023" t="n">
        <v>0</v>
      </c>
      <c r="J4023" t="n">
        <v>0</v>
      </c>
      <c r="K4023" t="n">
        <v>0</v>
      </c>
      <c r="L4023" t="n">
        <v>0</v>
      </c>
      <c r="M4023" t="n">
        <v>0</v>
      </c>
      <c r="N4023" t="n">
        <v>0</v>
      </c>
      <c r="O4023" t="n">
        <v>0</v>
      </c>
      <c r="P4023" t="n">
        <v>0</v>
      </c>
      <c r="Q4023" t="n">
        <v>0</v>
      </c>
      <c r="R4023" s="2" t="inlineStr"/>
    </row>
    <row r="4024" ht="15" customHeight="1">
      <c r="A4024" t="inlineStr">
        <is>
          <t>A 14335-2024</t>
        </is>
      </c>
      <c r="B4024" s="1" t="n">
        <v>45393</v>
      </c>
      <c r="C4024" s="1" t="n">
        <v>45724</v>
      </c>
      <c r="D4024" t="inlineStr">
        <is>
          <t>VÄSTMANLANDS LÄN</t>
        </is>
      </c>
      <c r="E4024" t="inlineStr">
        <is>
          <t>SKINNSKATTEBERG</t>
        </is>
      </c>
      <c r="G4024" t="n">
        <v>6.4</v>
      </c>
      <c r="H4024" t="n">
        <v>0</v>
      </c>
      <c r="I4024" t="n">
        <v>0</v>
      </c>
      <c r="J4024" t="n">
        <v>0</v>
      </c>
      <c r="K4024" t="n">
        <v>0</v>
      </c>
      <c r="L4024" t="n">
        <v>0</v>
      </c>
      <c r="M4024" t="n">
        <v>0</v>
      </c>
      <c r="N4024" t="n">
        <v>0</v>
      </c>
      <c r="O4024" t="n">
        <v>0</v>
      </c>
      <c r="P4024" t="n">
        <v>0</v>
      </c>
      <c r="Q4024" t="n">
        <v>0</v>
      </c>
      <c r="R4024" s="2" t="inlineStr"/>
    </row>
    <row r="4025" ht="15" customHeight="1">
      <c r="A4025" t="inlineStr">
        <is>
          <t>A 14406-2024</t>
        </is>
      </c>
      <c r="B4025" s="1" t="n">
        <v>45394</v>
      </c>
      <c r="C4025" s="1" t="n">
        <v>45724</v>
      </c>
      <c r="D4025" t="inlineStr">
        <is>
          <t>VÄSTMANLANDS LÄN</t>
        </is>
      </c>
      <c r="E4025" t="inlineStr">
        <is>
          <t>SKINNSKATTEBERG</t>
        </is>
      </c>
      <c r="G4025" t="n">
        <v>5.8</v>
      </c>
      <c r="H4025" t="n">
        <v>0</v>
      </c>
      <c r="I4025" t="n">
        <v>0</v>
      </c>
      <c r="J4025" t="n">
        <v>0</v>
      </c>
      <c r="K4025" t="n">
        <v>0</v>
      </c>
      <c r="L4025" t="n">
        <v>0</v>
      </c>
      <c r="M4025" t="n">
        <v>0</v>
      </c>
      <c r="N4025" t="n">
        <v>0</v>
      </c>
      <c r="O4025" t="n">
        <v>0</v>
      </c>
      <c r="P4025" t="n">
        <v>0</v>
      </c>
      <c r="Q4025" t="n">
        <v>0</v>
      </c>
      <c r="R4025" s="2" t="inlineStr"/>
    </row>
    <row r="4026" ht="15" customHeight="1">
      <c r="A4026" t="inlineStr">
        <is>
          <t>A 14624-2024</t>
        </is>
      </c>
      <c r="B4026" s="1" t="n">
        <v>45397</v>
      </c>
      <c r="C4026" s="1" t="n">
        <v>45724</v>
      </c>
      <c r="D4026" t="inlineStr">
        <is>
          <t>VÄSTMANLANDS LÄN</t>
        </is>
      </c>
      <c r="E4026" t="inlineStr">
        <is>
          <t>KÖPING</t>
        </is>
      </c>
      <c r="F4026" t="inlineStr">
        <is>
          <t>Sveaskog</t>
        </is>
      </c>
      <c r="G4026" t="n">
        <v>4.6</v>
      </c>
      <c r="H4026" t="n">
        <v>0</v>
      </c>
      <c r="I4026" t="n">
        <v>0</v>
      </c>
      <c r="J4026" t="n">
        <v>0</v>
      </c>
      <c r="K4026" t="n">
        <v>0</v>
      </c>
      <c r="L4026" t="n">
        <v>0</v>
      </c>
      <c r="M4026" t="n">
        <v>0</v>
      </c>
      <c r="N4026" t="n">
        <v>0</v>
      </c>
      <c r="O4026" t="n">
        <v>0</v>
      </c>
      <c r="P4026" t="n">
        <v>0</v>
      </c>
      <c r="Q4026" t="n">
        <v>0</v>
      </c>
      <c r="R4026" s="2" t="inlineStr"/>
    </row>
    <row r="4027" ht="15" customHeight="1">
      <c r="A4027" t="inlineStr">
        <is>
          <t>A 14627-2024</t>
        </is>
      </c>
      <c r="B4027" s="1" t="n">
        <v>45397</v>
      </c>
      <c r="C4027" s="1" t="n">
        <v>45724</v>
      </c>
      <c r="D4027" t="inlineStr">
        <is>
          <t>VÄSTMANLANDS LÄN</t>
        </is>
      </c>
      <c r="E4027" t="inlineStr">
        <is>
          <t>SKINNSKATTEBERG</t>
        </is>
      </c>
      <c r="F4027" t="inlineStr">
        <is>
          <t>Sveaskog</t>
        </is>
      </c>
      <c r="G4027" t="n">
        <v>1.7</v>
      </c>
      <c r="H4027" t="n">
        <v>0</v>
      </c>
      <c r="I4027" t="n">
        <v>0</v>
      </c>
      <c r="J4027" t="n">
        <v>0</v>
      </c>
      <c r="K4027" t="n">
        <v>0</v>
      </c>
      <c r="L4027" t="n">
        <v>0</v>
      </c>
      <c r="M4027" t="n">
        <v>0</v>
      </c>
      <c r="N4027" t="n">
        <v>0</v>
      </c>
      <c r="O4027" t="n">
        <v>0</v>
      </c>
      <c r="P4027" t="n">
        <v>0</v>
      </c>
      <c r="Q4027" t="n">
        <v>0</v>
      </c>
      <c r="R4027" s="2" t="inlineStr"/>
    </row>
    <row r="4028" ht="15" customHeight="1">
      <c r="A4028" t="inlineStr">
        <is>
          <t>A 14779-2024</t>
        </is>
      </c>
      <c r="B4028" s="1" t="n">
        <v>45397</v>
      </c>
      <c r="C4028" s="1" t="n">
        <v>45724</v>
      </c>
      <c r="D4028" t="inlineStr">
        <is>
          <t>VÄSTMANLANDS LÄN</t>
        </is>
      </c>
      <c r="E4028" t="inlineStr">
        <is>
          <t>KUNGSÖR</t>
        </is>
      </c>
      <c r="G4028" t="n">
        <v>3.6</v>
      </c>
      <c r="H4028" t="n">
        <v>0</v>
      </c>
      <c r="I4028" t="n">
        <v>0</v>
      </c>
      <c r="J4028" t="n">
        <v>0</v>
      </c>
      <c r="K4028" t="n">
        <v>0</v>
      </c>
      <c r="L4028" t="n">
        <v>0</v>
      </c>
      <c r="M4028" t="n">
        <v>0</v>
      </c>
      <c r="N4028" t="n">
        <v>0</v>
      </c>
      <c r="O4028" t="n">
        <v>0</v>
      </c>
      <c r="P4028" t="n">
        <v>0</v>
      </c>
      <c r="Q4028" t="n">
        <v>0</v>
      </c>
      <c r="R4028" s="2" t="inlineStr"/>
    </row>
    <row r="4029" ht="15" customHeight="1">
      <c r="A4029" t="inlineStr">
        <is>
          <t>A 14799-2024</t>
        </is>
      </c>
      <c r="B4029" s="1" t="n">
        <v>45397</v>
      </c>
      <c r="C4029" s="1" t="n">
        <v>45724</v>
      </c>
      <c r="D4029" t="inlineStr">
        <is>
          <t>VÄSTMANLANDS LÄN</t>
        </is>
      </c>
      <c r="E4029" t="inlineStr">
        <is>
          <t>VÄSTERÅS</t>
        </is>
      </c>
      <c r="G4029" t="n">
        <v>3</v>
      </c>
      <c r="H4029" t="n">
        <v>0</v>
      </c>
      <c r="I4029" t="n">
        <v>0</v>
      </c>
      <c r="J4029" t="n">
        <v>0</v>
      </c>
      <c r="K4029" t="n">
        <v>0</v>
      </c>
      <c r="L4029" t="n">
        <v>0</v>
      </c>
      <c r="M4029" t="n">
        <v>0</v>
      </c>
      <c r="N4029" t="n">
        <v>0</v>
      </c>
      <c r="O4029" t="n">
        <v>0</v>
      </c>
      <c r="P4029" t="n">
        <v>0</v>
      </c>
      <c r="Q4029" t="n">
        <v>0</v>
      </c>
      <c r="R4029" s="2" t="inlineStr"/>
    </row>
    <row r="4030" ht="15" customHeight="1">
      <c r="A4030" t="inlineStr">
        <is>
          <t>A 14626-2024</t>
        </is>
      </c>
      <c r="B4030" s="1" t="n">
        <v>45397</v>
      </c>
      <c r="C4030" s="1" t="n">
        <v>45724</v>
      </c>
      <c r="D4030" t="inlineStr">
        <is>
          <t>VÄSTMANLANDS LÄN</t>
        </is>
      </c>
      <c r="E4030" t="inlineStr">
        <is>
          <t>SKINNSKATTEBERG</t>
        </is>
      </c>
      <c r="F4030" t="inlineStr">
        <is>
          <t>Sveaskog</t>
        </is>
      </c>
      <c r="G4030" t="n">
        <v>3.2</v>
      </c>
      <c r="H4030" t="n">
        <v>0</v>
      </c>
      <c r="I4030" t="n">
        <v>0</v>
      </c>
      <c r="J4030" t="n">
        <v>0</v>
      </c>
      <c r="K4030" t="n">
        <v>0</v>
      </c>
      <c r="L4030" t="n">
        <v>0</v>
      </c>
      <c r="M4030" t="n">
        <v>0</v>
      </c>
      <c r="N4030" t="n">
        <v>0</v>
      </c>
      <c r="O4030" t="n">
        <v>0</v>
      </c>
      <c r="P4030" t="n">
        <v>0</v>
      </c>
      <c r="Q4030" t="n">
        <v>0</v>
      </c>
      <c r="R4030" s="2" t="inlineStr"/>
    </row>
    <row r="4031" ht="15" customHeight="1">
      <c r="A4031" t="inlineStr">
        <is>
          <t>A 14770-2024</t>
        </is>
      </c>
      <c r="B4031" s="1" t="n">
        <v>45397</v>
      </c>
      <c r="C4031" s="1" t="n">
        <v>45724</v>
      </c>
      <c r="D4031" t="inlineStr">
        <is>
          <t>VÄSTMANLANDS LÄN</t>
        </is>
      </c>
      <c r="E4031" t="inlineStr">
        <is>
          <t>ARBOGA</t>
        </is>
      </c>
      <c r="G4031" t="n">
        <v>3</v>
      </c>
      <c r="H4031" t="n">
        <v>0</v>
      </c>
      <c r="I4031" t="n">
        <v>0</v>
      </c>
      <c r="J4031" t="n">
        <v>0</v>
      </c>
      <c r="K4031" t="n">
        <v>0</v>
      </c>
      <c r="L4031" t="n">
        <v>0</v>
      </c>
      <c r="M4031" t="n">
        <v>0</v>
      </c>
      <c r="N4031" t="n">
        <v>0</v>
      </c>
      <c r="O4031" t="n">
        <v>0</v>
      </c>
      <c r="P4031" t="n">
        <v>0</v>
      </c>
      <c r="Q4031" t="n">
        <v>0</v>
      </c>
      <c r="R4031" s="2" t="inlineStr"/>
    </row>
    <row r="4032" ht="15" customHeight="1">
      <c r="A4032" t="inlineStr">
        <is>
          <t>A 14784-2024</t>
        </is>
      </c>
      <c r="B4032" s="1" t="n">
        <v>45397</v>
      </c>
      <c r="C4032" s="1" t="n">
        <v>45724</v>
      </c>
      <c r="D4032" t="inlineStr">
        <is>
          <t>VÄSTMANLANDS LÄN</t>
        </is>
      </c>
      <c r="E4032" t="inlineStr">
        <is>
          <t>KUNGSÖR</t>
        </is>
      </c>
      <c r="G4032" t="n">
        <v>3.2</v>
      </c>
      <c r="H4032" t="n">
        <v>0</v>
      </c>
      <c r="I4032" t="n">
        <v>0</v>
      </c>
      <c r="J4032" t="n">
        <v>0</v>
      </c>
      <c r="K4032" t="n">
        <v>0</v>
      </c>
      <c r="L4032" t="n">
        <v>0</v>
      </c>
      <c r="M4032" t="n">
        <v>0</v>
      </c>
      <c r="N4032" t="n">
        <v>0</v>
      </c>
      <c r="O4032" t="n">
        <v>0</v>
      </c>
      <c r="P4032" t="n">
        <v>0</v>
      </c>
      <c r="Q4032" t="n">
        <v>0</v>
      </c>
      <c r="R4032" s="2" t="inlineStr"/>
    </row>
    <row r="4033" ht="15" customHeight="1">
      <c r="A4033" t="inlineStr">
        <is>
          <t>A 14800-2024</t>
        </is>
      </c>
      <c r="B4033" s="1" t="n">
        <v>45397</v>
      </c>
      <c r="C4033" s="1" t="n">
        <v>45724</v>
      </c>
      <c r="D4033" t="inlineStr">
        <is>
          <t>VÄSTMANLANDS LÄN</t>
        </is>
      </c>
      <c r="E4033" t="inlineStr">
        <is>
          <t>VÄSTERÅS</t>
        </is>
      </c>
      <c r="G4033" t="n">
        <v>3.6</v>
      </c>
      <c r="H4033" t="n">
        <v>0</v>
      </c>
      <c r="I4033" t="n">
        <v>0</v>
      </c>
      <c r="J4033" t="n">
        <v>0</v>
      </c>
      <c r="K4033" t="n">
        <v>0</v>
      </c>
      <c r="L4033" t="n">
        <v>0</v>
      </c>
      <c r="M4033" t="n">
        <v>0</v>
      </c>
      <c r="N4033" t="n">
        <v>0</v>
      </c>
      <c r="O4033" t="n">
        <v>0</v>
      </c>
      <c r="P4033" t="n">
        <v>0</v>
      </c>
      <c r="Q4033" t="n">
        <v>0</v>
      </c>
      <c r="R4033" s="2" t="inlineStr"/>
    </row>
    <row r="4034" ht="15" customHeight="1">
      <c r="A4034" t="inlineStr">
        <is>
          <t>A 14625-2024</t>
        </is>
      </c>
      <c r="B4034" s="1" t="n">
        <v>45397</v>
      </c>
      <c r="C4034" s="1" t="n">
        <v>45724</v>
      </c>
      <c r="D4034" t="inlineStr">
        <is>
          <t>VÄSTMANLANDS LÄN</t>
        </is>
      </c>
      <c r="E4034" t="inlineStr">
        <is>
          <t>KÖPING</t>
        </is>
      </c>
      <c r="F4034" t="inlineStr">
        <is>
          <t>Sveaskog</t>
        </is>
      </c>
      <c r="G4034" t="n">
        <v>1.9</v>
      </c>
      <c r="H4034" t="n">
        <v>0</v>
      </c>
      <c r="I4034" t="n">
        <v>0</v>
      </c>
      <c r="J4034" t="n">
        <v>0</v>
      </c>
      <c r="K4034" t="n">
        <v>0</v>
      </c>
      <c r="L4034" t="n">
        <v>0</v>
      </c>
      <c r="M4034" t="n">
        <v>0</v>
      </c>
      <c r="N4034" t="n">
        <v>0</v>
      </c>
      <c r="O4034" t="n">
        <v>0</v>
      </c>
      <c r="P4034" t="n">
        <v>0</v>
      </c>
      <c r="Q4034" t="n">
        <v>0</v>
      </c>
      <c r="R4034" s="2" t="inlineStr"/>
    </row>
    <row r="4035" ht="15" customHeight="1">
      <c r="A4035" t="inlineStr">
        <is>
          <t>A 14836-2024</t>
        </is>
      </c>
      <c r="B4035" s="1" t="n">
        <v>45398</v>
      </c>
      <c r="C4035" s="1" t="n">
        <v>45724</v>
      </c>
      <c r="D4035" t="inlineStr">
        <is>
          <t>VÄSTMANLANDS LÄN</t>
        </is>
      </c>
      <c r="E4035" t="inlineStr">
        <is>
          <t>VÄSTERÅS</t>
        </is>
      </c>
      <c r="G4035" t="n">
        <v>20.5</v>
      </c>
      <c r="H4035" t="n">
        <v>0</v>
      </c>
      <c r="I4035" t="n">
        <v>0</v>
      </c>
      <c r="J4035" t="n">
        <v>0</v>
      </c>
      <c r="K4035" t="n">
        <v>0</v>
      </c>
      <c r="L4035" t="n">
        <v>0</v>
      </c>
      <c r="M4035" t="n">
        <v>0</v>
      </c>
      <c r="N4035" t="n">
        <v>0</v>
      </c>
      <c r="O4035" t="n">
        <v>0</v>
      </c>
      <c r="P4035" t="n">
        <v>0</v>
      </c>
      <c r="Q4035" t="n">
        <v>0</v>
      </c>
      <c r="R4035" s="2" t="inlineStr"/>
    </row>
    <row r="4036" ht="15" customHeight="1">
      <c r="A4036" t="inlineStr">
        <is>
          <t>A 14851-2024</t>
        </is>
      </c>
      <c r="B4036" s="1" t="n">
        <v>45398</v>
      </c>
      <c r="C4036" s="1" t="n">
        <v>45724</v>
      </c>
      <c r="D4036" t="inlineStr">
        <is>
          <t>VÄSTMANLANDS LÄN</t>
        </is>
      </c>
      <c r="E4036" t="inlineStr">
        <is>
          <t>VÄSTERÅS</t>
        </is>
      </c>
      <c r="G4036" t="n">
        <v>0.5</v>
      </c>
      <c r="H4036" t="n">
        <v>0</v>
      </c>
      <c r="I4036" t="n">
        <v>0</v>
      </c>
      <c r="J4036" t="n">
        <v>0</v>
      </c>
      <c r="K4036" t="n">
        <v>0</v>
      </c>
      <c r="L4036" t="n">
        <v>0</v>
      </c>
      <c r="M4036" t="n">
        <v>0</v>
      </c>
      <c r="N4036" t="n">
        <v>0</v>
      </c>
      <c r="O4036" t="n">
        <v>0</v>
      </c>
      <c r="P4036" t="n">
        <v>0</v>
      </c>
      <c r="Q4036" t="n">
        <v>0</v>
      </c>
      <c r="R4036" s="2" t="inlineStr"/>
    </row>
    <row r="4037" ht="15" customHeight="1">
      <c r="A4037" t="inlineStr">
        <is>
          <t>A 15273-2024</t>
        </is>
      </c>
      <c r="B4037" s="1" t="n">
        <v>45400</v>
      </c>
      <c r="C4037" s="1" t="n">
        <v>45724</v>
      </c>
      <c r="D4037" t="inlineStr">
        <is>
          <t>VÄSTMANLANDS LÄN</t>
        </is>
      </c>
      <c r="E4037" t="inlineStr">
        <is>
          <t>VÄSTERÅS</t>
        </is>
      </c>
      <c r="G4037" t="n">
        <v>1</v>
      </c>
      <c r="H4037" t="n">
        <v>0</v>
      </c>
      <c r="I4037" t="n">
        <v>0</v>
      </c>
      <c r="J4037" t="n">
        <v>0</v>
      </c>
      <c r="K4037" t="n">
        <v>0</v>
      </c>
      <c r="L4037" t="n">
        <v>0</v>
      </c>
      <c r="M4037" t="n">
        <v>0</v>
      </c>
      <c r="N4037" t="n">
        <v>0</v>
      </c>
      <c r="O4037" t="n">
        <v>0</v>
      </c>
      <c r="P4037" t="n">
        <v>0</v>
      </c>
      <c r="Q4037" t="n">
        <v>0</v>
      </c>
      <c r="R4037" s="2" t="inlineStr"/>
    </row>
    <row r="4038" ht="15" customHeight="1">
      <c r="A4038" t="inlineStr">
        <is>
          <t>A 15298-2024</t>
        </is>
      </c>
      <c r="B4038" s="1" t="n">
        <v>45400</v>
      </c>
      <c r="C4038" s="1" t="n">
        <v>45724</v>
      </c>
      <c r="D4038" t="inlineStr">
        <is>
          <t>VÄSTMANLANDS LÄN</t>
        </is>
      </c>
      <c r="E4038" t="inlineStr">
        <is>
          <t>SKINNSKATTEBERG</t>
        </is>
      </c>
      <c r="F4038" t="inlineStr">
        <is>
          <t>Sveaskog</t>
        </is>
      </c>
      <c r="G4038" t="n">
        <v>12.4</v>
      </c>
      <c r="H4038" t="n">
        <v>0</v>
      </c>
      <c r="I4038" t="n">
        <v>0</v>
      </c>
      <c r="J4038" t="n">
        <v>0</v>
      </c>
      <c r="K4038" t="n">
        <v>0</v>
      </c>
      <c r="L4038" t="n">
        <v>0</v>
      </c>
      <c r="M4038" t="n">
        <v>0</v>
      </c>
      <c r="N4038" t="n">
        <v>0</v>
      </c>
      <c r="O4038" t="n">
        <v>0</v>
      </c>
      <c r="P4038" t="n">
        <v>0</v>
      </c>
      <c r="Q4038" t="n">
        <v>0</v>
      </c>
      <c r="R4038" s="2" t="inlineStr"/>
    </row>
    <row r="4039" ht="15" customHeight="1">
      <c r="A4039" t="inlineStr">
        <is>
          <t>A 15554-2024</t>
        </is>
      </c>
      <c r="B4039" s="1" t="n">
        <v>45401</v>
      </c>
      <c r="C4039" s="1" t="n">
        <v>45724</v>
      </c>
      <c r="D4039" t="inlineStr">
        <is>
          <t>VÄSTMANLANDS LÄN</t>
        </is>
      </c>
      <c r="E4039" t="inlineStr">
        <is>
          <t>KÖPING</t>
        </is>
      </c>
      <c r="F4039" t="inlineStr">
        <is>
          <t>Sveaskog</t>
        </is>
      </c>
      <c r="G4039" t="n">
        <v>1</v>
      </c>
      <c r="H4039" t="n">
        <v>0</v>
      </c>
      <c r="I4039" t="n">
        <v>0</v>
      </c>
      <c r="J4039" t="n">
        <v>0</v>
      </c>
      <c r="K4039" t="n">
        <v>0</v>
      </c>
      <c r="L4039" t="n">
        <v>0</v>
      </c>
      <c r="M4039" t="n">
        <v>0</v>
      </c>
      <c r="N4039" t="n">
        <v>0</v>
      </c>
      <c r="O4039" t="n">
        <v>0</v>
      </c>
      <c r="P4039" t="n">
        <v>0</v>
      </c>
      <c r="Q4039" t="n">
        <v>0</v>
      </c>
      <c r="R4039" s="2" t="inlineStr"/>
    </row>
    <row r="4040" ht="15" customHeight="1">
      <c r="A4040" t="inlineStr">
        <is>
          <t>A 15542-2024</t>
        </is>
      </c>
      <c r="B4040" s="1" t="n">
        <v>45401</v>
      </c>
      <c r="C4040" s="1" t="n">
        <v>45724</v>
      </c>
      <c r="D4040" t="inlineStr">
        <is>
          <t>VÄSTMANLANDS LÄN</t>
        </is>
      </c>
      <c r="E4040" t="inlineStr">
        <is>
          <t>SKINNSKATTEBERG</t>
        </is>
      </c>
      <c r="F4040" t="inlineStr">
        <is>
          <t>Sveaskog</t>
        </is>
      </c>
      <c r="G4040" t="n">
        <v>5.5</v>
      </c>
      <c r="H4040" t="n">
        <v>0</v>
      </c>
      <c r="I4040" t="n">
        <v>0</v>
      </c>
      <c r="J4040" t="n">
        <v>0</v>
      </c>
      <c r="K4040" t="n">
        <v>0</v>
      </c>
      <c r="L4040" t="n">
        <v>0</v>
      </c>
      <c r="M4040" t="n">
        <v>0</v>
      </c>
      <c r="N4040" t="n">
        <v>0</v>
      </c>
      <c r="O4040" t="n">
        <v>0</v>
      </c>
      <c r="P4040" t="n">
        <v>0</v>
      </c>
      <c r="Q4040" t="n">
        <v>0</v>
      </c>
      <c r="R4040" s="2" t="inlineStr"/>
    </row>
    <row r="4041" ht="15" customHeight="1">
      <c r="A4041" t="inlineStr">
        <is>
          <t>A 15551-2024</t>
        </is>
      </c>
      <c r="B4041" s="1" t="n">
        <v>45401</v>
      </c>
      <c r="C4041" s="1" t="n">
        <v>45724</v>
      </c>
      <c r="D4041" t="inlineStr">
        <is>
          <t>VÄSTMANLANDS LÄN</t>
        </is>
      </c>
      <c r="E4041" t="inlineStr">
        <is>
          <t>KÖPING</t>
        </is>
      </c>
      <c r="F4041" t="inlineStr">
        <is>
          <t>Sveaskog</t>
        </is>
      </c>
      <c r="G4041" t="n">
        <v>3.1</v>
      </c>
      <c r="H4041" t="n">
        <v>0</v>
      </c>
      <c r="I4041" t="n">
        <v>0</v>
      </c>
      <c r="J4041" t="n">
        <v>0</v>
      </c>
      <c r="K4041" t="n">
        <v>0</v>
      </c>
      <c r="L4041" t="n">
        <v>0</v>
      </c>
      <c r="M4041" t="n">
        <v>0</v>
      </c>
      <c r="N4041" t="n">
        <v>0</v>
      </c>
      <c r="O4041" t="n">
        <v>0</v>
      </c>
      <c r="P4041" t="n">
        <v>0</v>
      </c>
      <c r="Q4041" t="n">
        <v>0</v>
      </c>
      <c r="R4041" s="2" t="inlineStr"/>
    </row>
    <row r="4042" ht="15" customHeight="1">
      <c r="A4042" t="inlineStr">
        <is>
          <t>A 15539-2024</t>
        </is>
      </c>
      <c r="B4042" s="1" t="n">
        <v>45401</v>
      </c>
      <c r="C4042" s="1" t="n">
        <v>45724</v>
      </c>
      <c r="D4042" t="inlineStr">
        <is>
          <t>VÄSTMANLANDS LÄN</t>
        </is>
      </c>
      <c r="E4042" t="inlineStr">
        <is>
          <t>SKINNSKATTEBERG</t>
        </is>
      </c>
      <c r="F4042" t="inlineStr">
        <is>
          <t>Sveaskog</t>
        </is>
      </c>
      <c r="G4042" t="n">
        <v>5.3</v>
      </c>
      <c r="H4042" t="n">
        <v>0</v>
      </c>
      <c r="I4042" t="n">
        <v>0</v>
      </c>
      <c r="J4042" t="n">
        <v>0</v>
      </c>
      <c r="K4042" t="n">
        <v>0</v>
      </c>
      <c r="L4042" t="n">
        <v>0</v>
      </c>
      <c r="M4042" t="n">
        <v>0</v>
      </c>
      <c r="N4042" t="n">
        <v>0</v>
      </c>
      <c r="O4042" t="n">
        <v>0</v>
      </c>
      <c r="P4042" t="n">
        <v>0</v>
      </c>
      <c r="Q4042" t="n">
        <v>0</v>
      </c>
      <c r="R4042" s="2" t="inlineStr"/>
    </row>
    <row r="4043" ht="15" customHeight="1">
      <c r="A4043" t="inlineStr">
        <is>
          <t>A 15512-2024</t>
        </is>
      </c>
      <c r="B4043" s="1" t="n">
        <v>45401</v>
      </c>
      <c r="C4043" s="1" t="n">
        <v>45724</v>
      </c>
      <c r="D4043" t="inlineStr">
        <is>
          <t>VÄSTMANLANDS LÄN</t>
        </is>
      </c>
      <c r="E4043" t="inlineStr">
        <is>
          <t>SKINNSKATTEBERG</t>
        </is>
      </c>
      <c r="F4043" t="inlineStr">
        <is>
          <t>Sveaskog</t>
        </is>
      </c>
      <c r="G4043" t="n">
        <v>3.6</v>
      </c>
      <c r="H4043" t="n">
        <v>0</v>
      </c>
      <c r="I4043" t="n">
        <v>0</v>
      </c>
      <c r="J4043" t="n">
        <v>0</v>
      </c>
      <c r="K4043" t="n">
        <v>0</v>
      </c>
      <c r="L4043" t="n">
        <v>0</v>
      </c>
      <c r="M4043" t="n">
        <v>0</v>
      </c>
      <c r="N4043" t="n">
        <v>0</v>
      </c>
      <c r="O4043" t="n">
        <v>0</v>
      </c>
      <c r="P4043" t="n">
        <v>0</v>
      </c>
      <c r="Q4043" t="n">
        <v>0</v>
      </c>
      <c r="R4043" s="2" t="inlineStr"/>
    </row>
    <row r="4044" ht="15" customHeight="1">
      <c r="A4044" t="inlineStr">
        <is>
          <t>A 15541-2024</t>
        </is>
      </c>
      <c r="B4044" s="1" t="n">
        <v>45401</v>
      </c>
      <c r="C4044" s="1" t="n">
        <v>45724</v>
      </c>
      <c r="D4044" t="inlineStr">
        <is>
          <t>VÄSTMANLANDS LÄN</t>
        </is>
      </c>
      <c r="E4044" t="inlineStr">
        <is>
          <t>SKINNSKATTEBERG</t>
        </is>
      </c>
      <c r="F4044" t="inlineStr">
        <is>
          <t>Sveaskog</t>
        </is>
      </c>
      <c r="G4044" t="n">
        <v>1</v>
      </c>
      <c r="H4044" t="n">
        <v>0</v>
      </c>
      <c r="I4044" t="n">
        <v>0</v>
      </c>
      <c r="J4044" t="n">
        <v>0</v>
      </c>
      <c r="K4044" t="n">
        <v>0</v>
      </c>
      <c r="L4044" t="n">
        <v>0</v>
      </c>
      <c r="M4044" t="n">
        <v>0</v>
      </c>
      <c r="N4044" t="n">
        <v>0</v>
      </c>
      <c r="O4044" t="n">
        <v>0</v>
      </c>
      <c r="P4044" t="n">
        <v>0</v>
      </c>
      <c r="Q4044" t="n">
        <v>0</v>
      </c>
      <c r="R4044" s="2" t="inlineStr"/>
    </row>
    <row r="4045" ht="15" customHeight="1">
      <c r="A4045" t="inlineStr">
        <is>
          <t>A 15549-2024</t>
        </is>
      </c>
      <c r="B4045" s="1" t="n">
        <v>45401</v>
      </c>
      <c r="C4045" s="1" t="n">
        <v>45724</v>
      </c>
      <c r="D4045" t="inlineStr">
        <is>
          <t>VÄSTMANLANDS LÄN</t>
        </is>
      </c>
      <c r="E4045" t="inlineStr">
        <is>
          <t>KÖPING</t>
        </is>
      </c>
      <c r="F4045" t="inlineStr">
        <is>
          <t>Sveaskog</t>
        </is>
      </c>
      <c r="G4045" t="n">
        <v>4</v>
      </c>
      <c r="H4045" t="n">
        <v>0</v>
      </c>
      <c r="I4045" t="n">
        <v>0</v>
      </c>
      <c r="J4045" t="n">
        <v>0</v>
      </c>
      <c r="K4045" t="n">
        <v>0</v>
      </c>
      <c r="L4045" t="n">
        <v>0</v>
      </c>
      <c r="M4045" t="n">
        <v>0</v>
      </c>
      <c r="N4045" t="n">
        <v>0</v>
      </c>
      <c r="O4045" t="n">
        <v>0</v>
      </c>
      <c r="P4045" t="n">
        <v>0</v>
      </c>
      <c r="Q4045" t="n">
        <v>0</v>
      </c>
      <c r="R4045" s="2" t="inlineStr"/>
    </row>
    <row r="4046" ht="15" customHeight="1">
      <c r="A4046" t="inlineStr">
        <is>
          <t>A 15561-2024</t>
        </is>
      </c>
      <c r="B4046" s="1" t="n">
        <v>45401</v>
      </c>
      <c r="C4046" s="1" t="n">
        <v>45724</v>
      </c>
      <c r="D4046" t="inlineStr">
        <is>
          <t>VÄSTMANLANDS LÄN</t>
        </is>
      </c>
      <c r="E4046" t="inlineStr">
        <is>
          <t>SKINNSKATTEBERG</t>
        </is>
      </c>
      <c r="F4046" t="inlineStr">
        <is>
          <t>Sveaskog</t>
        </is>
      </c>
      <c r="G4046" t="n">
        <v>1.9</v>
      </c>
      <c r="H4046" t="n">
        <v>0</v>
      </c>
      <c r="I4046" t="n">
        <v>0</v>
      </c>
      <c r="J4046" t="n">
        <v>0</v>
      </c>
      <c r="K4046" t="n">
        <v>0</v>
      </c>
      <c r="L4046" t="n">
        <v>0</v>
      </c>
      <c r="M4046" t="n">
        <v>0</v>
      </c>
      <c r="N4046" t="n">
        <v>0</v>
      </c>
      <c r="O4046" t="n">
        <v>0</v>
      </c>
      <c r="P4046" t="n">
        <v>0</v>
      </c>
      <c r="Q4046" t="n">
        <v>0</v>
      </c>
      <c r="R4046" s="2" t="inlineStr"/>
    </row>
    <row r="4047" ht="15" customHeight="1">
      <c r="A4047" t="inlineStr">
        <is>
          <t>A 15540-2024</t>
        </is>
      </c>
      <c r="B4047" s="1" t="n">
        <v>45401</v>
      </c>
      <c r="C4047" s="1" t="n">
        <v>45724</v>
      </c>
      <c r="D4047" t="inlineStr">
        <is>
          <t>VÄSTMANLANDS LÄN</t>
        </is>
      </c>
      <c r="E4047" t="inlineStr">
        <is>
          <t>SKINNSKATTEBERG</t>
        </is>
      </c>
      <c r="F4047" t="inlineStr">
        <is>
          <t>Sveaskog</t>
        </is>
      </c>
      <c r="G4047" t="n">
        <v>0.9</v>
      </c>
      <c r="H4047" t="n">
        <v>0</v>
      </c>
      <c r="I4047" t="n">
        <v>0</v>
      </c>
      <c r="J4047" t="n">
        <v>0</v>
      </c>
      <c r="K4047" t="n">
        <v>0</v>
      </c>
      <c r="L4047" t="n">
        <v>0</v>
      </c>
      <c r="M4047" t="n">
        <v>0</v>
      </c>
      <c r="N4047" t="n">
        <v>0</v>
      </c>
      <c r="O4047" t="n">
        <v>0</v>
      </c>
      <c r="P4047" t="n">
        <v>0</v>
      </c>
      <c r="Q4047" t="n">
        <v>0</v>
      </c>
      <c r="R4047" s="2" t="inlineStr"/>
    </row>
    <row r="4048" ht="15" customHeight="1">
      <c r="A4048" t="inlineStr">
        <is>
          <t>A 15732-2024</t>
        </is>
      </c>
      <c r="B4048" s="1" t="n">
        <v>45404</v>
      </c>
      <c r="C4048" s="1" t="n">
        <v>45724</v>
      </c>
      <c r="D4048" t="inlineStr">
        <is>
          <t>VÄSTMANLANDS LÄN</t>
        </is>
      </c>
      <c r="E4048" t="inlineStr">
        <is>
          <t>KÖPING</t>
        </is>
      </c>
      <c r="F4048" t="inlineStr">
        <is>
          <t>Sveaskog</t>
        </is>
      </c>
      <c r="G4048" t="n">
        <v>2.3</v>
      </c>
      <c r="H4048" t="n">
        <v>0</v>
      </c>
      <c r="I4048" t="n">
        <v>0</v>
      </c>
      <c r="J4048" t="n">
        <v>0</v>
      </c>
      <c r="K4048" t="n">
        <v>0</v>
      </c>
      <c r="L4048" t="n">
        <v>0</v>
      </c>
      <c r="M4048" t="n">
        <v>0</v>
      </c>
      <c r="N4048" t="n">
        <v>0</v>
      </c>
      <c r="O4048" t="n">
        <v>0</v>
      </c>
      <c r="P4048" t="n">
        <v>0</v>
      </c>
      <c r="Q4048" t="n">
        <v>0</v>
      </c>
      <c r="R4048" s="2" t="inlineStr"/>
    </row>
    <row r="4049" ht="15" customHeight="1">
      <c r="A4049" t="inlineStr">
        <is>
          <t>A 15736-2024</t>
        </is>
      </c>
      <c r="B4049" s="1" t="n">
        <v>45404</v>
      </c>
      <c r="C4049" s="1" t="n">
        <v>45724</v>
      </c>
      <c r="D4049" t="inlineStr">
        <is>
          <t>VÄSTMANLANDS LÄN</t>
        </is>
      </c>
      <c r="E4049" t="inlineStr">
        <is>
          <t>KÖPING</t>
        </is>
      </c>
      <c r="F4049" t="inlineStr">
        <is>
          <t>Sveaskog</t>
        </is>
      </c>
      <c r="G4049" t="n">
        <v>1</v>
      </c>
      <c r="H4049" t="n">
        <v>0</v>
      </c>
      <c r="I4049" t="n">
        <v>0</v>
      </c>
      <c r="J4049" t="n">
        <v>0</v>
      </c>
      <c r="K4049" t="n">
        <v>0</v>
      </c>
      <c r="L4049" t="n">
        <v>0</v>
      </c>
      <c r="M4049" t="n">
        <v>0</v>
      </c>
      <c r="N4049" t="n">
        <v>0</v>
      </c>
      <c r="O4049" t="n">
        <v>0</v>
      </c>
      <c r="P4049" t="n">
        <v>0</v>
      </c>
      <c r="Q4049" t="n">
        <v>0</v>
      </c>
      <c r="R4049" s="2" t="inlineStr"/>
    </row>
    <row r="4050" ht="15" customHeight="1">
      <c r="A4050" t="inlineStr">
        <is>
          <t>A 15737-2024</t>
        </is>
      </c>
      <c r="B4050" s="1" t="n">
        <v>45404</v>
      </c>
      <c r="C4050" s="1" t="n">
        <v>45724</v>
      </c>
      <c r="D4050" t="inlineStr">
        <is>
          <t>VÄSTMANLANDS LÄN</t>
        </is>
      </c>
      <c r="E4050" t="inlineStr">
        <is>
          <t>SKINNSKATTEBERG</t>
        </is>
      </c>
      <c r="F4050" t="inlineStr">
        <is>
          <t>Sveaskog</t>
        </is>
      </c>
      <c r="G4050" t="n">
        <v>3.6</v>
      </c>
      <c r="H4050" t="n">
        <v>0</v>
      </c>
      <c r="I4050" t="n">
        <v>0</v>
      </c>
      <c r="J4050" t="n">
        <v>0</v>
      </c>
      <c r="K4050" t="n">
        <v>0</v>
      </c>
      <c r="L4050" t="n">
        <v>0</v>
      </c>
      <c r="M4050" t="n">
        <v>0</v>
      </c>
      <c r="N4050" t="n">
        <v>0</v>
      </c>
      <c r="O4050" t="n">
        <v>0</v>
      </c>
      <c r="P4050" t="n">
        <v>0</v>
      </c>
      <c r="Q4050" t="n">
        <v>0</v>
      </c>
      <c r="R4050" s="2" t="inlineStr"/>
    </row>
    <row r="4051" ht="15" customHeight="1">
      <c r="A4051" t="inlineStr">
        <is>
          <t>A 15735-2024</t>
        </is>
      </c>
      <c r="B4051" s="1" t="n">
        <v>45404</v>
      </c>
      <c r="C4051" s="1" t="n">
        <v>45724</v>
      </c>
      <c r="D4051" t="inlineStr">
        <is>
          <t>VÄSTMANLANDS LÄN</t>
        </is>
      </c>
      <c r="E4051" t="inlineStr">
        <is>
          <t>KÖPING</t>
        </is>
      </c>
      <c r="F4051" t="inlineStr">
        <is>
          <t>Sveaskog</t>
        </is>
      </c>
      <c r="G4051" t="n">
        <v>1</v>
      </c>
      <c r="H4051" t="n">
        <v>0</v>
      </c>
      <c r="I4051" t="n">
        <v>0</v>
      </c>
      <c r="J4051" t="n">
        <v>0</v>
      </c>
      <c r="K4051" t="n">
        <v>0</v>
      </c>
      <c r="L4051" t="n">
        <v>0</v>
      </c>
      <c r="M4051" t="n">
        <v>0</v>
      </c>
      <c r="N4051" t="n">
        <v>0</v>
      </c>
      <c r="O4051" t="n">
        <v>0</v>
      </c>
      <c r="P4051" t="n">
        <v>0</v>
      </c>
      <c r="Q4051" t="n">
        <v>0</v>
      </c>
      <c r="R4051" s="2" t="inlineStr"/>
    </row>
    <row r="4052" ht="15" customHeight="1">
      <c r="A4052" t="inlineStr">
        <is>
          <t>A 15834-2024</t>
        </is>
      </c>
      <c r="B4052" s="1" t="n">
        <v>45404</v>
      </c>
      <c r="C4052" s="1" t="n">
        <v>45724</v>
      </c>
      <c r="D4052" t="inlineStr">
        <is>
          <t>VÄSTMANLANDS LÄN</t>
        </is>
      </c>
      <c r="E4052" t="inlineStr">
        <is>
          <t>NORBERG</t>
        </is>
      </c>
      <c r="G4052" t="n">
        <v>3.5</v>
      </c>
      <c r="H4052" t="n">
        <v>0</v>
      </c>
      <c r="I4052" t="n">
        <v>0</v>
      </c>
      <c r="J4052" t="n">
        <v>0</v>
      </c>
      <c r="K4052" t="n">
        <v>0</v>
      </c>
      <c r="L4052" t="n">
        <v>0</v>
      </c>
      <c r="M4052" t="n">
        <v>0</v>
      </c>
      <c r="N4052" t="n">
        <v>0</v>
      </c>
      <c r="O4052" t="n">
        <v>0</v>
      </c>
      <c r="P4052" t="n">
        <v>0</v>
      </c>
      <c r="Q4052" t="n">
        <v>0</v>
      </c>
      <c r="R4052" s="2" t="inlineStr"/>
    </row>
    <row r="4053" ht="15" customHeight="1">
      <c r="A4053" t="inlineStr">
        <is>
          <t>A 15972-2024</t>
        </is>
      </c>
      <c r="B4053" s="1" t="n">
        <v>45405</v>
      </c>
      <c r="C4053" s="1" t="n">
        <v>45724</v>
      </c>
      <c r="D4053" t="inlineStr">
        <is>
          <t>VÄSTMANLANDS LÄN</t>
        </is>
      </c>
      <c r="E4053" t="inlineStr">
        <is>
          <t>SALA</t>
        </is>
      </c>
      <c r="G4053" t="n">
        <v>1.8</v>
      </c>
      <c r="H4053" t="n">
        <v>0</v>
      </c>
      <c r="I4053" t="n">
        <v>0</v>
      </c>
      <c r="J4053" t="n">
        <v>0</v>
      </c>
      <c r="K4053" t="n">
        <v>0</v>
      </c>
      <c r="L4053" t="n">
        <v>0</v>
      </c>
      <c r="M4053" t="n">
        <v>0</v>
      </c>
      <c r="N4053" t="n">
        <v>0</v>
      </c>
      <c r="O4053" t="n">
        <v>0</v>
      </c>
      <c r="P4053" t="n">
        <v>0</v>
      </c>
      <c r="Q4053" t="n">
        <v>0</v>
      </c>
      <c r="R4053" s="2" t="inlineStr"/>
    </row>
    <row r="4054" ht="15" customHeight="1">
      <c r="A4054" t="inlineStr">
        <is>
          <t>A 15968-2024</t>
        </is>
      </c>
      <c r="B4054" s="1" t="n">
        <v>45405</v>
      </c>
      <c r="C4054" s="1" t="n">
        <v>45724</v>
      </c>
      <c r="D4054" t="inlineStr">
        <is>
          <t>VÄSTMANLANDS LÄN</t>
        </is>
      </c>
      <c r="E4054" t="inlineStr">
        <is>
          <t>SALA</t>
        </is>
      </c>
      <c r="G4054" t="n">
        <v>0.7</v>
      </c>
      <c r="H4054" t="n">
        <v>0</v>
      </c>
      <c r="I4054" t="n">
        <v>0</v>
      </c>
      <c r="J4054" t="n">
        <v>0</v>
      </c>
      <c r="K4054" t="n">
        <v>0</v>
      </c>
      <c r="L4054" t="n">
        <v>0</v>
      </c>
      <c r="M4054" t="n">
        <v>0</v>
      </c>
      <c r="N4054" t="n">
        <v>0</v>
      </c>
      <c r="O4054" t="n">
        <v>0</v>
      </c>
      <c r="P4054" t="n">
        <v>0</v>
      </c>
      <c r="Q4054" t="n">
        <v>0</v>
      </c>
      <c r="R4054" s="2" t="inlineStr"/>
    </row>
    <row r="4055" ht="15" customHeight="1">
      <c r="A4055" t="inlineStr">
        <is>
          <t>A 15965-2024</t>
        </is>
      </c>
      <c r="B4055" s="1" t="n">
        <v>45405</v>
      </c>
      <c r="C4055" s="1" t="n">
        <v>45724</v>
      </c>
      <c r="D4055" t="inlineStr">
        <is>
          <t>VÄSTMANLANDS LÄN</t>
        </is>
      </c>
      <c r="E4055" t="inlineStr">
        <is>
          <t>SALA</t>
        </is>
      </c>
      <c r="G4055" t="n">
        <v>0.5</v>
      </c>
      <c r="H4055" t="n">
        <v>0</v>
      </c>
      <c r="I4055" t="n">
        <v>0</v>
      </c>
      <c r="J4055" t="n">
        <v>0</v>
      </c>
      <c r="K4055" t="n">
        <v>0</v>
      </c>
      <c r="L4055" t="n">
        <v>0</v>
      </c>
      <c r="M4055" t="n">
        <v>0</v>
      </c>
      <c r="N4055" t="n">
        <v>0</v>
      </c>
      <c r="O4055" t="n">
        <v>0</v>
      </c>
      <c r="P4055" t="n">
        <v>0</v>
      </c>
      <c r="Q4055" t="n">
        <v>0</v>
      </c>
      <c r="R4055" s="2" t="inlineStr"/>
    </row>
    <row r="4056" ht="15" customHeight="1">
      <c r="A4056" t="inlineStr">
        <is>
          <t>A 16048-2024</t>
        </is>
      </c>
      <c r="B4056" s="1" t="n">
        <v>45406</v>
      </c>
      <c r="C4056" s="1" t="n">
        <v>45724</v>
      </c>
      <c r="D4056" t="inlineStr">
        <is>
          <t>VÄSTMANLANDS LÄN</t>
        </is>
      </c>
      <c r="E4056" t="inlineStr">
        <is>
          <t>KÖPING</t>
        </is>
      </c>
      <c r="G4056" t="n">
        <v>15.2</v>
      </c>
      <c r="H4056" t="n">
        <v>0</v>
      </c>
      <c r="I4056" t="n">
        <v>0</v>
      </c>
      <c r="J4056" t="n">
        <v>0</v>
      </c>
      <c r="K4056" t="n">
        <v>0</v>
      </c>
      <c r="L4056" t="n">
        <v>0</v>
      </c>
      <c r="M4056" t="n">
        <v>0</v>
      </c>
      <c r="N4056" t="n">
        <v>0</v>
      </c>
      <c r="O4056" t="n">
        <v>0</v>
      </c>
      <c r="P4056" t="n">
        <v>0</v>
      </c>
      <c r="Q4056" t="n">
        <v>0</v>
      </c>
      <c r="R4056" s="2" t="inlineStr"/>
    </row>
    <row r="4057" ht="15" customHeight="1">
      <c r="A4057" t="inlineStr">
        <is>
          <t>A 16042-2024</t>
        </is>
      </c>
      <c r="B4057" s="1" t="n">
        <v>45405</v>
      </c>
      <c r="C4057" s="1" t="n">
        <v>45724</v>
      </c>
      <c r="D4057" t="inlineStr">
        <is>
          <t>VÄSTMANLANDS LÄN</t>
        </is>
      </c>
      <c r="E4057" t="inlineStr">
        <is>
          <t>NORBERG</t>
        </is>
      </c>
      <c r="G4057" t="n">
        <v>7.7</v>
      </c>
      <c r="H4057" t="n">
        <v>0</v>
      </c>
      <c r="I4057" t="n">
        <v>0</v>
      </c>
      <c r="J4057" t="n">
        <v>0</v>
      </c>
      <c r="K4057" t="n">
        <v>0</v>
      </c>
      <c r="L4057" t="n">
        <v>0</v>
      </c>
      <c r="M4057" t="n">
        <v>0</v>
      </c>
      <c r="N4057" t="n">
        <v>0</v>
      </c>
      <c r="O4057" t="n">
        <v>0</v>
      </c>
      <c r="P4057" t="n">
        <v>0</v>
      </c>
      <c r="Q4057" t="n">
        <v>0</v>
      </c>
      <c r="R4057" s="2" t="inlineStr"/>
    </row>
    <row r="4058" ht="15" customHeight="1">
      <c r="A4058" t="inlineStr">
        <is>
          <t>A 15974-2024</t>
        </is>
      </c>
      <c r="B4058" s="1" t="n">
        <v>45405</v>
      </c>
      <c r="C4058" s="1" t="n">
        <v>45724</v>
      </c>
      <c r="D4058" t="inlineStr">
        <is>
          <t>VÄSTMANLANDS LÄN</t>
        </is>
      </c>
      <c r="E4058" t="inlineStr">
        <is>
          <t>NORBERG</t>
        </is>
      </c>
      <c r="G4058" t="n">
        <v>2.6</v>
      </c>
      <c r="H4058" t="n">
        <v>0</v>
      </c>
      <c r="I4058" t="n">
        <v>0</v>
      </c>
      <c r="J4058" t="n">
        <v>0</v>
      </c>
      <c r="K4058" t="n">
        <v>0</v>
      </c>
      <c r="L4058" t="n">
        <v>0</v>
      </c>
      <c r="M4058" t="n">
        <v>0</v>
      </c>
      <c r="N4058" t="n">
        <v>0</v>
      </c>
      <c r="O4058" t="n">
        <v>0</v>
      </c>
      <c r="P4058" t="n">
        <v>0</v>
      </c>
      <c r="Q4058" t="n">
        <v>0</v>
      </c>
      <c r="R4058" s="2" t="inlineStr"/>
    </row>
    <row r="4059" ht="15" customHeight="1">
      <c r="A4059" t="inlineStr">
        <is>
          <t>A 15890-2024</t>
        </is>
      </c>
      <c r="B4059" s="1" t="n">
        <v>45405</v>
      </c>
      <c r="C4059" s="1" t="n">
        <v>45724</v>
      </c>
      <c r="D4059" t="inlineStr">
        <is>
          <t>VÄSTMANLANDS LÄN</t>
        </is>
      </c>
      <c r="E4059" t="inlineStr">
        <is>
          <t>NORBERG</t>
        </is>
      </c>
      <c r="G4059" t="n">
        <v>5.3</v>
      </c>
      <c r="H4059" t="n">
        <v>0</v>
      </c>
      <c r="I4059" t="n">
        <v>0</v>
      </c>
      <c r="J4059" t="n">
        <v>0</v>
      </c>
      <c r="K4059" t="n">
        <v>0</v>
      </c>
      <c r="L4059" t="n">
        <v>0</v>
      </c>
      <c r="M4059" t="n">
        <v>0</v>
      </c>
      <c r="N4059" t="n">
        <v>0</v>
      </c>
      <c r="O4059" t="n">
        <v>0</v>
      </c>
      <c r="P4059" t="n">
        <v>0</v>
      </c>
      <c r="Q4059" t="n">
        <v>0</v>
      </c>
      <c r="R4059" s="2" t="inlineStr"/>
    </row>
    <row r="4060" ht="15" customHeight="1">
      <c r="A4060" t="inlineStr">
        <is>
          <t>A 16088-2024</t>
        </is>
      </c>
      <c r="B4060" s="1" t="n">
        <v>45406</v>
      </c>
      <c r="C4060" s="1" t="n">
        <v>45724</v>
      </c>
      <c r="D4060" t="inlineStr">
        <is>
          <t>VÄSTMANLANDS LÄN</t>
        </is>
      </c>
      <c r="E4060" t="inlineStr">
        <is>
          <t>SKINNSKATTEBERG</t>
        </is>
      </c>
      <c r="F4060" t="inlineStr">
        <is>
          <t>Sveaskog</t>
        </is>
      </c>
      <c r="G4060" t="n">
        <v>0.4</v>
      </c>
      <c r="H4060" t="n">
        <v>0</v>
      </c>
      <c r="I4060" t="n">
        <v>0</v>
      </c>
      <c r="J4060" t="n">
        <v>0</v>
      </c>
      <c r="K4060" t="n">
        <v>0</v>
      </c>
      <c r="L4060" t="n">
        <v>0</v>
      </c>
      <c r="M4060" t="n">
        <v>0</v>
      </c>
      <c r="N4060" t="n">
        <v>0</v>
      </c>
      <c r="O4060" t="n">
        <v>0</v>
      </c>
      <c r="P4060" t="n">
        <v>0</v>
      </c>
      <c r="Q4060" t="n">
        <v>0</v>
      </c>
      <c r="R4060" s="2" t="inlineStr"/>
    </row>
    <row r="4061" ht="15" customHeight="1">
      <c r="A4061" t="inlineStr">
        <is>
          <t>A 16089-2024</t>
        </is>
      </c>
      <c r="B4061" s="1" t="n">
        <v>45406</v>
      </c>
      <c r="C4061" s="1" t="n">
        <v>45724</v>
      </c>
      <c r="D4061" t="inlineStr">
        <is>
          <t>VÄSTMANLANDS LÄN</t>
        </is>
      </c>
      <c r="E4061" t="inlineStr">
        <is>
          <t>SKINNSKATTEBERG</t>
        </is>
      </c>
      <c r="F4061" t="inlineStr">
        <is>
          <t>Sveaskog</t>
        </is>
      </c>
      <c r="G4061" t="n">
        <v>2.8</v>
      </c>
      <c r="H4061" t="n">
        <v>0</v>
      </c>
      <c r="I4061" t="n">
        <v>0</v>
      </c>
      <c r="J4061" t="n">
        <v>0</v>
      </c>
      <c r="K4061" t="n">
        <v>0</v>
      </c>
      <c r="L4061" t="n">
        <v>0</v>
      </c>
      <c r="M4061" t="n">
        <v>0</v>
      </c>
      <c r="N4061" t="n">
        <v>0</v>
      </c>
      <c r="O4061" t="n">
        <v>0</v>
      </c>
      <c r="P4061" t="n">
        <v>0</v>
      </c>
      <c r="Q4061" t="n">
        <v>0</v>
      </c>
      <c r="R4061" s="2" t="inlineStr"/>
    </row>
    <row r="4062" ht="15" customHeight="1">
      <c r="A4062" t="inlineStr">
        <is>
          <t>A 16159-2024</t>
        </is>
      </c>
      <c r="B4062" s="1" t="n">
        <v>45406</v>
      </c>
      <c r="C4062" s="1" t="n">
        <v>45724</v>
      </c>
      <c r="D4062" t="inlineStr">
        <is>
          <t>VÄSTMANLANDS LÄN</t>
        </is>
      </c>
      <c r="E4062" t="inlineStr">
        <is>
          <t>SALA</t>
        </is>
      </c>
      <c r="G4062" t="n">
        <v>0.4</v>
      </c>
      <c r="H4062" t="n">
        <v>0</v>
      </c>
      <c r="I4062" t="n">
        <v>0</v>
      </c>
      <c r="J4062" t="n">
        <v>0</v>
      </c>
      <c r="K4062" t="n">
        <v>0</v>
      </c>
      <c r="L4062" t="n">
        <v>0</v>
      </c>
      <c r="M4062" t="n">
        <v>0</v>
      </c>
      <c r="N4062" t="n">
        <v>0</v>
      </c>
      <c r="O4062" t="n">
        <v>0</v>
      </c>
      <c r="P4062" t="n">
        <v>0</v>
      </c>
      <c r="Q4062" t="n">
        <v>0</v>
      </c>
      <c r="R4062" s="2" t="inlineStr"/>
    </row>
    <row r="4063" ht="15" customHeight="1">
      <c r="A4063" t="inlineStr">
        <is>
          <t>A 16163-2024</t>
        </is>
      </c>
      <c r="B4063" s="1" t="n">
        <v>45406</v>
      </c>
      <c r="C4063" s="1" t="n">
        <v>45724</v>
      </c>
      <c r="D4063" t="inlineStr">
        <is>
          <t>VÄSTMANLANDS LÄN</t>
        </is>
      </c>
      <c r="E4063" t="inlineStr">
        <is>
          <t>SALA</t>
        </is>
      </c>
      <c r="G4063" t="n">
        <v>3.2</v>
      </c>
      <c r="H4063" t="n">
        <v>0</v>
      </c>
      <c r="I4063" t="n">
        <v>0</v>
      </c>
      <c r="J4063" t="n">
        <v>0</v>
      </c>
      <c r="K4063" t="n">
        <v>0</v>
      </c>
      <c r="L4063" t="n">
        <v>0</v>
      </c>
      <c r="M4063" t="n">
        <v>0</v>
      </c>
      <c r="N4063" t="n">
        <v>0</v>
      </c>
      <c r="O4063" t="n">
        <v>0</v>
      </c>
      <c r="P4063" t="n">
        <v>0</v>
      </c>
      <c r="Q4063" t="n">
        <v>0</v>
      </c>
      <c r="R4063" s="2" t="inlineStr"/>
    </row>
    <row r="4064" ht="15" customHeight="1">
      <c r="A4064" t="inlineStr">
        <is>
          <t>A 16148-2024</t>
        </is>
      </c>
      <c r="B4064" s="1" t="n">
        <v>45406</v>
      </c>
      <c r="C4064" s="1" t="n">
        <v>45724</v>
      </c>
      <c r="D4064" t="inlineStr">
        <is>
          <t>VÄSTMANLANDS LÄN</t>
        </is>
      </c>
      <c r="E4064" t="inlineStr">
        <is>
          <t>SALA</t>
        </is>
      </c>
      <c r="G4064" t="n">
        <v>5.1</v>
      </c>
      <c r="H4064" t="n">
        <v>0</v>
      </c>
      <c r="I4064" t="n">
        <v>0</v>
      </c>
      <c r="J4064" t="n">
        <v>0</v>
      </c>
      <c r="K4064" t="n">
        <v>0</v>
      </c>
      <c r="L4064" t="n">
        <v>0</v>
      </c>
      <c r="M4064" t="n">
        <v>0</v>
      </c>
      <c r="N4064" t="n">
        <v>0</v>
      </c>
      <c r="O4064" t="n">
        <v>0</v>
      </c>
      <c r="P4064" t="n">
        <v>0</v>
      </c>
      <c r="Q4064" t="n">
        <v>0</v>
      </c>
      <c r="R4064" s="2" t="inlineStr"/>
    </row>
    <row r="4065" ht="15" customHeight="1">
      <c r="A4065" t="inlineStr">
        <is>
          <t>A 16160-2024</t>
        </is>
      </c>
      <c r="B4065" s="1" t="n">
        <v>45406</v>
      </c>
      <c r="C4065" s="1" t="n">
        <v>45724</v>
      </c>
      <c r="D4065" t="inlineStr">
        <is>
          <t>VÄSTMANLANDS LÄN</t>
        </is>
      </c>
      <c r="E4065" t="inlineStr">
        <is>
          <t>SALA</t>
        </is>
      </c>
      <c r="G4065" t="n">
        <v>1.1</v>
      </c>
      <c r="H4065" t="n">
        <v>0</v>
      </c>
      <c r="I4065" t="n">
        <v>0</v>
      </c>
      <c r="J4065" t="n">
        <v>0</v>
      </c>
      <c r="K4065" t="n">
        <v>0</v>
      </c>
      <c r="L4065" t="n">
        <v>0</v>
      </c>
      <c r="M4065" t="n">
        <v>0</v>
      </c>
      <c r="N4065" t="n">
        <v>0</v>
      </c>
      <c r="O4065" t="n">
        <v>0</v>
      </c>
      <c r="P4065" t="n">
        <v>0</v>
      </c>
      <c r="Q4065" t="n">
        <v>0</v>
      </c>
      <c r="R4065" s="2" t="inlineStr"/>
    </row>
    <row r="4066" ht="15" customHeight="1">
      <c r="A4066" t="inlineStr">
        <is>
          <t>A 16358-2024</t>
        </is>
      </c>
      <c r="B4066" s="1" t="n">
        <v>45407</v>
      </c>
      <c r="C4066" s="1" t="n">
        <v>45724</v>
      </c>
      <c r="D4066" t="inlineStr">
        <is>
          <t>VÄSTMANLANDS LÄN</t>
        </is>
      </c>
      <c r="E4066" t="inlineStr">
        <is>
          <t>SKINNSKATTEBERG</t>
        </is>
      </c>
      <c r="F4066" t="inlineStr">
        <is>
          <t>Sveaskog</t>
        </is>
      </c>
      <c r="G4066" t="n">
        <v>3.2</v>
      </c>
      <c r="H4066" t="n">
        <v>0</v>
      </c>
      <c r="I4066" t="n">
        <v>0</v>
      </c>
      <c r="J4066" t="n">
        <v>0</v>
      </c>
      <c r="K4066" t="n">
        <v>0</v>
      </c>
      <c r="L4066" t="n">
        <v>0</v>
      </c>
      <c r="M4066" t="n">
        <v>0</v>
      </c>
      <c r="N4066" t="n">
        <v>0</v>
      </c>
      <c r="O4066" t="n">
        <v>0</v>
      </c>
      <c r="P4066" t="n">
        <v>0</v>
      </c>
      <c r="Q4066" t="n">
        <v>0</v>
      </c>
      <c r="R4066" s="2" t="inlineStr"/>
    </row>
    <row r="4067" ht="15" customHeight="1">
      <c r="A4067" t="inlineStr">
        <is>
          <t>A 16389-2024</t>
        </is>
      </c>
      <c r="B4067" s="1" t="n">
        <v>45407</v>
      </c>
      <c r="C4067" s="1" t="n">
        <v>45724</v>
      </c>
      <c r="D4067" t="inlineStr">
        <is>
          <t>VÄSTMANLANDS LÄN</t>
        </is>
      </c>
      <c r="E4067" t="inlineStr">
        <is>
          <t>SKINNSKATTEBERG</t>
        </is>
      </c>
      <c r="F4067" t="inlineStr">
        <is>
          <t>Sveaskog</t>
        </is>
      </c>
      <c r="G4067" t="n">
        <v>1.1</v>
      </c>
      <c r="H4067" t="n">
        <v>0</v>
      </c>
      <c r="I4067" t="n">
        <v>0</v>
      </c>
      <c r="J4067" t="n">
        <v>0</v>
      </c>
      <c r="K4067" t="n">
        <v>0</v>
      </c>
      <c r="L4067" t="n">
        <v>0</v>
      </c>
      <c r="M4067" t="n">
        <v>0</v>
      </c>
      <c r="N4067" t="n">
        <v>0</v>
      </c>
      <c r="O4067" t="n">
        <v>0</v>
      </c>
      <c r="P4067" t="n">
        <v>0</v>
      </c>
      <c r="Q4067" t="n">
        <v>0</v>
      </c>
      <c r="R4067" s="2" t="inlineStr"/>
    </row>
    <row r="4068" ht="15" customHeight="1">
      <c r="A4068" t="inlineStr">
        <is>
          <t>A 16393-2024</t>
        </is>
      </c>
      <c r="B4068" s="1" t="n">
        <v>45407</v>
      </c>
      <c r="C4068" s="1" t="n">
        <v>45724</v>
      </c>
      <c r="D4068" t="inlineStr">
        <is>
          <t>VÄSTMANLANDS LÄN</t>
        </is>
      </c>
      <c r="E4068" t="inlineStr">
        <is>
          <t>SKINNSKATTEBERG</t>
        </is>
      </c>
      <c r="F4068" t="inlineStr">
        <is>
          <t>Sveaskog</t>
        </is>
      </c>
      <c r="G4068" t="n">
        <v>1.8</v>
      </c>
      <c r="H4068" t="n">
        <v>0</v>
      </c>
      <c r="I4068" t="n">
        <v>0</v>
      </c>
      <c r="J4068" t="n">
        <v>0</v>
      </c>
      <c r="K4068" t="n">
        <v>0</v>
      </c>
      <c r="L4068" t="n">
        <v>0</v>
      </c>
      <c r="M4068" t="n">
        <v>0</v>
      </c>
      <c r="N4068" t="n">
        <v>0</v>
      </c>
      <c r="O4068" t="n">
        <v>0</v>
      </c>
      <c r="P4068" t="n">
        <v>0</v>
      </c>
      <c r="Q4068" t="n">
        <v>0</v>
      </c>
      <c r="R4068" s="2" t="inlineStr"/>
    </row>
    <row r="4069" ht="15" customHeight="1">
      <c r="A4069" t="inlineStr">
        <is>
          <t>A 16397-2024</t>
        </is>
      </c>
      <c r="B4069" s="1" t="n">
        <v>45407</v>
      </c>
      <c r="C4069" s="1" t="n">
        <v>45724</v>
      </c>
      <c r="D4069" t="inlineStr">
        <is>
          <t>VÄSTMANLANDS LÄN</t>
        </is>
      </c>
      <c r="E4069" t="inlineStr">
        <is>
          <t>SKINNSKATTEBERG</t>
        </is>
      </c>
      <c r="F4069" t="inlineStr">
        <is>
          <t>Sveaskog</t>
        </is>
      </c>
      <c r="G4069" t="n">
        <v>1.9</v>
      </c>
      <c r="H4069" t="n">
        <v>0</v>
      </c>
      <c r="I4069" t="n">
        <v>0</v>
      </c>
      <c r="J4069" t="n">
        <v>0</v>
      </c>
      <c r="K4069" t="n">
        <v>0</v>
      </c>
      <c r="L4069" t="n">
        <v>0</v>
      </c>
      <c r="M4069" t="n">
        <v>0</v>
      </c>
      <c r="N4069" t="n">
        <v>0</v>
      </c>
      <c r="O4069" t="n">
        <v>0</v>
      </c>
      <c r="P4069" t="n">
        <v>0</v>
      </c>
      <c r="Q4069" t="n">
        <v>0</v>
      </c>
      <c r="R4069" s="2" t="inlineStr"/>
    </row>
    <row r="4070" ht="15" customHeight="1">
      <c r="A4070" t="inlineStr">
        <is>
          <t>A 16394-2024</t>
        </is>
      </c>
      <c r="B4070" s="1" t="n">
        <v>45407</v>
      </c>
      <c r="C4070" s="1" t="n">
        <v>45724</v>
      </c>
      <c r="D4070" t="inlineStr">
        <is>
          <t>VÄSTMANLANDS LÄN</t>
        </is>
      </c>
      <c r="E4070" t="inlineStr">
        <is>
          <t>SKINNSKATTEBERG</t>
        </is>
      </c>
      <c r="F4070" t="inlineStr">
        <is>
          <t>Sveaskog</t>
        </is>
      </c>
      <c r="G4070" t="n">
        <v>1.5</v>
      </c>
      <c r="H4070" t="n">
        <v>0</v>
      </c>
      <c r="I4070" t="n">
        <v>0</v>
      </c>
      <c r="J4070" t="n">
        <v>0</v>
      </c>
      <c r="K4070" t="n">
        <v>0</v>
      </c>
      <c r="L4070" t="n">
        <v>0</v>
      </c>
      <c r="M4070" t="n">
        <v>0</v>
      </c>
      <c r="N4070" t="n">
        <v>0</v>
      </c>
      <c r="O4070" t="n">
        <v>0</v>
      </c>
      <c r="P4070" t="n">
        <v>0</v>
      </c>
      <c r="Q4070" t="n">
        <v>0</v>
      </c>
      <c r="R4070" s="2" t="inlineStr"/>
    </row>
    <row r="4071" ht="15" customHeight="1">
      <c r="A4071" t="inlineStr">
        <is>
          <t>A 16356-2024</t>
        </is>
      </c>
      <c r="B4071" s="1" t="n">
        <v>45407</v>
      </c>
      <c r="C4071" s="1" t="n">
        <v>45724</v>
      </c>
      <c r="D4071" t="inlineStr">
        <is>
          <t>VÄSTMANLANDS LÄN</t>
        </is>
      </c>
      <c r="E4071" t="inlineStr">
        <is>
          <t>SKINNSKATTEBERG</t>
        </is>
      </c>
      <c r="F4071" t="inlineStr">
        <is>
          <t>Sveaskog</t>
        </is>
      </c>
      <c r="G4071" t="n">
        <v>4.8</v>
      </c>
      <c r="H4071" t="n">
        <v>0</v>
      </c>
      <c r="I4071" t="n">
        <v>0</v>
      </c>
      <c r="J4071" t="n">
        <v>0</v>
      </c>
      <c r="K4071" t="n">
        <v>0</v>
      </c>
      <c r="L4071" t="n">
        <v>0</v>
      </c>
      <c r="M4071" t="n">
        <v>0</v>
      </c>
      <c r="N4071" t="n">
        <v>0</v>
      </c>
      <c r="O4071" t="n">
        <v>0</v>
      </c>
      <c r="P4071" t="n">
        <v>0</v>
      </c>
      <c r="Q4071" t="n">
        <v>0</v>
      </c>
      <c r="R4071" s="2" t="inlineStr"/>
    </row>
    <row r="4072" ht="15" customHeight="1">
      <c r="A4072" t="inlineStr">
        <is>
          <t>A 16400-2024</t>
        </is>
      </c>
      <c r="B4072" s="1" t="n">
        <v>45407</v>
      </c>
      <c r="C4072" s="1" t="n">
        <v>45724</v>
      </c>
      <c r="D4072" t="inlineStr">
        <is>
          <t>VÄSTMANLANDS LÄN</t>
        </is>
      </c>
      <c r="E4072" t="inlineStr">
        <is>
          <t>SKINNSKATTEBERG</t>
        </is>
      </c>
      <c r="F4072" t="inlineStr">
        <is>
          <t>Sveaskog</t>
        </is>
      </c>
      <c r="G4072" t="n">
        <v>0.5</v>
      </c>
      <c r="H4072" t="n">
        <v>0</v>
      </c>
      <c r="I4072" t="n">
        <v>0</v>
      </c>
      <c r="J4072" t="n">
        <v>0</v>
      </c>
      <c r="K4072" t="n">
        <v>0</v>
      </c>
      <c r="L4072" t="n">
        <v>0</v>
      </c>
      <c r="M4072" t="n">
        <v>0</v>
      </c>
      <c r="N4072" t="n">
        <v>0</v>
      </c>
      <c r="O4072" t="n">
        <v>0</v>
      </c>
      <c r="P4072" t="n">
        <v>0</v>
      </c>
      <c r="Q4072" t="n">
        <v>0</v>
      </c>
      <c r="R4072" s="2" t="inlineStr"/>
    </row>
    <row r="4073" ht="15" customHeight="1">
      <c r="A4073" t="inlineStr">
        <is>
          <t>A 16629-2024</t>
        </is>
      </c>
      <c r="B4073" s="1" t="n">
        <v>45408</v>
      </c>
      <c r="C4073" s="1" t="n">
        <v>45724</v>
      </c>
      <c r="D4073" t="inlineStr">
        <is>
          <t>VÄSTMANLANDS LÄN</t>
        </is>
      </c>
      <c r="E4073" t="inlineStr">
        <is>
          <t>NORBERG</t>
        </is>
      </c>
      <c r="F4073" t="inlineStr">
        <is>
          <t>Sveaskog</t>
        </is>
      </c>
      <c r="G4073" t="n">
        <v>8.800000000000001</v>
      </c>
      <c r="H4073" t="n">
        <v>0</v>
      </c>
      <c r="I4073" t="n">
        <v>0</v>
      </c>
      <c r="J4073" t="n">
        <v>0</v>
      </c>
      <c r="K4073" t="n">
        <v>0</v>
      </c>
      <c r="L4073" t="n">
        <v>0</v>
      </c>
      <c r="M4073" t="n">
        <v>0</v>
      </c>
      <c r="N4073" t="n">
        <v>0</v>
      </c>
      <c r="O4073" t="n">
        <v>0</v>
      </c>
      <c r="P4073" t="n">
        <v>0</v>
      </c>
      <c r="Q4073" t="n">
        <v>0</v>
      </c>
      <c r="R4073" s="2" t="inlineStr"/>
    </row>
    <row r="4074" ht="15" customHeight="1">
      <c r="A4074" t="inlineStr">
        <is>
          <t>A 16524-2024</t>
        </is>
      </c>
      <c r="B4074" s="1" t="n">
        <v>45408</v>
      </c>
      <c r="C4074" s="1" t="n">
        <v>45724</v>
      </c>
      <c r="D4074" t="inlineStr">
        <is>
          <t>VÄSTMANLANDS LÄN</t>
        </is>
      </c>
      <c r="E4074" t="inlineStr">
        <is>
          <t>SKINNSKATTEBERG</t>
        </is>
      </c>
      <c r="F4074" t="inlineStr">
        <is>
          <t>Sveaskog</t>
        </is>
      </c>
      <c r="G4074" t="n">
        <v>3.1</v>
      </c>
      <c r="H4074" t="n">
        <v>0</v>
      </c>
      <c r="I4074" t="n">
        <v>0</v>
      </c>
      <c r="J4074" t="n">
        <v>0</v>
      </c>
      <c r="K4074" t="n">
        <v>0</v>
      </c>
      <c r="L4074" t="n">
        <v>0</v>
      </c>
      <c r="M4074" t="n">
        <v>0</v>
      </c>
      <c r="N4074" t="n">
        <v>0</v>
      </c>
      <c r="O4074" t="n">
        <v>0</v>
      </c>
      <c r="P4074" t="n">
        <v>0</v>
      </c>
      <c r="Q4074" t="n">
        <v>0</v>
      </c>
      <c r="R4074" s="2" t="inlineStr"/>
    </row>
    <row r="4075" ht="15" customHeight="1">
      <c r="A4075" t="inlineStr">
        <is>
          <t>A 16576-2024</t>
        </is>
      </c>
      <c r="B4075" s="1" t="n">
        <v>45408</v>
      </c>
      <c r="C4075" s="1" t="n">
        <v>45724</v>
      </c>
      <c r="D4075" t="inlineStr">
        <is>
          <t>VÄSTMANLANDS LÄN</t>
        </is>
      </c>
      <c r="E4075" t="inlineStr">
        <is>
          <t>ARBOGA</t>
        </is>
      </c>
      <c r="G4075" t="n">
        <v>4.2</v>
      </c>
      <c r="H4075" t="n">
        <v>0</v>
      </c>
      <c r="I4075" t="n">
        <v>0</v>
      </c>
      <c r="J4075" t="n">
        <v>0</v>
      </c>
      <c r="K4075" t="n">
        <v>0</v>
      </c>
      <c r="L4075" t="n">
        <v>0</v>
      </c>
      <c r="M4075" t="n">
        <v>0</v>
      </c>
      <c r="N4075" t="n">
        <v>0</v>
      </c>
      <c r="O4075" t="n">
        <v>0</v>
      </c>
      <c r="P4075" t="n">
        <v>0</v>
      </c>
      <c r="Q4075" t="n">
        <v>0</v>
      </c>
      <c r="R4075" s="2" t="inlineStr"/>
    </row>
    <row r="4076" ht="15" customHeight="1">
      <c r="A4076" t="inlineStr">
        <is>
          <t>A 16503-2024</t>
        </is>
      </c>
      <c r="B4076" s="1" t="n">
        <v>45408</v>
      </c>
      <c r="C4076" s="1" t="n">
        <v>45724</v>
      </c>
      <c r="D4076" t="inlineStr">
        <is>
          <t>VÄSTMANLANDS LÄN</t>
        </is>
      </c>
      <c r="E4076" t="inlineStr">
        <is>
          <t>NORBERG</t>
        </is>
      </c>
      <c r="F4076" t="inlineStr">
        <is>
          <t>Sveaskog</t>
        </is>
      </c>
      <c r="G4076" t="n">
        <v>1.3</v>
      </c>
      <c r="H4076" t="n">
        <v>0</v>
      </c>
      <c r="I4076" t="n">
        <v>0</v>
      </c>
      <c r="J4076" t="n">
        <v>0</v>
      </c>
      <c r="K4076" t="n">
        <v>0</v>
      </c>
      <c r="L4076" t="n">
        <v>0</v>
      </c>
      <c r="M4076" t="n">
        <v>0</v>
      </c>
      <c r="N4076" t="n">
        <v>0</v>
      </c>
      <c r="O4076" t="n">
        <v>0</v>
      </c>
      <c r="P4076" t="n">
        <v>0</v>
      </c>
      <c r="Q4076" t="n">
        <v>0</v>
      </c>
      <c r="R4076" s="2" t="inlineStr"/>
    </row>
    <row r="4077" ht="15" customHeight="1">
      <c r="A4077" t="inlineStr">
        <is>
          <t>A 16523-2024</t>
        </is>
      </c>
      <c r="B4077" s="1" t="n">
        <v>45408</v>
      </c>
      <c r="C4077" s="1" t="n">
        <v>45724</v>
      </c>
      <c r="D4077" t="inlineStr">
        <is>
          <t>VÄSTMANLANDS LÄN</t>
        </is>
      </c>
      <c r="E4077" t="inlineStr">
        <is>
          <t>SKINNSKATTEBERG</t>
        </is>
      </c>
      <c r="F4077" t="inlineStr">
        <is>
          <t>Sveaskog</t>
        </is>
      </c>
      <c r="G4077" t="n">
        <v>1.9</v>
      </c>
      <c r="H4077" t="n">
        <v>0</v>
      </c>
      <c r="I4077" t="n">
        <v>0</v>
      </c>
      <c r="J4077" t="n">
        <v>0</v>
      </c>
      <c r="K4077" t="n">
        <v>0</v>
      </c>
      <c r="L4077" t="n">
        <v>0</v>
      </c>
      <c r="M4077" t="n">
        <v>0</v>
      </c>
      <c r="N4077" t="n">
        <v>0</v>
      </c>
      <c r="O4077" t="n">
        <v>0</v>
      </c>
      <c r="P4077" t="n">
        <v>0</v>
      </c>
      <c r="Q4077" t="n">
        <v>0</v>
      </c>
      <c r="R4077" s="2" t="inlineStr"/>
    </row>
    <row r="4078" ht="15" customHeight="1">
      <c r="A4078" t="inlineStr">
        <is>
          <t>A 16729-2024</t>
        </is>
      </c>
      <c r="B4078" s="1" t="n">
        <v>45410</v>
      </c>
      <c r="C4078" s="1" t="n">
        <v>45724</v>
      </c>
      <c r="D4078" t="inlineStr">
        <is>
          <t>VÄSTMANLANDS LÄN</t>
        </is>
      </c>
      <c r="E4078" t="inlineStr">
        <is>
          <t>SKINNSKATTEBERG</t>
        </is>
      </c>
      <c r="F4078" t="inlineStr">
        <is>
          <t>Sveaskog</t>
        </is>
      </c>
      <c r="G4078" t="n">
        <v>1.5</v>
      </c>
      <c r="H4078" t="n">
        <v>0</v>
      </c>
      <c r="I4078" t="n">
        <v>0</v>
      </c>
      <c r="J4078" t="n">
        <v>0</v>
      </c>
      <c r="K4078" t="n">
        <v>0</v>
      </c>
      <c r="L4078" t="n">
        <v>0</v>
      </c>
      <c r="M4078" t="n">
        <v>0</v>
      </c>
      <c r="N4078" t="n">
        <v>0</v>
      </c>
      <c r="O4078" t="n">
        <v>0</v>
      </c>
      <c r="P4078" t="n">
        <v>0</v>
      </c>
      <c r="Q4078" t="n">
        <v>0</v>
      </c>
      <c r="R4078" s="2" t="inlineStr"/>
    </row>
    <row r="4079" ht="15" customHeight="1">
      <c r="A4079" t="inlineStr">
        <is>
          <t>A 16767-2024</t>
        </is>
      </c>
      <c r="B4079" s="1" t="n">
        <v>45411</v>
      </c>
      <c r="C4079" s="1" t="n">
        <v>45724</v>
      </c>
      <c r="D4079" t="inlineStr">
        <is>
          <t>VÄSTMANLANDS LÄN</t>
        </is>
      </c>
      <c r="E4079" t="inlineStr">
        <is>
          <t>SALA</t>
        </is>
      </c>
      <c r="G4079" t="n">
        <v>2.5</v>
      </c>
      <c r="H4079" t="n">
        <v>0</v>
      </c>
      <c r="I4079" t="n">
        <v>0</v>
      </c>
      <c r="J4079" t="n">
        <v>0</v>
      </c>
      <c r="K4079" t="n">
        <v>0</v>
      </c>
      <c r="L4079" t="n">
        <v>0</v>
      </c>
      <c r="M4079" t="n">
        <v>0</v>
      </c>
      <c r="N4079" t="n">
        <v>0</v>
      </c>
      <c r="O4079" t="n">
        <v>0</v>
      </c>
      <c r="P4079" t="n">
        <v>0</v>
      </c>
      <c r="Q4079" t="n">
        <v>0</v>
      </c>
      <c r="R4079" s="2" t="inlineStr"/>
    </row>
    <row r="4080" ht="15" customHeight="1">
      <c r="A4080" t="inlineStr">
        <is>
          <t>A 16907-2024</t>
        </is>
      </c>
      <c r="B4080" s="1" t="n">
        <v>45411</v>
      </c>
      <c r="C4080" s="1" t="n">
        <v>45724</v>
      </c>
      <c r="D4080" t="inlineStr">
        <is>
          <t>VÄSTMANLANDS LÄN</t>
        </is>
      </c>
      <c r="E4080" t="inlineStr">
        <is>
          <t>KÖPING</t>
        </is>
      </c>
      <c r="F4080" t="inlineStr">
        <is>
          <t>Sveaskog</t>
        </is>
      </c>
      <c r="G4080" t="n">
        <v>2.2</v>
      </c>
      <c r="H4080" t="n">
        <v>0</v>
      </c>
      <c r="I4080" t="n">
        <v>0</v>
      </c>
      <c r="J4080" t="n">
        <v>0</v>
      </c>
      <c r="K4080" t="n">
        <v>0</v>
      </c>
      <c r="L4080" t="n">
        <v>0</v>
      </c>
      <c r="M4080" t="n">
        <v>0</v>
      </c>
      <c r="N4080" t="n">
        <v>0</v>
      </c>
      <c r="O4080" t="n">
        <v>0</v>
      </c>
      <c r="P4080" t="n">
        <v>0</v>
      </c>
      <c r="Q4080" t="n">
        <v>0</v>
      </c>
      <c r="R4080" s="2" t="inlineStr"/>
    </row>
    <row r="4081" ht="15" customHeight="1">
      <c r="A4081" t="inlineStr">
        <is>
          <t>A 17029-2024</t>
        </is>
      </c>
      <c r="B4081" s="1" t="n">
        <v>45411</v>
      </c>
      <c r="C4081" s="1" t="n">
        <v>45724</v>
      </c>
      <c r="D4081" t="inlineStr">
        <is>
          <t>VÄSTMANLANDS LÄN</t>
        </is>
      </c>
      <c r="E4081" t="inlineStr">
        <is>
          <t>NORBERG</t>
        </is>
      </c>
      <c r="G4081" t="n">
        <v>1.6</v>
      </c>
      <c r="H4081" t="n">
        <v>0</v>
      </c>
      <c r="I4081" t="n">
        <v>0</v>
      </c>
      <c r="J4081" t="n">
        <v>0</v>
      </c>
      <c r="K4081" t="n">
        <v>0</v>
      </c>
      <c r="L4081" t="n">
        <v>0</v>
      </c>
      <c r="M4081" t="n">
        <v>0</v>
      </c>
      <c r="N4081" t="n">
        <v>0</v>
      </c>
      <c r="O4081" t="n">
        <v>0</v>
      </c>
      <c r="P4081" t="n">
        <v>0</v>
      </c>
      <c r="Q4081" t="n">
        <v>0</v>
      </c>
      <c r="R4081" s="2" t="inlineStr"/>
    </row>
    <row r="4082" ht="15" customHeight="1">
      <c r="A4082" t="inlineStr">
        <is>
          <t>A 16905-2024</t>
        </is>
      </c>
      <c r="B4082" s="1" t="n">
        <v>45411</v>
      </c>
      <c r="C4082" s="1" t="n">
        <v>45724</v>
      </c>
      <c r="D4082" t="inlineStr">
        <is>
          <t>VÄSTMANLANDS LÄN</t>
        </is>
      </c>
      <c r="E4082" t="inlineStr">
        <is>
          <t>KÖPING</t>
        </is>
      </c>
      <c r="F4082" t="inlineStr">
        <is>
          <t>Sveaskog</t>
        </is>
      </c>
      <c r="G4082" t="n">
        <v>2.6</v>
      </c>
      <c r="H4082" t="n">
        <v>0</v>
      </c>
      <c r="I4082" t="n">
        <v>0</v>
      </c>
      <c r="J4082" t="n">
        <v>0</v>
      </c>
      <c r="K4082" t="n">
        <v>0</v>
      </c>
      <c r="L4082" t="n">
        <v>0</v>
      </c>
      <c r="M4082" t="n">
        <v>0</v>
      </c>
      <c r="N4082" t="n">
        <v>0</v>
      </c>
      <c r="O4082" t="n">
        <v>0</v>
      </c>
      <c r="P4082" t="n">
        <v>0</v>
      </c>
      <c r="Q4082" t="n">
        <v>0</v>
      </c>
      <c r="R4082" s="2" t="inlineStr"/>
    </row>
    <row r="4083" ht="15" customHeight="1">
      <c r="A4083" t="inlineStr">
        <is>
          <t>A 16760-2024</t>
        </is>
      </c>
      <c r="B4083" s="1" t="n">
        <v>45411</v>
      </c>
      <c r="C4083" s="1" t="n">
        <v>45724</v>
      </c>
      <c r="D4083" t="inlineStr">
        <is>
          <t>VÄSTMANLANDS LÄN</t>
        </is>
      </c>
      <c r="E4083" t="inlineStr">
        <is>
          <t>SALA</t>
        </is>
      </c>
      <c r="G4083" t="n">
        <v>2.6</v>
      </c>
      <c r="H4083" t="n">
        <v>0</v>
      </c>
      <c r="I4083" t="n">
        <v>0</v>
      </c>
      <c r="J4083" t="n">
        <v>0</v>
      </c>
      <c r="K4083" t="n">
        <v>0</v>
      </c>
      <c r="L4083" t="n">
        <v>0</v>
      </c>
      <c r="M4083" t="n">
        <v>0</v>
      </c>
      <c r="N4083" t="n">
        <v>0</v>
      </c>
      <c r="O4083" t="n">
        <v>0</v>
      </c>
      <c r="P4083" t="n">
        <v>0</v>
      </c>
      <c r="Q4083" t="n">
        <v>0</v>
      </c>
      <c r="R4083" s="2" t="inlineStr"/>
    </row>
    <row r="4084" ht="15" customHeight="1">
      <c r="A4084" t="inlineStr">
        <is>
          <t>A 16769-2024</t>
        </is>
      </c>
      <c r="B4084" s="1" t="n">
        <v>45411</v>
      </c>
      <c r="C4084" s="1" t="n">
        <v>45724</v>
      </c>
      <c r="D4084" t="inlineStr">
        <is>
          <t>VÄSTMANLANDS LÄN</t>
        </is>
      </c>
      <c r="E4084" t="inlineStr">
        <is>
          <t>SALA</t>
        </is>
      </c>
      <c r="G4084" t="n">
        <v>12</v>
      </c>
      <c r="H4084" t="n">
        <v>0</v>
      </c>
      <c r="I4084" t="n">
        <v>0</v>
      </c>
      <c r="J4084" t="n">
        <v>0</v>
      </c>
      <c r="K4084" t="n">
        <v>0</v>
      </c>
      <c r="L4084" t="n">
        <v>0</v>
      </c>
      <c r="M4084" t="n">
        <v>0</v>
      </c>
      <c r="N4084" t="n">
        <v>0</v>
      </c>
      <c r="O4084" t="n">
        <v>0</v>
      </c>
      <c r="P4084" t="n">
        <v>0</v>
      </c>
      <c r="Q4084" t="n">
        <v>0</v>
      </c>
      <c r="R4084" s="2" t="inlineStr"/>
    </row>
    <row r="4085" ht="15" customHeight="1">
      <c r="A4085" t="inlineStr">
        <is>
          <t>A 17252-2024</t>
        </is>
      </c>
      <c r="B4085" s="1" t="n">
        <v>45414</v>
      </c>
      <c r="C4085" s="1" t="n">
        <v>45724</v>
      </c>
      <c r="D4085" t="inlineStr">
        <is>
          <t>VÄSTMANLANDS LÄN</t>
        </is>
      </c>
      <c r="E4085" t="inlineStr">
        <is>
          <t>VÄSTERÅS</t>
        </is>
      </c>
      <c r="G4085" t="n">
        <v>3.5</v>
      </c>
      <c r="H4085" t="n">
        <v>0</v>
      </c>
      <c r="I4085" t="n">
        <v>0</v>
      </c>
      <c r="J4085" t="n">
        <v>0</v>
      </c>
      <c r="K4085" t="n">
        <v>0</v>
      </c>
      <c r="L4085" t="n">
        <v>0</v>
      </c>
      <c r="M4085" t="n">
        <v>0</v>
      </c>
      <c r="N4085" t="n">
        <v>0</v>
      </c>
      <c r="O4085" t="n">
        <v>0</v>
      </c>
      <c r="P4085" t="n">
        <v>0</v>
      </c>
      <c r="Q4085" t="n">
        <v>0</v>
      </c>
      <c r="R4085" s="2" t="inlineStr"/>
    </row>
    <row r="4086" ht="15" customHeight="1">
      <c r="A4086" t="inlineStr">
        <is>
          <t>A 17257-2024</t>
        </is>
      </c>
      <c r="B4086" s="1" t="n">
        <v>45414</v>
      </c>
      <c r="C4086" s="1" t="n">
        <v>45724</v>
      </c>
      <c r="D4086" t="inlineStr">
        <is>
          <t>VÄSTMANLANDS LÄN</t>
        </is>
      </c>
      <c r="E4086" t="inlineStr">
        <is>
          <t>KÖPING</t>
        </is>
      </c>
      <c r="G4086" t="n">
        <v>0.8</v>
      </c>
      <c r="H4086" t="n">
        <v>0</v>
      </c>
      <c r="I4086" t="n">
        <v>0</v>
      </c>
      <c r="J4086" t="n">
        <v>0</v>
      </c>
      <c r="K4086" t="n">
        <v>0</v>
      </c>
      <c r="L4086" t="n">
        <v>0</v>
      </c>
      <c r="M4086" t="n">
        <v>0</v>
      </c>
      <c r="N4086" t="n">
        <v>0</v>
      </c>
      <c r="O4086" t="n">
        <v>0</v>
      </c>
      <c r="P4086" t="n">
        <v>0</v>
      </c>
      <c r="Q4086" t="n">
        <v>0</v>
      </c>
      <c r="R4086" s="2" t="inlineStr"/>
    </row>
    <row r="4087" ht="15" customHeight="1">
      <c r="A4087" t="inlineStr">
        <is>
          <t>A 17334-2024</t>
        </is>
      </c>
      <c r="B4087" s="1" t="n">
        <v>45414</v>
      </c>
      <c r="C4087" s="1" t="n">
        <v>45724</v>
      </c>
      <c r="D4087" t="inlineStr">
        <is>
          <t>VÄSTMANLANDS LÄN</t>
        </is>
      </c>
      <c r="E4087" t="inlineStr">
        <is>
          <t>KÖPING</t>
        </is>
      </c>
      <c r="G4087" t="n">
        <v>4.2</v>
      </c>
      <c r="H4087" t="n">
        <v>0</v>
      </c>
      <c r="I4087" t="n">
        <v>0</v>
      </c>
      <c r="J4087" t="n">
        <v>0</v>
      </c>
      <c r="K4087" t="n">
        <v>0</v>
      </c>
      <c r="L4087" t="n">
        <v>0</v>
      </c>
      <c r="M4087" t="n">
        <v>0</v>
      </c>
      <c r="N4087" t="n">
        <v>0</v>
      </c>
      <c r="O4087" t="n">
        <v>0</v>
      </c>
      <c r="P4087" t="n">
        <v>0</v>
      </c>
      <c r="Q4087" t="n">
        <v>0</v>
      </c>
      <c r="R4087" s="2" t="inlineStr"/>
    </row>
    <row r="4088" ht="15" customHeight="1">
      <c r="A4088" t="inlineStr">
        <is>
          <t>A 17258-2024</t>
        </is>
      </c>
      <c r="B4088" s="1" t="n">
        <v>45414</v>
      </c>
      <c r="C4088" s="1" t="n">
        <v>45724</v>
      </c>
      <c r="D4088" t="inlineStr">
        <is>
          <t>VÄSTMANLANDS LÄN</t>
        </is>
      </c>
      <c r="E4088" t="inlineStr">
        <is>
          <t>VÄSTERÅS</t>
        </is>
      </c>
      <c r="G4088" t="n">
        <v>1.3</v>
      </c>
      <c r="H4088" t="n">
        <v>0</v>
      </c>
      <c r="I4088" t="n">
        <v>0</v>
      </c>
      <c r="J4088" t="n">
        <v>0</v>
      </c>
      <c r="K4088" t="n">
        <v>0</v>
      </c>
      <c r="L4088" t="n">
        <v>0</v>
      </c>
      <c r="M4088" t="n">
        <v>0</v>
      </c>
      <c r="N4088" t="n">
        <v>0</v>
      </c>
      <c r="O4088" t="n">
        <v>0</v>
      </c>
      <c r="P4088" t="n">
        <v>0</v>
      </c>
      <c r="Q4088" t="n">
        <v>0</v>
      </c>
      <c r="R4088" s="2" t="inlineStr"/>
    </row>
    <row r="4089" ht="15" customHeight="1">
      <c r="A4089" t="inlineStr">
        <is>
          <t>A 17374-2024</t>
        </is>
      </c>
      <c r="B4089" s="1" t="n">
        <v>45414</v>
      </c>
      <c r="C4089" s="1" t="n">
        <v>45724</v>
      </c>
      <c r="D4089" t="inlineStr">
        <is>
          <t>VÄSTMANLANDS LÄN</t>
        </is>
      </c>
      <c r="E4089" t="inlineStr">
        <is>
          <t>SKINNSKATTEBERG</t>
        </is>
      </c>
      <c r="G4089" t="n">
        <v>2.6</v>
      </c>
      <c r="H4089" t="n">
        <v>0</v>
      </c>
      <c r="I4089" t="n">
        <v>0</v>
      </c>
      <c r="J4089" t="n">
        <v>0</v>
      </c>
      <c r="K4089" t="n">
        <v>0</v>
      </c>
      <c r="L4089" t="n">
        <v>0</v>
      </c>
      <c r="M4089" t="n">
        <v>0</v>
      </c>
      <c r="N4089" t="n">
        <v>0</v>
      </c>
      <c r="O4089" t="n">
        <v>0</v>
      </c>
      <c r="P4089" t="n">
        <v>0</v>
      </c>
      <c r="Q4089" t="n">
        <v>0</v>
      </c>
      <c r="R4089" s="2" t="inlineStr"/>
    </row>
    <row r="4090" ht="15" customHeight="1">
      <c r="A4090" t="inlineStr">
        <is>
          <t>A 17455-2024</t>
        </is>
      </c>
      <c r="B4090" s="1" t="n">
        <v>45415</v>
      </c>
      <c r="C4090" s="1" t="n">
        <v>45724</v>
      </c>
      <c r="D4090" t="inlineStr">
        <is>
          <t>VÄSTMANLANDS LÄN</t>
        </is>
      </c>
      <c r="E4090" t="inlineStr">
        <is>
          <t>SALA</t>
        </is>
      </c>
      <c r="G4090" t="n">
        <v>2.8</v>
      </c>
      <c r="H4090" t="n">
        <v>0</v>
      </c>
      <c r="I4090" t="n">
        <v>0</v>
      </c>
      <c r="J4090" t="n">
        <v>0</v>
      </c>
      <c r="K4090" t="n">
        <v>0</v>
      </c>
      <c r="L4090" t="n">
        <v>0</v>
      </c>
      <c r="M4090" t="n">
        <v>0</v>
      </c>
      <c r="N4090" t="n">
        <v>0</v>
      </c>
      <c r="O4090" t="n">
        <v>0</v>
      </c>
      <c r="P4090" t="n">
        <v>0</v>
      </c>
      <c r="Q4090" t="n">
        <v>0</v>
      </c>
      <c r="R4090" s="2" t="inlineStr"/>
    </row>
    <row r="4091" ht="15" customHeight="1">
      <c r="A4091" t="inlineStr">
        <is>
          <t>A 17495-2024</t>
        </is>
      </c>
      <c r="B4091" s="1" t="n">
        <v>45415</v>
      </c>
      <c r="C4091" s="1" t="n">
        <v>45724</v>
      </c>
      <c r="D4091" t="inlineStr">
        <is>
          <t>VÄSTMANLANDS LÄN</t>
        </is>
      </c>
      <c r="E4091" t="inlineStr">
        <is>
          <t>SALA</t>
        </is>
      </c>
      <c r="G4091" t="n">
        <v>3.1</v>
      </c>
      <c r="H4091" t="n">
        <v>0</v>
      </c>
      <c r="I4091" t="n">
        <v>0</v>
      </c>
      <c r="J4091" t="n">
        <v>0</v>
      </c>
      <c r="K4091" t="n">
        <v>0</v>
      </c>
      <c r="L4091" t="n">
        <v>0</v>
      </c>
      <c r="M4091" t="n">
        <v>0</v>
      </c>
      <c r="N4091" t="n">
        <v>0</v>
      </c>
      <c r="O4091" t="n">
        <v>0</v>
      </c>
      <c r="P4091" t="n">
        <v>0</v>
      </c>
      <c r="Q4091" t="n">
        <v>0</v>
      </c>
      <c r="R4091" s="2" t="inlineStr"/>
    </row>
    <row r="4092" ht="15" customHeight="1">
      <c r="A4092" t="inlineStr">
        <is>
          <t>A 17457-2024</t>
        </is>
      </c>
      <c r="B4092" s="1" t="n">
        <v>45415</v>
      </c>
      <c r="C4092" s="1" t="n">
        <v>45724</v>
      </c>
      <c r="D4092" t="inlineStr">
        <is>
          <t>VÄSTMANLANDS LÄN</t>
        </is>
      </c>
      <c r="E4092" t="inlineStr">
        <is>
          <t>SALA</t>
        </is>
      </c>
      <c r="G4092" t="n">
        <v>0.8</v>
      </c>
      <c r="H4092" t="n">
        <v>0</v>
      </c>
      <c r="I4092" t="n">
        <v>0</v>
      </c>
      <c r="J4092" t="n">
        <v>0</v>
      </c>
      <c r="K4092" t="n">
        <v>0</v>
      </c>
      <c r="L4092" t="n">
        <v>0</v>
      </c>
      <c r="M4092" t="n">
        <v>0</v>
      </c>
      <c r="N4092" t="n">
        <v>0</v>
      </c>
      <c r="O4092" t="n">
        <v>0</v>
      </c>
      <c r="P4092" t="n">
        <v>0</v>
      </c>
      <c r="Q4092" t="n">
        <v>0</v>
      </c>
      <c r="R4092" s="2" t="inlineStr"/>
    </row>
    <row r="4093" ht="15" customHeight="1">
      <c r="A4093" t="inlineStr">
        <is>
          <t>A 17458-2024</t>
        </is>
      </c>
      <c r="B4093" s="1" t="n">
        <v>45415</v>
      </c>
      <c r="C4093" s="1" t="n">
        <v>45724</v>
      </c>
      <c r="D4093" t="inlineStr">
        <is>
          <t>VÄSTMANLANDS LÄN</t>
        </is>
      </c>
      <c r="E4093" t="inlineStr">
        <is>
          <t>SALA</t>
        </is>
      </c>
      <c r="G4093" t="n">
        <v>0.5</v>
      </c>
      <c r="H4093" t="n">
        <v>0</v>
      </c>
      <c r="I4093" t="n">
        <v>0</v>
      </c>
      <c r="J4093" t="n">
        <v>0</v>
      </c>
      <c r="K4093" t="n">
        <v>0</v>
      </c>
      <c r="L4093" t="n">
        <v>0</v>
      </c>
      <c r="M4093" t="n">
        <v>0</v>
      </c>
      <c r="N4093" t="n">
        <v>0</v>
      </c>
      <c r="O4093" t="n">
        <v>0</v>
      </c>
      <c r="P4093" t="n">
        <v>0</v>
      </c>
      <c r="Q4093" t="n">
        <v>0</v>
      </c>
      <c r="R4093" s="2" t="inlineStr"/>
    </row>
    <row r="4094" ht="15" customHeight="1">
      <c r="A4094" t="inlineStr">
        <is>
          <t>A 17470-2024</t>
        </is>
      </c>
      <c r="B4094" s="1" t="n">
        <v>45415</v>
      </c>
      <c r="C4094" s="1" t="n">
        <v>45724</v>
      </c>
      <c r="D4094" t="inlineStr">
        <is>
          <t>VÄSTMANLANDS LÄN</t>
        </is>
      </c>
      <c r="E4094" t="inlineStr">
        <is>
          <t>SKINNSKATTEBERG</t>
        </is>
      </c>
      <c r="G4094" t="n">
        <v>2</v>
      </c>
      <c r="H4094" t="n">
        <v>0</v>
      </c>
      <c r="I4094" t="n">
        <v>0</v>
      </c>
      <c r="J4094" t="n">
        <v>0</v>
      </c>
      <c r="K4094" t="n">
        <v>0</v>
      </c>
      <c r="L4094" t="n">
        <v>0</v>
      </c>
      <c r="M4094" t="n">
        <v>0</v>
      </c>
      <c r="N4094" t="n">
        <v>0</v>
      </c>
      <c r="O4094" t="n">
        <v>0</v>
      </c>
      <c r="P4094" t="n">
        <v>0</v>
      </c>
      <c r="Q4094" t="n">
        <v>0</v>
      </c>
      <c r="R4094" s="2" t="inlineStr"/>
    </row>
    <row r="4095" ht="15" customHeight="1">
      <c r="A4095" t="inlineStr">
        <is>
          <t>A 17452-2024</t>
        </is>
      </c>
      <c r="B4095" s="1" t="n">
        <v>45415</v>
      </c>
      <c r="C4095" s="1" t="n">
        <v>45724</v>
      </c>
      <c r="D4095" t="inlineStr">
        <is>
          <t>VÄSTMANLANDS LÄN</t>
        </is>
      </c>
      <c r="E4095" t="inlineStr">
        <is>
          <t>VÄSTERÅS</t>
        </is>
      </c>
      <c r="G4095" t="n">
        <v>2.1</v>
      </c>
      <c r="H4095" t="n">
        <v>0</v>
      </c>
      <c r="I4095" t="n">
        <v>0</v>
      </c>
      <c r="J4095" t="n">
        <v>0</v>
      </c>
      <c r="K4095" t="n">
        <v>0</v>
      </c>
      <c r="L4095" t="n">
        <v>0</v>
      </c>
      <c r="M4095" t="n">
        <v>0</v>
      </c>
      <c r="N4095" t="n">
        <v>0</v>
      </c>
      <c r="O4095" t="n">
        <v>0</v>
      </c>
      <c r="P4095" t="n">
        <v>0</v>
      </c>
      <c r="Q4095" t="n">
        <v>0</v>
      </c>
      <c r="R4095" s="2" t="inlineStr"/>
    </row>
    <row r="4096" ht="15" customHeight="1">
      <c r="A4096" t="inlineStr">
        <is>
          <t>A 17496-2024</t>
        </is>
      </c>
      <c r="B4096" s="1" t="n">
        <v>45415</v>
      </c>
      <c r="C4096" s="1" t="n">
        <v>45724</v>
      </c>
      <c r="D4096" t="inlineStr">
        <is>
          <t>VÄSTMANLANDS LÄN</t>
        </is>
      </c>
      <c r="E4096" t="inlineStr">
        <is>
          <t>SALA</t>
        </is>
      </c>
      <c r="G4096" t="n">
        <v>1.6</v>
      </c>
      <c r="H4096" t="n">
        <v>0</v>
      </c>
      <c r="I4096" t="n">
        <v>0</v>
      </c>
      <c r="J4096" t="n">
        <v>0</v>
      </c>
      <c r="K4096" t="n">
        <v>0</v>
      </c>
      <c r="L4096" t="n">
        <v>0</v>
      </c>
      <c r="M4096" t="n">
        <v>0</v>
      </c>
      <c r="N4096" t="n">
        <v>0</v>
      </c>
      <c r="O4096" t="n">
        <v>0</v>
      </c>
      <c r="P4096" t="n">
        <v>0</v>
      </c>
      <c r="Q4096" t="n">
        <v>0</v>
      </c>
      <c r="R4096" s="2" t="inlineStr"/>
    </row>
    <row r="4097" ht="15" customHeight="1">
      <c r="A4097" t="inlineStr">
        <is>
          <t>A 17644-2024</t>
        </is>
      </c>
      <c r="B4097" s="1" t="n">
        <v>45418</v>
      </c>
      <c r="C4097" s="1" t="n">
        <v>45724</v>
      </c>
      <c r="D4097" t="inlineStr">
        <is>
          <t>VÄSTMANLANDS LÄN</t>
        </is>
      </c>
      <c r="E4097" t="inlineStr">
        <is>
          <t>KÖPING</t>
        </is>
      </c>
      <c r="G4097" t="n">
        <v>2.2</v>
      </c>
      <c r="H4097" t="n">
        <v>0</v>
      </c>
      <c r="I4097" t="n">
        <v>0</v>
      </c>
      <c r="J4097" t="n">
        <v>0</v>
      </c>
      <c r="K4097" t="n">
        <v>0</v>
      </c>
      <c r="L4097" t="n">
        <v>0</v>
      </c>
      <c r="M4097" t="n">
        <v>0</v>
      </c>
      <c r="N4097" t="n">
        <v>0</v>
      </c>
      <c r="O4097" t="n">
        <v>0</v>
      </c>
      <c r="P4097" t="n">
        <v>0</v>
      </c>
      <c r="Q4097" t="n">
        <v>0</v>
      </c>
      <c r="R4097" s="2" t="inlineStr"/>
    </row>
    <row r="4098" ht="15" customHeight="1">
      <c r="A4098" t="inlineStr">
        <is>
          <t>A 17783-2024</t>
        </is>
      </c>
      <c r="B4098" s="1" t="n">
        <v>45418</v>
      </c>
      <c r="C4098" s="1" t="n">
        <v>45724</v>
      </c>
      <c r="D4098" t="inlineStr">
        <is>
          <t>VÄSTMANLANDS LÄN</t>
        </is>
      </c>
      <c r="E4098" t="inlineStr">
        <is>
          <t>SKINNSKATTEBERG</t>
        </is>
      </c>
      <c r="G4098" t="n">
        <v>1.5</v>
      </c>
      <c r="H4098" t="n">
        <v>0</v>
      </c>
      <c r="I4098" t="n">
        <v>0</v>
      </c>
      <c r="J4098" t="n">
        <v>0</v>
      </c>
      <c r="K4098" t="n">
        <v>0</v>
      </c>
      <c r="L4098" t="n">
        <v>0</v>
      </c>
      <c r="M4098" t="n">
        <v>0</v>
      </c>
      <c r="N4098" t="n">
        <v>0</v>
      </c>
      <c r="O4098" t="n">
        <v>0</v>
      </c>
      <c r="P4098" t="n">
        <v>0</v>
      </c>
      <c r="Q4098" t="n">
        <v>0</v>
      </c>
      <c r="R4098" s="2" t="inlineStr"/>
    </row>
    <row r="4099" ht="15" customHeight="1">
      <c r="A4099" t="inlineStr">
        <is>
          <t>A 17816-2024</t>
        </is>
      </c>
      <c r="B4099" s="1" t="n">
        <v>45418</v>
      </c>
      <c r="C4099" s="1" t="n">
        <v>45724</v>
      </c>
      <c r="D4099" t="inlineStr">
        <is>
          <t>VÄSTMANLANDS LÄN</t>
        </is>
      </c>
      <c r="E4099" t="inlineStr">
        <is>
          <t>KÖPING</t>
        </is>
      </c>
      <c r="G4099" t="n">
        <v>2.5</v>
      </c>
      <c r="H4099" t="n">
        <v>0</v>
      </c>
      <c r="I4099" t="n">
        <v>0</v>
      </c>
      <c r="J4099" t="n">
        <v>0</v>
      </c>
      <c r="K4099" t="n">
        <v>0</v>
      </c>
      <c r="L4099" t="n">
        <v>0</v>
      </c>
      <c r="M4099" t="n">
        <v>0</v>
      </c>
      <c r="N4099" t="n">
        <v>0</v>
      </c>
      <c r="O4099" t="n">
        <v>0</v>
      </c>
      <c r="P4099" t="n">
        <v>0</v>
      </c>
      <c r="Q4099" t="n">
        <v>0</v>
      </c>
      <c r="R4099" s="2" t="inlineStr"/>
    </row>
    <row r="4100" ht="15" customHeight="1">
      <c r="A4100" t="inlineStr">
        <is>
          <t>A 17719-2024</t>
        </is>
      </c>
      <c r="B4100" s="1" t="n">
        <v>45418</v>
      </c>
      <c r="C4100" s="1" t="n">
        <v>45724</v>
      </c>
      <c r="D4100" t="inlineStr">
        <is>
          <t>VÄSTMANLANDS LÄN</t>
        </is>
      </c>
      <c r="E4100" t="inlineStr">
        <is>
          <t>VÄSTERÅS</t>
        </is>
      </c>
      <c r="G4100" t="n">
        <v>1.6</v>
      </c>
      <c r="H4100" t="n">
        <v>0</v>
      </c>
      <c r="I4100" t="n">
        <v>0</v>
      </c>
      <c r="J4100" t="n">
        <v>0</v>
      </c>
      <c r="K4100" t="n">
        <v>0</v>
      </c>
      <c r="L4100" t="n">
        <v>0</v>
      </c>
      <c r="M4100" t="n">
        <v>0</v>
      </c>
      <c r="N4100" t="n">
        <v>0</v>
      </c>
      <c r="O4100" t="n">
        <v>0</v>
      </c>
      <c r="P4100" t="n">
        <v>0</v>
      </c>
      <c r="Q4100" t="n">
        <v>0</v>
      </c>
      <c r="R4100" s="2" t="inlineStr"/>
    </row>
    <row r="4101" ht="15" customHeight="1">
      <c r="A4101" t="inlineStr">
        <is>
          <t>A 17918-2024</t>
        </is>
      </c>
      <c r="B4101" s="1" t="n">
        <v>45419</v>
      </c>
      <c r="C4101" s="1" t="n">
        <v>45724</v>
      </c>
      <c r="D4101" t="inlineStr">
        <is>
          <t>VÄSTMANLANDS LÄN</t>
        </is>
      </c>
      <c r="E4101" t="inlineStr">
        <is>
          <t>SALA</t>
        </is>
      </c>
      <c r="G4101" t="n">
        <v>4.5</v>
      </c>
      <c r="H4101" t="n">
        <v>0</v>
      </c>
      <c r="I4101" t="n">
        <v>0</v>
      </c>
      <c r="J4101" t="n">
        <v>0</v>
      </c>
      <c r="K4101" t="n">
        <v>0</v>
      </c>
      <c r="L4101" t="n">
        <v>0</v>
      </c>
      <c r="M4101" t="n">
        <v>0</v>
      </c>
      <c r="N4101" t="n">
        <v>0</v>
      </c>
      <c r="O4101" t="n">
        <v>0</v>
      </c>
      <c r="P4101" t="n">
        <v>0</v>
      </c>
      <c r="Q4101" t="n">
        <v>0</v>
      </c>
      <c r="R4101" s="2" t="inlineStr"/>
    </row>
    <row r="4102" ht="15" customHeight="1">
      <c r="A4102" t="inlineStr">
        <is>
          <t>A 17983-2024</t>
        </is>
      </c>
      <c r="B4102" s="1" t="n">
        <v>45419</v>
      </c>
      <c r="C4102" s="1" t="n">
        <v>45724</v>
      </c>
      <c r="D4102" t="inlineStr">
        <is>
          <t>VÄSTMANLANDS LÄN</t>
        </is>
      </c>
      <c r="E4102" t="inlineStr">
        <is>
          <t>KÖPING</t>
        </is>
      </c>
      <c r="G4102" t="n">
        <v>1.5</v>
      </c>
      <c r="H4102" t="n">
        <v>0</v>
      </c>
      <c r="I4102" t="n">
        <v>0</v>
      </c>
      <c r="J4102" t="n">
        <v>0</v>
      </c>
      <c r="K4102" t="n">
        <v>0</v>
      </c>
      <c r="L4102" t="n">
        <v>0</v>
      </c>
      <c r="M4102" t="n">
        <v>0</v>
      </c>
      <c r="N4102" t="n">
        <v>0</v>
      </c>
      <c r="O4102" t="n">
        <v>0</v>
      </c>
      <c r="P4102" t="n">
        <v>0</v>
      </c>
      <c r="Q4102" t="n">
        <v>0</v>
      </c>
      <c r="R4102" s="2" t="inlineStr"/>
    </row>
    <row r="4103" ht="15" customHeight="1">
      <c r="A4103" t="inlineStr">
        <is>
          <t>A 17958-2024</t>
        </is>
      </c>
      <c r="B4103" s="1" t="n">
        <v>45419</v>
      </c>
      <c r="C4103" s="1" t="n">
        <v>45724</v>
      </c>
      <c r="D4103" t="inlineStr">
        <is>
          <t>VÄSTMANLANDS LÄN</t>
        </is>
      </c>
      <c r="E4103" t="inlineStr">
        <is>
          <t>KÖPING</t>
        </is>
      </c>
      <c r="F4103" t="inlineStr">
        <is>
          <t>Sveaskog</t>
        </is>
      </c>
      <c r="G4103" t="n">
        <v>6.4</v>
      </c>
      <c r="H4103" t="n">
        <v>0</v>
      </c>
      <c r="I4103" t="n">
        <v>0</v>
      </c>
      <c r="J4103" t="n">
        <v>0</v>
      </c>
      <c r="K4103" t="n">
        <v>0</v>
      </c>
      <c r="L4103" t="n">
        <v>0</v>
      </c>
      <c r="M4103" t="n">
        <v>0</v>
      </c>
      <c r="N4103" t="n">
        <v>0</v>
      </c>
      <c r="O4103" t="n">
        <v>0</v>
      </c>
      <c r="P4103" t="n">
        <v>0</v>
      </c>
      <c r="Q4103" t="n">
        <v>0</v>
      </c>
      <c r="R4103" s="2" t="inlineStr"/>
    </row>
    <row r="4104" ht="15" customHeight="1">
      <c r="A4104" t="inlineStr">
        <is>
          <t>A 17966-2024</t>
        </is>
      </c>
      <c r="B4104" s="1" t="n">
        <v>45419</v>
      </c>
      <c r="C4104" s="1" t="n">
        <v>45724</v>
      </c>
      <c r="D4104" t="inlineStr">
        <is>
          <t>VÄSTMANLANDS LÄN</t>
        </is>
      </c>
      <c r="E4104" t="inlineStr">
        <is>
          <t>KÖPING</t>
        </is>
      </c>
      <c r="F4104" t="inlineStr">
        <is>
          <t>Sveaskog</t>
        </is>
      </c>
      <c r="G4104" t="n">
        <v>3.9</v>
      </c>
      <c r="H4104" t="n">
        <v>0</v>
      </c>
      <c r="I4104" t="n">
        <v>0</v>
      </c>
      <c r="J4104" t="n">
        <v>0</v>
      </c>
      <c r="K4104" t="n">
        <v>0</v>
      </c>
      <c r="L4104" t="n">
        <v>0</v>
      </c>
      <c r="M4104" t="n">
        <v>0</v>
      </c>
      <c r="N4104" t="n">
        <v>0</v>
      </c>
      <c r="O4104" t="n">
        <v>0</v>
      </c>
      <c r="P4104" t="n">
        <v>0</v>
      </c>
      <c r="Q4104" t="n">
        <v>0</v>
      </c>
      <c r="R4104" s="2" t="inlineStr"/>
    </row>
    <row r="4105" ht="15" customHeight="1">
      <c r="A4105" t="inlineStr">
        <is>
          <t>A 17980-2024</t>
        </is>
      </c>
      <c r="B4105" s="1" t="n">
        <v>45419</v>
      </c>
      <c r="C4105" s="1" t="n">
        <v>45724</v>
      </c>
      <c r="D4105" t="inlineStr">
        <is>
          <t>VÄSTMANLANDS LÄN</t>
        </is>
      </c>
      <c r="E4105" t="inlineStr">
        <is>
          <t>KÖPING</t>
        </is>
      </c>
      <c r="G4105" t="n">
        <v>4</v>
      </c>
      <c r="H4105" t="n">
        <v>0</v>
      </c>
      <c r="I4105" t="n">
        <v>0</v>
      </c>
      <c r="J4105" t="n">
        <v>0</v>
      </c>
      <c r="K4105" t="n">
        <v>0</v>
      </c>
      <c r="L4105" t="n">
        <v>0</v>
      </c>
      <c r="M4105" t="n">
        <v>0</v>
      </c>
      <c r="N4105" t="n">
        <v>0</v>
      </c>
      <c r="O4105" t="n">
        <v>0</v>
      </c>
      <c r="P4105" t="n">
        <v>0</v>
      </c>
      <c r="Q4105" t="n">
        <v>0</v>
      </c>
      <c r="R4105" s="2" t="inlineStr"/>
    </row>
    <row r="4106" ht="15" customHeight="1">
      <c r="A4106" t="inlineStr">
        <is>
          <t>A 17965-2024</t>
        </is>
      </c>
      <c r="B4106" s="1" t="n">
        <v>45419</v>
      </c>
      <c r="C4106" s="1" t="n">
        <v>45724</v>
      </c>
      <c r="D4106" t="inlineStr">
        <is>
          <t>VÄSTMANLANDS LÄN</t>
        </is>
      </c>
      <c r="E4106" t="inlineStr">
        <is>
          <t>KÖPING</t>
        </is>
      </c>
      <c r="F4106" t="inlineStr">
        <is>
          <t>Sveaskog</t>
        </is>
      </c>
      <c r="G4106" t="n">
        <v>4</v>
      </c>
      <c r="H4106" t="n">
        <v>0</v>
      </c>
      <c r="I4106" t="n">
        <v>0</v>
      </c>
      <c r="J4106" t="n">
        <v>0</v>
      </c>
      <c r="K4106" t="n">
        <v>0</v>
      </c>
      <c r="L4106" t="n">
        <v>0</v>
      </c>
      <c r="M4106" t="n">
        <v>0</v>
      </c>
      <c r="N4106" t="n">
        <v>0</v>
      </c>
      <c r="O4106" t="n">
        <v>0</v>
      </c>
      <c r="P4106" t="n">
        <v>0</v>
      </c>
      <c r="Q4106" t="n">
        <v>0</v>
      </c>
      <c r="R4106" s="2" t="inlineStr"/>
    </row>
    <row r="4107" ht="15" customHeight="1">
      <c r="A4107" t="inlineStr">
        <is>
          <t>A 18142-2024</t>
        </is>
      </c>
      <c r="B4107" s="1" t="n">
        <v>45420</v>
      </c>
      <c r="C4107" s="1" t="n">
        <v>45724</v>
      </c>
      <c r="D4107" t="inlineStr">
        <is>
          <t>VÄSTMANLANDS LÄN</t>
        </is>
      </c>
      <c r="E4107" t="inlineStr">
        <is>
          <t>SKINNSKATTEBERG</t>
        </is>
      </c>
      <c r="F4107" t="inlineStr">
        <is>
          <t>Sveaskog</t>
        </is>
      </c>
      <c r="G4107" t="n">
        <v>3</v>
      </c>
      <c r="H4107" t="n">
        <v>0</v>
      </c>
      <c r="I4107" t="n">
        <v>0</v>
      </c>
      <c r="J4107" t="n">
        <v>0</v>
      </c>
      <c r="K4107" t="n">
        <v>0</v>
      </c>
      <c r="L4107" t="n">
        <v>0</v>
      </c>
      <c r="M4107" t="n">
        <v>0</v>
      </c>
      <c r="N4107" t="n">
        <v>0</v>
      </c>
      <c r="O4107" t="n">
        <v>0</v>
      </c>
      <c r="P4107" t="n">
        <v>0</v>
      </c>
      <c r="Q4107" t="n">
        <v>0</v>
      </c>
      <c r="R4107" s="2" t="inlineStr"/>
    </row>
    <row r="4108" ht="15" customHeight="1">
      <c r="A4108" t="inlineStr">
        <is>
          <t>A 18190-2024</t>
        </is>
      </c>
      <c r="B4108" s="1" t="n">
        <v>45420</v>
      </c>
      <c r="C4108" s="1" t="n">
        <v>45724</v>
      </c>
      <c r="D4108" t="inlineStr">
        <is>
          <t>VÄSTMANLANDS LÄN</t>
        </is>
      </c>
      <c r="E4108" t="inlineStr">
        <is>
          <t>NORBERG</t>
        </is>
      </c>
      <c r="G4108" t="n">
        <v>3.4</v>
      </c>
      <c r="H4108" t="n">
        <v>0</v>
      </c>
      <c r="I4108" t="n">
        <v>0</v>
      </c>
      <c r="J4108" t="n">
        <v>0</v>
      </c>
      <c r="K4108" t="n">
        <v>0</v>
      </c>
      <c r="L4108" t="n">
        <v>0</v>
      </c>
      <c r="M4108" t="n">
        <v>0</v>
      </c>
      <c r="N4108" t="n">
        <v>0</v>
      </c>
      <c r="O4108" t="n">
        <v>0</v>
      </c>
      <c r="P4108" t="n">
        <v>0</v>
      </c>
      <c r="Q4108" t="n">
        <v>0</v>
      </c>
      <c r="R4108" s="2" t="inlineStr"/>
    </row>
    <row r="4109" ht="15" customHeight="1">
      <c r="A4109" t="inlineStr">
        <is>
          <t>A 18124-2024</t>
        </is>
      </c>
      <c r="B4109" s="1" t="n">
        <v>45420</v>
      </c>
      <c r="C4109" s="1" t="n">
        <v>45724</v>
      </c>
      <c r="D4109" t="inlineStr">
        <is>
          <t>VÄSTMANLANDS LÄN</t>
        </is>
      </c>
      <c r="E4109" t="inlineStr">
        <is>
          <t>NORBERG</t>
        </is>
      </c>
      <c r="G4109" t="n">
        <v>6.3</v>
      </c>
      <c r="H4109" t="n">
        <v>0</v>
      </c>
      <c r="I4109" t="n">
        <v>0</v>
      </c>
      <c r="J4109" t="n">
        <v>0</v>
      </c>
      <c r="K4109" t="n">
        <v>0</v>
      </c>
      <c r="L4109" t="n">
        <v>0</v>
      </c>
      <c r="M4109" t="n">
        <v>0</v>
      </c>
      <c r="N4109" t="n">
        <v>0</v>
      </c>
      <c r="O4109" t="n">
        <v>0</v>
      </c>
      <c r="P4109" t="n">
        <v>0</v>
      </c>
      <c r="Q4109" t="n">
        <v>0</v>
      </c>
      <c r="R4109" s="2" t="inlineStr"/>
    </row>
    <row r="4110" ht="15" customHeight="1">
      <c r="A4110" t="inlineStr">
        <is>
          <t>A 18128-2024</t>
        </is>
      </c>
      <c r="B4110" s="1" t="n">
        <v>45420</v>
      </c>
      <c r="C4110" s="1" t="n">
        <v>45724</v>
      </c>
      <c r="D4110" t="inlineStr">
        <is>
          <t>VÄSTMANLANDS LÄN</t>
        </is>
      </c>
      <c r="E4110" t="inlineStr">
        <is>
          <t>NORBERG</t>
        </is>
      </c>
      <c r="G4110" t="n">
        <v>0.8</v>
      </c>
      <c r="H4110" t="n">
        <v>0</v>
      </c>
      <c r="I4110" t="n">
        <v>0</v>
      </c>
      <c r="J4110" t="n">
        <v>0</v>
      </c>
      <c r="K4110" t="n">
        <v>0</v>
      </c>
      <c r="L4110" t="n">
        <v>0</v>
      </c>
      <c r="M4110" t="n">
        <v>0</v>
      </c>
      <c r="N4110" t="n">
        <v>0</v>
      </c>
      <c r="O4110" t="n">
        <v>0</v>
      </c>
      <c r="P4110" t="n">
        <v>0</v>
      </c>
      <c r="Q4110" t="n">
        <v>0</v>
      </c>
      <c r="R4110" s="2" t="inlineStr"/>
    </row>
    <row r="4111" ht="15" customHeight="1">
      <c r="A4111" t="inlineStr">
        <is>
          <t>A 18136-2024</t>
        </is>
      </c>
      <c r="B4111" s="1" t="n">
        <v>45420</v>
      </c>
      <c r="C4111" s="1" t="n">
        <v>45724</v>
      </c>
      <c r="D4111" t="inlineStr">
        <is>
          <t>VÄSTMANLANDS LÄN</t>
        </is>
      </c>
      <c r="E4111" t="inlineStr">
        <is>
          <t>SKINNSKATTEBERG</t>
        </is>
      </c>
      <c r="F4111" t="inlineStr">
        <is>
          <t>Sveaskog</t>
        </is>
      </c>
      <c r="G4111" t="n">
        <v>1.8</v>
      </c>
      <c r="H4111" t="n">
        <v>0</v>
      </c>
      <c r="I4111" t="n">
        <v>0</v>
      </c>
      <c r="J4111" t="n">
        <v>0</v>
      </c>
      <c r="K4111" t="n">
        <v>0</v>
      </c>
      <c r="L4111" t="n">
        <v>0</v>
      </c>
      <c r="M4111" t="n">
        <v>0</v>
      </c>
      <c r="N4111" t="n">
        <v>0</v>
      </c>
      <c r="O4111" t="n">
        <v>0</v>
      </c>
      <c r="P4111" t="n">
        <v>0</v>
      </c>
      <c r="Q4111" t="n">
        <v>0</v>
      </c>
      <c r="R4111" s="2" t="inlineStr"/>
    </row>
    <row r="4112" ht="15" customHeight="1">
      <c r="A4112" t="inlineStr">
        <is>
          <t>A 18140-2024</t>
        </is>
      </c>
      <c r="B4112" s="1" t="n">
        <v>45420</v>
      </c>
      <c r="C4112" s="1" t="n">
        <v>45724</v>
      </c>
      <c r="D4112" t="inlineStr">
        <is>
          <t>VÄSTMANLANDS LÄN</t>
        </is>
      </c>
      <c r="E4112" t="inlineStr">
        <is>
          <t>SKINNSKATTEBERG</t>
        </is>
      </c>
      <c r="F4112" t="inlineStr">
        <is>
          <t>Sveaskog</t>
        </is>
      </c>
      <c r="G4112" t="n">
        <v>2.8</v>
      </c>
      <c r="H4112" t="n">
        <v>0</v>
      </c>
      <c r="I4112" t="n">
        <v>0</v>
      </c>
      <c r="J4112" t="n">
        <v>0</v>
      </c>
      <c r="K4112" t="n">
        <v>0</v>
      </c>
      <c r="L4112" t="n">
        <v>0</v>
      </c>
      <c r="M4112" t="n">
        <v>0</v>
      </c>
      <c r="N4112" t="n">
        <v>0</v>
      </c>
      <c r="O4112" t="n">
        <v>0</v>
      </c>
      <c r="P4112" t="n">
        <v>0</v>
      </c>
      <c r="Q4112" t="n">
        <v>0</v>
      </c>
      <c r="R4112" s="2" t="inlineStr"/>
    </row>
    <row r="4113" ht="15" customHeight="1">
      <c r="A4113" t="inlineStr">
        <is>
          <t>A 18144-2024</t>
        </is>
      </c>
      <c r="B4113" s="1" t="n">
        <v>45420</v>
      </c>
      <c r="C4113" s="1" t="n">
        <v>45724</v>
      </c>
      <c r="D4113" t="inlineStr">
        <is>
          <t>VÄSTMANLANDS LÄN</t>
        </is>
      </c>
      <c r="E4113" t="inlineStr">
        <is>
          <t>SKINNSKATTEBERG</t>
        </is>
      </c>
      <c r="F4113" t="inlineStr">
        <is>
          <t>Sveaskog</t>
        </is>
      </c>
      <c r="G4113" t="n">
        <v>2.4</v>
      </c>
      <c r="H4113" t="n">
        <v>0</v>
      </c>
      <c r="I4113" t="n">
        <v>0</v>
      </c>
      <c r="J4113" t="n">
        <v>0</v>
      </c>
      <c r="K4113" t="n">
        <v>0</v>
      </c>
      <c r="L4113" t="n">
        <v>0</v>
      </c>
      <c r="M4113" t="n">
        <v>0</v>
      </c>
      <c r="N4113" t="n">
        <v>0</v>
      </c>
      <c r="O4113" t="n">
        <v>0</v>
      </c>
      <c r="P4113" t="n">
        <v>0</v>
      </c>
      <c r="Q4113" t="n">
        <v>0</v>
      </c>
      <c r="R4113" s="2" t="inlineStr"/>
    </row>
    <row r="4114" ht="15" customHeight="1">
      <c r="A4114" t="inlineStr">
        <is>
          <t>A 18161-2024</t>
        </is>
      </c>
      <c r="B4114" s="1" t="n">
        <v>45420</v>
      </c>
      <c r="C4114" s="1" t="n">
        <v>45724</v>
      </c>
      <c r="D4114" t="inlineStr">
        <is>
          <t>VÄSTMANLANDS LÄN</t>
        </is>
      </c>
      <c r="E4114" t="inlineStr">
        <is>
          <t>SKINNSKATTEBERG</t>
        </is>
      </c>
      <c r="F4114" t="inlineStr">
        <is>
          <t>Sveaskog</t>
        </is>
      </c>
      <c r="G4114" t="n">
        <v>0.4</v>
      </c>
      <c r="H4114" t="n">
        <v>0</v>
      </c>
      <c r="I4114" t="n">
        <v>0</v>
      </c>
      <c r="J4114" t="n">
        <v>0</v>
      </c>
      <c r="K4114" t="n">
        <v>0</v>
      </c>
      <c r="L4114" t="n">
        <v>0</v>
      </c>
      <c r="M4114" t="n">
        <v>0</v>
      </c>
      <c r="N4114" t="n">
        <v>0</v>
      </c>
      <c r="O4114" t="n">
        <v>0</v>
      </c>
      <c r="P4114" t="n">
        <v>0</v>
      </c>
      <c r="Q4114" t="n">
        <v>0</v>
      </c>
      <c r="R4114" s="2" t="inlineStr"/>
    </row>
    <row r="4115" ht="15" customHeight="1">
      <c r="A4115" t="inlineStr">
        <is>
          <t>A 18163-2024</t>
        </is>
      </c>
      <c r="B4115" s="1" t="n">
        <v>45420</v>
      </c>
      <c r="C4115" s="1" t="n">
        <v>45724</v>
      </c>
      <c r="D4115" t="inlineStr">
        <is>
          <t>VÄSTMANLANDS LÄN</t>
        </is>
      </c>
      <c r="E4115" t="inlineStr">
        <is>
          <t>SKINNSKATTEBERG</t>
        </is>
      </c>
      <c r="F4115" t="inlineStr">
        <is>
          <t>Sveaskog</t>
        </is>
      </c>
      <c r="G4115" t="n">
        <v>1.1</v>
      </c>
      <c r="H4115" t="n">
        <v>0</v>
      </c>
      <c r="I4115" t="n">
        <v>0</v>
      </c>
      <c r="J4115" t="n">
        <v>0</v>
      </c>
      <c r="K4115" t="n">
        <v>0</v>
      </c>
      <c r="L4115" t="n">
        <v>0</v>
      </c>
      <c r="M4115" t="n">
        <v>0</v>
      </c>
      <c r="N4115" t="n">
        <v>0</v>
      </c>
      <c r="O4115" t="n">
        <v>0</v>
      </c>
      <c r="P4115" t="n">
        <v>0</v>
      </c>
      <c r="Q4115" t="n">
        <v>0</v>
      </c>
      <c r="R4115" s="2" t="inlineStr"/>
    </row>
    <row r="4116" ht="15" customHeight="1">
      <c r="A4116" t="inlineStr">
        <is>
          <t>A 18295-2024</t>
        </is>
      </c>
      <c r="B4116" s="1" t="n">
        <v>45421</v>
      </c>
      <c r="C4116" s="1" t="n">
        <v>45724</v>
      </c>
      <c r="D4116" t="inlineStr">
        <is>
          <t>VÄSTMANLANDS LÄN</t>
        </is>
      </c>
      <c r="E4116" t="inlineStr">
        <is>
          <t>NORBERG</t>
        </is>
      </c>
      <c r="G4116" t="n">
        <v>3.8</v>
      </c>
      <c r="H4116" t="n">
        <v>0</v>
      </c>
      <c r="I4116" t="n">
        <v>0</v>
      </c>
      <c r="J4116" t="n">
        <v>0</v>
      </c>
      <c r="K4116" t="n">
        <v>0</v>
      </c>
      <c r="L4116" t="n">
        <v>0</v>
      </c>
      <c r="M4116" t="n">
        <v>0</v>
      </c>
      <c r="N4116" t="n">
        <v>0</v>
      </c>
      <c r="O4116" t="n">
        <v>0</v>
      </c>
      <c r="P4116" t="n">
        <v>0</v>
      </c>
      <c r="Q4116" t="n">
        <v>0</v>
      </c>
      <c r="R4116" s="2" t="inlineStr"/>
    </row>
    <row r="4117" ht="15" customHeight="1">
      <c r="A4117" t="inlineStr">
        <is>
          <t>A 18461-2024</t>
        </is>
      </c>
      <c r="B4117" s="1" t="n">
        <v>45425</v>
      </c>
      <c r="C4117" s="1" t="n">
        <v>45724</v>
      </c>
      <c r="D4117" t="inlineStr">
        <is>
          <t>VÄSTMANLANDS LÄN</t>
        </is>
      </c>
      <c r="E4117" t="inlineStr">
        <is>
          <t>SALA</t>
        </is>
      </c>
      <c r="G4117" t="n">
        <v>1.7</v>
      </c>
      <c r="H4117" t="n">
        <v>0</v>
      </c>
      <c r="I4117" t="n">
        <v>0</v>
      </c>
      <c r="J4117" t="n">
        <v>0</v>
      </c>
      <c r="K4117" t="n">
        <v>0</v>
      </c>
      <c r="L4117" t="n">
        <v>0</v>
      </c>
      <c r="M4117" t="n">
        <v>0</v>
      </c>
      <c r="N4117" t="n">
        <v>0</v>
      </c>
      <c r="O4117" t="n">
        <v>0</v>
      </c>
      <c r="P4117" t="n">
        <v>0</v>
      </c>
      <c r="Q4117" t="n">
        <v>0</v>
      </c>
      <c r="R4117" s="2" t="inlineStr"/>
    </row>
    <row r="4118" ht="15" customHeight="1">
      <c r="A4118" t="inlineStr">
        <is>
          <t>A 18494-2024</t>
        </is>
      </c>
      <c r="B4118" s="1" t="n">
        <v>45425</v>
      </c>
      <c r="C4118" s="1" t="n">
        <v>45724</v>
      </c>
      <c r="D4118" t="inlineStr">
        <is>
          <t>VÄSTMANLANDS LÄN</t>
        </is>
      </c>
      <c r="E4118" t="inlineStr">
        <is>
          <t>ARBOGA</t>
        </is>
      </c>
      <c r="F4118" t="inlineStr">
        <is>
          <t>Sveaskog</t>
        </is>
      </c>
      <c r="G4118" t="n">
        <v>6.9</v>
      </c>
      <c r="H4118" t="n">
        <v>0</v>
      </c>
      <c r="I4118" t="n">
        <v>0</v>
      </c>
      <c r="J4118" t="n">
        <v>0</v>
      </c>
      <c r="K4118" t="n">
        <v>0</v>
      </c>
      <c r="L4118" t="n">
        <v>0</v>
      </c>
      <c r="M4118" t="n">
        <v>0</v>
      </c>
      <c r="N4118" t="n">
        <v>0</v>
      </c>
      <c r="O4118" t="n">
        <v>0</v>
      </c>
      <c r="P4118" t="n">
        <v>0</v>
      </c>
      <c r="Q4118" t="n">
        <v>0</v>
      </c>
      <c r="R4118" s="2" t="inlineStr"/>
    </row>
    <row r="4119" ht="15" customHeight="1">
      <c r="A4119" t="inlineStr">
        <is>
          <t>A 18517-2024</t>
        </is>
      </c>
      <c r="B4119" s="1" t="n">
        <v>45425</v>
      </c>
      <c r="C4119" s="1" t="n">
        <v>45724</v>
      </c>
      <c r="D4119" t="inlineStr">
        <is>
          <t>VÄSTMANLANDS LÄN</t>
        </is>
      </c>
      <c r="E4119" t="inlineStr">
        <is>
          <t>SKINNSKATTEBERG</t>
        </is>
      </c>
      <c r="F4119" t="inlineStr">
        <is>
          <t>Sveaskog</t>
        </is>
      </c>
      <c r="G4119" t="n">
        <v>7.9</v>
      </c>
      <c r="H4119" t="n">
        <v>0</v>
      </c>
      <c r="I4119" t="n">
        <v>0</v>
      </c>
      <c r="J4119" t="n">
        <v>0</v>
      </c>
      <c r="K4119" t="n">
        <v>0</v>
      </c>
      <c r="L4119" t="n">
        <v>0</v>
      </c>
      <c r="M4119" t="n">
        <v>0</v>
      </c>
      <c r="N4119" t="n">
        <v>0</v>
      </c>
      <c r="O4119" t="n">
        <v>0</v>
      </c>
      <c r="P4119" t="n">
        <v>0</v>
      </c>
      <c r="Q4119" t="n">
        <v>0</v>
      </c>
      <c r="R4119" s="2" t="inlineStr"/>
    </row>
    <row r="4120" ht="15" customHeight="1">
      <c r="A4120" t="inlineStr">
        <is>
          <t>A 18522-2024</t>
        </is>
      </c>
      <c r="B4120" s="1" t="n">
        <v>45425</v>
      </c>
      <c r="C4120" s="1" t="n">
        <v>45724</v>
      </c>
      <c r="D4120" t="inlineStr">
        <is>
          <t>VÄSTMANLANDS LÄN</t>
        </is>
      </c>
      <c r="E4120" t="inlineStr">
        <is>
          <t>SALA</t>
        </is>
      </c>
      <c r="G4120" t="n">
        <v>1.1</v>
      </c>
      <c r="H4120" t="n">
        <v>0</v>
      </c>
      <c r="I4120" t="n">
        <v>0</v>
      </c>
      <c r="J4120" t="n">
        <v>0</v>
      </c>
      <c r="K4120" t="n">
        <v>0</v>
      </c>
      <c r="L4120" t="n">
        <v>0</v>
      </c>
      <c r="M4120" t="n">
        <v>0</v>
      </c>
      <c r="N4120" t="n">
        <v>0</v>
      </c>
      <c r="O4120" t="n">
        <v>0</v>
      </c>
      <c r="P4120" t="n">
        <v>0</v>
      </c>
      <c r="Q4120" t="n">
        <v>0</v>
      </c>
      <c r="R4120" s="2" t="inlineStr"/>
    </row>
    <row r="4121" ht="15" customHeight="1">
      <c r="A4121" t="inlineStr">
        <is>
          <t>A 18516-2024</t>
        </is>
      </c>
      <c r="B4121" s="1" t="n">
        <v>45425</v>
      </c>
      <c r="C4121" s="1" t="n">
        <v>45724</v>
      </c>
      <c r="D4121" t="inlineStr">
        <is>
          <t>VÄSTMANLANDS LÄN</t>
        </is>
      </c>
      <c r="E4121" t="inlineStr">
        <is>
          <t>SKINNSKATTEBERG</t>
        </is>
      </c>
      <c r="F4121" t="inlineStr">
        <is>
          <t>Sveaskog</t>
        </is>
      </c>
      <c r="G4121" t="n">
        <v>1.6</v>
      </c>
      <c r="H4121" t="n">
        <v>0</v>
      </c>
      <c r="I4121" t="n">
        <v>0</v>
      </c>
      <c r="J4121" t="n">
        <v>0</v>
      </c>
      <c r="K4121" t="n">
        <v>0</v>
      </c>
      <c r="L4121" t="n">
        <v>0</v>
      </c>
      <c r="M4121" t="n">
        <v>0</v>
      </c>
      <c r="N4121" t="n">
        <v>0</v>
      </c>
      <c r="O4121" t="n">
        <v>0</v>
      </c>
      <c r="P4121" t="n">
        <v>0</v>
      </c>
      <c r="Q4121" t="n">
        <v>0</v>
      </c>
      <c r="R4121" s="2" t="inlineStr"/>
    </row>
    <row r="4122" ht="15" customHeight="1">
      <c r="A4122" t="inlineStr">
        <is>
          <t>A 18518-2024</t>
        </is>
      </c>
      <c r="B4122" s="1" t="n">
        <v>45425</v>
      </c>
      <c r="C4122" s="1" t="n">
        <v>45724</v>
      </c>
      <c r="D4122" t="inlineStr">
        <is>
          <t>VÄSTMANLANDS LÄN</t>
        </is>
      </c>
      <c r="E4122" t="inlineStr">
        <is>
          <t>SKINNSKATTEBERG</t>
        </is>
      </c>
      <c r="F4122" t="inlineStr">
        <is>
          <t>Sveaskog</t>
        </is>
      </c>
      <c r="G4122" t="n">
        <v>7.9</v>
      </c>
      <c r="H4122" t="n">
        <v>0</v>
      </c>
      <c r="I4122" t="n">
        <v>0</v>
      </c>
      <c r="J4122" t="n">
        <v>0</v>
      </c>
      <c r="K4122" t="n">
        <v>0</v>
      </c>
      <c r="L4122" t="n">
        <v>0</v>
      </c>
      <c r="M4122" t="n">
        <v>0</v>
      </c>
      <c r="N4122" t="n">
        <v>0</v>
      </c>
      <c r="O4122" t="n">
        <v>0</v>
      </c>
      <c r="P4122" t="n">
        <v>0</v>
      </c>
      <c r="Q4122" t="n">
        <v>0</v>
      </c>
      <c r="R4122" s="2" t="inlineStr"/>
    </row>
    <row r="4123" ht="15" customHeight="1">
      <c r="A4123" t="inlineStr">
        <is>
          <t>A 18750-2024</t>
        </is>
      </c>
      <c r="B4123" s="1" t="n">
        <v>45426</v>
      </c>
      <c r="C4123" s="1" t="n">
        <v>45724</v>
      </c>
      <c r="D4123" t="inlineStr">
        <is>
          <t>VÄSTMANLANDS LÄN</t>
        </is>
      </c>
      <c r="E4123" t="inlineStr">
        <is>
          <t>SALA</t>
        </is>
      </c>
      <c r="G4123" t="n">
        <v>5.5</v>
      </c>
      <c r="H4123" t="n">
        <v>0</v>
      </c>
      <c r="I4123" t="n">
        <v>0</v>
      </c>
      <c r="J4123" t="n">
        <v>0</v>
      </c>
      <c r="K4123" t="n">
        <v>0</v>
      </c>
      <c r="L4123" t="n">
        <v>0</v>
      </c>
      <c r="M4123" t="n">
        <v>0</v>
      </c>
      <c r="N4123" t="n">
        <v>0</v>
      </c>
      <c r="O4123" t="n">
        <v>0</v>
      </c>
      <c r="P4123" t="n">
        <v>0</v>
      </c>
      <c r="Q4123" t="n">
        <v>0</v>
      </c>
      <c r="R4123" s="2" t="inlineStr"/>
    </row>
    <row r="4124" ht="15" customHeight="1">
      <c r="A4124" t="inlineStr">
        <is>
          <t>A 18762-2024</t>
        </is>
      </c>
      <c r="B4124" s="1" t="n">
        <v>45426</v>
      </c>
      <c r="C4124" s="1" t="n">
        <v>45724</v>
      </c>
      <c r="D4124" t="inlineStr">
        <is>
          <t>VÄSTMANLANDS LÄN</t>
        </is>
      </c>
      <c r="E4124" t="inlineStr">
        <is>
          <t>SALA</t>
        </is>
      </c>
      <c r="G4124" t="n">
        <v>6.2</v>
      </c>
      <c r="H4124" t="n">
        <v>0</v>
      </c>
      <c r="I4124" t="n">
        <v>0</v>
      </c>
      <c r="J4124" t="n">
        <v>0</v>
      </c>
      <c r="K4124" t="n">
        <v>0</v>
      </c>
      <c r="L4124" t="n">
        <v>0</v>
      </c>
      <c r="M4124" t="n">
        <v>0</v>
      </c>
      <c r="N4124" t="n">
        <v>0</v>
      </c>
      <c r="O4124" t="n">
        <v>0</v>
      </c>
      <c r="P4124" t="n">
        <v>0</v>
      </c>
      <c r="Q4124" t="n">
        <v>0</v>
      </c>
      <c r="R4124" s="2" t="inlineStr"/>
    </row>
    <row r="4125" ht="15" customHeight="1">
      <c r="A4125" t="inlineStr">
        <is>
          <t>A 19205-2024</t>
        </is>
      </c>
      <c r="B4125" s="1" t="n">
        <v>45428</v>
      </c>
      <c r="C4125" s="1" t="n">
        <v>45724</v>
      </c>
      <c r="D4125" t="inlineStr">
        <is>
          <t>VÄSTMANLANDS LÄN</t>
        </is>
      </c>
      <c r="E4125" t="inlineStr">
        <is>
          <t>SKINNSKATTEBERG</t>
        </is>
      </c>
      <c r="F4125" t="inlineStr">
        <is>
          <t>Sveaskog</t>
        </is>
      </c>
      <c r="G4125" t="n">
        <v>3.4</v>
      </c>
      <c r="H4125" t="n">
        <v>0</v>
      </c>
      <c r="I4125" t="n">
        <v>0</v>
      </c>
      <c r="J4125" t="n">
        <v>0</v>
      </c>
      <c r="K4125" t="n">
        <v>0</v>
      </c>
      <c r="L4125" t="n">
        <v>0</v>
      </c>
      <c r="M4125" t="n">
        <v>0</v>
      </c>
      <c r="N4125" t="n">
        <v>0</v>
      </c>
      <c r="O4125" t="n">
        <v>0</v>
      </c>
      <c r="P4125" t="n">
        <v>0</v>
      </c>
      <c r="Q4125" t="n">
        <v>0</v>
      </c>
      <c r="R4125" s="2" t="inlineStr"/>
    </row>
    <row r="4126" ht="15" customHeight="1">
      <c r="A4126" t="inlineStr">
        <is>
          <t>A 19266-2024</t>
        </is>
      </c>
      <c r="B4126" s="1" t="n">
        <v>45428</v>
      </c>
      <c r="C4126" s="1" t="n">
        <v>45724</v>
      </c>
      <c r="D4126" t="inlineStr">
        <is>
          <t>VÄSTMANLANDS LÄN</t>
        </is>
      </c>
      <c r="E4126" t="inlineStr">
        <is>
          <t>KUNGSÖR</t>
        </is>
      </c>
      <c r="G4126" t="n">
        <v>3.8</v>
      </c>
      <c r="H4126" t="n">
        <v>0</v>
      </c>
      <c r="I4126" t="n">
        <v>0</v>
      </c>
      <c r="J4126" t="n">
        <v>0</v>
      </c>
      <c r="K4126" t="n">
        <v>0</v>
      </c>
      <c r="L4126" t="n">
        <v>0</v>
      </c>
      <c r="M4126" t="n">
        <v>0</v>
      </c>
      <c r="N4126" t="n">
        <v>0</v>
      </c>
      <c r="O4126" t="n">
        <v>0</v>
      </c>
      <c r="P4126" t="n">
        <v>0</v>
      </c>
      <c r="Q4126" t="n">
        <v>0</v>
      </c>
      <c r="R4126" s="2" t="inlineStr"/>
    </row>
    <row r="4127" ht="15" customHeight="1">
      <c r="A4127" t="inlineStr">
        <is>
          <t>A 19224-2024</t>
        </is>
      </c>
      <c r="B4127" s="1" t="n">
        <v>45428</v>
      </c>
      <c r="C4127" s="1" t="n">
        <v>45724</v>
      </c>
      <c r="D4127" t="inlineStr">
        <is>
          <t>VÄSTMANLANDS LÄN</t>
        </is>
      </c>
      <c r="E4127" t="inlineStr">
        <is>
          <t>SALA</t>
        </is>
      </c>
      <c r="G4127" t="n">
        <v>1.5</v>
      </c>
      <c r="H4127" t="n">
        <v>0</v>
      </c>
      <c r="I4127" t="n">
        <v>0</v>
      </c>
      <c r="J4127" t="n">
        <v>0</v>
      </c>
      <c r="K4127" t="n">
        <v>0</v>
      </c>
      <c r="L4127" t="n">
        <v>0</v>
      </c>
      <c r="M4127" t="n">
        <v>0</v>
      </c>
      <c r="N4127" t="n">
        <v>0</v>
      </c>
      <c r="O4127" t="n">
        <v>0</v>
      </c>
      <c r="P4127" t="n">
        <v>0</v>
      </c>
      <c r="Q4127" t="n">
        <v>0</v>
      </c>
      <c r="R4127" s="2" t="inlineStr"/>
    </row>
    <row r="4128" ht="15" customHeight="1">
      <c r="A4128" t="inlineStr">
        <is>
          <t>A 19202-2024</t>
        </is>
      </c>
      <c r="B4128" s="1" t="n">
        <v>45428</v>
      </c>
      <c r="C4128" s="1" t="n">
        <v>45724</v>
      </c>
      <c r="D4128" t="inlineStr">
        <is>
          <t>VÄSTMANLANDS LÄN</t>
        </is>
      </c>
      <c r="E4128" t="inlineStr">
        <is>
          <t>SKINNSKATTEBERG</t>
        </is>
      </c>
      <c r="F4128" t="inlineStr">
        <is>
          <t>Sveaskog</t>
        </is>
      </c>
      <c r="G4128" t="n">
        <v>4.7</v>
      </c>
      <c r="H4128" t="n">
        <v>0</v>
      </c>
      <c r="I4128" t="n">
        <v>0</v>
      </c>
      <c r="J4128" t="n">
        <v>0</v>
      </c>
      <c r="K4128" t="n">
        <v>0</v>
      </c>
      <c r="L4128" t="n">
        <v>0</v>
      </c>
      <c r="M4128" t="n">
        <v>0</v>
      </c>
      <c r="N4128" t="n">
        <v>0</v>
      </c>
      <c r="O4128" t="n">
        <v>0</v>
      </c>
      <c r="P4128" t="n">
        <v>0</v>
      </c>
      <c r="Q4128" t="n">
        <v>0</v>
      </c>
      <c r="R4128" s="2" t="inlineStr"/>
    </row>
    <row r="4129" ht="15" customHeight="1">
      <c r="A4129" t="inlineStr">
        <is>
          <t>A 19255-2024</t>
        </is>
      </c>
      <c r="B4129" s="1" t="n">
        <v>45428</v>
      </c>
      <c r="C4129" s="1" t="n">
        <v>45724</v>
      </c>
      <c r="D4129" t="inlineStr">
        <is>
          <t>VÄSTMANLANDS LÄN</t>
        </is>
      </c>
      <c r="E4129" t="inlineStr">
        <is>
          <t>VÄSTERÅS</t>
        </is>
      </c>
      <c r="G4129" t="n">
        <v>0.7</v>
      </c>
      <c r="H4129" t="n">
        <v>0</v>
      </c>
      <c r="I4129" t="n">
        <v>0</v>
      </c>
      <c r="J4129" t="n">
        <v>0</v>
      </c>
      <c r="K4129" t="n">
        <v>0</v>
      </c>
      <c r="L4129" t="n">
        <v>0</v>
      </c>
      <c r="M4129" t="n">
        <v>0</v>
      </c>
      <c r="N4129" t="n">
        <v>0</v>
      </c>
      <c r="O4129" t="n">
        <v>0</v>
      </c>
      <c r="P4129" t="n">
        <v>0</v>
      </c>
      <c r="Q4129" t="n">
        <v>0</v>
      </c>
      <c r="R4129" s="2" t="inlineStr"/>
    </row>
    <row r="4130" ht="15" customHeight="1">
      <c r="A4130" t="inlineStr">
        <is>
          <t>A 19203-2024</t>
        </is>
      </c>
      <c r="B4130" s="1" t="n">
        <v>45428</v>
      </c>
      <c r="C4130" s="1" t="n">
        <v>45724</v>
      </c>
      <c r="D4130" t="inlineStr">
        <is>
          <t>VÄSTMANLANDS LÄN</t>
        </is>
      </c>
      <c r="E4130" t="inlineStr">
        <is>
          <t>SKINNSKATTEBERG</t>
        </is>
      </c>
      <c r="F4130" t="inlineStr">
        <is>
          <t>Sveaskog</t>
        </is>
      </c>
      <c r="G4130" t="n">
        <v>1.2</v>
      </c>
      <c r="H4130" t="n">
        <v>0</v>
      </c>
      <c r="I4130" t="n">
        <v>0</v>
      </c>
      <c r="J4130" t="n">
        <v>0</v>
      </c>
      <c r="K4130" t="n">
        <v>0</v>
      </c>
      <c r="L4130" t="n">
        <v>0</v>
      </c>
      <c r="M4130" t="n">
        <v>0</v>
      </c>
      <c r="N4130" t="n">
        <v>0</v>
      </c>
      <c r="O4130" t="n">
        <v>0</v>
      </c>
      <c r="P4130" t="n">
        <v>0</v>
      </c>
      <c r="Q4130" t="n">
        <v>0</v>
      </c>
      <c r="R4130" s="2" t="inlineStr"/>
    </row>
    <row r="4131" ht="15" customHeight="1">
      <c r="A4131" t="inlineStr">
        <is>
          <t>A 19358-2024</t>
        </is>
      </c>
      <c r="B4131" s="1" t="n">
        <v>45429</v>
      </c>
      <c r="C4131" s="1" t="n">
        <v>45724</v>
      </c>
      <c r="D4131" t="inlineStr">
        <is>
          <t>VÄSTMANLANDS LÄN</t>
        </is>
      </c>
      <c r="E4131" t="inlineStr">
        <is>
          <t>KÖPING</t>
        </is>
      </c>
      <c r="G4131" t="n">
        <v>8.5</v>
      </c>
      <c r="H4131" t="n">
        <v>0</v>
      </c>
      <c r="I4131" t="n">
        <v>0</v>
      </c>
      <c r="J4131" t="n">
        <v>0</v>
      </c>
      <c r="K4131" t="n">
        <v>0</v>
      </c>
      <c r="L4131" t="n">
        <v>0</v>
      </c>
      <c r="M4131" t="n">
        <v>0</v>
      </c>
      <c r="N4131" t="n">
        <v>0</v>
      </c>
      <c r="O4131" t="n">
        <v>0</v>
      </c>
      <c r="P4131" t="n">
        <v>0</v>
      </c>
      <c r="Q4131" t="n">
        <v>0</v>
      </c>
      <c r="R4131" s="2" t="inlineStr"/>
    </row>
    <row r="4132" ht="15" customHeight="1">
      <c r="A4132" t="inlineStr">
        <is>
          <t>A 19398-2024</t>
        </is>
      </c>
      <c r="B4132" s="1" t="n">
        <v>45429</v>
      </c>
      <c r="C4132" s="1" t="n">
        <v>45724</v>
      </c>
      <c r="D4132" t="inlineStr">
        <is>
          <t>VÄSTMANLANDS LÄN</t>
        </is>
      </c>
      <c r="E4132" t="inlineStr">
        <is>
          <t>SKINNSKATTEBERG</t>
        </is>
      </c>
      <c r="F4132" t="inlineStr">
        <is>
          <t>Sveaskog</t>
        </is>
      </c>
      <c r="G4132" t="n">
        <v>1.7</v>
      </c>
      <c r="H4132" t="n">
        <v>0</v>
      </c>
      <c r="I4132" t="n">
        <v>0</v>
      </c>
      <c r="J4132" t="n">
        <v>0</v>
      </c>
      <c r="K4132" t="n">
        <v>0</v>
      </c>
      <c r="L4132" t="n">
        <v>0</v>
      </c>
      <c r="M4132" t="n">
        <v>0</v>
      </c>
      <c r="N4132" t="n">
        <v>0</v>
      </c>
      <c r="O4132" t="n">
        <v>0</v>
      </c>
      <c r="P4132" t="n">
        <v>0</v>
      </c>
      <c r="Q4132" t="n">
        <v>0</v>
      </c>
      <c r="R4132" s="2" t="inlineStr"/>
    </row>
    <row r="4133" ht="15" customHeight="1">
      <c r="A4133" t="inlineStr">
        <is>
          <t>A 19386-2024</t>
        </is>
      </c>
      <c r="B4133" s="1" t="n">
        <v>45429</v>
      </c>
      <c r="C4133" s="1" t="n">
        <v>45724</v>
      </c>
      <c r="D4133" t="inlineStr">
        <is>
          <t>VÄSTMANLANDS LÄN</t>
        </is>
      </c>
      <c r="E4133" t="inlineStr">
        <is>
          <t>SKINNSKATTEBERG</t>
        </is>
      </c>
      <c r="F4133" t="inlineStr">
        <is>
          <t>Sveaskog</t>
        </is>
      </c>
      <c r="G4133" t="n">
        <v>1.5</v>
      </c>
      <c r="H4133" t="n">
        <v>0</v>
      </c>
      <c r="I4133" t="n">
        <v>0</v>
      </c>
      <c r="J4133" t="n">
        <v>0</v>
      </c>
      <c r="K4133" t="n">
        <v>0</v>
      </c>
      <c r="L4133" t="n">
        <v>0</v>
      </c>
      <c r="M4133" t="n">
        <v>0</v>
      </c>
      <c r="N4133" t="n">
        <v>0</v>
      </c>
      <c r="O4133" t="n">
        <v>0</v>
      </c>
      <c r="P4133" t="n">
        <v>0</v>
      </c>
      <c r="Q4133" t="n">
        <v>0</v>
      </c>
      <c r="R4133" s="2" t="inlineStr"/>
    </row>
    <row r="4134" ht="15" customHeight="1">
      <c r="A4134" t="inlineStr">
        <is>
          <t>A 19420-2024</t>
        </is>
      </c>
      <c r="B4134" s="1" t="n">
        <v>45429</v>
      </c>
      <c r="C4134" s="1" t="n">
        <v>45724</v>
      </c>
      <c r="D4134" t="inlineStr">
        <is>
          <t>VÄSTMANLANDS LÄN</t>
        </is>
      </c>
      <c r="E4134" t="inlineStr">
        <is>
          <t>KUNGSÖR</t>
        </is>
      </c>
      <c r="G4134" t="n">
        <v>3.8</v>
      </c>
      <c r="H4134" t="n">
        <v>0</v>
      </c>
      <c r="I4134" t="n">
        <v>0</v>
      </c>
      <c r="J4134" t="n">
        <v>0</v>
      </c>
      <c r="K4134" t="n">
        <v>0</v>
      </c>
      <c r="L4134" t="n">
        <v>0</v>
      </c>
      <c r="M4134" t="n">
        <v>0</v>
      </c>
      <c r="N4134" t="n">
        <v>0</v>
      </c>
      <c r="O4134" t="n">
        <v>0</v>
      </c>
      <c r="P4134" t="n">
        <v>0</v>
      </c>
      <c r="Q4134" t="n">
        <v>0</v>
      </c>
      <c r="R4134" s="2" t="inlineStr"/>
    </row>
    <row r="4135" ht="15" customHeight="1">
      <c r="A4135" t="inlineStr">
        <is>
          <t>A 19428-2024</t>
        </is>
      </c>
      <c r="B4135" s="1" t="n">
        <v>45429</v>
      </c>
      <c r="C4135" s="1" t="n">
        <v>45724</v>
      </c>
      <c r="D4135" t="inlineStr">
        <is>
          <t>VÄSTMANLANDS LÄN</t>
        </is>
      </c>
      <c r="E4135" t="inlineStr">
        <is>
          <t>KUNGSÖR</t>
        </is>
      </c>
      <c r="G4135" t="n">
        <v>1</v>
      </c>
      <c r="H4135" t="n">
        <v>0</v>
      </c>
      <c r="I4135" t="n">
        <v>0</v>
      </c>
      <c r="J4135" t="n">
        <v>0</v>
      </c>
      <c r="K4135" t="n">
        <v>0</v>
      </c>
      <c r="L4135" t="n">
        <v>0</v>
      </c>
      <c r="M4135" t="n">
        <v>0</v>
      </c>
      <c r="N4135" t="n">
        <v>0</v>
      </c>
      <c r="O4135" t="n">
        <v>0</v>
      </c>
      <c r="P4135" t="n">
        <v>0</v>
      </c>
      <c r="Q4135" t="n">
        <v>0</v>
      </c>
      <c r="R4135" s="2" t="inlineStr"/>
    </row>
    <row r="4136" ht="15" customHeight="1">
      <c r="A4136" t="inlineStr">
        <is>
          <t>A 19387-2024</t>
        </is>
      </c>
      <c r="B4136" s="1" t="n">
        <v>45429</v>
      </c>
      <c r="C4136" s="1" t="n">
        <v>45724</v>
      </c>
      <c r="D4136" t="inlineStr">
        <is>
          <t>VÄSTMANLANDS LÄN</t>
        </is>
      </c>
      <c r="E4136" t="inlineStr">
        <is>
          <t>ARBOGA</t>
        </is>
      </c>
      <c r="G4136" t="n">
        <v>1</v>
      </c>
      <c r="H4136" t="n">
        <v>0</v>
      </c>
      <c r="I4136" t="n">
        <v>0</v>
      </c>
      <c r="J4136" t="n">
        <v>0</v>
      </c>
      <c r="K4136" t="n">
        <v>0</v>
      </c>
      <c r="L4136" t="n">
        <v>0</v>
      </c>
      <c r="M4136" t="n">
        <v>0</v>
      </c>
      <c r="N4136" t="n">
        <v>0</v>
      </c>
      <c r="O4136" t="n">
        <v>0</v>
      </c>
      <c r="P4136" t="n">
        <v>0</v>
      </c>
      <c r="Q4136" t="n">
        <v>0</v>
      </c>
      <c r="R4136" s="2" t="inlineStr"/>
    </row>
    <row r="4137" ht="15" customHeight="1">
      <c r="A4137" t="inlineStr">
        <is>
          <t>A 19434-2024</t>
        </is>
      </c>
      <c r="B4137" s="1" t="n">
        <v>45429</v>
      </c>
      <c r="C4137" s="1" t="n">
        <v>45724</v>
      </c>
      <c r="D4137" t="inlineStr">
        <is>
          <t>VÄSTMANLANDS LÄN</t>
        </is>
      </c>
      <c r="E4137" t="inlineStr">
        <is>
          <t>VÄSTERÅS</t>
        </is>
      </c>
      <c r="G4137" t="n">
        <v>9</v>
      </c>
      <c r="H4137" t="n">
        <v>0</v>
      </c>
      <c r="I4137" t="n">
        <v>0</v>
      </c>
      <c r="J4137" t="n">
        <v>0</v>
      </c>
      <c r="K4137" t="n">
        <v>0</v>
      </c>
      <c r="L4137" t="n">
        <v>0</v>
      </c>
      <c r="M4137" t="n">
        <v>0</v>
      </c>
      <c r="N4137" t="n">
        <v>0</v>
      </c>
      <c r="O4137" t="n">
        <v>0</v>
      </c>
      <c r="P4137" t="n">
        <v>0</v>
      </c>
      <c r="Q4137" t="n">
        <v>0</v>
      </c>
      <c r="R4137" s="2" t="inlineStr"/>
    </row>
    <row r="4138" ht="15" customHeight="1">
      <c r="A4138" t="inlineStr">
        <is>
          <t>A 19462-2024</t>
        </is>
      </c>
      <c r="B4138" s="1" t="n">
        <v>45429</v>
      </c>
      <c r="C4138" s="1" t="n">
        <v>45724</v>
      </c>
      <c r="D4138" t="inlineStr">
        <is>
          <t>VÄSTMANLANDS LÄN</t>
        </is>
      </c>
      <c r="E4138" t="inlineStr">
        <is>
          <t>NORBERG</t>
        </is>
      </c>
      <c r="G4138" t="n">
        <v>1.1</v>
      </c>
      <c r="H4138" t="n">
        <v>0</v>
      </c>
      <c r="I4138" t="n">
        <v>0</v>
      </c>
      <c r="J4138" t="n">
        <v>0</v>
      </c>
      <c r="K4138" t="n">
        <v>0</v>
      </c>
      <c r="L4138" t="n">
        <v>0</v>
      </c>
      <c r="M4138" t="n">
        <v>0</v>
      </c>
      <c r="N4138" t="n">
        <v>0</v>
      </c>
      <c r="O4138" t="n">
        <v>0</v>
      </c>
      <c r="P4138" t="n">
        <v>0</v>
      </c>
      <c r="Q4138" t="n">
        <v>0</v>
      </c>
      <c r="R4138" s="2" t="inlineStr"/>
    </row>
    <row r="4139" ht="15" customHeight="1">
      <c r="A4139" t="inlineStr">
        <is>
          <t>A 19519-2024</t>
        </is>
      </c>
      <c r="B4139" s="1" t="n">
        <v>45429</v>
      </c>
      <c r="C4139" s="1" t="n">
        <v>45724</v>
      </c>
      <c r="D4139" t="inlineStr">
        <is>
          <t>VÄSTMANLANDS LÄN</t>
        </is>
      </c>
      <c r="E4139" t="inlineStr">
        <is>
          <t>SKINNSKATTEBERG</t>
        </is>
      </c>
      <c r="F4139" t="inlineStr">
        <is>
          <t>Sveaskog</t>
        </is>
      </c>
      <c r="G4139" t="n">
        <v>0.5</v>
      </c>
      <c r="H4139" t="n">
        <v>0</v>
      </c>
      <c r="I4139" t="n">
        <v>0</v>
      </c>
      <c r="J4139" t="n">
        <v>0</v>
      </c>
      <c r="K4139" t="n">
        <v>0</v>
      </c>
      <c r="L4139" t="n">
        <v>0</v>
      </c>
      <c r="M4139" t="n">
        <v>0</v>
      </c>
      <c r="N4139" t="n">
        <v>0</v>
      </c>
      <c r="O4139" t="n">
        <v>0</v>
      </c>
      <c r="P4139" t="n">
        <v>0</v>
      </c>
      <c r="Q4139" t="n">
        <v>0</v>
      </c>
      <c r="R4139" s="2" t="inlineStr"/>
    </row>
    <row r="4140" ht="15" customHeight="1">
      <c r="A4140" t="inlineStr">
        <is>
          <t>A 19518-2024</t>
        </is>
      </c>
      <c r="B4140" s="1" t="n">
        <v>45429</v>
      </c>
      <c r="C4140" s="1" t="n">
        <v>45724</v>
      </c>
      <c r="D4140" t="inlineStr">
        <is>
          <t>VÄSTMANLANDS LÄN</t>
        </is>
      </c>
      <c r="E4140" t="inlineStr">
        <is>
          <t>SKINNSKATTEBERG</t>
        </is>
      </c>
      <c r="F4140" t="inlineStr">
        <is>
          <t>Sveaskog</t>
        </is>
      </c>
      <c r="G4140" t="n">
        <v>3</v>
      </c>
      <c r="H4140" t="n">
        <v>0</v>
      </c>
      <c r="I4140" t="n">
        <v>0</v>
      </c>
      <c r="J4140" t="n">
        <v>0</v>
      </c>
      <c r="K4140" t="n">
        <v>0</v>
      </c>
      <c r="L4140" t="n">
        <v>0</v>
      </c>
      <c r="M4140" t="n">
        <v>0</v>
      </c>
      <c r="N4140" t="n">
        <v>0</v>
      </c>
      <c r="O4140" t="n">
        <v>0</v>
      </c>
      <c r="P4140" t="n">
        <v>0</v>
      </c>
      <c r="Q4140" t="n">
        <v>0</v>
      </c>
      <c r="R4140" s="2" t="inlineStr"/>
    </row>
    <row r="4141" ht="15" customHeight="1">
      <c r="A4141" t="inlineStr">
        <is>
          <t>A 19746-2024</t>
        </is>
      </c>
      <c r="B4141" s="1" t="n">
        <v>45432</v>
      </c>
      <c r="C4141" s="1" t="n">
        <v>45724</v>
      </c>
      <c r="D4141" t="inlineStr">
        <is>
          <t>VÄSTMANLANDS LÄN</t>
        </is>
      </c>
      <c r="E4141" t="inlineStr">
        <is>
          <t>KÖPING</t>
        </is>
      </c>
      <c r="F4141" t="inlineStr">
        <is>
          <t>Sveaskog</t>
        </is>
      </c>
      <c r="G4141" t="n">
        <v>18.4</v>
      </c>
      <c r="H4141" t="n">
        <v>0</v>
      </c>
      <c r="I4141" t="n">
        <v>0</v>
      </c>
      <c r="J4141" t="n">
        <v>0</v>
      </c>
      <c r="K4141" t="n">
        <v>0</v>
      </c>
      <c r="L4141" t="n">
        <v>0</v>
      </c>
      <c r="M4141" t="n">
        <v>0</v>
      </c>
      <c r="N4141" t="n">
        <v>0</v>
      </c>
      <c r="O4141" t="n">
        <v>0</v>
      </c>
      <c r="P4141" t="n">
        <v>0</v>
      </c>
      <c r="Q4141" t="n">
        <v>0</v>
      </c>
      <c r="R4141" s="2" t="inlineStr"/>
    </row>
    <row r="4142" ht="15" customHeight="1">
      <c r="A4142" t="inlineStr">
        <is>
          <t>A 19803-2024</t>
        </is>
      </c>
      <c r="B4142" s="1" t="n">
        <v>45432</v>
      </c>
      <c r="C4142" s="1" t="n">
        <v>45724</v>
      </c>
      <c r="D4142" t="inlineStr">
        <is>
          <t>VÄSTMANLANDS LÄN</t>
        </is>
      </c>
      <c r="E4142" t="inlineStr">
        <is>
          <t>SALA</t>
        </is>
      </c>
      <c r="G4142" t="n">
        <v>3.1</v>
      </c>
      <c r="H4142" t="n">
        <v>0</v>
      </c>
      <c r="I4142" t="n">
        <v>0</v>
      </c>
      <c r="J4142" t="n">
        <v>0</v>
      </c>
      <c r="K4142" t="n">
        <v>0</v>
      </c>
      <c r="L4142" t="n">
        <v>0</v>
      </c>
      <c r="M4142" t="n">
        <v>0</v>
      </c>
      <c r="N4142" t="n">
        <v>0</v>
      </c>
      <c r="O4142" t="n">
        <v>0</v>
      </c>
      <c r="P4142" t="n">
        <v>0</v>
      </c>
      <c r="Q4142" t="n">
        <v>0</v>
      </c>
      <c r="R4142" s="2" t="inlineStr"/>
    </row>
    <row r="4143" ht="15" customHeight="1">
      <c r="A4143" t="inlineStr">
        <is>
          <t>A 19860-2024</t>
        </is>
      </c>
      <c r="B4143" s="1" t="n">
        <v>45433</v>
      </c>
      <c r="C4143" s="1" t="n">
        <v>45724</v>
      </c>
      <c r="D4143" t="inlineStr">
        <is>
          <t>VÄSTMANLANDS LÄN</t>
        </is>
      </c>
      <c r="E4143" t="inlineStr">
        <is>
          <t>SALA</t>
        </is>
      </c>
      <c r="G4143" t="n">
        <v>2.2</v>
      </c>
      <c r="H4143" t="n">
        <v>0</v>
      </c>
      <c r="I4143" t="n">
        <v>0</v>
      </c>
      <c r="J4143" t="n">
        <v>0</v>
      </c>
      <c r="K4143" t="n">
        <v>0</v>
      </c>
      <c r="L4143" t="n">
        <v>0</v>
      </c>
      <c r="M4143" t="n">
        <v>0</v>
      </c>
      <c r="N4143" t="n">
        <v>0</v>
      </c>
      <c r="O4143" t="n">
        <v>0</v>
      </c>
      <c r="P4143" t="n">
        <v>0</v>
      </c>
      <c r="Q4143" t="n">
        <v>0</v>
      </c>
      <c r="R4143" s="2" t="inlineStr"/>
    </row>
    <row r="4144" ht="15" customHeight="1">
      <c r="A4144" t="inlineStr">
        <is>
          <t>A 19969-2024</t>
        </is>
      </c>
      <c r="B4144" s="1" t="n">
        <v>45433</v>
      </c>
      <c r="C4144" s="1" t="n">
        <v>45724</v>
      </c>
      <c r="D4144" t="inlineStr">
        <is>
          <t>VÄSTMANLANDS LÄN</t>
        </is>
      </c>
      <c r="E4144" t="inlineStr">
        <is>
          <t>SALA</t>
        </is>
      </c>
      <c r="G4144" t="n">
        <v>4.7</v>
      </c>
      <c r="H4144" t="n">
        <v>0</v>
      </c>
      <c r="I4144" t="n">
        <v>0</v>
      </c>
      <c r="J4144" t="n">
        <v>0</v>
      </c>
      <c r="K4144" t="n">
        <v>0</v>
      </c>
      <c r="L4144" t="n">
        <v>0</v>
      </c>
      <c r="M4144" t="n">
        <v>0</v>
      </c>
      <c r="N4144" t="n">
        <v>0</v>
      </c>
      <c r="O4144" t="n">
        <v>0</v>
      </c>
      <c r="P4144" t="n">
        <v>0</v>
      </c>
      <c r="Q4144" t="n">
        <v>0</v>
      </c>
      <c r="R4144" s="2" t="inlineStr"/>
    </row>
    <row r="4145" ht="15" customHeight="1">
      <c r="A4145" t="inlineStr">
        <is>
          <t>A 20067-2024</t>
        </is>
      </c>
      <c r="B4145" s="1" t="n">
        <v>45434</v>
      </c>
      <c r="C4145" s="1" t="n">
        <v>45724</v>
      </c>
      <c r="D4145" t="inlineStr">
        <is>
          <t>VÄSTMANLANDS LÄN</t>
        </is>
      </c>
      <c r="E4145" t="inlineStr">
        <is>
          <t>ARBOGA</t>
        </is>
      </c>
      <c r="G4145" t="n">
        <v>3.1</v>
      </c>
      <c r="H4145" t="n">
        <v>0</v>
      </c>
      <c r="I4145" t="n">
        <v>0</v>
      </c>
      <c r="J4145" t="n">
        <v>0</v>
      </c>
      <c r="K4145" t="n">
        <v>0</v>
      </c>
      <c r="L4145" t="n">
        <v>0</v>
      </c>
      <c r="M4145" t="n">
        <v>0</v>
      </c>
      <c r="N4145" t="n">
        <v>0</v>
      </c>
      <c r="O4145" t="n">
        <v>0</v>
      </c>
      <c r="P4145" t="n">
        <v>0</v>
      </c>
      <c r="Q4145" t="n">
        <v>0</v>
      </c>
      <c r="R4145" s="2" t="inlineStr"/>
    </row>
    <row r="4146" ht="15" customHeight="1">
      <c r="A4146" t="inlineStr">
        <is>
          <t>A 20242-2024</t>
        </is>
      </c>
      <c r="B4146" s="1" t="n">
        <v>45434</v>
      </c>
      <c r="C4146" s="1" t="n">
        <v>45724</v>
      </c>
      <c r="D4146" t="inlineStr">
        <is>
          <t>VÄSTMANLANDS LÄN</t>
        </is>
      </c>
      <c r="E4146" t="inlineStr">
        <is>
          <t>SKINNSKATTEBERG</t>
        </is>
      </c>
      <c r="F4146" t="inlineStr">
        <is>
          <t>Sveaskog</t>
        </is>
      </c>
      <c r="G4146" t="n">
        <v>1.1</v>
      </c>
      <c r="H4146" t="n">
        <v>0</v>
      </c>
      <c r="I4146" t="n">
        <v>0</v>
      </c>
      <c r="J4146" t="n">
        <v>0</v>
      </c>
      <c r="K4146" t="n">
        <v>0</v>
      </c>
      <c r="L4146" t="n">
        <v>0</v>
      </c>
      <c r="M4146" t="n">
        <v>0</v>
      </c>
      <c r="N4146" t="n">
        <v>0</v>
      </c>
      <c r="O4146" t="n">
        <v>0</v>
      </c>
      <c r="P4146" t="n">
        <v>0</v>
      </c>
      <c r="Q4146" t="n">
        <v>0</v>
      </c>
      <c r="R4146" s="2" t="inlineStr"/>
    </row>
    <row r="4147" ht="15" customHeight="1">
      <c r="A4147" t="inlineStr">
        <is>
          <t>A 20213-2024</t>
        </is>
      </c>
      <c r="B4147" s="1" t="n">
        <v>45434</v>
      </c>
      <c r="C4147" s="1" t="n">
        <v>45724</v>
      </c>
      <c r="D4147" t="inlineStr">
        <is>
          <t>VÄSTMANLANDS LÄN</t>
        </is>
      </c>
      <c r="E4147" t="inlineStr">
        <is>
          <t>SKINNSKATTEBERG</t>
        </is>
      </c>
      <c r="F4147" t="inlineStr">
        <is>
          <t>Sveaskog</t>
        </is>
      </c>
      <c r="G4147" t="n">
        <v>2.4</v>
      </c>
      <c r="H4147" t="n">
        <v>0</v>
      </c>
      <c r="I4147" t="n">
        <v>0</v>
      </c>
      <c r="J4147" t="n">
        <v>0</v>
      </c>
      <c r="K4147" t="n">
        <v>0</v>
      </c>
      <c r="L4147" t="n">
        <v>0</v>
      </c>
      <c r="M4147" t="n">
        <v>0</v>
      </c>
      <c r="N4147" t="n">
        <v>0</v>
      </c>
      <c r="O4147" t="n">
        <v>0</v>
      </c>
      <c r="P4147" t="n">
        <v>0</v>
      </c>
      <c r="Q4147" t="n">
        <v>0</v>
      </c>
      <c r="R4147" s="2" t="inlineStr"/>
    </row>
    <row r="4148" ht="15" customHeight="1">
      <c r="A4148" t="inlineStr">
        <is>
          <t>A 20245-2024</t>
        </is>
      </c>
      <c r="B4148" s="1" t="n">
        <v>45434</v>
      </c>
      <c r="C4148" s="1" t="n">
        <v>45724</v>
      </c>
      <c r="D4148" t="inlineStr">
        <is>
          <t>VÄSTMANLANDS LÄN</t>
        </is>
      </c>
      <c r="E4148" t="inlineStr">
        <is>
          <t>SKINNSKATTEBERG</t>
        </is>
      </c>
      <c r="F4148" t="inlineStr">
        <is>
          <t>Sveaskog</t>
        </is>
      </c>
      <c r="G4148" t="n">
        <v>1.5</v>
      </c>
      <c r="H4148" t="n">
        <v>0</v>
      </c>
      <c r="I4148" t="n">
        <v>0</v>
      </c>
      <c r="J4148" t="n">
        <v>0</v>
      </c>
      <c r="K4148" t="n">
        <v>0</v>
      </c>
      <c r="L4148" t="n">
        <v>0</v>
      </c>
      <c r="M4148" t="n">
        <v>0</v>
      </c>
      <c r="N4148" t="n">
        <v>0</v>
      </c>
      <c r="O4148" t="n">
        <v>0</v>
      </c>
      <c r="P4148" t="n">
        <v>0</v>
      </c>
      <c r="Q4148" t="n">
        <v>0</v>
      </c>
      <c r="R4148" s="2" t="inlineStr"/>
    </row>
    <row r="4149" ht="15" customHeight="1">
      <c r="A4149" t="inlineStr">
        <is>
          <t>A 20243-2024</t>
        </is>
      </c>
      <c r="B4149" s="1" t="n">
        <v>45434</v>
      </c>
      <c r="C4149" s="1" t="n">
        <v>45724</v>
      </c>
      <c r="D4149" t="inlineStr">
        <is>
          <t>VÄSTMANLANDS LÄN</t>
        </is>
      </c>
      <c r="E4149" t="inlineStr">
        <is>
          <t>SKINNSKATTEBERG</t>
        </is>
      </c>
      <c r="F4149" t="inlineStr">
        <is>
          <t>Sveaskog</t>
        </is>
      </c>
      <c r="G4149" t="n">
        <v>3.3</v>
      </c>
      <c r="H4149" t="n">
        <v>0</v>
      </c>
      <c r="I4149" t="n">
        <v>0</v>
      </c>
      <c r="J4149" t="n">
        <v>0</v>
      </c>
      <c r="K4149" t="n">
        <v>0</v>
      </c>
      <c r="L4149" t="n">
        <v>0</v>
      </c>
      <c r="M4149" t="n">
        <v>0</v>
      </c>
      <c r="N4149" t="n">
        <v>0</v>
      </c>
      <c r="O4149" t="n">
        <v>0</v>
      </c>
      <c r="P4149" t="n">
        <v>0</v>
      </c>
      <c r="Q4149" t="n">
        <v>0</v>
      </c>
      <c r="R4149" s="2" t="inlineStr"/>
    </row>
    <row r="4150" ht="15" customHeight="1">
      <c r="A4150" t="inlineStr">
        <is>
          <t>A 20247-2024</t>
        </is>
      </c>
      <c r="B4150" s="1" t="n">
        <v>45434</v>
      </c>
      <c r="C4150" s="1" t="n">
        <v>45724</v>
      </c>
      <c r="D4150" t="inlineStr">
        <is>
          <t>VÄSTMANLANDS LÄN</t>
        </is>
      </c>
      <c r="E4150" t="inlineStr">
        <is>
          <t>SKINNSKATTEBERG</t>
        </is>
      </c>
      <c r="F4150" t="inlineStr">
        <is>
          <t>Sveaskog</t>
        </is>
      </c>
      <c r="G4150" t="n">
        <v>2.3</v>
      </c>
      <c r="H4150" t="n">
        <v>0</v>
      </c>
      <c r="I4150" t="n">
        <v>0</v>
      </c>
      <c r="J4150" t="n">
        <v>0</v>
      </c>
      <c r="K4150" t="n">
        <v>0</v>
      </c>
      <c r="L4150" t="n">
        <v>0</v>
      </c>
      <c r="M4150" t="n">
        <v>0</v>
      </c>
      <c r="N4150" t="n">
        <v>0</v>
      </c>
      <c r="O4150" t="n">
        <v>0</v>
      </c>
      <c r="P4150" t="n">
        <v>0</v>
      </c>
      <c r="Q4150" t="n">
        <v>0</v>
      </c>
      <c r="R4150" s="2" t="inlineStr"/>
    </row>
    <row r="4151" ht="15" customHeight="1">
      <c r="A4151" t="inlineStr">
        <is>
          <t>A 20212-2024</t>
        </is>
      </c>
      <c r="B4151" s="1" t="n">
        <v>45434</v>
      </c>
      <c r="C4151" s="1" t="n">
        <v>45724</v>
      </c>
      <c r="D4151" t="inlineStr">
        <is>
          <t>VÄSTMANLANDS LÄN</t>
        </is>
      </c>
      <c r="E4151" t="inlineStr">
        <is>
          <t>SKINNSKATTEBERG</t>
        </is>
      </c>
      <c r="F4151" t="inlineStr">
        <is>
          <t>Sveaskog</t>
        </is>
      </c>
      <c r="G4151" t="n">
        <v>6</v>
      </c>
      <c r="H4151" t="n">
        <v>0</v>
      </c>
      <c r="I4151" t="n">
        <v>0</v>
      </c>
      <c r="J4151" t="n">
        <v>0</v>
      </c>
      <c r="K4151" t="n">
        <v>0</v>
      </c>
      <c r="L4151" t="n">
        <v>0</v>
      </c>
      <c r="M4151" t="n">
        <v>0</v>
      </c>
      <c r="N4151" t="n">
        <v>0</v>
      </c>
      <c r="O4151" t="n">
        <v>0</v>
      </c>
      <c r="P4151" t="n">
        <v>0</v>
      </c>
      <c r="Q4151" t="n">
        <v>0</v>
      </c>
      <c r="R4151" s="2" t="inlineStr"/>
    </row>
    <row r="4152" ht="15" customHeight="1">
      <c r="A4152" t="inlineStr">
        <is>
          <t>A 20244-2024</t>
        </is>
      </c>
      <c r="B4152" s="1" t="n">
        <v>45434</v>
      </c>
      <c r="C4152" s="1" t="n">
        <v>45724</v>
      </c>
      <c r="D4152" t="inlineStr">
        <is>
          <t>VÄSTMANLANDS LÄN</t>
        </is>
      </c>
      <c r="E4152" t="inlineStr">
        <is>
          <t>SKINNSKATTEBERG</t>
        </is>
      </c>
      <c r="F4152" t="inlineStr">
        <is>
          <t>Sveaskog</t>
        </is>
      </c>
      <c r="G4152" t="n">
        <v>2.5</v>
      </c>
      <c r="H4152" t="n">
        <v>0</v>
      </c>
      <c r="I4152" t="n">
        <v>0</v>
      </c>
      <c r="J4152" t="n">
        <v>0</v>
      </c>
      <c r="K4152" t="n">
        <v>0</v>
      </c>
      <c r="L4152" t="n">
        <v>0</v>
      </c>
      <c r="M4152" t="n">
        <v>0</v>
      </c>
      <c r="N4152" t="n">
        <v>0</v>
      </c>
      <c r="O4152" t="n">
        <v>0</v>
      </c>
      <c r="P4152" t="n">
        <v>0</v>
      </c>
      <c r="Q4152" t="n">
        <v>0</v>
      </c>
      <c r="R4152" s="2" t="inlineStr"/>
    </row>
    <row r="4153" ht="15" customHeight="1">
      <c r="A4153" t="inlineStr">
        <is>
          <t>A 20248-2024</t>
        </is>
      </c>
      <c r="B4153" s="1" t="n">
        <v>45434</v>
      </c>
      <c r="C4153" s="1" t="n">
        <v>45724</v>
      </c>
      <c r="D4153" t="inlineStr">
        <is>
          <t>VÄSTMANLANDS LÄN</t>
        </is>
      </c>
      <c r="E4153" t="inlineStr">
        <is>
          <t>SKINNSKATTEBERG</t>
        </is>
      </c>
      <c r="F4153" t="inlineStr">
        <is>
          <t>Sveaskog</t>
        </is>
      </c>
      <c r="G4153" t="n">
        <v>0.8</v>
      </c>
      <c r="H4153" t="n">
        <v>0</v>
      </c>
      <c r="I4153" t="n">
        <v>0</v>
      </c>
      <c r="J4153" t="n">
        <v>0</v>
      </c>
      <c r="K4153" t="n">
        <v>0</v>
      </c>
      <c r="L4153" t="n">
        <v>0</v>
      </c>
      <c r="M4153" t="n">
        <v>0</v>
      </c>
      <c r="N4153" t="n">
        <v>0</v>
      </c>
      <c r="O4153" t="n">
        <v>0</v>
      </c>
      <c r="P4153" t="n">
        <v>0</v>
      </c>
      <c r="Q4153" t="n">
        <v>0</v>
      </c>
      <c r="R4153" s="2" t="inlineStr"/>
    </row>
    <row r="4154" ht="15" customHeight="1">
      <c r="A4154" t="inlineStr">
        <is>
          <t>A 20430-2024</t>
        </is>
      </c>
      <c r="B4154" s="1" t="n">
        <v>45435</v>
      </c>
      <c r="C4154" s="1" t="n">
        <v>45724</v>
      </c>
      <c r="D4154" t="inlineStr">
        <is>
          <t>VÄSTMANLANDS LÄN</t>
        </is>
      </c>
      <c r="E4154" t="inlineStr">
        <is>
          <t>SKINNSKATTEBERG</t>
        </is>
      </c>
      <c r="G4154" t="n">
        <v>1.9</v>
      </c>
      <c r="H4154" t="n">
        <v>0</v>
      </c>
      <c r="I4154" t="n">
        <v>0</v>
      </c>
      <c r="J4154" t="n">
        <v>0</v>
      </c>
      <c r="K4154" t="n">
        <v>0</v>
      </c>
      <c r="L4154" t="n">
        <v>0</v>
      </c>
      <c r="M4154" t="n">
        <v>0</v>
      </c>
      <c r="N4154" t="n">
        <v>0</v>
      </c>
      <c r="O4154" t="n">
        <v>0</v>
      </c>
      <c r="P4154" t="n">
        <v>0</v>
      </c>
      <c r="Q4154" t="n">
        <v>0</v>
      </c>
      <c r="R4154" s="2" t="inlineStr"/>
    </row>
    <row r="4155" ht="15" customHeight="1">
      <c r="A4155" t="inlineStr">
        <is>
          <t>A 20379-2024</t>
        </is>
      </c>
      <c r="B4155" s="1" t="n">
        <v>45435</v>
      </c>
      <c r="C4155" s="1" t="n">
        <v>45724</v>
      </c>
      <c r="D4155" t="inlineStr">
        <is>
          <t>VÄSTMANLANDS LÄN</t>
        </is>
      </c>
      <c r="E4155" t="inlineStr">
        <is>
          <t>SKINNSKATTEBERG</t>
        </is>
      </c>
      <c r="G4155" t="n">
        <v>1.2</v>
      </c>
      <c r="H4155" t="n">
        <v>0</v>
      </c>
      <c r="I4155" t="n">
        <v>0</v>
      </c>
      <c r="J4155" t="n">
        <v>0</v>
      </c>
      <c r="K4155" t="n">
        <v>0</v>
      </c>
      <c r="L4155" t="n">
        <v>0</v>
      </c>
      <c r="M4155" t="n">
        <v>0</v>
      </c>
      <c r="N4155" t="n">
        <v>0</v>
      </c>
      <c r="O4155" t="n">
        <v>0</v>
      </c>
      <c r="P4155" t="n">
        <v>0</v>
      </c>
      <c r="Q4155" t="n">
        <v>0</v>
      </c>
      <c r="R4155" s="2" t="inlineStr"/>
    </row>
    <row r="4156" ht="15" customHeight="1">
      <c r="A4156" t="inlineStr">
        <is>
          <t>A 20330-2024</t>
        </is>
      </c>
      <c r="B4156" s="1" t="n">
        <v>45435</v>
      </c>
      <c r="C4156" s="1" t="n">
        <v>45724</v>
      </c>
      <c r="D4156" t="inlineStr">
        <is>
          <t>VÄSTMANLANDS LÄN</t>
        </is>
      </c>
      <c r="E4156" t="inlineStr">
        <is>
          <t>SKINNSKATTEBERG</t>
        </is>
      </c>
      <c r="G4156" t="n">
        <v>2.6</v>
      </c>
      <c r="H4156" t="n">
        <v>0</v>
      </c>
      <c r="I4156" t="n">
        <v>0</v>
      </c>
      <c r="J4156" t="n">
        <v>0</v>
      </c>
      <c r="K4156" t="n">
        <v>0</v>
      </c>
      <c r="L4156" t="n">
        <v>0</v>
      </c>
      <c r="M4156" t="n">
        <v>0</v>
      </c>
      <c r="N4156" t="n">
        <v>0</v>
      </c>
      <c r="O4156" t="n">
        <v>0</v>
      </c>
      <c r="P4156" t="n">
        <v>0</v>
      </c>
      <c r="Q4156" t="n">
        <v>0</v>
      </c>
      <c r="R4156" s="2" t="inlineStr"/>
    </row>
    <row r="4157" ht="15" customHeight="1">
      <c r="A4157" t="inlineStr">
        <is>
          <t>A 20584-2024</t>
        </is>
      </c>
      <c r="B4157" s="1" t="n">
        <v>45436</v>
      </c>
      <c r="C4157" s="1" t="n">
        <v>45724</v>
      </c>
      <c r="D4157" t="inlineStr">
        <is>
          <t>VÄSTMANLANDS LÄN</t>
        </is>
      </c>
      <c r="E4157" t="inlineStr">
        <is>
          <t>SKINNSKATTEBERG</t>
        </is>
      </c>
      <c r="F4157" t="inlineStr">
        <is>
          <t>Sveaskog</t>
        </is>
      </c>
      <c r="G4157" t="n">
        <v>3.3</v>
      </c>
      <c r="H4157" t="n">
        <v>0</v>
      </c>
      <c r="I4157" t="n">
        <v>0</v>
      </c>
      <c r="J4157" t="n">
        <v>0</v>
      </c>
      <c r="K4157" t="n">
        <v>0</v>
      </c>
      <c r="L4157" t="n">
        <v>0</v>
      </c>
      <c r="M4157" t="n">
        <v>0</v>
      </c>
      <c r="N4157" t="n">
        <v>0</v>
      </c>
      <c r="O4157" t="n">
        <v>0</v>
      </c>
      <c r="P4157" t="n">
        <v>0</v>
      </c>
      <c r="Q4157" t="n">
        <v>0</v>
      </c>
      <c r="R4157" s="2" t="inlineStr"/>
    </row>
    <row r="4158" ht="15" customHeight="1">
      <c r="A4158" t="inlineStr">
        <is>
          <t>A 20712-2024</t>
        </is>
      </c>
      <c r="B4158" s="1" t="n">
        <v>45436</v>
      </c>
      <c r="C4158" s="1" t="n">
        <v>45724</v>
      </c>
      <c r="D4158" t="inlineStr">
        <is>
          <t>VÄSTMANLANDS LÄN</t>
        </is>
      </c>
      <c r="E4158" t="inlineStr">
        <is>
          <t>KÖPING</t>
        </is>
      </c>
      <c r="F4158" t="inlineStr">
        <is>
          <t>Sveaskog</t>
        </is>
      </c>
      <c r="G4158" t="n">
        <v>6.9</v>
      </c>
      <c r="H4158" t="n">
        <v>0</v>
      </c>
      <c r="I4158" t="n">
        <v>0</v>
      </c>
      <c r="J4158" t="n">
        <v>0</v>
      </c>
      <c r="K4158" t="n">
        <v>0</v>
      </c>
      <c r="L4158" t="n">
        <v>0</v>
      </c>
      <c r="M4158" t="n">
        <v>0</v>
      </c>
      <c r="N4158" t="n">
        <v>0</v>
      </c>
      <c r="O4158" t="n">
        <v>0</v>
      </c>
      <c r="P4158" t="n">
        <v>0</v>
      </c>
      <c r="Q4158" t="n">
        <v>0</v>
      </c>
      <c r="R4158" s="2" t="inlineStr"/>
    </row>
    <row r="4159" ht="15" customHeight="1">
      <c r="A4159" t="inlineStr">
        <is>
          <t>A 20571-2024</t>
        </is>
      </c>
      <c r="B4159" s="1" t="n">
        <v>45436</v>
      </c>
      <c r="C4159" s="1" t="n">
        <v>45724</v>
      </c>
      <c r="D4159" t="inlineStr">
        <is>
          <t>VÄSTMANLANDS LÄN</t>
        </is>
      </c>
      <c r="E4159" t="inlineStr">
        <is>
          <t>KÖPING</t>
        </is>
      </c>
      <c r="G4159" t="n">
        <v>1.9</v>
      </c>
      <c r="H4159" t="n">
        <v>0</v>
      </c>
      <c r="I4159" t="n">
        <v>0</v>
      </c>
      <c r="J4159" t="n">
        <v>0</v>
      </c>
      <c r="K4159" t="n">
        <v>0</v>
      </c>
      <c r="L4159" t="n">
        <v>0</v>
      </c>
      <c r="M4159" t="n">
        <v>0</v>
      </c>
      <c r="N4159" t="n">
        <v>0</v>
      </c>
      <c r="O4159" t="n">
        <v>0</v>
      </c>
      <c r="P4159" t="n">
        <v>0</v>
      </c>
      <c r="Q4159" t="n">
        <v>0</v>
      </c>
      <c r="R4159" s="2" t="inlineStr"/>
    </row>
    <row r="4160" ht="15" customHeight="1">
      <c r="A4160" t="inlineStr">
        <is>
          <t>A 20937-2024</t>
        </is>
      </c>
      <c r="B4160" s="1" t="n">
        <v>45439</v>
      </c>
      <c r="C4160" s="1" t="n">
        <v>45724</v>
      </c>
      <c r="D4160" t="inlineStr">
        <is>
          <t>VÄSTMANLANDS LÄN</t>
        </is>
      </c>
      <c r="E4160" t="inlineStr">
        <is>
          <t>SKINNSKATTEBERG</t>
        </is>
      </c>
      <c r="F4160" t="inlineStr">
        <is>
          <t>Sveaskog</t>
        </is>
      </c>
      <c r="G4160" t="n">
        <v>7.8</v>
      </c>
      <c r="H4160" t="n">
        <v>0</v>
      </c>
      <c r="I4160" t="n">
        <v>0</v>
      </c>
      <c r="J4160" t="n">
        <v>0</v>
      </c>
      <c r="K4160" t="n">
        <v>0</v>
      </c>
      <c r="L4160" t="n">
        <v>0</v>
      </c>
      <c r="M4160" t="n">
        <v>0</v>
      </c>
      <c r="N4160" t="n">
        <v>0</v>
      </c>
      <c r="O4160" t="n">
        <v>0</v>
      </c>
      <c r="P4160" t="n">
        <v>0</v>
      </c>
      <c r="Q4160" t="n">
        <v>0</v>
      </c>
      <c r="R4160" s="2" t="inlineStr"/>
    </row>
    <row r="4161" ht="15" customHeight="1">
      <c r="A4161" t="inlineStr">
        <is>
          <t>A 20909-2024</t>
        </is>
      </c>
      <c r="B4161" s="1" t="n">
        <v>45439</v>
      </c>
      <c r="C4161" s="1" t="n">
        <v>45724</v>
      </c>
      <c r="D4161" t="inlineStr">
        <is>
          <t>VÄSTMANLANDS LÄN</t>
        </is>
      </c>
      <c r="E4161" t="inlineStr">
        <is>
          <t>FAGERSTA</t>
        </is>
      </c>
      <c r="G4161" t="n">
        <v>6.9</v>
      </c>
      <c r="H4161" t="n">
        <v>0</v>
      </c>
      <c r="I4161" t="n">
        <v>0</v>
      </c>
      <c r="J4161" t="n">
        <v>0</v>
      </c>
      <c r="K4161" t="n">
        <v>0</v>
      </c>
      <c r="L4161" t="n">
        <v>0</v>
      </c>
      <c r="M4161" t="n">
        <v>0</v>
      </c>
      <c r="N4161" t="n">
        <v>0</v>
      </c>
      <c r="O4161" t="n">
        <v>0</v>
      </c>
      <c r="P4161" t="n">
        <v>0</v>
      </c>
      <c r="Q4161" t="n">
        <v>0</v>
      </c>
      <c r="R4161" s="2" t="inlineStr"/>
    </row>
    <row r="4162" ht="15" customHeight="1">
      <c r="A4162" t="inlineStr">
        <is>
          <t>A 21234-2024</t>
        </is>
      </c>
      <c r="B4162" s="1" t="n">
        <v>45440</v>
      </c>
      <c r="C4162" s="1" t="n">
        <v>45724</v>
      </c>
      <c r="D4162" t="inlineStr">
        <is>
          <t>VÄSTMANLANDS LÄN</t>
        </is>
      </c>
      <c r="E4162" t="inlineStr">
        <is>
          <t>SALA</t>
        </is>
      </c>
      <c r="G4162" t="n">
        <v>4.9</v>
      </c>
      <c r="H4162" t="n">
        <v>0</v>
      </c>
      <c r="I4162" t="n">
        <v>0</v>
      </c>
      <c r="J4162" t="n">
        <v>0</v>
      </c>
      <c r="K4162" t="n">
        <v>0</v>
      </c>
      <c r="L4162" t="n">
        <v>0</v>
      </c>
      <c r="M4162" t="n">
        <v>0</v>
      </c>
      <c r="N4162" t="n">
        <v>0</v>
      </c>
      <c r="O4162" t="n">
        <v>0</v>
      </c>
      <c r="P4162" t="n">
        <v>0</v>
      </c>
      <c r="Q4162" t="n">
        <v>0</v>
      </c>
      <c r="R4162" s="2" t="inlineStr"/>
    </row>
    <row r="4163" ht="15" customHeight="1">
      <c r="A4163" t="inlineStr">
        <is>
          <t>A 21232-2024</t>
        </is>
      </c>
      <c r="B4163" s="1" t="n">
        <v>45440</v>
      </c>
      <c r="C4163" s="1" t="n">
        <v>45724</v>
      </c>
      <c r="D4163" t="inlineStr">
        <is>
          <t>VÄSTMANLANDS LÄN</t>
        </is>
      </c>
      <c r="E4163" t="inlineStr">
        <is>
          <t>NORBERG</t>
        </is>
      </c>
      <c r="G4163" t="n">
        <v>0.9</v>
      </c>
      <c r="H4163" t="n">
        <v>0</v>
      </c>
      <c r="I4163" t="n">
        <v>0</v>
      </c>
      <c r="J4163" t="n">
        <v>0</v>
      </c>
      <c r="K4163" t="n">
        <v>0</v>
      </c>
      <c r="L4163" t="n">
        <v>0</v>
      </c>
      <c r="M4163" t="n">
        <v>0</v>
      </c>
      <c r="N4163" t="n">
        <v>0</v>
      </c>
      <c r="O4163" t="n">
        <v>0</v>
      </c>
      <c r="P4163" t="n">
        <v>0</v>
      </c>
      <c r="Q4163" t="n">
        <v>0</v>
      </c>
      <c r="R4163" s="2" t="inlineStr"/>
    </row>
    <row r="4164" ht="15" customHeight="1">
      <c r="A4164" t="inlineStr">
        <is>
          <t>A 21225-2024</t>
        </is>
      </c>
      <c r="B4164" s="1" t="n">
        <v>45440</v>
      </c>
      <c r="C4164" s="1" t="n">
        <v>45724</v>
      </c>
      <c r="D4164" t="inlineStr">
        <is>
          <t>VÄSTMANLANDS LÄN</t>
        </is>
      </c>
      <c r="E4164" t="inlineStr">
        <is>
          <t>SALA</t>
        </is>
      </c>
      <c r="G4164" t="n">
        <v>2.2</v>
      </c>
      <c r="H4164" t="n">
        <v>0</v>
      </c>
      <c r="I4164" t="n">
        <v>0</v>
      </c>
      <c r="J4164" t="n">
        <v>0</v>
      </c>
      <c r="K4164" t="n">
        <v>0</v>
      </c>
      <c r="L4164" t="n">
        <v>0</v>
      </c>
      <c r="M4164" t="n">
        <v>0</v>
      </c>
      <c r="N4164" t="n">
        <v>0</v>
      </c>
      <c r="O4164" t="n">
        <v>0</v>
      </c>
      <c r="P4164" t="n">
        <v>0</v>
      </c>
      <c r="Q4164" t="n">
        <v>0</v>
      </c>
      <c r="R4164" s="2" t="inlineStr"/>
    </row>
    <row r="4165" ht="15" customHeight="1">
      <c r="A4165" t="inlineStr">
        <is>
          <t>A 21107-2024</t>
        </is>
      </c>
      <c r="B4165" s="1" t="n">
        <v>45440</v>
      </c>
      <c r="C4165" s="1" t="n">
        <v>45724</v>
      </c>
      <c r="D4165" t="inlineStr">
        <is>
          <t>VÄSTMANLANDS LÄN</t>
        </is>
      </c>
      <c r="E4165" t="inlineStr">
        <is>
          <t>VÄSTERÅS</t>
        </is>
      </c>
      <c r="G4165" t="n">
        <v>14.7</v>
      </c>
      <c r="H4165" t="n">
        <v>0</v>
      </c>
      <c r="I4165" t="n">
        <v>0</v>
      </c>
      <c r="J4165" t="n">
        <v>0</v>
      </c>
      <c r="K4165" t="n">
        <v>0</v>
      </c>
      <c r="L4165" t="n">
        <v>0</v>
      </c>
      <c r="M4165" t="n">
        <v>0</v>
      </c>
      <c r="N4165" t="n">
        <v>0</v>
      </c>
      <c r="O4165" t="n">
        <v>0</v>
      </c>
      <c r="P4165" t="n">
        <v>0</v>
      </c>
      <c r="Q4165" t="n">
        <v>0</v>
      </c>
      <c r="R4165" s="2" t="inlineStr"/>
    </row>
    <row r="4166" ht="15" customHeight="1">
      <c r="A4166" t="inlineStr">
        <is>
          <t>A 21578-2024</t>
        </is>
      </c>
      <c r="B4166" s="1" t="n">
        <v>45441</v>
      </c>
      <c r="C4166" s="1" t="n">
        <v>45724</v>
      </c>
      <c r="D4166" t="inlineStr">
        <is>
          <t>VÄSTMANLANDS LÄN</t>
        </is>
      </c>
      <c r="E4166" t="inlineStr">
        <is>
          <t>SKINNSKATTEBERG</t>
        </is>
      </c>
      <c r="F4166" t="inlineStr">
        <is>
          <t>Sveaskog</t>
        </is>
      </c>
      <c r="G4166" t="n">
        <v>1.6</v>
      </c>
      <c r="H4166" t="n">
        <v>0</v>
      </c>
      <c r="I4166" t="n">
        <v>0</v>
      </c>
      <c r="J4166" t="n">
        <v>0</v>
      </c>
      <c r="K4166" t="n">
        <v>0</v>
      </c>
      <c r="L4166" t="n">
        <v>0</v>
      </c>
      <c r="M4166" t="n">
        <v>0</v>
      </c>
      <c r="N4166" t="n">
        <v>0</v>
      </c>
      <c r="O4166" t="n">
        <v>0</v>
      </c>
      <c r="P4166" t="n">
        <v>0</v>
      </c>
      <c r="Q4166" t="n">
        <v>0</v>
      </c>
      <c r="R4166" s="2" t="inlineStr"/>
    </row>
    <row r="4167" ht="15" customHeight="1">
      <c r="A4167" t="inlineStr">
        <is>
          <t>A 21509-2024</t>
        </is>
      </c>
      <c r="B4167" s="1" t="n">
        <v>45441</v>
      </c>
      <c r="C4167" s="1" t="n">
        <v>45724</v>
      </c>
      <c r="D4167" t="inlineStr">
        <is>
          <t>VÄSTMANLANDS LÄN</t>
        </is>
      </c>
      <c r="E4167" t="inlineStr">
        <is>
          <t>SURAHAMMAR</t>
        </is>
      </c>
      <c r="F4167" t="inlineStr">
        <is>
          <t>Bergvik skog väst AB</t>
        </is>
      </c>
      <c r="G4167" t="n">
        <v>3.9</v>
      </c>
      <c r="H4167" t="n">
        <v>0</v>
      </c>
      <c r="I4167" t="n">
        <v>0</v>
      </c>
      <c r="J4167" t="n">
        <v>0</v>
      </c>
      <c r="K4167" t="n">
        <v>0</v>
      </c>
      <c r="L4167" t="n">
        <v>0</v>
      </c>
      <c r="M4167" t="n">
        <v>0</v>
      </c>
      <c r="N4167" t="n">
        <v>0</v>
      </c>
      <c r="O4167" t="n">
        <v>0</v>
      </c>
      <c r="P4167" t="n">
        <v>0</v>
      </c>
      <c r="Q4167" t="n">
        <v>0</v>
      </c>
      <c r="R4167" s="2" t="inlineStr"/>
    </row>
    <row r="4168" ht="15" customHeight="1">
      <c r="A4168" t="inlineStr">
        <is>
          <t>A 21679-2024</t>
        </is>
      </c>
      <c r="B4168" s="1" t="n">
        <v>45442</v>
      </c>
      <c r="C4168" s="1" t="n">
        <v>45724</v>
      </c>
      <c r="D4168" t="inlineStr">
        <is>
          <t>VÄSTMANLANDS LÄN</t>
        </is>
      </c>
      <c r="E4168" t="inlineStr">
        <is>
          <t>FAGERSTA</t>
        </is>
      </c>
      <c r="G4168" t="n">
        <v>0.6</v>
      </c>
      <c r="H4168" t="n">
        <v>0</v>
      </c>
      <c r="I4168" t="n">
        <v>0</v>
      </c>
      <c r="J4168" t="n">
        <v>0</v>
      </c>
      <c r="K4168" t="n">
        <v>0</v>
      </c>
      <c r="L4168" t="n">
        <v>0</v>
      </c>
      <c r="M4168" t="n">
        <v>0</v>
      </c>
      <c r="N4168" t="n">
        <v>0</v>
      </c>
      <c r="O4168" t="n">
        <v>0</v>
      </c>
      <c r="P4168" t="n">
        <v>0</v>
      </c>
      <c r="Q4168" t="n">
        <v>0</v>
      </c>
      <c r="R4168" s="2" t="inlineStr"/>
    </row>
    <row r="4169" ht="15" customHeight="1">
      <c r="A4169" t="inlineStr">
        <is>
          <t>A 21661-2024</t>
        </is>
      </c>
      <c r="B4169" s="1" t="n">
        <v>45442</v>
      </c>
      <c r="C4169" s="1" t="n">
        <v>45724</v>
      </c>
      <c r="D4169" t="inlineStr">
        <is>
          <t>VÄSTMANLANDS LÄN</t>
        </is>
      </c>
      <c r="E4169" t="inlineStr">
        <is>
          <t>FAGERSTA</t>
        </is>
      </c>
      <c r="G4169" t="n">
        <v>2.5</v>
      </c>
      <c r="H4169" t="n">
        <v>0</v>
      </c>
      <c r="I4169" t="n">
        <v>0</v>
      </c>
      <c r="J4169" t="n">
        <v>0</v>
      </c>
      <c r="K4169" t="n">
        <v>0</v>
      </c>
      <c r="L4169" t="n">
        <v>0</v>
      </c>
      <c r="M4169" t="n">
        <v>0</v>
      </c>
      <c r="N4169" t="n">
        <v>0</v>
      </c>
      <c r="O4169" t="n">
        <v>0</v>
      </c>
      <c r="P4169" t="n">
        <v>0</v>
      </c>
      <c r="Q4169" t="n">
        <v>0</v>
      </c>
      <c r="R4169" s="2" t="inlineStr"/>
    </row>
    <row r="4170" ht="15" customHeight="1">
      <c r="A4170" t="inlineStr">
        <is>
          <t>A 21665-2024</t>
        </is>
      </c>
      <c r="B4170" s="1" t="n">
        <v>45442</v>
      </c>
      <c r="C4170" s="1" t="n">
        <v>45724</v>
      </c>
      <c r="D4170" t="inlineStr">
        <is>
          <t>VÄSTMANLANDS LÄN</t>
        </is>
      </c>
      <c r="E4170" t="inlineStr">
        <is>
          <t>FAGERSTA</t>
        </is>
      </c>
      <c r="G4170" t="n">
        <v>3</v>
      </c>
      <c r="H4170" t="n">
        <v>0</v>
      </c>
      <c r="I4170" t="n">
        <v>0</v>
      </c>
      <c r="J4170" t="n">
        <v>0</v>
      </c>
      <c r="K4170" t="n">
        <v>0</v>
      </c>
      <c r="L4170" t="n">
        <v>0</v>
      </c>
      <c r="M4170" t="n">
        <v>0</v>
      </c>
      <c r="N4170" t="n">
        <v>0</v>
      </c>
      <c r="O4170" t="n">
        <v>0</v>
      </c>
      <c r="P4170" t="n">
        <v>0</v>
      </c>
      <c r="Q4170" t="n">
        <v>0</v>
      </c>
      <c r="R4170" s="2" t="inlineStr"/>
    </row>
    <row r="4171" ht="15" customHeight="1">
      <c r="A4171" t="inlineStr">
        <is>
          <t>A 21826-2024</t>
        </is>
      </c>
      <c r="B4171" s="1" t="n">
        <v>45442</v>
      </c>
      <c r="C4171" s="1" t="n">
        <v>45724</v>
      </c>
      <c r="D4171" t="inlineStr">
        <is>
          <t>VÄSTMANLANDS LÄN</t>
        </is>
      </c>
      <c r="E4171" t="inlineStr">
        <is>
          <t>VÄSTERÅS</t>
        </is>
      </c>
      <c r="F4171" t="inlineStr">
        <is>
          <t>Kommuner</t>
        </is>
      </c>
      <c r="G4171" t="n">
        <v>3.8</v>
      </c>
      <c r="H4171" t="n">
        <v>0</v>
      </c>
      <c r="I4171" t="n">
        <v>0</v>
      </c>
      <c r="J4171" t="n">
        <v>0</v>
      </c>
      <c r="K4171" t="n">
        <v>0</v>
      </c>
      <c r="L4171" t="n">
        <v>0</v>
      </c>
      <c r="M4171" t="n">
        <v>0</v>
      </c>
      <c r="N4171" t="n">
        <v>0</v>
      </c>
      <c r="O4171" t="n">
        <v>0</v>
      </c>
      <c r="P4171" t="n">
        <v>0</v>
      </c>
      <c r="Q4171" t="n">
        <v>0</v>
      </c>
      <c r="R4171" s="2" t="inlineStr"/>
    </row>
    <row r="4172" ht="15" customHeight="1">
      <c r="A4172" t="inlineStr">
        <is>
          <t>A 21827-2024</t>
        </is>
      </c>
      <c r="B4172" s="1" t="n">
        <v>45442</v>
      </c>
      <c r="C4172" s="1" t="n">
        <v>45724</v>
      </c>
      <c r="D4172" t="inlineStr">
        <is>
          <t>VÄSTMANLANDS LÄN</t>
        </is>
      </c>
      <c r="E4172" t="inlineStr">
        <is>
          <t>VÄSTERÅS</t>
        </is>
      </c>
      <c r="F4172" t="inlineStr">
        <is>
          <t>Kommuner</t>
        </is>
      </c>
      <c r="G4172" t="n">
        <v>4.7</v>
      </c>
      <c r="H4172" t="n">
        <v>0</v>
      </c>
      <c r="I4172" t="n">
        <v>0</v>
      </c>
      <c r="J4172" t="n">
        <v>0</v>
      </c>
      <c r="K4172" t="n">
        <v>0</v>
      </c>
      <c r="L4172" t="n">
        <v>0</v>
      </c>
      <c r="M4172" t="n">
        <v>0</v>
      </c>
      <c r="N4172" t="n">
        <v>0</v>
      </c>
      <c r="O4172" t="n">
        <v>0</v>
      </c>
      <c r="P4172" t="n">
        <v>0</v>
      </c>
      <c r="Q4172" t="n">
        <v>0</v>
      </c>
      <c r="R4172" s="2" t="inlineStr"/>
    </row>
    <row r="4173" ht="15" customHeight="1">
      <c r="A4173" t="inlineStr">
        <is>
          <t>A 21922-2024</t>
        </is>
      </c>
      <c r="B4173" s="1" t="n">
        <v>45443</v>
      </c>
      <c r="C4173" s="1" t="n">
        <v>45724</v>
      </c>
      <c r="D4173" t="inlineStr">
        <is>
          <t>VÄSTMANLANDS LÄN</t>
        </is>
      </c>
      <c r="E4173" t="inlineStr">
        <is>
          <t>VÄSTERÅS</t>
        </is>
      </c>
      <c r="G4173" t="n">
        <v>0.7</v>
      </c>
      <c r="H4173" t="n">
        <v>0</v>
      </c>
      <c r="I4173" t="n">
        <v>0</v>
      </c>
      <c r="J4173" t="n">
        <v>0</v>
      </c>
      <c r="K4173" t="n">
        <v>0</v>
      </c>
      <c r="L4173" t="n">
        <v>0</v>
      </c>
      <c r="M4173" t="n">
        <v>0</v>
      </c>
      <c r="N4173" t="n">
        <v>0</v>
      </c>
      <c r="O4173" t="n">
        <v>0</v>
      </c>
      <c r="P4173" t="n">
        <v>0</v>
      </c>
      <c r="Q4173" t="n">
        <v>0</v>
      </c>
      <c r="R4173" s="2" t="inlineStr"/>
    </row>
    <row r="4174" ht="15" customHeight="1">
      <c r="A4174" t="inlineStr">
        <is>
          <t>A 21926-2024</t>
        </is>
      </c>
      <c r="B4174" s="1" t="n">
        <v>45443</v>
      </c>
      <c r="C4174" s="1" t="n">
        <v>45724</v>
      </c>
      <c r="D4174" t="inlineStr">
        <is>
          <t>VÄSTMANLANDS LÄN</t>
        </is>
      </c>
      <c r="E4174" t="inlineStr">
        <is>
          <t>VÄSTERÅS</t>
        </is>
      </c>
      <c r="G4174" t="n">
        <v>1.4</v>
      </c>
      <c r="H4174" t="n">
        <v>0</v>
      </c>
      <c r="I4174" t="n">
        <v>0</v>
      </c>
      <c r="J4174" t="n">
        <v>0</v>
      </c>
      <c r="K4174" t="n">
        <v>0</v>
      </c>
      <c r="L4174" t="n">
        <v>0</v>
      </c>
      <c r="M4174" t="n">
        <v>0</v>
      </c>
      <c r="N4174" t="n">
        <v>0</v>
      </c>
      <c r="O4174" t="n">
        <v>0</v>
      </c>
      <c r="P4174" t="n">
        <v>0</v>
      </c>
      <c r="Q4174" t="n">
        <v>0</v>
      </c>
      <c r="R4174" s="2" t="inlineStr"/>
    </row>
    <row r="4175" ht="15" customHeight="1">
      <c r="A4175" t="inlineStr">
        <is>
          <t>A 21921-2024</t>
        </is>
      </c>
      <c r="B4175" s="1" t="n">
        <v>45443</v>
      </c>
      <c r="C4175" s="1" t="n">
        <v>45724</v>
      </c>
      <c r="D4175" t="inlineStr">
        <is>
          <t>VÄSTMANLANDS LÄN</t>
        </is>
      </c>
      <c r="E4175" t="inlineStr">
        <is>
          <t>VÄSTERÅS</t>
        </is>
      </c>
      <c r="G4175" t="n">
        <v>1.4</v>
      </c>
      <c r="H4175" t="n">
        <v>0</v>
      </c>
      <c r="I4175" t="n">
        <v>0</v>
      </c>
      <c r="J4175" t="n">
        <v>0</v>
      </c>
      <c r="K4175" t="n">
        <v>0</v>
      </c>
      <c r="L4175" t="n">
        <v>0</v>
      </c>
      <c r="M4175" t="n">
        <v>0</v>
      </c>
      <c r="N4175" t="n">
        <v>0</v>
      </c>
      <c r="O4175" t="n">
        <v>0</v>
      </c>
      <c r="P4175" t="n">
        <v>0</v>
      </c>
      <c r="Q4175" t="n">
        <v>0</v>
      </c>
      <c r="R4175" s="2" t="inlineStr"/>
    </row>
    <row r="4176" ht="15" customHeight="1">
      <c r="A4176" t="inlineStr">
        <is>
          <t>A 21914-2024</t>
        </is>
      </c>
      <c r="B4176" s="1" t="n">
        <v>45443</v>
      </c>
      <c r="C4176" s="1" t="n">
        <v>45724</v>
      </c>
      <c r="D4176" t="inlineStr">
        <is>
          <t>VÄSTMANLANDS LÄN</t>
        </is>
      </c>
      <c r="E4176" t="inlineStr">
        <is>
          <t>VÄSTERÅS</t>
        </is>
      </c>
      <c r="G4176" t="n">
        <v>1.7</v>
      </c>
      <c r="H4176" t="n">
        <v>0</v>
      </c>
      <c r="I4176" t="n">
        <v>0</v>
      </c>
      <c r="J4176" t="n">
        <v>0</v>
      </c>
      <c r="K4176" t="n">
        <v>0</v>
      </c>
      <c r="L4176" t="n">
        <v>0</v>
      </c>
      <c r="M4176" t="n">
        <v>0</v>
      </c>
      <c r="N4176" t="n">
        <v>0</v>
      </c>
      <c r="O4176" t="n">
        <v>0</v>
      </c>
      <c r="P4176" t="n">
        <v>0</v>
      </c>
      <c r="Q4176" t="n">
        <v>0</v>
      </c>
      <c r="R4176" s="2" t="inlineStr"/>
    </row>
    <row r="4177" ht="15" customHeight="1">
      <c r="A4177" t="inlineStr">
        <is>
          <t>A 22079-2024</t>
        </is>
      </c>
      <c r="B4177" s="1" t="n">
        <v>45443</v>
      </c>
      <c r="C4177" s="1" t="n">
        <v>45724</v>
      </c>
      <c r="D4177" t="inlineStr">
        <is>
          <t>VÄSTMANLANDS LÄN</t>
        </is>
      </c>
      <c r="E4177" t="inlineStr">
        <is>
          <t>SKINNSKATTEBERG</t>
        </is>
      </c>
      <c r="G4177" t="n">
        <v>3.6</v>
      </c>
      <c r="H4177" t="n">
        <v>0</v>
      </c>
      <c r="I4177" t="n">
        <v>0</v>
      </c>
      <c r="J4177" t="n">
        <v>0</v>
      </c>
      <c r="K4177" t="n">
        <v>0</v>
      </c>
      <c r="L4177" t="n">
        <v>0</v>
      </c>
      <c r="M4177" t="n">
        <v>0</v>
      </c>
      <c r="N4177" t="n">
        <v>0</v>
      </c>
      <c r="O4177" t="n">
        <v>0</v>
      </c>
      <c r="P4177" t="n">
        <v>0</v>
      </c>
      <c r="Q4177" t="n">
        <v>0</v>
      </c>
      <c r="R4177" s="2" t="inlineStr"/>
    </row>
    <row r="4178" ht="15" customHeight="1">
      <c r="A4178" t="inlineStr">
        <is>
          <t>A 21887-2024</t>
        </is>
      </c>
      <c r="B4178" s="1" t="n">
        <v>45443</v>
      </c>
      <c r="C4178" s="1" t="n">
        <v>45724</v>
      </c>
      <c r="D4178" t="inlineStr">
        <is>
          <t>VÄSTMANLANDS LÄN</t>
        </is>
      </c>
      <c r="E4178" t="inlineStr">
        <is>
          <t>SKINNSKATTEBERG</t>
        </is>
      </c>
      <c r="F4178" t="inlineStr">
        <is>
          <t>Sveaskog</t>
        </is>
      </c>
      <c r="G4178" t="n">
        <v>3.3</v>
      </c>
      <c r="H4178" t="n">
        <v>0</v>
      </c>
      <c r="I4178" t="n">
        <v>0</v>
      </c>
      <c r="J4178" t="n">
        <v>0</v>
      </c>
      <c r="K4178" t="n">
        <v>0</v>
      </c>
      <c r="L4178" t="n">
        <v>0</v>
      </c>
      <c r="M4178" t="n">
        <v>0</v>
      </c>
      <c r="N4178" t="n">
        <v>0</v>
      </c>
      <c r="O4178" t="n">
        <v>0</v>
      </c>
      <c r="P4178" t="n">
        <v>0</v>
      </c>
      <c r="Q4178" t="n">
        <v>0</v>
      </c>
      <c r="R4178" s="2" t="inlineStr"/>
    </row>
    <row r="4179" ht="15" customHeight="1">
      <c r="A4179" t="inlineStr">
        <is>
          <t>A 21968-2024</t>
        </is>
      </c>
      <c r="B4179" s="1" t="n">
        <v>45443</v>
      </c>
      <c r="C4179" s="1" t="n">
        <v>45724</v>
      </c>
      <c r="D4179" t="inlineStr">
        <is>
          <t>VÄSTMANLANDS LÄN</t>
        </is>
      </c>
      <c r="E4179" t="inlineStr">
        <is>
          <t>SALA</t>
        </is>
      </c>
      <c r="G4179" t="n">
        <v>1.9</v>
      </c>
      <c r="H4179" t="n">
        <v>0</v>
      </c>
      <c r="I4179" t="n">
        <v>0</v>
      </c>
      <c r="J4179" t="n">
        <v>0</v>
      </c>
      <c r="K4179" t="n">
        <v>0</v>
      </c>
      <c r="L4179" t="n">
        <v>0</v>
      </c>
      <c r="M4179" t="n">
        <v>0</v>
      </c>
      <c r="N4179" t="n">
        <v>0</v>
      </c>
      <c r="O4179" t="n">
        <v>0</v>
      </c>
      <c r="P4179" t="n">
        <v>0</v>
      </c>
      <c r="Q4179" t="n">
        <v>0</v>
      </c>
      <c r="R4179" s="2" t="inlineStr"/>
    </row>
    <row r="4180" ht="15" customHeight="1">
      <c r="A4180" t="inlineStr">
        <is>
          <t>A 22439-2024</t>
        </is>
      </c>
      <c r="B4180" s="1" t="n">
        <v>45446</v>
      </c>
      <c r="C4180" s="1" t="n">
        <v>45724</v>
      </c>
      <c r="D4180" t="inlineStr">
        <is>
          <t>VÄSTMANLANDS LÄN</t>
        </is>
      </c>
      <c r="E4180" t="inlineStr">
        <is>
          <t>ARBOGA</t>
        </is>
      </c>
      <c r="G4180" t="n">
        <v>9.199999999999999</v>
      </c>
      <c r="H4180" t="n">
        <v>0</v>
      </c>
      <c r="I4180" t="n">
        <v>0</v>
      </c>
      <c r="J4180" t="n">
        <v>0</v>
      </c>
      <c r="K4180" t="n">
        <v>0</v>
      </c>
      <c r="L4180" t="n">
        <v>0</v>
      </c>
      <c r="M4180" t="n">
        <v>0</v>
      </c>
      <c r="N4180" t="n">
        <v>0</v>
      </c>
      <c r="O4180" t="n">
        <v>0</v>
      </c>
      <c r="P4180" t="n">
        <v>0</v>
      </c>
      <c r="Q4180" t="n">
        <v>0</v>
      </c>
      <c r="R4180" s="2" t="inlineStr"/>
    </row>
    <row r="4181" ht="15" customHeight="1">
      <c r="A4181" t="inlineStr">
        <is>
          <t>A 22336-2024</t>
        </is>
      </c>
      <c r="B4181" s="1" t="n">
        <v>45446</v>
      </c>
      <c r="C4181" s="1" t="n">
        <v>45724</v>
      </c>
      <c r="D4181" t="inlineStr">
        <is>
          <t>VÄSTMANLANDS LÄN</t>
        </is>
      </c>
      <c r="E4181" t="inlineStr">
        <is>
          <t>FAGERSTA</t>
        </is>
      </c>
      <c r="G4181" t="n">
        <v>2</v>
      </c>
      <c r="H4181" t="n">
        <v>0</v>
      </c>
      <c r="I4181" t="n">
        <v>0</v>
      </c>
      <c r="J4181" t="n">
        <v>0</v>
      </c>
      <c r="K4181" t="n">
        <v>0</v>
      </c>
      <c r="L4181" t="n">
        <v>0</v>
      </c>
      <c r="M4181" t="n">
        <v>0</v>
      </c>
      <c r="N4181" t="n">
        <v>0</v>
      </c>
      <c r="O4181" t="n">
        <v>0</v>
      </c>
      <c r="P4181" t="n">
        <v>0</v>
      </c>
      <c r="Q4181" t="n">
        <v>0</v>
      </c>
      <c r="R4181" s="2" t="inlineStr"/>
    </row>
    <row r="4182" ht="15" customHeight="1">
      <c r="A4182" t="inlineStr">
        <is>
          <t>A 22323-2024</t>
        </is>
      </c>
      <c r="B4182" s="1" t="n">
        <v>45446</v>
      </c>
      <c r="C4182" s="1" t="n">
        <v>45724</v>
      </c>
      <c r="D4182" t="inlineStr">
        <is>
          <t>VÄSTMANLANDS LÄN</t>
        </is>
      </c>
      <c r="E4182" t="inlineStr">
        <is>
          <t>FAGERSTA</t>
        </is>
      </c>
      <c r="G4182" t="n">
        <v>0.7</v>
      </c>
      <c r="H4182" t="n">
        <v>0</v>
      </c>
      <c r="I4182" t="n">
        <v>0</v>
      </c>
      <c r="J4182" t="n">
        <v>0</v>
      </c>
      <c r="K4182" t="n">
        <v>0</v>
      </c>
      <c r="L4182" t="n">
        <v>0</v>
      </c>
      <c r="M4182" t="n">
        <v>0</v>
      </c>
      <c r="N4182" t="n">
        <v>0</v>
      </c>
      <c r="O4182" t="n">
        <v>0</v>
      </c>
      <c r="P4182" t="n">
        <v>0</v>
      </c>
      <c r="Q4182" t="n">
        <v>0</v>
      </c>
      <c r="R4182" s="2" t="inlineStr"/>
    </row>
    <row r="4183" ht="15" customHeight="1">
      <c r="A4183" t="inlineStr">
        <is>
          <t>A 22591-2024</t>
        </is>
      </c>
      <c r="B4183" s="1" t="n">
        <v>45447</v>
      </c>
      <c r="C4183" s="1" t="n">
        <v>45724</v>
      </c>
      <c r="D4183" t="inlineStr">
        <is>
          <t>VÄSTMANLANDS LÄN</t>
        </is>
      </c>
      <c r="E4183" t="inlineStr">
        <is>
          <t>SKINNSKATTEBERG</t>
        </is>
      </c>
      <c r="F4183" t="inlineStr">
        <is>
          <t>Sveaskog</t>
        </is>
      </c>
      <c r="G4183" t="n">
        <v>1.8</v>
      </c>
      <c r="H4183" t="n">
        <v>0</v>
      </c>
      <c r="I4183" t="n">
        <v>0</v>
      </c>
      <c r="J4183" t="n">
        <v>0</v>
      </c>
      <c r="K4183" t="n">
        <v>0</v>
      </c>
      <c r="L4183" t="n">
        <v>0</v>
      </c>
      <c r="M4183" t="n">
        <v>0</v>
      </c>
      <c r="N4183" t="n">
        <v>0</v>
      </c>
      <c r="O4183" t="n">
        <v>0</v>
      </c>
      <c r="P4183" t="n">
        <v>0</v>
      </c>
      <c r="Q4183" t="n">
        <v>0</v>
      </c>
      <c r="R4183" s="2" t="inlineStr"/>
    </row>
    <row r="4184" ht="15" customHeight="1">
      <c r="A4184" t="inlineStr">
        <is>
          <t>A 22605-2024</t>
        </is>
      </c>
      <c r="B4184" s="1" t="n">
        <v>45447</v>
      </c>
      <c r="C4184" s="1" t="n">
        <v>45724</v>
      </c>
      <c r="D4184" t="inlineStr">
        <is>
          <t>VÄSTMANLANDS LÄN</t>
        </is>
      </c>
      <c r="E4184" t="inlineStr">
        <is>
          <t>SKINNSKATTEBERG</t>
        </is>
      </c>
      <c r="G4184" t="n">
        <v>1.9</v>
      </c>
      <c r="H4184" t="n">
        <v>0</v>
      </c>
      <c r="I4184" t="n">
        <v>0</v>
      </c>
      <c r="J4184" t="n">
        <v>0</v>
      </c>
      <c r="K4184" t="n">
        <v>0</v>
      </c>
      <c r="L4184" t="n">
        <v>0</v>
      </c>
      <c r="M4184" t="n">
        <v>0</v>
      </c>
      <c r="N4184" t="n">
        <v>0</v>
      </c>
      <c r="O4184" t="n">
        <v>0</v>
      </c>
      <c r="P4184" t="n">
        <v>0</v>
      </c>
      <c r="Q4184" t="n">
        <v>0</v>
      </c>
      <c r="R4184" s="2" t="inlineStr"/>
    </row>
    <row r="4185" ht="15" customHeight="1">
      <c r="A4185" t="inlineStr">
        <is>
          <t>A 22611-2024</t>
        </is>
      </c>
      <c r="B4185" s="1" t="n">
        <v>45447</v>
      </c>
      <c r="C4185" s="1" t="n">
        <v>45724</v>
      </c>
      <c r="D4185" t="inlineStr">
        <is>
          <t>VÄSTMANLANDS LÄN</t>
        </is>
      </c>
      <c r="E4185" t="inlineStr">
        <is>
          <t>SKINNSKATTEBERG</t>
        </is>
      </c>
      <c r="G4185" t="n">
        <v>1.8</v>
      </c>
      <c r="H4185" t="n">
        <v>0</v>
      </c>
      <c r="I4185" t="n">
        <v>0</v>
      </c>
      <c r="J4185" t="n">
        <v>0</v>
      </c>
      <c r="K4185" t="n">
        <v>0</v>
      </c>
      <c r="L4185" t="n">
        <v>0</v>
      </c>
      <c r="M4185" t="n">
        <v>0</v>
      </c>
      <c r="N4185" t="n">
        <v>0</v>
      </c>
      <c r="O4185" t="n">
        <v>0</v>
      </c>
      <c r="P4185" t="n">
        <v>0</v>
      </c>
      <c r="Q4185" t="n">
        <v>0</v>
      </c>
      <c r="R4185" s="2" t="inlineStr"/>
    </row>
    <row r="4186" ht="15" customHeight="1">
      <c r="A4186" t="inlineStr">
        <is>
          <t>A 22607-2024</t>
        </is>
      </c>
      <c r="B4186" s="1" t="n">
        <v>45447</v>
      </c>
      <c r="C4186" s="1" t="n">
        <v>45724</v>
      </c>
      <c r="D4186" t="inlineStr">
        <is>
          <t>VÄSTMANLANDS LÄN</t>
        </is>
      </c>
      <c r="E4186" t="inlineStr">
        <is>
          <t>SKINNSKATTEBERG</t>
        </is>
      </c>
      <c r="G4186" t="n">
        <v>1.6</v>
      </c>
      <c r="H4186" t="n">
        <v>0</v>
      </c>
      <c r="I4186" t="n">
        <v>0</v>
      </c>
      <c r="J4186" t="n">
        <v>0</v>
      </c>
      <c r="K4186" t="n">
        <v>0</v>
      </c>
      <c r="L4186" t="n">
        <v>0</v>
      </c>
      <c r="M4186" t="n">
        <v>0</v>
      </c>
      <c r="N4186" t="n">
        <v>0</v>
      </c>
      <c r="O4186" t="n">
        <v>0</v>
      </c>
      <c r="P4186" t="n">
        <v>0</v>
      </c>
      <c r="Q4186" t="n">
        <v>0</v>
      </c>
      <c r="R4186" s="2" t="inlineStr"/>
    </row>
    <row r="4187" ht="15" customHeight="1">
      <c r="A4187" t="inlineStr">
        <is>
          <t>A 22697-2024</t>
        </is>
      </c>
      <c r="B4187" s="1" t="n">
        <v>45448</v>
      </c>
      <c r="C4187" s="1" t="n">
        <v>45724</v>
      </c>
      <c r="D4187" t="inlineStr">
        <is>
          <t>VÄSTMANLANDS LÄN</t>
        </is>
      </c>
      <c r="E4187" t="inlineStr">
        <is>
          <t>ARBOGA</t>
        </is>
      </c>
      <c r="G4187" t="n">
        <v>2.6</v>
      </c>
      <c r="H4187" t="n">
        <v>0</v>
      </c>
      <c r="I4187" t="n">
        <v>0</v>
      </c>
      <c r="J4187" t="n">
        <v>0</v>
      </c>
      <c r="K4187" t="n">
        <v>0</v>
      </c>
      <c r="L4187" t="n">
        <v>0</v>
      </c>
      <c r="M4187" t="n">
        <v>0</v>
      </c>
      <c r="N4187" t="n">
        <v>0</v>
      </c>
      <c r="O4187" t="n">
        <v>0</v>
      </c>
      <c r="P4187" t="n">
        <v>0</v>
      </c>
      <c r="Q4187" t="n">
        <v>0</v>
      </c>
      <c r="R4187" s="2" t="inlineStr"/>
    </row>
    <row r="4188" ht="15" customHeight="1">
      <c r="A4188" t="inlineStr">
        <is>
          <t>A 22881-2024</t>
        </is>
      </c>
      <c r="B4188" s="1" t="n">
        <v>45448</v>
      </c>
      <c r="C4188" s="1" t="n">
        <v>45724</v>
      </c>
      <c r="D4188" t="inlineStr">
        <is>
          <t>VÄSTMANLANDS LÄN</t>
        </is>
      </c>
      <c r="E4188" t="inlineStr">
        <is>
          <t>KÖPING</t>
        </is>
      </c>
      <c r="G4188" t="n">
        <v>3.6</v>
      </c>
      <c r="H4188" t="n">
        <v>0</v>
      </c>
      <c r="I4188" t="n">
        <v>0</v>
      </c>
      <c r="J4188" t="n">
        <v>0</v>
      </c>
      <c r="K4188" t="n">
        <v>0</v>
      </c>
      <c r="L4188" t="n">
        <v>0</v>
      </c>
      <c r="M4188" t="n">
        <v>0</v>
      </c>
      <c r="N4188" t="n">
        <v>0</v>
      </c>
      <c r="O4188" t="n">
        <v>0</v>
      </c>
      <c r="P4188" t="n">
        <v>0</v>
      </c>
      <c r="Q4188" t="n">
        <v>0</v>
      </c>
      <c r="R4188" s="2" t="inlineStr"/>
    </row>
    <row r="4189" ht="15" customHeight="1">
      <c r="A4189" t="inlineStr">
        <is>
          <t>A 22700-2024</t>
        </is>
      </c>
      <c r="B4189" s="1" t="n">
        <v>45448</v>
      </c>
      <c r="C4189" s="1" t="n">
        <v>45724</v>
      </c>
      <c r="D4189" t="inlineStr">
        <is>
          <t>VÄSTMANLANDS LÄN</t>
        </is>
      </c>
      <c r="E4189" t="inlineStr">
        <is>
          <t>VÄSTERÅS</t>
        </is>
      </c>
      <c r="G4189" t="n">
        <v>0.4</v>
      </c>
      <c r="H4189" t="n">
        <v>0</v>
      </c>
      <c r="I4189" t="n">
        <v>0</v>
      </c>
      <c r="J4189" t="n">
        <v>0</v>
      </c>
      <c r="K4189" t="n">
        <v>0</v>
      </c>
      <c r="L4189" t="n">
        <v>0</v>
      </c>
      <c r="M4189" t="n">
        <v>0</v>
      </c>
      <c r="N4189" t="n">
        <v>0</v>
      </c>
      <c r="O4189" t="n">
        <v>0</v>
      </c>
      <c r="P4189" t="n">
        <v>0</v>
      </c>
      <c r="Q4189" t="n">
        <v>0</v>
      </c>
      <c r="R4189" s="2" t="inlineStr"/>
    </row>
    <row r="4190" ht="15" customHeight="1">
      <c r="A4190" t="inlineStr">
        <is>
          <t>A 22793-2024</t>
        </is>
      </c>
      <c r="B4190" s="1" t="n">
        <v>45448</v>
      </c>
      <c r="C4190" s="1" t="n">
        <v>45724</v>
      </c>
      <c r="D4190" t="inlineStr">
        <is>
          <t>VÄSTMANLANDS LÄN</t>
        </is>
      </c>
      <c r="E4190" t="inlineStr">
        <is>
          <t>KÖPING</t>
        </is>
      </c>
      <c r="G4190" t="n">
        <v>3</v>
      </c>
      <c r="H4190" t="n">
        <v>0</v>
      </c>
      <c r="I4190" t="n">
        <v>0</v>
      </c>
      <c r="J4190" t="n">
        <v>0</v>
      </c>
      <c r="K4190" t="n">
        <v>0</v>
      </c>
      <c r="L4190" t="n">
        <v>0</v>
      </c>
      <c r="M4190" t="n">
        <v>0</v>
      </c>
      <c r="N4190" t="n">
        <v>0</v>
      </c>
      <c r="O4190" t="n">
        <v>0</v>
      </c>
      <c r="P4190" t="n">
        <v>0</v>
      </c>
      <c r="Q4190" t="n">
        <v>0</v>
      </c>
      <c r="R4190" s="2" t="inlineStr"/>
    </row>
    <row r="4191" ht="15" customHeight="1">
      <c r="A4191" t="inlineStr">
        <is>
          <t>A 23113-2024</t>
        </is>
      </c>
      <c r="B4191" s="1" t="n">
        <v>45450</v>
      </c>
      <c r="C4191" s="1" t="n">
        <v>45724</v>
      </c>
      <c r="D4191" t="inlineStr">
        <is>
          <t>VÄSTMANLANDS LÄN</t>
        </is>
      </c>
      <c r="E4191" t="inlineStr">
        <is>
          <t>SKINNSKATTEBERG</t>
        </is>
      </c>
      <c r="F4191" t="inlineStr">
        <is>
          <t>Sveaskog</t>
        </is>
      </c>
      <c r="G4191" t="n">
        <v>9.800000000000001</v>
      </c>
      <c r="H4191" t="n">
        <v>0</v>
      </c>
      <c r="I4191" t="n">
        <v>0</v>
      </c>
      <c r="J4191" t="n">
        <v>0</v>
      </c>
      <c r="K4191" t="n">
        <v>0</v>
      </c>
      <c r="L4191" t="n">
        <v>0</v>
      </c>
      <c r="M4191" t="n">
        <v>0</v>
      </c>
      <c r="N4191" t="n">
        <v>0</v>
      </c>
      <c r="O4191" t="n">
        <v>0</v>
      </c>
      <c r="P4191" t="n">
        <v>0</v>
      </c>
      <c r="Q4191" t="n">
        <v>0</v>
      </c>
      <c r="R4191" s="2" t="inlineStr"/>
    </row>
    <row r="4192" ht="15" customHeight="1">
      <c r="A4192" t="inlineStr">
        <is>
          <t>A 23317-2024</t>
        </is>
      </c>
      <c r="B4192" s="1" t="n">
        <v>45453</v>
      </c>
      <c r="C4192" s="1" t="n">
        <v>45724</v>
      </c>
      <c r="D4192" t="inlineStr">
        <is>
          <t>VÄSTMANLANDS LÄN</t>
        </is>
      </c>
      <c r="E4192" t="inlineStr">
        <is>
          <t>SALA</t>
        </is>
      </c>
      <c r="G4192" t="n">
        <v>6.5</v>
      </c>
      <c r="H4192" t="n">
        <v>0</v>
      </c>
      <c r="I4192" t="n">
        <v>0</v>
      </c>
      <c r="J4192" t="n">
        <v>0</v>
      </c>
      <c r="K4192" t="n">
        <v>0</v>
      </c>
      <c r="L4192" t="n">
        <v>0</v>
      </c>
      <c r="M4192" t="n">
        <v>0</v>
      </c>
      <c r="N4192" t="n">
        <v>0</v>
      </c>
      <c r="O4192" t="n">
        <v>0</v>
      </c>
      <c r="P4192" t="n">
        <v>0</v>
      </c>
      <c r="Q4192" t="n">
        <v>0</v>
      </c>
      <c r="R4192" s="2" t="inlineStr"/>
    </row>
    <row r="4193" ht="15" customHeight="1">
      <c r="A4193" t="inlineStr">
        <is>
          <t>A 23406-2024</t>
        </is>
      </c>
      <c r="B4193" s="1" t="n">
        <v>45453</v>
      </c>
      <c r="C4193" s="1" t="n">
        <v>45724</v>
      </c>
      <c r="D4193" t="inlineStr">
        <is>
          <t>VÄSTMANLANDS LÄN</t>
        </is>
      </c>
      <c r="E4193" t="inlineStr">
        <is>
          <t>SALA</t>
        </is>
      </c>
      <c r="G4193" t="n">
        <v>9.800000000000001</v>
      </c>
      <c r="H4193" t="n">
        <v>0</v>
      </c>
      <c r="I4193" t="n">
        <v>0</v>
      </c>
      <c r="J4193" t="n">
        <v>0</v>
      </c>
      <c r="K4193" t="n">
        <v>0</v>
      </c>
      <c r="L4193" t="n">
        <v>0</v>
      </c>
      <c r="M4193" t="n">
        <v>0</v>
      </c>
      <c r="N4193" t="n">
        <v>0</v>
      </c>
      <c r="O4193" t="n">
        <v>0</v>
      </c>
      <c r="P4193" t="n">
        <v>0</v>
      </c>
      <c r="Q4193" t="n">
        <v>0</v>
      </c>
      <c r="R4193" s="2" t="inlineStr"/>
    </row>
    <row r="4194" ht="15" customHeight="1">
      <c r="A4194" t="inlineStr">
        <is>
          <t>A 23431-2024</t>
        </is>
      </c>
      <c r="B4194" s="1" t="n">
        <v>45453</v>
      </c>
      <c r="C4194" s="1" t="n">
        <v>45724</v>
      </c>
      <c r="D4194" t="inlineStr">
        <is>
          <t>VÄSTMANLANDS LÄN</t>
        </is>
      </c>
      <c r="E4194" t="inlineStr">
        <is>
          <t>SALA</t>
        </is>
      </c>
      <c r="G4194" t="n">
        <v>1.6</v>
      </c>
      <c r="H4194" t="n">
        <v>0</v>
      </c>
      <c r="I4194" t="n">
        <v>0</v>
      </c>
      <c r="J4194" t="n">
        <v>0</v>
      </c>
      <c r="K4194" t="n">
        <v>0</v>
      </c>
      <c r="L4194" t="n">
        <v>0</v>
      </c>
      <c r="M4194" t="n">
        <v>0</v>
      </c>
      <c r="N4194" t="n">
        <v>0</v>
      </c>
      <c r="O4194" t="n">
        <v>0</v>
      </c>
      <c r="P4194" t="n">
        <v>0</v>
      </c>
      <c r="Q4194" t="n">
        <v>0</v>
      </c>
      <c r="R4194" s="2" t="inlineStr"/>
    </row>
    <row r="4195" ht="15" customHeight="1">
      <c r="A4195" t="inlineStr">
        <is>
          <t>A 23455-2024</t>
        </is>
      </c>
      <c r="B4195" s="1" t="n">
        <v>45453</v>
      </c>
      <c r="C4195" s="1" t="n">
        <v>45724</v>
      </c>
      <c r="D4195" t="inlineStr">
        <is>
          <t>VÄSTMANLANDS LÄN</t>
        </is>
      </c>
      <c r="E4195" t="inlineStr">
        <is>
          <t>VÄSTERÅS</t>
        </is>
      </c>
      <c r="G4195" t="n">
        <v>2.6</v>
      </c>
      <c r="H4195" t="n">
        <v>0</v>
      </c>
      <c r="I4195" t="n">
        <v>0</v>
      </c>
      <c r="J4195" t="n">
        <v>0</v>
      </c>
      <c r="K4195" t="n">
        <v>0</v>
      </c>
      <c r="L4195" t="n">
        <v>0</v>
      </c>
      <c r="M4195" t="n">
        <v>0</v>
      </c>
      <c r="N4195" t="n">
        <v>0</v>
      </c>
      <c r="O4195" t="n">
        <v>0</v>
      </c>
      <c r="P4195" t="n">
        <v>0</v>
      </c>
      <c r="Q4195" t="n">
        <v>0</v>
      </c>
      <c r="R4195" s="2" t="inlineStr"/>
    </row>
    <row r="4196" ht="15" customHeight="1">
      <c r="A4196" t="inlineStr">
        <is>
          <t>A 23459-2024</t>
        </is>
      </c>
      <c r="B4196" s="1" t="n">
        <v>45453</v>
      </c>
      <c r="C4196" s="1" t="n">
        <v>45724</v>
      </c>
      <c r="D4196" t="inlineStr">
        <is>
          <t>VÄSTMANLANDS LÄN</t>
        </is>
      </c>
      <c r="E4196" t="inlineStr">
        <is>
          <t>VÄSTERÅS</t>
        </is>
      </c>
      <c r="G4196" t="n">
        <v>7.3</v>
      </c>
      <c r="H4196" t="n">
        <v>0</v>
      </c>
      <c r="I4196" t="n">
        <v>0</v>
      </c>
      <c r="J4196" t="n">
        <v>0</v>
      </c>
      <c r="K4196" t="n">
        <v>0</v>
      </c>
      <c r="L4196" t="n">
        <v>0</v>
      </c>
      <c r="M4196" t="n">
        <v>0</v>
      </c>
      <c r="N4196" t="n">
        <v>0</v>
      </c>
      <c r="O4196" t="n">
        <v>0</v>
      </c>
      <c r="P4196" t="n">
        <v>0</v>
      </c>
      <c r="Q4196" t="n">
        <v>0</v>
      </c>
      <c r="R4196" s="2" t="inlineStr"/>
    </row>
    <row r="4197" ht="15" customHeight="1">
      <c r="A4197" t="inlineStr">
        <is>
          <t>A 23483-2024</t>
        </is>
      </c>
      <c r="B4197" s="1" t="n">
        <v>45453</v>
      </c>
      <c r="C4197" s="1" t="n">
        <v>45724</v>
      </c>
      <c r="D4197" t="inlineStr">
        <is>
          <t>VÄSTMANLANDS LÄN</t>
        </is>
      </c>
      <c r="E4197" t="inlineStr">
        <is>
          <t>VÄSTERÅS</t>
        </is>
      </c>
      <c r="G4197" t="n">
        <v>5.6</v>
      </c>
      <c r="H4197" t="n">
        <v>0</v>
      </c>
      <c r="I4197" t="n">
        <v>0</v>
      </c>
      <c r="J4197" t="n">
        <v>0</v>
      </c>
      <c r="K4197" t="n">
        <v>0</v>
      </c>
      <c r="L4197" t="n">
        <v>0</v>
      </c>
      <c r="M4197" t="n">
        <v>0</v>
      </c>
      <c r="N4197" t="n">
        <v>0</v>
      </c>
      <c r="O4197" t="n">
        <v>0</v>
      </c>
      <c r="P4197" t="n">
        <v>0</v>
      </c>
      <c r="Q4197" t="n">
        <v>0</v>
      </c>
      <c r="R4197" s="2" t="inlineStr"/>
    </row>
    <row r="4198" ht="15" customHeight="1">
      <c r="A4198" t="inlineStr">
        <is>
          <t>A 23433-2024</t>
        </is>
      </c>
      <c r="B4198" s="1" t="n">
        <v>45453</v>
      </c>
      <c r="C4198" s="1" t="n">
        <v>45724</v>
      </c>
      <c r="D4198" t="inlineStr">
        <is>
          <t>VÄSTMANLANDS LÄN</t>
        </is>
      </c>
      <c r="E4198" t="inlineStr">
        <is>
          <t>SALA</t>
        </is>
      </c>
      <c r="G4198" t="n">
        <v>2.1</v>
      </c>
      <c r="H4198" t="n">
        <v>0</v>
      </c>
      <c r="I4198" t="n">
        <v>0</v>
      </c>
      <c r="J4198" t="n">
        <v>0</v>
      </c>
      <c r="K4198" t="n">
        <v>0</v>
      </c>
      <c r="L4198" t="n">
        <v>0</v>
      </c>
      <c r="M4198" t="n">
        <v>0</v>
      </c>
      <c r="N4198" t="n">
        <v>0</v>
      </c>
      <c r="O4198" t="n">
        <v>0</v>
      </c>
      <c r="P4198" t="n">
        <v>0</v>
      </c>
      <c r="Q4198" t="n">
        <v>0</v>
      </c>
      <c r="R4198" s="2" t="inlineStr"/>
    </row>
    <row r="4199" ht="15" customHeight="1">
      <c r="A4199" t="inlineStr">
        <is>
          <t>A 23322-2024</t>
        </is>
      </c>
      <c r="B4199" s="1" t="n">
        <v>45453</v>
      </c>
      <c r="C4199" s="1" t="n">
        <v>45724</v>
      </c>
      <c r="D4199" t="inlineStr">
        <is>
          <t>VÄSTMANLANDS LÄN</t>
        </is>
      </c>
      <c r="E4199" t="inlineStr">
        <is>
          <t>SALA</t>
        </is>
      </c>
      <c r="G4199" t="n">
        <v>3.2</v>
      </c>
      <c r="H4199" t="n">
        <v>0</v>
      </c>
      <c r="I4199" t="n">
        <v>0</v>
      </c>
      <c r="J4199" t="n">
        <v>0</v>
      </c>
      <c r="K4199" t="n">
        <v>0</v>
      </c>
      <c r="L4199" t="n">
        <v>0</v>
      </c>
      <c r="M4199" t="n">
        <v>0</v>
      </c>
      <c r="N4199" t="n">
        <v>0</v>
      </c>
      <c r="O4199" t="n">
        <v>0</v>
      </c>
      <c r="P4199" t="n">
        <v>0</v>
      </c>
      <c r="Q4199" t="n">
        <v>0</v>
      </c>
      <c r="R4199" s="2" t="inlineStr"/>
    </row>
    <row r="4200" ht="15" customHeight="1">
      <c r="A4200" t="inlineStr">
        <is>
          <t>A 23621-2024</t>
        </is>
      </c>
      <c r="B4200" s="1" t="n">
        <v>45454</v>
      </c>
      <c r="C4200" s="1" t="n">
        <v>45724</v>
      </c>
      <c r="D4200" t="inlineStr">
        <is>
          <t>VÄSTMANLANDS LÄN</t>
        </is>
      </c>
      <c r="E4200" t="inlineStr">
        <is>
          <t>SALA</t>
        </is>
      </c>
      <c r="G4200" t="n">
        <v>1.4</v>
      </c>
      <c r="H4200" t="n">
        <v>0</v>
      </c>
      <c r="I4200" t="n">
        <v>0</v>
      </c>
      <c r="J4200" t="n">
        <v>0</v>
      </c>
      <c r="K4200" t="n">
        <v>0</v>
      </c>
      <c r="L4200" t="n">
        <v>0</v>
      </c>
      <c r="M4200" t="n">
        <v>0</v>
      </c>
      <c r="N4200" t="n">
        <v>0</v>
      </c>
      <c r="O4200" t="n">
        <v>0</v>
      </c>
      <c r="P4200" t="n">
        <v>0</v>
      </c>
      <c r="Q4200" t="n">
        <v>0</v>
      </c>
      <c r="R4200" s="2" t="inlineStr"/>
    </row>
    <row r="4201" ht="15" customHeight="1">
      <c r="A4201" t="inlineStr">
        <is>
          <t>A 23715-2024</t>
        </is>
      </c>
      <c r="B4201" s="1" t="n">
        <v>45454</v>
      </c>
      <c r="C4201" s="1" t="n">
        <v>45724</v>
      </c>
      <c r="D4201" t="inlineStr">
        <is>
          <t>VÄSTMANLANDS LÄN</t>
        </is>
      </c>
      <c r="E4201" t="inlineStr">
        <is>
          <t>SKINNSKATTEBERG</t>
        </is>
      </c>
      <c r="F4201" t="inlineStr">
        <is>
          <t>Sveaskog</t>
        </is>
      </c>
      <c r="G4201" t="n">
        <v>9.800000000000001</v>
      </c>
      <c r="H4201" t="n">
        <v>0</v>
      </c>
      <c r="I4201" t="n">
        <v>0</v>
      </c>
      <c r="J4201" t="n">
        <v>0</v>
      </c>
      <c r="K4201" t="n">
        <v>0</v>
      </c>
      <c r="L4201" t="n">
        <v>0</v>
      </c>
      <c r="M4201" t="n">
        <v>0</v>
      </c>
      <c r="N4201" t="n">
        <v>0</v>
      </c>
      <c r="O4201" t="n">
        <v>0</v>
      </c>
      <c r="P4201" t="n">
        <v>0</v>
      </c>
      <c r="Q4201" t="n">
        <v>0</v>
      </c>
      <c r="R4201" s="2" t="inlineStr"/>
    </row>
    <row r="4202" ht="15" customHeight="1">
      <c r="A4202" t="inlineStr">
        <is>
          <t>A 23702-2024</t>
        </is>
      </c>
      <c r="B4202" s="1" t="n">
        <v>45454</v>
      </c>
      <c r="C4202" s="1" t="n">
        <v>45724</v>
      </c>
      <c r="D4202" t="inlineStr">
        <is>
          <t>VÄSTMANLANDS LÄN</t>
        </is>
      </c>
      <c r="E4202" t="inlineStr">
        <is>
          <t>NORBERG</t>
        </is>
      </c>
      <c r="G4202" t="n">
        <v>3.7</v>
      </c>
      <c r="H4202" t="n">
        <v>0</v>
      </c>
      <c r="I4202" t="n">
        <v>0</v>
      </c>
      <c r="J4202" t="n">
        <v>0</v>
      </c>
      <c r="K4202" t="n">
        <v>0</v>
      </c>
      <c r="L4202" t="n">
        <v>0</v>
      </c>
      <c r="M4202" t="n">
        <v>0</v>
      </c>
      <c r="N4202" t="n">
        <v>0</v>
      </c>
      <c r="O4202" t="n">
        <v>0</v>
      </c>
      <c r="P4202" t="n">
        <v>0</v>
      </c>
      <c r="Q4202" t="n">
        <v>0</v>
      </c>
      <c r="R4202" s="2" t="inlineStr"/>
    </row>
    <row r="4203" ht="15" customHeight="1">
      <c r="A4203" t="inlineStr">
        <is>
          <t>A 23705-2024</t>
        </is>
      </c>
      <c r="B4203" s="1" t="n">
        <v>45454</v>
      </c>
      <c r="C4203" s="1" t="n">
        <v>45724</v>
      </c>
      <c r="D4203" t="inlineStr">
        <is>
          <t>VÄSTMANLANDS LÄN</t>
        </is>
      </c>
      <c r="E4203" t="inlineStr">
        <is>
          <t>NORBERG</t>
        </is>
      </c>
      <c r="G4203" t="n">
        <v>2.3</v>
      </c>
      <c r="H4203" t="n">
        <v>0</v>
      </c>
      <c r="I4203" t="n">
        <v>0</v>
      </c>
      <c r="J4203" t="n">
        <v>0</v>
      </c>
      <c r="K4203" t="n">
        <v>0</v>
      </c>
      <c r="L4203" t="n">
        <v>0</v>
      </c>
      <c r="M4203" t="n">
        <v>0</v>
      </c>
      <c r="N4203" t="n">
        <v>0</v>
      </c>
      <c r="O4203" t="n">
        <v>0</v>
      </c>
      <c r="P4203" t="n">
        <v>0</v>
      </c>
      <c r="Q4203" t="n">
        <v>0</v>
      </c>
      <c r="R4203" s="2" t="inlineStr"/>
    </row>
    <row r="4204" ht="15" customHeight="1">
      <c r="A4204" t="inlineStr">
        <is>
          <t>A 23894-2024</t>
        </is>
      </c>
      <c r="B4204" s="1" t="n">
        <v>45455</v>
      </c>
      <c r="C4204" s="1" t="n">
        <v>45724</v>
      </c>
      <c r="D4204" t="inlineStr">
        <is>
          <t>VÄSTMANLANDS LÄN</t>
        </is>
      </c>
      <c r="E4204" t="inlineStr">
        <is>
          <t>SKINNSKATTEBERG</t>
        </is>
      </c>
      <c r="F4204" t="inlineStr">
        <is>
          <t>Sveaskog</t>
        </is>
      </c>
      <c r="G4204" t="n">
        <v>4.3</v>
      </c>
      <c r="H4204" t="n">
        <v>0</v>
      </c>
      <c r="I4204" t="n">
        <v>0</v>
      </c>
      <c r="J4204" t="n">
        <v>0</v>
      </c>
      <c r="K4204" t="n">
        <v>0</v>
      </c>
      <c r="L4204" t="n">
        <v>0</v>
      </c>
      <c r="M4204" t="n">
        <v>0</v>
      </c>
      <c r="N4204" t="n">
        <v>0</v>
      </c>
      <c r="O4204" t="n">
        <v>0</v>
      </c>
      <c r="P4204" t="n">
        <v>0</v>
      </c>
      <c r="Q4204" t="n">
        <v>0</v>
      </c>
      <c r="R4204" s="2" t="inlineStr"/>
    </row>
    <row r="4205" ht="15" customHeight="1">
      <c r="A4205" t="inlineStr">
        <is>
          <t>A 23899-2024</t>
        </is>
      </c>
      <c r="B4205" s="1" t="n">
        <v>45455</v>
      </c>
      <c r="C4205" s="1" t="n">
        <v>45724</v>
      </c>
      <c r="D4205" t="inlineStr">
        <is>
          <t>VÄSTMANLANDS LÄN</t>
        </is>
      </c>
      <c r="E4205" t="inlineStr">
        <is>
          <t>NORBERG</t>
        </is>
      </c>
      <c r="G4205" t="n">
        <v>8.699999999999999</v>
      </c>
      <c r="H4205" t="n">
        <v>0</v>
      </c>
      <c r="I4205" t="n">
        <v>0</v>
      </c>
      <c r="J4205" t="n">
        <v>0</v>
      </c>
      <c r="K4205" t="n">
        <v>0</v>
      </c>
      <c r="L4205" t="n">
        <v>0</v>
      </c>
      <c r="M4205" t="n">
        <v>0</v>
      </c>
      <c r="N4205" t="n">
        <v>0</v>
      </c>
      <c r="O4205" t="n">
        <v>0</v>
      </c>
      <c r="P4205" t="n">
        <v>0</v>
      </c>
      <c r="Q4205" t="n">
        <v>0</v>
      </c>
      <c r="R4205" s="2" t="inlineStr"/>
    </row>
    <row r="4206" ht="15" customHeight="1">
      <c r="A4206" t="inlineStr">
        <is>
          <t>A 24039-2024</t>
        </is>
      </c>
      <c r="B4206" s="1" t="n">
        <v>45456</v>
      </c>
      <c r="C4206" s="1" t="n">
        <v>45724</v>
      </c>
      <c r="D4206" t="inlineStr">
        <is>
          <t>VÄSTMANLANDS LÄN</t>
        </is>
      </c>
      <c r="E4206" t="inlineStr">
        <is>
          <t>SALA</t>
        </is>
      </c>
      <c r="G4206" t="n">
        <v>1.2</v>
      </c>
      <c r="H4206" t="n">
        <v>0</v>
      </c>
      <c r="I4206" t="n">
        <v>0</v>
      </c>
      <c r="J4206" t="n">
        <v>0</v>
      </c>
      <c r="K4206" t="n">
        <v>0</v>
      </c>
      <c r="L4206" t="n">
        <v>0</v>
      </c>
      <c r="M4206" t="n">
        <v>0</v>
      </c>
      <c r="N4206" t="n">
        <v>0</v>
      </c>
      <c r="O4206" t="n">
        <v>0</v>
      </c>
      <c r="P4206" t="n">
        <v>0</v>
      </c>
      <c r="Q4206" t="n">
        <v>0</v>
      </c>
      <c r="R4206" s="2" t="inlineStr"/>
    </row>
    <row r="4207" ht="15" customHeight="1">
      <c r="A4207" t="inlineStr">
        <is>
          <t>A 24114-2024</t>
        </is>
      </c>
      <c r="B4207" s="1" t="n">
        <v>45456</v>
      </c>
      <c r="C4207" s="1" t="n">
        <v>45724</v>
      </c>
      <c r="D4207" t="inlineStr">
        <is>
          <t>VÄSTMANLANDS LÄN</t>
        </is>
      </c>
      <c r="E4207" t="inlineStr">
        <is>
          <t>VÄSTERÅS</t>
        </is>
      </c>
      <c r="G4207" t="n">
        <v>5.2</v>
      </c>
      <c r="H4207" t="n">
        <v>0</v>
      </c>
      <c r="I4207" t="n">
        <v>0</v>
      </c>
      <c r="J4207" t="n">
        <v>0</v>
      </c>
      <c r="K4207" t="n">
        <v>0</v>
      </c>
      <c r="L4207" t="n">
        <v>0</v>
      </c>
      <c r="M4207" t="n">
        <v>0</v>
      </c>
      <c r="N4207" t="n">
        <v>0</v>
      </c>
      <c r="O4207" t="n">
        <v>0</v>
      </c>
      <c r="P4207" t="n">
        <v>0</v>
      </c>
      <c r="Q4207" t="n">
        <v>0</v>
      </c>
      <c r="R4207" s="2" t="inlineStr"/>
    </row>
    <row r="4208" ht="15" customHeight="1">
      <c r="A4208" t="inlineStr">
        <is>
          <t>A 24128-2024</t>
        </is>
      </c>
      <c r="B4208" s="1" t="n">
        <v>45456</v>
      </c>
      <c r="C4208" s="1" t="n">
        <v>45724</v>
      </c>
      <c r="D4208" t="inlineStr">
        <is>
          <t>VÄSTMANLANDS LÄN</t>
        </is>
      </c>
      <c r="E4208" t="inlineStr">
        <is>
          <t>KÖPING</t>
        </is>
      </c>
      <c r="F4208" t="inlineStr">
        <is>
          <t>Sveaskog</t>
        </is>
      </c>
      <c r="G4208" t="n">
        <v>11.4</v>
      </c>
      <c r="H4208" t="n">
        <v>0</v>
      </c>
      <c r="I4208" t="n">
        <v>0</v>
      </c>
      <c r="J4208" t="n">
        <v>0</v>
      </c>
      <c r="K4208" t="n">
        <v>0</v>
      </c>
      <c r="L4208" t="n">
        <v>0</v>
      </c>
      <c r="M4208" t="n">
        <v>0</v>
      </c>
      <c r="N4208" t="n">
        <v>0</v>
      </c>
      <c r="O4208" t="n">
        <v>0</v>
      </c>
      <c r="P4208" t="n">
        <v>0</v>
      </c>
      <c r="Q4208" t="n">
        <v>0</v>
      </c>
      <c r="R4208" s="2" t="inlineStr"/>
    </row>
    <row r="4209" ht="15" customHeight="1">
      <c r="A4209" t="inlineStr">
        <is>
          <t>A 24121-2024</t>
        </is>
      </c>
      <c r="B4209" s="1" t="n">
        <v>45456</v>
      </c>
      <c r="C4209" s="1" t="n">
        <v>45724</v>
      </c>
      <c r="D4209" t="inlineStr">
        <is>
          <t>VÄSTMANLANDS LÄN</t>
        </is>
      </c>
      <c r="E4209" t="inlineStr">
        <is>
          <t>VÄSTERÅS</t>
        </is>
      </c>
      <c r="G4209" t="n">
        <v>3.9</v>
      </c>
      <c r="H4209" t="n">
        <v>0</v>
      </c>
      <c r="I4209" t="n">
        <v>0</v>
      </c>
      <c r="J4209" t="n">
        <v>0</v>
      </c>
      <c r="K4209" t="n">
        <v>0</v>
      </c>
      <c r="L4209" t="n">
        <v>0</v>
      </c>
      <c r="M4209" t="n">
        <v>0</v>
      </c>
      <c r="N4209" t="n">
        <v>0</v>
      </c>
      <c r="O4209" t="n">
        <v>0</v>
      </c>
      <c r="P4209" t="n">
        <v>0</v>
      </c>
      <c r="Q4209" t="n">
        <v>0</v>
      </c>
      <c r="R4209" s="2" t="inlineStr"/>
    </row>
    <row r="4210" ht="15" customHeight="1">
      <c r="A4210" t="inlineStr">
        <is>
          <t>A 24133-2024</t>
        </is>
      </c>
      <c r="B4210" s="1" t="n">
        <v>45456</v>
      </c>
      <c r="C4210" s="1" t="n">
        <v>45724</v>
      </c>
      <c r="D4210" t="inlineStr">
        <is>
          <t>VÄSTMANLANDS LÄN</t>
        </is>
      </c>
      <c r="E4210" t="inlineStr">
        <is>
          <t>SKINNSKATTEBERG</t>
        </is>
      </c>
      <c r="F4210" t="inlineStr">
        <is>
          <t>Sveaskog</t>
        </is>
      </c>
      <c r="G4210" t="n">
        <v>4.2</v>
      </c>
      <c r="H4210" t="n">
        <v>0</v>
      </c>
      <c r="I4210" t="n">
        <v>0</v>
      </c>
      <c r="J4210" t="n">
        <v>0</v>
      </c>
      <c r="K4210" t="n">
        <v>0</v>
      </c>
      <c r="L4210" t="n">
        <v>0</v>
      </c>
      <c r="M4210" t="n">
        <v>0</v>
      </c>
      <c r="N4210" t="n">
        <v>0</v>
      </c>
      <c r="O4210" t="n">
        <v>0</v>
      </c>
      <c r="P4210" t="n">
        <v>0</v>
      </c>
      <c r="Q4210" t="n">
        <v>0</v>
      </c>
      <c r="R4210" s="2" t="inlineStr"/>
    </row>
    <row r="4211" ht="15" customHeight="1">
      <c r="A4211" t="inlineStr">
        <is>
          <t>A 24132-2024</t>
        </is>
      </c>
      <c r="B4211" s="1" t="n">
        <v>45456</v>
      </c>
      <c r="C4211" s="1" t="n">
        <v>45724</v>
      </c>
      <c r="D4211" t="inlineStr">
        <is>
          <t>VÄSTMANLANDS LÄN</t>
        </is>
      </c>
      <c r="E4211" t="inlineStr">
        <is>
          <t>KÖPING</t>
        </is>
      </c>
      <c r="F4211" t="inlineStr">
        <is>
          <t>Sveaskog</t>
        </is>
      </c>
      <c r="G4211" t="n">
        <v>2.4</v>
      </c>
      <c r="H4211" t="n">
        <v>0</v>
      </c>
      <c r="I4211" t="n">
        <v>0</v>
      </c>
      <c r="J4211" t="n">
        <v>0</v>
      </c>
      <c r="K4211" t="n">
        <v>0</v>
      </c>
      <c r="L4211" t="n">
        <v>0</v>
      </c>
      <c r="M4211" t="n">
        <v>0</v>
      </c>
      <c r="N4211" t="n">
        <v>0</v>
      </c>
      <c r="O4211" t="n">
        <v>0</v>
      </c>
      <c r="P4211" t="n">
        <v>0</v>
      </c>
      <c r="Q4211" t="n">
        <v>0</v>
      </c>
      <c r="R4211" s="2" t="inlineStr"/>
    </row>
    <row r="4212" ht="15" customHeight="1">
      <c r="A4212" t="inlineStr">
        <is>
          <t>A 24037-2024</t>
        </is>
      </c>
      <c r="B4212" s="1" t="n">
        <v>45456</v>
      </c>
      <c r="C4212" s="1" t="n">
        <v>45724</v>
      </c>
      <c r="D4212" t="inlineStr">
        <is>
          <t>VÄSTMANLANDS LÄN</t>
        </is>
      </c>
      <c r="E4212" t="inlineStr">
        <is>
          <t>SALA</t>
        </is>
      </c>
      <c r="G4212" t="n">
        <v>1.4</v>
      </c>
      <c r="H4212" t="n">
        <v>0</v>
      </c>
      <c r="I4212" t="n">
        <v>0</v>
      </c>
      <c r="J4212" t="n">
        <v>0</v>
      </c>
      <c r="K4212" t="n">
        <v>0</v>
      </c>
      <c r="L4212" t="n">
        <v>0</v>
      </c>
      <c r="M4212" t="n">
        <v>0</v>
      </c>
      <c r="N4212" t="n">
        <v>0</v>
      </c>
      <c r="O4212" t="n">
        <v>0</v>
      </c>
      <c r="P4212" t="n">
        <v>0</v>
      </c>
      <c r="Q4212" t="n">
        <v>0</v>
      </c>
      <c r="R4212" s="2" t="inlineStr"/>
    </row>
    <row r="4213" ht="15" customHeight="1">
      <c r="A4213" t="inlineStr">
        <is>
          <t>A 24130-2024</t>
        </is>
      </c>
      <c r="B4213" s="1" t="n">
        <v>45456</v>
      </c>
      <c r="C4213" s="1" t="n">
        <v>45724</v>
      </c>
      <c r="D4213" t="inlineStr">
        <is>
          <t>VÄSTMANLANDS LÄN</t>
        </is>
      </c>
      <c r="E4213" t="inlineStr">
        <is>
          <t>KÖPING</t>
        </is>
      </c>
      <c r="F4213" t="inlineStr">
        <is>
          <t>Sveaskog</t>
        </is>
      </c>
      <c r="G4213" t="n">
        <v>1.4</v>
      </c>
      <c r="H4213" t="n">
        <v>0</v>
      </c>
      <c r="I4213" t="n">
        <v>0</v>
      </c>
      <c r="J4213" t="n">
        <v>0</v>
      </c>
      <c r="K4213" t="n">
        <v>0</v>
      </c>
      <c r="L4213" t="n">
        <v>0</v>
      </c>
      <c r="M4213" t="n">
        <v>0</v>
      </c>
      <c r="N4213" t="n">
        <v>0</v>
      </c>
      <c r="O4213" t="n">
        <v>0</v>
      </c>
      <c r="P4213" t="n">
        <v>0</v>
      </c>
      <c r="Q4213" t="n">
        <v>0</v>
      </c>
      <c r="R4213" s="2" t="inlineStr"/>
    </row>
    <row r="4214" ht="15" customHeight="1">
      <c r="A4214" t="inlineStr">
        <is>
          <t>A 24167-2024</t>
        </is>
      </c>
      <c r="B4214" s="1" t="n">
        <v>45456</v>
      </c>
      <c r="C4214" s="1" t="n">
        <v>45724</v>
      </c>
      <c r="D4214" t="inlineStr">
        <is>
          <t>VÄSTMANLANDS LÄN</t>
        </is>
      </c>
      <c r="E4214" t="inlineStr">
        <is>
          <t>SURAHAMMAR</t>
        </is>
      </c>
      <c r="G4214" t="n">
        <v>0.6</v>
      </c>
      <c r="H4214" t="n">
        <v>0</v>
      </c>
      <c r="I4214" t="n">
        <v>0</v>
      </c>
      <c r="J4214" t="n">
        <v>0</v>
      </c>
      <c r="K4214" t="n">
        <v>0</v>
      </c>
      <c r="L4214" t="n">
        <v>0</v>
      </c>
      <c r="M4214" t="n">
        <v>0</v>
      </c>
      <c r="N4214" t="n">
        <v>0</v>
      </c>
      <c r="O4214" t="n">
        <v>0</v>
      </c>
      <c r="P4214" t="n">
        <v>0</v>
      </c>
      <c r="Q4214" t="n">
        <v>0</v>
      </c>
      <c r="R4214" s="2" t="inlineStr"/>
    </row>
    <row r="4215" ht="15" customHeight="1">
      <c r="A4215" t="inlineStr">
        <is>
          <t>A 24175-2024</t>
        </is>
      </c>
      <c r="B4215" s="1" t="n">
        <v>45456</v>
      </c>
      <c r="C4215" s="1" t="n">
        <v>45724</v>
      </c>
      <c r="D4215" t="inlineStr">
        <is>
          <t>VÄSTMANLANDS LÄN</t>
        </is>
      </c>
      <c r="E4215" t="inlineStr">
        <is>
          <t>SALA</t>
        </is>
      </c>
      <c r="G4215" t="n">
        <v>0.6</v>
      </c>
      <c r="H4215" t="n">
        <v>0</v>
      </c>
      <c r="I4215" t="n">
        <v>0</v>
      </c>
      <c r="J4215" t="n">
        <v>0</v>
      </c>
      <c r="K4215" t="n">
        <v>0</v>
      </c>
      <c r="L4215" t="n">
        <v>0</v>
      </c>
      <c r="M4215" t="n">
        <v>0</v>
      </c>
      <c r="N4215" t="n">
        <v>0</v>
      </c>
      <c r="O4215" t="n">
        <v>0</v>
      </c>
      <c r="P4215" t="n">
        <v>0</v>
      </c>
      <c r="Q4215" t="n">
        <v>0</v>
      </c>
      <c r="R4215" s="2" t="inlineStr"/>
    </row>
    <row r="4216" ht="15" customHeight="1">
      <c r="A4216" t="inlineStr">
        <is>
          <t>A 24083-2024</t>
        </is>
      </c>
      <c r="B4216" s="1" t="n">
        <v>45456</v>
      </c>
      <c r="C4216" s="1" t="n">
        <v>45724</v>
      </c>
      <c r="D4216" t="inlineStr">
        <is>
          <t>VÄSTMANLANDS LÄN</t>
        </is>
      </c>
      <c r="E4216" t="inlineStr">
        <is>
          <t>ARBOGA</t>
        </is>
      </c>
      <c r="G4216" t="n">
        <v>7.5</v>
      </c>
      <c r="H4216" t="n">
        <v>0</v>
      </c>
      <c r="I4216" t="n">
        <v>0</v>
      </c>
      <c r="J4216" t="n">
        <v>0</v>
      </c>
      <c r="K4216" t="n">
        <v>0</v>
      </c>
      <c r="L4216" t="n">
        <v>0</v>
      </c>
      <c r="M4216" t="n">
        <v>0</v>
      </c>
      <c r="N4216" t="n">
        <v>0</v>
      </c>
      <c r="O4216" t="n">
        <v>0</v>
      </c>
      <c r="P4216" t="n">
        <v>0</v>
      </c>
      <c r="Q4216" t="n">
        <v>0</v>
      </c>
      <c r="R4216" s="2" t="inlineStr"/>
    </row>
    <row r="4217" ht="15" customHeight="1">
      <c r="A4217" t="inlineStr">
        <is>
          <t>A 24168-2024</t>
        </is>
      </c>
      <c r="B4217" s="1" t="n">
        <v>45456</v>
      </c>
      <c r="C4217" s="1" t="n">
        <v>45724</v>
      </c>
      <c r="D4217" t="inlineStr">
        <is>
          <t>VÄSTMANLANDS LÄN</t>
        </is>
      </c>
      <c r="E4217" t="inlineStr">
        <is>
          <t>SURAHAMMAR</t>
        </is>
      </c>
      <c r="G4217" t="n">
        <v>0.6</v>
      </c>
      <c r="H4217" t="n">
        <v>0</v>
      </c>
      <c r="I4217" t="n">
        <v>0</v>
      </c>
      <c r="J4217" t="n">
        <v>0</v>
      </c>
      <c r="K4217" t="n">
        <v>0</v>
      </c>
      <c r="L4217" t="n">
        <v>0</v>
      </c>
      <c r="M4217" t="n">
        <v>0</v>
      </c>
      <c r="N4217" t="n">
        <v>0</v>
      </c>
      <c r="O4217" t="n">
        <v>0</v>
      </c>
      <c r="P4217" t="n">
        <v>0</v>
      </c>
      <c r="Q4217" t="n">
        <v>0</v>
      </c>
      <c r="R4217" s="2" t="inlineStr"/>
    </row>
    <row r="4218" ht="15" customHeight="1">
      <c r="A4218" t="inlineStr">
        <is>
          <t>A 24402-2024</t>
        </is>
      </c>
      <c r="B4218" s="1" t="n">
        <v>45457</v>
      </c>
      <c r="C4218" s="1" t="n">
        <v>45724</v>
      </c>
      <c r="D4218" t="inlineStr">
        <is>
          <t>VÄSTMANLANDS LÄN</t>
        </is>
      </c>
      <c r="E4218" t="inlineStr">
        <is>
          <t>VÄSTERÅS</t>
        </is>
      </c>
      <c r="G4218" t="n">
        <v>4.6</v>
      </c>
      <c r="H4218" t="n">
        <v>0</v>
      </c>
      <c r="I4218" t="n">
        <v>0</v>
      </c>
      <c r="J4218" t="n">
        <v>0</v>
      </c>
      <c r="K4218" t="n">
        <v>0</v>
      </c>
      <c r="L4218" t="n">
        <v>0</v>
      </c>
      <c r="M4218" t="n">
        <v>0</v>
      </c>
      <c r="N4218" t="n">
        <v>0</v>
      </c>
      <c r="O4218" t="n">
        <v>0</v>
      </c>
      <c r="P4218" t="n">
        <v>0</v>
      </c>
      <c r="Q4218" t="n">
        <v>0</v>
      </c>
      <c r="R4218" s="2" t="inlineStr"/>
    </row>
    <row r="4219" ht="15" customHeight="1">
      <c r="A4219" t="inlineStr">
        <is>
          <t>A 24337-2024</t>
        </is>
      </c>
      <c r="B4219" s="1" t="n">
        <v>45457</v>
      </c>
      <c r="C4219" s="1" t="n">
        <v>45724</v>
      </c>
      <c r="D4219" t="inlineStr">
        <is>
          <t>VÄSTMANLANDS LÄN</t>
        </is>
      </c>
      <c r="E4219" t="inlineStr">
        <is>
          <t>SALA</t>
        </is>
      </c>
      <c r="G4219" t="n">
        <v>2.9</v>
      </c>
      <c r="H4219" t="n">
        <v>0</v>
      </c>
      <c r="I4219" t="n">
        <v>0</v>
      </c>
      <c r="J4219" t="n">
        <v>0</v>
      </c>
      <c r="K4219" t="n">
        <v>0</v>
      </c>
      <c r="L4219" t="n">
        <v>0</v>
      </c>
      <c r="M4219" t="n">
        <v>0</v>
      </c>
      <c r="N4219" t="n">
        <v>0</v>
      </c>
      <c r="O4219" t="n">
        <v>0</v>
      </c>
      <c r="P4219" t="n">
        <v>0</v>
      </c>
      <c r="Q4219" t="n">
        <v>0</v>
      </c>
      <c r="R4219" s="2" t="inlineStr"/>
    </row>
    <row r="4220" ht="15" customHeight="1">
      <c r="A4220" t="inlineStr">
        <is>
          <t>A 24369-2024</t>
        </is>
      </c>
      <c r="B4220" s="1" t="n">
        <v>45457</v>
      </c>
      <c r="C4220" s="1" t="n">
        <v>45724</v>
      </c>
      <c r="D4220" t="inlineStr">
        <is>
          <t>VÄSTMANLANDS LÄN</t>
        </is>
      </c>
      <c r="E4220" t="inlineStr">
        <is>
          <t>SKINNSKATTEBERG</t>
        </is>
      </c>
      <c r="F4220" t="inlineStr">
        <is>
          <t>Sveaskog</t>
        </is>
      </c>
      <c r="G4220" t="n">
        <v>0.7</v>
      </c>
      <c r="H4220" t="n">
        <v>0</v>
      </c>
      <c r="I4220" t="n">
        <v>0</v>
      </c>
      <c r="J4220" t="n">
        <v>0</v>
      </c>
      <c r="K4220" t="n">
        <v>0</v>
      </c>
      <c r="L4220" t="n">
        <v>0</v>
      </c>
      <c r="M4220" t="n">
        <v>0</v>
      </c>
      <c r="N4220" t="n">
        <v>0</v>
      </c>
      <c r="O4220" t="n">
        <v>0</v>
      </c>
      <c r="P4220" t="n">
        <v>0</v>
      </c>
      <c r="Q4220" t="n">
        <v>0</v>
      </c>
      <c r="R4220" s="2" t="inlineStr"/>
    </row>
    <row r="4221" ht="15" customHeight="1">
      <c r="A4221" t="inlineStr">
        <is>
          <t>A 24385-2024</t>
        </is>
      </c>
      <c r="B4221" s="1" t="n">
        <v>45457</v>
      </c>
      <c r="C4221" s="1" t="n">
        <v>45724</v>
      </c>
      <c r="D4221" t="inlineStr">
        <is>
          <t>VÄSTMANLANDS LÄN</t>
        </is>
      </c>
      <c r="E4221" t="inlineStr">
        <is>
          <t>SKINNSKATTEBERG</t>
        </is>
      </c>
      <c r="F4221" t="inlineStr">
        <is>
          <t>Sveaskog</t>
        </is>
      </c>
      <c r="G4221" t="n">
        <v>1.1</v>
      </c>
      <c r="H4221" t="n">
        <v>0</v>
      </c>
      <c r="I4221" t="n">
        <v>0</v>
      </c>
      <c r="J4221" t="n">
        <v>0</v>
      </c>
      <c r="K4221" t="n">
        <v>0</v>
      </c>
      <c r="L4221" t="n">
        <v>0</v>
      </c>
      <c r="M4221" t="n">
        <v>0</v>
      </c>
      <c r="N4221" t="n">
        <v>0</v>
      </c>
      <c r="O4221" t="n">
        <v>0</v>
      </c>
      <c r="P4221" t="n">
        <v>0</v>
      </c>
      <c r="Q4221" t="n">
        <v>0</v>
      </c>
      <c r="R4221" s="2" t="inlineStr"/>
    </row>
    <row r="4222" ht="15" customHeight="1">
      <c r="A4222" t="inlineStr">
        <is>
          <t>A 24360-2024</t>
        </is>
      </c>
      <c r="B4222" s="1" t="n">
        <v>45457</v>
      </c>
      <c r="C4222" s="1" t="n">
        <v>45724</v>
      </c>
      <c r="D4222" t="inlineStr">
        <is>
          <t>VÄSTMANLANDS LÄN</t>
        </is>
      </c>
      <c r="E4222" t="inlineStr">
        <is>
          <t>SKINNSKATTEBERG</t>
        </is>
      </c>
      <c r="F4222" t="inlineStr">
        <is>
          <t>Sveaskog</t>
        </is>
      </c>
      <c r="G4222" t="n">
        <v>4.5</v>
      </c>
      <c r="H4222" t="n">
        <v>0</v>
      </c>
      <c r="I4222" t="n">
        <v>0</v>
      </c>
      <c r="J4222" t="n">
        <v>0</v>
      </c>
      <c r="K4222" t="n">
        <v>0</v>
      </c>
      <c r="L4222" t="n">
        <v>0</v>
      </c>
      <c r="M4222" t="n">
        <v>0</v>
      </c>
      <c r="N4222" t="n">
        <v>0</v>
      </c>
      <c r="O4222" t="n">
        <v>0</v>
      </c>
      <c r="P4222" t="n">
        <v>0</v>
      </c>
      <c r="Q4222" t="n">
        <v>0</v>
      </c>
      <c r="R4222" s="2" t="inlineStr"/>
    </row>
    <row r="4223" ht="15" customHeight="1">
      <c r="A4223" t="inlineStr">
        <is>
          <t>A 24364-2024</t>
        </is>
      </c>
      <c r="B4223" s="1" t="n">
        <v>45457</v>
      </c>
      <c r="C4223" s="1" t="n">
        <v>45724</v>
      </c>
      <c r="D4223" t="inlineStr">
        <is>
          <t>VÄSTMANLANDS LÄN</t>
        </is>
      </c>
      <c r="E4223" t="inlineStr">
        <is>
          <t>SKINNSKATTEBERG</t>
        </is>
      </c>
      <c r="F4223" t="inlineStr">
        <is>
          <t>Sveaskog</t>
        </is>
      </c>
      <c r="G4223" t="n">
        <v>1.3</v>
      </c>
      <c r="H4223" t="n">
        <v>0</v>
      </c>
      <c r="I4223" t="n">
        <v>0</v>
      </c>
      <c r="J4223" t="n">
        <v>0</v>
      </c>
      <c r="K4223" t="n">
        <v>0</v>
      </c>
      <c r="L4223" t="n">
        <v>0</v>
      </c>
      <c r="M4223" t="n">
        <v>0</v>
      </c>
      <c r="N4223" t="n">
        <v>0</v>
      </c>
      <c r="O4223" t="n">
        <v>0</v>
      </c>
      <c r="P4223" t="n">
        <v>0</v>
      </c>
      <c r="Q4223" t="n">
        <v>0</v>
      </c>
      <c r="R4223" s="2" t="inlineStr"/>
    </row>
    <row r="4224" ht="15" customHeight="1">
      <c r="A4224" t="inlineStr">
        <is>
          <t>A 24367-2024</t>
        </is>
      </c>
      <c r="B4224" s="1" t="n">
        <v>45457</v>
      </c>
      <c r="C4224" s="1" t="n">
        <v>45724</v>
      </c>
      <c r="D4224" t="inlineStr">
        <is>
          <t>VÄSTMANLANDS LÄN</t>
        </is>
      </c>
      <c r="E4224" t="inlineStr">
        <is>
          <t>SKINNSKATTEBERG</t>
        </is>
      </c>
      <c r="F4224" t="inlineStr">
        <is>
          <t>Sveaskog</t>
        </is>
      </c>
      <c r="G4224" t="n">
        <v>2.5</v>
      </c>
      <c r="H4224" t="n">
        <v>0</v>
      </c>
      <c r="I4224" t="n">
        <v>0</v>
      </c>
      <c r="J4224" t="n">
        <v>0</v>
      </c>
      <c r="K4224" t="n">
        <v>0</v>
      </c>
      <c r="L4224" t="n">
        <v>0</v>
      </c>
      <c r="M4224" t="n">
        <v>0</v>
      </c>
      <c r="N4224" t="n">
        <v>0</v>
      </c>
      <c r="O4224" t="n">
        <v>0</v>
      </c>
      <c r="P4224" t="n">
        <v>0</v>
      </c>
      <c r="Q4224" t="n">
        <v>0</v>
      </c>
      <c r="R4224" s="2" t="inlineStr"/>
    </row>
    <row r="4225" ht="15" customHeight="1">
      <c r="A4225" t="inlineStr">
        <is>
          <t>A 24371-2024</t>
        </is>
      </c>
      <c r="B4225" s="1" t="n">
        <v>45457</v>
      </c>
      <c r="C4225" s="1" t="n">
        <v>45724</v>
      </c>
      <c r="D4225" t="inlineStr">
        <is>
          <t>VÄSTMANLANDS LÄN</t>
        </is>
      </c>
      <c r="E4225" t="inlineStr">
        <is>
          <t>SKINNSKATTEBERG</t>
        </is>
      </c>
      <c r="F4225" t="inlineStr">
        <is>
          <t>Sveaskog</t>
        </is>
      </c>
      <c r="G4225" t="n">
        <v>3.6</v>
      </c>
      <c r="H4225" t="n">
        <v>0</v>
      </c>
      <c r="I4225" t="n">
        <v>0</v>
      </c>
      <c r="J4225" t="n">
        <v>0</v>
      </c>
      <c r="K4225" t="n">
        <v>0</v>
      </c>
      <c r="L4225" t="n">
        <v>0</v>
      </c>
      <c r="M4225" t="n">
        <v>0</v>
      </c>
      <c r="N4225" t="n">
        <v>0</v>
      </c>
      <c r="O4225" t="n">
        <v>0</v>
      </c>
      <c r="P4225" t="n">
        <v>0</v>
      </c>
      <c r="Q4225" t="n">
        <v>0</v>
      </c>
      <c r="R4225" s="2" t="inlineStr"/>
    </row>
    <row r="4226" ht="15" customHeight="1">
      <c r="A4226" t="inlineStr">
        <is>
          <t>A 24375-2024</t>
        </is>
      </c>
      <c r="B4226" s="1" t="n">
        <v>45457</v>
      </c>
      <c r="C4226" s="1" t="n">
        <v>45724</v>
      </c>
      <c r="D4226" t="inlineStr">
        <is>
          <t>VÄSTMANLANDS LÄN</t>
        </is>
      </c>
      <c r="E4226" t="inlineStr">
        <is>
          <t>SALA</t>
        </is>
      </c>
      <c r="G4226" t="n">
        <v>6.3</v>
      </c>
      <c r="H4226" t="n">
        <v>0</v>
      </c>
      <c r="I4226" t="n">
        <v>0</v>
      </c>
      <c r="J4226" t="n">
        <v>0</v>
      </c>
      <c r="K4226" t="n">
        <v>0</v>
      </c>
      <c r="L4226" t="n">
        <v>0</v>
      </c>
      <c r="M4226" t="n">
        <v>0</v>
      </c>
      <c r="N4226" t="n">
        <v>0</v>
      </c>
      <c r="O4226" t="n">
        <v>0</v>
      </c>
      <c r="P4226" t="n">
        <v>0</v>
      </c>
      <c r="Q4226" t="n">
        <v>0</v>
      </c>
      <c r="R4226" s="2" t="inlineStr"/>
    </row>
    <row r="4227" ht="15" customHeight="1">
      <c r="A4227" t="inlineStr">
        <is>
          <t>A 24379-2024</t>
        </is>
      </c>
      <c r="B4227" s="1" t="n">
        <v>45457</v>
      </c>
      <c r="C4227" s="1" t="n">
        <v>45724</v>
      </c>
      <c r="D4227" t="inlineStr">
        <is>
          <t>VÄSTMANLANDS LÄN</t>
        </is>
      </c>
      <c r="E4227" t="inlineStr">
        <is>
          <t>SKINNSKATTEBERG</t>
        </is>
      </c>
      <c r="F4227" t="inlineStr">
        <is>
          <t>Sveaskog</t>
        </is>
      </c>
      <c r="G4227" t="n">
        <v>1.3</v>
      </c>
      <c r="H4227" t="n">
        <v>0</v>
      </c>
      <c r="I4227" t="n">
        <v>0</v>
      </c>
      <c r="J4227" t="n">
        <v>0</v>
      </c>
      <c r="K4227" t="n">
        <v>0</v>
      </c>
      <c r="L4227" t="n">
        <v>0</v>
      </c>
      <c r="M4227" t="n">
        <v>0</v>
      </c>
      <c r="N4227" t="n">
        <v>0</v>
      </c>
      <c r="O4227" t="n">
        <v>0</v>
      </c>
      <c r="P4227" t="n">
        <v>0</v>
      </c>
      <c r="Q4227" t="n">
        <v>0</v>
      </c>
      <c r="R4227" s="2" t="inlineStr"/>
    </row>
    <row r="4228" ht="15" customHeight="1">
      <c r="A4228" t="inlineStr">
        <is>
          <t>A 24774-2024</t>
        </is>
      </c>
      <c r="B4228" s="1" t="n">
        <v>45460</v>
      </c>
      <c r="C4228" s="1" t="n">
        <v>45724</v>
      </c>
      <c r="D4228" t="inlineStr">
        <is>
          <t>VÄSTMANLANDS LÄN</t>
        </is>
      </c>
      <c r="E4228" t="inlineStr">
        <is>
          <t>KUNGSÖR</t>
        </is>
      </c>
      <c r="G4228" t="n">
        <v>1.6</v>
      </c>
      <c r="H4228" t="n">
        <v>0</v>
      </c>
      <c r="I4228" t="n">
        <v>0</v>
      </c>
      <c r="J4228" t="n">
        <v>0</v>
      </c>
      <c r="K4228" t="n">
        <v>0</v>
      </c>
      <c r="L4228" t="n">
        <v>0</v>
      </c>
      <c r="M4228" t="n">
        <v>0</v>
      </c>
      <c r="N4228" t="n">
        <v>0</v>
      </c>
      <c r="O4228" t="n">
        <v>0</v>
      </c>
      <c r="P4228" t="n">
        <v>0</v>
      </c>
      <c r="Q4228" t="n">
        <v>0</v>
      </c>
      <c r="R4228" s="2" t="inlineStr"/>
    </row>
    <row r="4229" ht="15" customHeight="1">
      <c r="A4229" t="inlineStr">
        <is>
          <t>A 24776-2024</t>
        </is>
      </c>
      <c r="B4229" s="1" t="n">
        <v>45460</v>
      </c>
      <c r="C4229" s="1" t="n">
        <v>45724</v>
      </c>
      <c r="D4229" t="inlineStr">
        <is>
          <t>VÄSTMANLANDS LÄN</t>
        </is>
      </c>
      <c r="E4229" t="inlineStr">
        <is>
          <t>VÄSTERÅS</t>
        </is>
      </c>
      <c r="F4229" t="inlineStr">
        <is>
          <t>Kommuner</t>
        </is>
      </c>
      <c r="G4229" t="n">
        <v>1.6</v>
      </c>
      <c r="H4229" t="n">
        <v>0</v>
      </c>
      <c r="I4229" t="n">
        <v>0</v>
      </c>
      <c r="J4229" t="n">
        <v>0</v>
      </c>
      <c r="K4229" t="n">
        <v>0</v>
      </c>
      <c r="L4229" t="n">
        <v>0</v>
      </c>
      <c r="M4229" t="n">
        <v>0</v>
      </c>
      <c r="N4229" t="n">
        <v>0</v>
      </c>
      <c r="O4229" t="n">
        <v>0</v>
      </c>
      <c r="P4229" t="n">
        <v>0</v>
      </c>
      <c r="Q4229" t="n">
        <v>0</v>
      </c>
      <c r="R4229" s="2" t="inlineStr"/>
    </row>
    <row r="4230" ht="15" customHeight="1">
      <c r="A4230" t="inlineStr">
        <is>
          <t>A 24570-2024</t>
        </is>
      </c>
      <c r="B4230" s="1" t="n">
        <v>45460</v>
      </c>
      <c r="C4230" s="1" t="n">
        <v>45724</v>
      </c>
      <c r="D4230" t="inlineStr">
        <is>
          <t>VÄSTMANLANDS LÄN</t>
        </is>
      </c>
      <c r="E4230" t="inlineStr">
        <is>
          <t>SURAHAMMAR</t>
        </is>
      </c>
      <c r="G4230" t="n">
        <v>0.8</v>
      </c>
      <c r="H4230" t="n">
        <v>0</v>
      </c>
      <c r="I4230" t="n">
        <v>0</v>
      </c>
      <c r="J4230" t="n">
        <v>0</v>
      </c>
      <c r="K4230" t="n">
        <v>0</v>
      </c>
      <c r="L4230" t="n">
        <v>0</v>
      </c>
      <c r="M4230" t="n">
        <v>0</v>
      </c>
      <c r="N4230" t="n">
        <v>0</v>
      </c>
      <c r="O4230" t="n">
        <v>0</v>
      </c>
      <c r="P4230" t="n">
        <v>0</v>
      </c>
      <c r="Q4230" t="n">
        <v>0</v>
      </c>
      <c r="R4230" s="2" t="inlineStr"/>
    </row>
    <row r="4231" ht="15" customHeight="1">
      <c r="A4231" t="inlineStr">
        <is>
          <t>A 24530-2024</t>
        </is>
      </c>
      <c r="B4231" s="1" t="n">
        <v>45460</v>
      </c>
      <c r="C4231" s="1" t="n">
        <v>45724</v>
      </c>
      <c r="D4231" t="inlineStr">
        <is>
          <t>VÄSTMANLANDS LÄN</t>
        </is>
      </c>
      <c r="E4231" t="inlineStr">
        <is>
          <t>SURAHAMMAR</t>
        </is>
      </c>
      <c r="G4231" t="n">
        <v>1.5</v>
      </c>
      <c r="H4231" t="n">
        <v>0</v>
      </c>
      <c r="I4231" t="n">
        <v>0</v>
      </c>
      <c r="J4231" t="n">
        <v>0</v>
      </c>
      <c r="K4231" t="n">
        <v>0</v>
      </c>
      <c r="L4231" t="n">
        <v>0</v>
      </c>
      <c r="M4231" t="n">
        <v>0</v>
      </c>
      <c r="N4231" t="n">
        <v>0</v>
      </c>
      <c r="O4231" t="n">
        <v>0</v>
      </c>
      <c r="P4231" t="n">
        <v>0</v>
      </c>
      <c r="Q4231" t="n">
        <v>0</v>
      </c>
      <c r="R4231" s="2" t="inlineStr"/>
    </row>
    <row r="4232" ht="15" customHeight="1">
      <c r="A4232" t="inlineStr">
        <is>
          <t>A 24951-2024</t>
        </is>
      </c>
      <c r="B4232" s="1" t="n">
        <v>45461</v>
      </c>
      <c r="C4232" s="1" t="n">
        <v>45724</v>
      </c>
      <c r="D4232" t="inlineStr">
        <is>
          <t>VÄSTMANLANDS LÄN</t>
        </is>
      </c>
      <c r="E4232" t="inlineStr">
        <is>
          <t>VÄSTERÅS</t>
        </is>
      </c>
      <c r="F4232" t="inlineStr">
        <is>
          <t>Kommuner</t>
        </is>
      </c>
      <c r="G4232" t="n">
        <v>0.7</v>
      </c>
      <c r="H4232" t="n">
        <v>0</v>
      </c>
      <c r="I4232" t="n">
        <v>0</v>
      </c>
      <c r="J4232" t="n">
        <v>0</v>
      </c>
      <c r="K4232" t="n">
        <v>0</v>
      </c>
      <c r="L4232" t="n">
        <v>0</v>
      </c>
      <c r="M4232" t="n">
        <v>0</v>
      </c>
      <c r="N4232" t="n">
        <v>0</v>
      </c>
      <c r="O4232" t="n">
        <v>0</v>
      </c>
      <c r="P4232" t="n">
        <v>0</v>
      </c>
      <c r="Q4232" t="n">
        <v>0</v>
      </c>
      <c r="R4232" s="2" t="inlineStr"/>
    </row>
    <row r="4233" ht="15" customHeight="1">
      <c r="A4233" t="inlineStr">
        <is>
          <t>A 24866-2024</t>
        </is>
      </c>
      <c r="B4233" s="1" t="n">
        <v>45461</v>
      </c>
      <c r="C4233" s="1" t="n">
        <v>45724</v>
      </c>
      <c r="D4233" t="inlineStr">
        <is>
          <t>VÄSTMANLANDS LÄN</t>
        </is>
      </c>
      <c r="E4233" t="inlineStr">
        <is>
          <t>SALA</t>
        </is>
      </c>
      <c r="G4233" t="n">
        <v>2.8</v>
      </c>
      <c r="H4233" t="n">
        <v>0</v>
      </c>
      <c r="I4233" t="n">
        <v>0</v>
      </c>
      <c r="J4233" t="n">
        <v>0</v>
      </c>
      <c r="K4233" t="n">
        <v>0</v>
      </c>
      <c r="L4233" t="n">
        <v>0</v>
      </c>
      <c r="M4233" t="n">
        <v>0</v>
      </c>
      <c r="N4233" t="n">
        <v>0</v>
      </c>
      <c r="O4233" t="n">
        <v>0</v>
      </c>
      <c r="P4233" t="n">
        <v>0</v>
      </c>
      <c r="Q4233" t="n">
        <v>0</v>
      </c>
      <c r="R4233" s="2" t="inlineStr"/>
    </row>
    <row r="4234" ht="15" customHeight="1">
      <c r="A4234" t="inlineStr">
        <is>
          <t>A 24900-2024</t>
        </is>
      </c>
      <c r="B4234" s="1" t="n">
        <v>45461</v>
      </c>
      <c r="C4234" s="1" t="n">
        <v>45724</v>
      </c>
      <c r="D4234" t="inlineStr">
        <is>
          <t>VÄSTMANLANDS LÄN</t>
        </is>
      </c>
      <c r="E4234" t="inlineStr">
        <is>
          <t>SALA</t>
        </is>
      </c>
      <c r="G4234" t="n">
        <v>5.8</v>
      </c>
      <c r="H4234" t="n">
        <v>0</v>
      </c>
      <c r="I4234" t="n">
        <v>0</v>
      </c>
      <c r="J4234" t="n">
        <v>0</v>
      </c>
      <c r="K4234" t="n">
        <v>0</v>
      </c>
      <c r="L4234" t="n">
        <v>0</v>
      </c>
      <c r="M4234" t="n">
        <v>0</v>
      </c>
      <c r="N4234" t="n">
        <v>0</v>
      </c>
      <c r="O4234" t="n">
        <v>0</v>
      </c>
      <c r="P4234" t="n">
        <v>0</v>
      </c>
      <c r="Q4234" t="n">
        <v>0</v>
      </c>
      <c r="R4234" s="2" t="inlineStr"/>
    </row>
    <row r="4235" ht="15" customHeight="1">
      <c r="A4235" t="inlineStr">
        <is>
          <t>A 24864-2024</t>
        </is>
      </c>
      <c r="B4235" s="1" t="n">
        <v>45461</v>
      </c>
      <c r="C4235" s="1" t="n">
        <v>45724</v>
      </c>
      <c r="D4235" t="inlineStr">
        <is>
          <t>VÄSTMANLANDS LÄN</t>
        </is>
      </c>
      <c r="E4235" t="inlineStr">
        <is>
          <t>SALA</t>
        </is>
      </c>
      <c r="G4235" t="n">
        <v>0.6</v>
      </c>
      <c r="H4235" t="n">
        <v>0</v>
      </c>
      <c r="I4235" t="n">
        <v>0</v>
      </c>
      <c r="J4235" t="n">
        <v>0</v>
      </c>
      <c r="K4235" t="n">
        <v>0</v>
      </c>
      <c r="L4235" t="n">
        <v>0</v>
      </c>
      <c r="M4235" t="n">
        <v>0</v>
      </c>
      <c r="N4235" t="n">
        <v>0</v>
      </c>
      <c r="O4235" t="n">
        <v>0</v>
      </c>
      <c r="P4235" t="n">
        <v>0</v>
      </c>
      <c r="Q4235" t="n">
        <v>0</v>
      </c>
      <c r="R4235" s="2" t="inlineStr"/>
    </row>
    <row r="4236" ht="15" customHeight="1">
      <c r="A4236" t="inlineStr">
        <is>
          <t>A 25315-2024</t>
        </is>
      </c>
      <c r="B4236" s="1" t="n">
        <v>45462</v>
      </c>
      <c r="C4236" s="1" t="n">
        <v>45724</v>
      </c>
      <c r="D4236" t="inlineStr">
        <is>
          <t>VÄSTMANLANDS LÄN</t>
        </is>
      </c>
      <c r="E4236" t="inlineStr">
        <is>
          <t>KÖPING</t>
        </is>
      </c>
      <c r="G4236" t="n">
        <v>4.3</v>
      </c>
      <c r="H4236" t="n">
        <v>0</v>
      </c>
      <c r="I4236" t="n">
        <v>0</v>
      </c>
      <c r="J4236" t="n">
        <v>0</v>
      </c>
      <c r="K4236" t="n">
        <v>0</v>
      </c>
      <c r="L4236" t="n">
        <v>0</v>
      </c>
      <c r="M4236" t="n">
        <v>0</v>
      </c>
      <c r="N4236" t="n">
        <v>0</v>
      </c>
      <c r="O4236" t="n">
        <v>0</v>
      </c>
      <c r="P4236" t="n">
        <v>0</v>
      </c>
      <c r="Q4236" t="n">
        <v>0</v>
      </c>
      <c r="R4236" s="2" t="inlineStr"/>
    </row>
    <row r="4237" ht="15" customHeight="1">
      <c r="A4237" t="inlineStr">
        <is>
          <t>A 25222-2024</t>
        </is>
      </c>
      <c r="B4237" s="1" t="n">
        <v>45462</v>
      </c>
      <c r="C4237" s="1" t="n">
        <v>45724</v>
      </c>
      <c r="D4237" t="inlineStr">
        <is>
          <t>VÄSTMANLANDS LÄN</t>
        </is>
      </c>
      <c r="E4237" t="inlineStr">
        <is>
          <t>SKINNSKATTEBERG</t>
        </is>
      </c>
      <c r="F4237" t="inlineStr">
        <is>
          <t>Sveaskog</t>
        </is>
      </c>
      <c r="G4237" t="n">
        <v>1.3</v>
      </c>
      <c r="H4237" t="n">
        <v>0</v>
      </c>
      <c r="I4237" t="n">
        <v>0</v>
      </c>
      <c r="J4237" t="n">
        <v>0</v>
      </c>
      <c r="K4237" t="n">
        <v>0</v>
      </c>
      <c r="L4237" t="n">
        <v>0</v>
      </c>
      <c r="M4237" t="n">
        <v>0</v>
      </c>
      <c r="N4237" t="n">
        <v>0</v>
      </c>
      <c r="O4237" t="n">
        <v>0</v>
      </c>
      <c r="P4237" t="n">
        <v>0</v>
      </c>
      <c r="Q4237" t="n">
        <v>0</v>
      </c>
      <c r="R4237" s="2" t="inlineStr"/>
    </row>
    <row r="4238" ht="15" customHeight="1">
      <c r="A4238" t="inlineStr">
        <is>
          <t>A 25284-2024</t>
        </is>
      </c>
      <c r="B4238" s="1" t="n">
        <v>45462</v>
      </c>
      <c r="C4238" s="1" t="n">
        <v>45724</v>
      </c>
      <c r="D4238" t="inlineStr">
        <is>
          <t>VÄSTMANLANDS LÄN</t>
        </is>
      </c>
      <c r="E4238" t="inlineStr">
        <is>
          <t>SKINNSKATTEBERG</t>
        </is>
      </c>
      <c r="F4238" t="inlineStr">
        <is>
          <t>Sveaskog</t>
        </is>
      </c>
      <c r="G4238" t="n">
        <v>2.5</v>
      </c>
      <c r="H4238" t="n">
        <v>0</v>
      </c>
      <c r="I4238" t="n">
        <v>0</v>
      </c>
      <c r="J4238" t="n">
        <v>0</v>
      </c>
      <c r="K4238" t="n">
        <v>0</v>
      </c>
      <c r="L4238" t="n">
        <v>0</v>
      </c>
      <c r="M4238" t="n">
        <v>0</v>
      </c>
      <c r="N4238" t="n">
        <v>0</v>
      </c>
      <c r="O4238" t="n">
        <v>0</v>
      </c>
      <c r="P4238" t="n">
        <v>0</v>
      </c>
      <c r="Q4238" t="n">
        <v>0</v>
      </c>
      <c r="R4238" s="2" t="inlineStr"/>
    </row>
    <row r="4239" ht="15" customHeight="1">
      <c r="A4239" t="inlineStr">
        <is>
          <t>A 25663-2024</t>
        </is>
      </c>
      <c r="B4239" s="1" t="n">
        <v>45463</v>
      </c>
      <c r="C4239" s="1" t="n">
        <v>45724</v>
      </c>
      <c r="D4239" t="inlineStr">
        <is>
          <t>VÄSTMANLANDS LÄN</t>
        </is>
      </c>
      <c r="E4239" t="inlineStr">
        <is>
          <t>KÖPING</t>
        </is>
      </c>
      <c r="G4239" t="n">
        <v>5.1</v>
      </c>
      <c r="H4239" t="n">
        <v>0</v>
      </c>
      <c r="I4239" t="n">
        <v>0</v>
      </c>
      <c r="J4239" t="n">
        <v>0</v>
      </c>
      <c r="K4239" t="n">
        <v>0</v>
      </c>
      <c r="L4239" t="n">
        <v>0</v>
      </c>
      <c r="M4239" t="n">
        <v>0</v>
      </c>
      <c r="N4239" t="n">
        <v>0</v>
      </c>
      <c r="O4239" t="n">
        <v>0</v>
      </c>
      <c r="P4239" t="n">
        <v>0</v>
      </c>
      <c r="Q4239" t="n">
        <v>0</v>
      </c>
      <c r="R4239" s="2" t="inlineStr"/>
    </row>
    <row r="4240" ht="15" customHeight="1">
      <c r="A4240" t="inlineStr">
        <is>
          <t>A 25660-2024</t>
        </is>
      </c>
      <c r="B4240" s="1" t="n">
        <v>45463</v>
      </c>
      <c r="C4240" s="1" t="n">
        <v>45724</v>
      </c>
      <c r="D4240" t="inlineStr">
        <is>
          <t>VÄSTMANLANDS LÄN</t>
        </is>
      </c>
      <c r="E4240" t="inlineStr">
        <is>
          <t>KÖPING</t>
        </is>
      </c>
      <c r="G4240" t="n">
        <v>0.9</v>
      </c>
      <c r="H4240" t="n">
        <v>0</v>
      </c>
      <c r="I4240" t="n">
        <v>0</v>
      </c>
      <c r="J4240" t="n">
        <v>0</v>
      </c>
      <c r="K4240" t="n">
        <v>0</v>
      </c>
      <c r="L4240" t="n">
        <v>0</v>
      </c>
      <c r="M4240" t="n">
        <v>0</v>
      </c>
      <c r="N4240" t="n">
        <v>0</v>
      </c>
      <c r="O4240" t="n">
        <v>0</v>
      </c>
      <c r="P4240" t="n">
        <v>0</v>
      </c>
      <c r="Q4240" t="n">
        <v>0</v>
      </c>
      <c r="R4240" s="2" t="inlineStr"/>
    </row>
    <row r="4241" ht="15" customHeight="1">
      <c r="A4241" t="inlineStr">
        <is>
          <t>A 25586-2024</t>
        </is>
      </c>
      <c r="B4241" s="1" t="n">
        <v>45463</v>
      </c>
      <c r="C4241" s="1" t="n">
        <v>45724</v>
      </c>
      <c r="D4241" t="inlineStr">
        <is>
          <t>VÄSTMANLANDS LÄN</t>
        </is>
      </c>
      <c r="E4241" t="inlineStr">
        <is>
          <t>SKINNSKATTEBERG</t>
        </is>
      </c>
      <c r="F4241" t="inlineStr">
        <is>
          <t>Sveaskog</t>
        </is>
      </c>
      <c r="G4241" t="n">
        <v>2.3</v>
      </c>
      <c r="H4241" t="n">
        <v>0</v>
      </c>
      <c r="I4241" t="n">
        <v>0</v>
      </c>
      <c r="J4241" t="n">
        <v>0</v>
      </c>
      <c r="K4241" t="n">
        <v>0</v>
      </c>
      <c r="L4241" t="n">
        <v>0</v>
      </c>
      <c r="M4241" t="n">
        <v>0</v>
      </c>
      <c r="N4241" t="n">
        <v>0</v>
      </c>
      <c r="O4241" t="n">
        <v>0</v>
      </c>
      <c r="P4241" t="n">
        <v>0</v>
      </c>
      <c r="Q4241" t="n">
        <v>0</v>
      </c>
      <c r="R4241" s="2" t="inlineStr"/>
    </row>
    <row r="4242" ht="15" customHeight="1">
      <c r="A4242" t="inlineStr">
        <is>
          <t>A 25662-2024</t>
        </is>
      </c>
      <c r="B4242" s="1" t="n">
        <v>45463</v>
      </c>
      <c r="C4242" s="1" t="n">
        <v>45724</v>
      </c>
      <c r="D4242" t="inlineStr">
        <is>
          <t>VÄSTMANLANDS LÄN</t>
        </is>
      </c>
      <c r="E4242" t="inlineStr">
        <is>
          <t>KÖPING</t>
        </is>
      </c>
      <c r="G4242" t="n">
        <v>1.8</v>
      </c>
      <c r="H4242" t="n">
        <v>0</v>
      </c>
      <c r="I4242" t="n">
        <v>0</v>
      </c>
      <c r="J4242" t="n">
        <v>0</v>
      </c>
      <c r="K4242" t="n">
        <v>0</v>
      </c>
      <c r="L4242" t="n">
        <v>0</v>
      </c>
      <c r="M4242" t="n">
        <v>0</v>
      </c>
      <c r="N4242" t="n">
        <v>0</v>
      </c>
      <c r="O4242" t="n">
        <v>0</v>
      </c>
      <c r="P4242" t="n">
        <v>0</v>
      </c>
      <c r="Q4242" t="n">
        <v>0</v>
      </c>
      <c r="R4242" s="2" t="inlineStr"/>
    </row>
    <row r="4243" ht="15" customHeight="1">
      <c r="A4243" t="inlineStr">
        <is>
          <t>A 25589-2024</t>
        </is>
      </c>
      <c r="B4243" s="1" t="n">
        <v>45463</v>
      </c>
      <c r="C4243" s="1" t="n">
        <v>45724</v>
      </c>
      <c r="D4243" t="inlineStr">
        <is>
          <t>VÄSTMANLANDS LÄN</t>
        </is>
      </c>
      <c r="E4243" t="inlineStr">
        <is>
          <t>SKINNSKATTEBERG</t>
        </is>
      </c>
      <c r="F4243" t="inlineStr">
        <is>
          <t>Sveaskog</t>
        </is>
      </c>
      <c r="G4243" t="n">
        <v>3.4</v>
      </c>
      <c r="H4243" t="n">
        <v>0</v>
      </c>
      <c r="I4243" t="n">
        <v>0</v>
      </c>
      <c r="J4243" t="n">
        <v>0</v>
      </c>
      <c r="K4243" t="n">
        <v>0</v>
      </c>
      <c r="L4243" t="n">
        <v>0</v>
      </c>
      <c r="M4243" t="n">
        <v>0</v>
      </c>
      <c r="N4243" t="n">
        <v>0</v>
      </c>
      <c r="O4243" t="n">
        <v>0</v>
      </c>
      <c r="P4243" t="n">
        <v>0</v>
      </c>
      <c r="Q4243" t="n">
        <v>0</v>
      </c>
      <c r="R4243" s="2" t="inlineStr"/>
    </row>
    <row r="4244" ht="15" customHeight="1">
      <c r="A4244" t="inlineStr">
        <is>
          <t>A 25677-2024</t>
        </is>
      </c>
      <c r="B4244" s="1" t="n">
        <v>45463</v>
      </c>
      <c r="C4244" s="1" t="n">
        <v>45724</v>
      </c>
      <c r="D4244" t="inlineStr">
        <is>
          <t>VÄSTMANLANDS LÄN</t>
        </is>
      </c>
      <c r="E4244" t="inlineStr">
        <is>
          <t>FAGERSTA</t>
        </is>
      </c>
      <c r="G4244" t="n">
        <v>1.6</v>
      </c>
      <c r="H4244" t="n">
        <v>0</v>
      </c>
      <c r="I4244" t="n">
        <v>0</v>
      </c>
      <c r="J4244" t="n">
        <v>0</v>
      </c>
      <c r="K4244" t="n">
        <v>0</v>
      </c>
      <c r="L4244" t="n">
        <v>0</v>
      </c>
      <c r="M4244" t="n">
        <v>0</v>
      </c>
      <c r="N4244" t="n">
        <v>0</v>
      </c>
      <c r="O4244" t="n">
        <v>0</v>
      </c>
      <c r="P4244" t="n">
        <v>0</v>
      </c>
      <c r="Q4244" t="n">
        <v>0</v>
      </c>
      <c r="R4244" s="2" t="inlineStr"/>
    </row>
    <row r="4245" ht="15" customHeight="1">
      <c r="A4245" t="inlineStr">
        <is>
          <t>A 25661-2024</t>
        </is>
      </c>
      <c r="B4245" s="1" t="n">
        <v>45463</v>
      </c>
      <c r="C4245" s="1" t="n">
        <v>45724</v>
      </c>
      <c r="D4245" t="inlineStr">
        <is>
          <t>VÄSTMANLANDS LÄN</t>
        </is>
      </c>
      <c r="E4245" t="inlineStr">
        <is>
          <t>KÖPING</t>
        </is>
      </c>
      <c r="G4245" t="n">
        <v>13.3</v>
      </c>
      <c r="H4245" t="n">
        <v>0</v>
      </c>
      <c r="I4245" t="n">
        <v>0</v>
      </c>
      <c r="J4245" t="n">
        <v>0</v>
      </c>
      <c r="K4245" t="n">
        <v>0</v>
      </c>
      <c r="L4245" t="n">
        <v>0</v>
      </c>
      <c r="M4245" t="n">
        <v>0</v>
      </c>
      <c r="N4245" t="n">
        <v>0</v>
      </c>
      <c r="O4245" t="n">
        <v>0</v>
      </c>
      <c r="P4245" t="n">
        <v>0</v>
      </c>
      <c r="Q4245" t="n">
        <v>0</v>
      </c>
      <c r="R4245" s="2" t="inlineStr"/>
    </row>
    <row r="4246" ht="15" customHeight="1">
      <c r="A4246" t="inlineStr">
        <is>
          <t>A 25541-2024</t>
        </is>
      </c>
      <c r="B4246" s="1" t="n">
        <v>45463</v>
      </c>
      <c r="C4246" s="1" t="n">
        <v>45724</v>
      </c>
      <c r="D4246" t="inlineStr">
        <is>
          <t>VÄSTMANLANDS LÄN</t>
        </is>
      </c>
      <c r="E4246" t="inlineStr">
        <is>
          <t>SALA</t>
        </is>
      </c>
      <c r="G4246" t="n">
        <v>0.5</v>
      </c>
      <c r="H4246" t="n">
        <v>0</v>
      </c>
      <c r="I4246" t="n">
        <v>0</v>
      </c>
      <c r="J4246" t="n">
        <v>0</v>
      </c>
      <c r="K4246" t="n">
        <v>0</v>
      </c>
      <c r="L4246" t="n">
        <v>0</v>
      </c>
      <c r="M4246" t="n">
        <v>0</v>
      </c>
      <c r="N4246" t="n">
        <v>0</v>
      </c>
      <c r="O4246" t="n">
        <v>0</v>
      </c>
      <c r="P4246" t="n">
        <v>0</v>
      </c>
      <c r="Q4246" t="n">
        <v>0</v>
      </c>
      <c r="R4246" s="2" t="inlineStr"/>
    </row>
    <row r="4247" ht="15" customHeight="1">
      <c r="A4247" t="inlineStr">
        <is>
          <t>A 25450-2024</t>
        </is>
      </c>
      <c r="B4247" s="1" t="n">
        <v>45463</v>
      </c>
      <c r="C4247" s="1" t="n">
        <v>45724</v>
      </c>
      <c r="D4247" t="inlineStr">
        <is>
          <t>VÄSTMANLANDS LÄN</t>
        </is>
      </c>
      <c r="E4247" t="inlineStr">
        <is>
          <t>SURAHAMMAR</t>
        </is>
      </c>
      <c r="F4247" t="inlineStr">
        <is>
          <t>Bergvik skog väst AB</t>
        </is>
      </c>
      <c r="G4247" t="n">
        <v>6.7</v>
      </c>
      <c r="H4247" t="n">
        <v>0</v>
      </c>
      <c r="I4247" t="n">
        <v>0</v>
      </c>
      <c r="J4247" t="n">
        <v>0</v>
      </c>
      <c r="K4247" t="n">
        <v>0</v>
      </c>
      <c r="L4247" t="n">
        <v>0</v>
      </c>
      <c r="M4247" t="n">
        <v>0</v>
      </c>
      <c r="N4247" t="n">
        <v>0</v>
      </c>
      <c r="O4247" t="n">
        <v>0</v>
      </c>
      <c r="P4247" t="n">
        <v>0</v>
      </c>
      <c r="Q4247" t="n">
        <v>0</v>
      </c>
      <c r="R4247" s="2" t="inlineStr"/>
    </row>
    <row r="4248" ht="15" customHeight="1">
      <c r="A4248" t="inlineStr">
        <is>
          <t>A 25417-2024</t>
        </is>
      </c>
      <c r="B4248" s="1" t="n">
        <v>45463</v>
      </c>
      <c r="C4248" s="1" t="n">
        <v>45724</v>
      </c>
      <c r="D4248" t="inlineStr">
        <is>
          <t>VÄSTMANLANDS LÄN</t>
        </is>
      </c>
      <c r="E4248" t="inlineStr">
        <is>
          <t>SURAHAMMAR</t>
        </is>
      </c>
      <c r="F4248" t="inlineStr">
        <is>
          <t>Sveaskog</t>
        </is>
      </c>
      <c r="G4248" t="n">
        <v>3.4</v>
      </c>
      <c r="H4248" t="n">
        <v>0</v>
      </c>
      <c r="I4248" t="n">
        <v>0</v>
      </c>
      <c r="J4248" t="n">
        <v>0</v>
      </c>
      <c r="K4248" t="n">
        <v>0</v>
      </c>
      <c r="L4248" t="n">
        <v>0</v>
      </c>
      <c r="M4248" t="n">
        <v>0</v>
      </c>
      <c r="N4248" t="n">
        <v>0</v>
      </c>
      <c r="O4248" t="n">
        <v>0</v>
      </c>
      <c r="P4248" t="n">
        <v>0</v>
      </c>
      <c r="Q4248" t="n">
        <v>0</v>
      </c>
      <c r="R4248" s="2" t="inlineStr"/>
    </row>
    <row r="4249" ht="15" customHeight="1">
      <c r="A4249" t="inlineStr">
        <is>
          <t>A 25756-2024</t>
        </is>
      </c>
      <c r="B4249" s="1" t="n">
        <v>45465</v>
      </c>
      <c r="C4249" s="1" t="n">
        <v>45724</v>
      </c>
      <c r="D4249" t="inlineStr">
        <is>
          <t>VÄSTMANLANDS LÄN</t>
        </is>
      </c>
      <c r="E4249" t="inlineStr">
        <is>
          <t>FAGERSTA</t>
        </is>
      </c>
      <c r="G4249" t="n">
        <v>9.5</v>
      </c>
      <c r="H4249" t="n">
        <v>0</v>
      </c>
      <c r="I4249" t="n">
        <v>0</v>
      </c>
      <c r="J4249" t="n">
        <v>0</v>
      </c>
      <c r="K4249" t="n">
        <v>0</v>
      </c>
      <c r="L4249" t="n">
        <v>0</v>
      </c>
      <c r="M4249" t="n">
        <v>0</v>
      </c>
      <c r="N4249" t="n">
        <v>0</v>
      </c>
      <c r="O4249" t="n">
        <v>0</v>
      </c>
      <c r="P4249" t="n">
        <v>0</v>
      </c>
      <c r="Q4249" t="n">
        <v>0</v>
      </c>
      <c r="R4249" s="2" t="inlineStr"/>
    </row>
    <row r="4250" ht="15" customHeight="1">
      <c r="A4250" t="inlineStr">
        <is>
          <t>A 25850-2024</t>
        </is>
      </c>
      <c r="B4250" s="1" t="n">
        <v>45467</v>
      </c>
      <c r="C4250" s="1" t="n">
        <v>45724</v>
      </c>
      <c r="D4250" t="inlineStr">
        <is>
          <t>VÄSTMANLANDS LÄN</t>
        </is>
      </c>
      <c r="E4250" t="inlineStr">
        <is>
          <t>VÄSTERÅS</t>
        </is>
      </c>
      <c r="F4250" t="inlineStr">
        <is>
          <t>Kommuner</t>
        </is>
      </c>
      <c r="G4250" t="n">
        <v>1.8</v>
      </c>
      <c r="H4250" t="n">
        <v>0</v>
      </c>
      <c r="I4250" t="n">
        <v>0</v>
      </c>
      <c r="J4250" t="n">
        <v>0</v>
      </c>
      <c r="K4250" t="n">
        <v>0</v>
      </c>
      <c r="L4250" t="n">
        <v>0</v>
      </c>
      <c r="M4250" t="n">
        <v>0</v>
      </c>
      <c r="N4250" t="n">
        <v>0</v>
      </c>
      <c r="O4250" t="n">
        <v>0</v>
      </c>
      <c r="P4250" t="n">
        <v>0</v>
      </c>
      <c r="Q4250" t="n">
        <v>0</v>
      </c>
      <c r="R4250" s="2" t="inlineStr"/>
    </row>
    <row r="4251" ht="15" customHeight="1">
      <c r="A4251" t="inlineStr">
        <is>
          <t>A 25860-2024</t>
        </is>
      </c>
      <c r="B4251" s="1" t="n">
        <v>45467</v>
      </c>
      <c r="C4251" s="1" t="n">
        <v>45724</v>
      </c>
      <c r="D4251" t="inlineStr">
        <is>
          <t>VÄSTMANLANDS LÄN</t>
        </is>
      </c>
      <c r="E4251" t="inlineStr">
        <is>
          <t>SALA</t>
        </is>
      </c>
      <c r="G4251" t="n">
        <v>0.7</v>
      </c>
      <c r="H4251" t="n">
        <v>0</v>
      </c>
      <c r="I4251" t="n">
        <v>0</v>
      </c>
      <c r="J4251" t="n">
        <v>0</v>
      </c>
      <c r="K4251" t="n">
        <v>0</v>
      </c>
      <c r="L4251" t="n">
        <v>0</v>
      </c>
      <c r="M4251" t="n">
        <v>0</v>
      </c>
      <c r="N4251" t="n">
        <v>0</v>
      </c>
      <c r="O4251" t="n">
        <v>0</v>
      </c>
      <c r="P4251" t="n">
        <v>0</v>
      </c>
      <c r="Q4251" t="n">
        <v>0</v>
      </c>
      <c r="R4251" s="2" t="inlineStr"/>
    </row>
    <row r="4252" ht="15" customHeight="1">
      <c r="A4252" t="inlineStr">
        <is>
          <t>A 25897-2024</t>
        </is>
      </c>
      <c r="B4252" s="1" t="n">
        <v>45467</v>
      </c>
      <c r="C4252" s="1" t="n">
        <v>45724</v>
      </c>
      <c r="D4252" t="inlineStr">
        <is>
          <t>VÄSTMANLANDS LÄN</t>
        </is>
      </c>
      <c r="E4252" t="inlineStr">
        <is>
          <t>SALA</t>
        </is>
      </c>
      <c r="G4252" t="n">
        <v>9.9</v>
      </c>
      <c r="H4252" t="n">
        <v>0</v>
      </c>
      <c r="I4252" t="n">
        <v>0</v>
      </c>
      <c r="J4252" t="n">
        <v>0</v>
      </c>
      <c r="K4252" t="n">
        <v>0</v>
      </c>
      <c r="L4252" t="n">
        <v>0</v>
      </c>
      <c r="M4252" t="n">
        <v>0</v>
      </c>
      <c r="N4252" t="n">
        <v>0</v>
      </c>
      <c r="O4252" t="n">
        <v>0</v>
      </c>
      <c r="P4252" t="n">
        <v>0</v>
      </c>
      <c r="Q4252" t="n">
        <v>0</v>
      </c>
      <c r="R4252" s="2" t="inlineStr"/>
    </row>
    <row r="4253" ht="15" customHeight="1">
      <c r="A4253" t="inlineStr">
        <is>
          <t>A 25891-2024</t>
        </is>
      </c>
      <c r="B4253" s="1" t="n">
        <v>45467</v>
      </c>
      <c r="C4253" s="1" t="n">
        <v>45724</v>
      </c>
      <c r="D4253" t="inlineStr">
        <is>
          <t>VÄSTMANLANDS LÄN</t>
        </is>
      </c>
      <c r="E4253" t="inlineStr">
        <is>
          <t>SALA</t>
        </is>
      </c>
      <c r="G4253" t="n">
        <v>2.3</v>
      </c>
      <c r="H4253" t="n">
        <v>0</v>
      </c>
      <c r="I4253" t="n">
        <v>0</v>
      </c>
      <c r="J4253" t="n">
        <v>0</v>
      </c>
      <c r="K4253" t="n">
        <v>0</v>
      </c>
      <c r="L4253" t="n">
        <v>0</v>
      </c>
      <c r="M4253" t="n">
        <v>0</v>
      </c>
      <c r="N4253" t="n">
        <v>0</v>
      </c>
      <c r="O4253" t="n">
        <v>0</v>
      </c>
      <c r="P4253" t="n">
        <v>0</v>
      </c>
      <c r="Q4253" t="n">
        <v>0</v>
      </c>
      <c r="R4253" s="2" t="inlineStr"/>
    </row>
    <row r="4254" ht="15" customHeight="1">
      <c r="A4254" t="inlineStr">
        <is>
          <t>A 25868-2024</t>
        </is>
      </c>
      <c r="B4254" s="1" t="n">
        <v>45467</v>
      </c>
      <c r="C4254" s="1" t="n">
        <v>45724</v>
      </c>
      <c r="D4254" t="inlineStr">
        <is>
          <t>VÄSTMANLANDS LÄN</t>
        </is>
      </c>
      <c r="E4254" t="inlineStr">
        <is>
          <t>SALA</t>
        </is>
      </c>
      <c r="G4254" t="n">
        <v>0.8</v>
      </c>
      <c r="H4254" t="n">
        <v>0</v>
      </c>
      <c r="I4254" t="n">
        <v>0</v>
      </c>
      <c r="J4254" t="n">
        <v>0</v>
      </c>
      <c r="K4254" t="n">
        <v>0</v>
      </c>
      <c r="L4254" t="n">
        <v>0</v>
      </c>
      <c r="M4254" t="n">
        <v>0</v>
      </c>
      <c r="N4254" t="n">
        <v>0</v>
      </c>
      <c r="O4254" t="n">
        <v>0</v>
      </c>
      <c r="P4254" t="n">
        <v>0</v>
      </c>
      <c r="Q4254" t="n">
        <v>0</v>
      </c>
      <c r="R4254" s="2" t="inlineStr"/>
    </row>
    <row r="4255" ht="15" customHeight="1">
      <c r="A4255" t="inlineStr">
        <is>
          <t>A 25994-2024</t>
        </is>
      </c>
      <c r="B4255" s="1" t="n">
        <v>45467</v>
      </c>
      <c r="C4255" s="1" t="n">
        <v>45724</v>
      </c>
      <c r="D4255" t="inlineStr">
        <is>
          <t>VÄSTMANLANDS LÄN</t>
        </is>
      </c>
      <c r="E4255" t="inlineStr">
        <is>
          <t>KÖPING</t>
        </is>
      </c>
      <c r="G4255" t="n">
        <v>2.1</v>
      </c>
      <c r="H4255" t="n">
        <v>0</v>
      </c>
      <c r="I4255" t="n">
        <v>0</v>
      </c>
      <c r="J4255" t="n">
        <v>0</v>
      </c>
      <c r="K4255" t="n">
        <v>0</v>
      </c>
      <c r="L4255" t="n">
        <v>0</v>
      </c>
      <c r="M4255" t="n">
        <v>0</v>
      </c>
      <c r="N4255" t="n">
        <v>0</v>
      </c>
      <c r="O4255" t="n">
        <v>0</v>
      </c>
      <c r="P4255" t="n">
        <v>0</v>
      </c>
      <c r="Q4255" t="n">
        <v>0</v>
      </c>
      <c r="R4255" s="2" t="inlineStr"/>
    </row>
    <row r="4256" ht="15" customHeight="1">
      <c r="A4256" t="inlineStr">
        <is>
          <t>A 26292-2024</t>
        </is>
      </c>
      <c r="B4256" s="1" t="n">
        <v>45468</v>
      </c>
      <c r="C4256" s="1" t="n">
        <v>45724</v>
      </c>
      <c r="D4256" t="inlineStr">
        <is>
          <t>VÄSTMANLANDS LÄN</t>
        </is>
      </c>
      <c r="E4256" t="inlineStr">
        <is>
          <t>VÄSTERÅS</t>
        </is>
      </c>
      <c r="G4256" t="n">
        <v>2.5</v>
      </c>
      <c r="H4256" t="n">
        <v>0</v>
      </c>
      <c r="I4256" t="n">
        <v>0</v>
      </c>
      <c r="J4256" t="n">
        <v>0</v>
      </c>
      <c r="K4256" t="n">
        <v>0</v>
      </c>
      <c r="L4256" t="n">
        <v>0</v>
      </c>
      <c r="M4256" t="n">
        <v>0</v>
      </c>
      <c r="N4256" t="n">
        <v>0</v>
      </c>
      <c r="O4256" t="n">
        <v>0</v>
      </c>
      <c r="P4256" t="n">
        <v>0</v>
      </c>
      <c r="Q4256" t="n">
        <v>0</v>
      </c>
      <c r="R4256" s="2" t="inlineStr"/>
    </row>
    <row r="4257" ht="15" customHeight="1">
      <c r="A4257" t="inlineStr">
        <is>
          <t>A 26519-2024</t>
        </is>
      </c>
      <c r="B4257" s="1" t="n">
        <v>45469</v>
      </c>
      <c r="C4257" s="1" t="n">
        <v>45724</v>
      </c>
      <c r="D4257" t="inlineStr">
        <is>
          <t>VÄSTMANLANDS LÄN</t>
        </is>
      </c>
      <c r="E4257" t="inlineStr">
        <is>
          <t>NORBERG</t>
        </is>
      </c>
      <c r="G4257" t="n">
        <v>3.3</v>
      </c>
      <c r="H4257" t="n">
        <v>0</v>
      </c>
      <c r="I4257" t="n">
        <v>0</v>
      </c>
      <c r="J4257" t="n">
        <v>0</v>
      </c>
      <c r="K4257" t="n">
        <v>0</v>
      </c>
      <c r="L4257" t="n">
        <v>0</v>
      </c>
      <c r="M4257" t="n">
        <v>0</v>
      </c>
      <c r="N4257" t="n">
        <v>0</v>
      </c>
      <c r="O4257" t="n">
        <v>0</v>
      </c>
      <c r="P4257" t="n">
        <v>0</v>
      </c>
      <c r="Q4257" t="n">
        <v>0</v>
      </c>
      <c r="R4257" s="2" t="inlineStr"/>
    </row>
    <row r="4258" ht="15" customHeight="1">
      <c r="A4258" t="inlineStr">
        <is>
          <t>A 26557-2024</t>
        </is>
      </c>
      <c r="B4258" s="1" t="n">
        <v>45469</v>
      </c>
      <c r="C4258" s="1" t="n">
        <v>45724</v>
      </c>
      <c r="D4258" t="inlineStr">
        <is>
          <t>VÄSTMANLANDS LÄN</t>
        </is>
      </c>
      <c r="E4258" t="inlineStr">
        <is>
          <t>SKINNSKATTEBERG</t>
        </is>
      </c>
      <c r="F4258" t="inlineStr">
        <is>
          <t>Sveaskog</t>
        </is>
      </c>
      <c r="G4258" t="n">
        <v>8.300000000000001</v>
      </c>
      <c r="H4258" t="n">
        <v>0</v>
      </c>
      <c r="I4258" t="n">
        <v>0</v>
      </c>
      <c r="J4258" t="n">
        <v>0</v>
      </c>
      <c r="K4258" t="n">
        <v>0</v>
      </c>
      <c r="L4258" t="n">
        <v>0</v>
      </c>
      <c r="M4258" t="n">
        <v>0</v>
      </c>
      <c r="N4258" t="n">
        <v>0</v>
      </c>
      <c r="O4258" t="n">
        <v>0</v>
      </c>
      <c r="P4258" t="n">
        <v>0</v>
      </c>
      <c r="Q4258" t="n">
        <v>0</v>
      </c>
      <c r="R4258" s="2" t="inlineStr"/>
    </row>
    <row r="4259" ht="15" customHeight="1">
      <c r="A4259" t="inlineStr">
        <is>
          <t>A 26475-2024</t>
        </is>
      </c>
      <c r="B4259" s="1" t="n">
        <v>45469</v>
      </c>
      <c r="C4259" s="1" t="n">
        <v>45724</v>
      </c>
      <c r="D4259" t="inlineStr">
        <is>
          <t>VÄSTMANLANDS LÄN</t>
        </is>
      </c>
      <c r="E4259" t="inlineStr">
        <is>
          <t>VÄSTERÅS</t>
        </is>
      </c>
      <c r="F4259" t="inlineStr">
        <is>
          <t>Kommuner</t>
        </is>
      </c>
      <c r="G4259" t="n">
        <v>5.1</v>
      </c>
      <c r="H4259" t="n">
        <v>0</v>
      </c>
      <c r="I4259" t="n">
        <v>0</v>
      </c>
      <c r="J4259" t="n">
        <v>0</v>
      </c>
      <c r="K4259" t="n">
        <v>0</v>
      </c>
      <c r="L4259" t="n">
        <v>0</v>
      </c>
      <c r="M4259" t="n">
        <v>0</v>
      </c>
      <c r="N4259" t="n">
        <v>0</v>
      </c>
      <c r="O4259" t="n">
        <v>0</v>
      </c>
      <c r="P4259" t="n">
        <v>0</v>
      </c>
      <c r="Q4259" t="n">
        <v>0</v>
      </c>
      <c r="R4259" s="2" t="inlineStr"/>
    </row>
    <row r="4260" ht="15" customHeight="1">
      <c r="A4260" t="inlineStr">
        <is>
          <t>A 26878-2024</t>
        </is>
      </c>
      <c r="B4260" s="1" t="n">
        <v>45470</v>
      </c>
      <c r="C4260" s="1" t="n">
        <v>45724</v>
      </c>
      <c r="D4260" t="inlineStr">
        <is>
          <t>VÄSTMANLANDS LÄN</t>
        </is>
      </c>
      <c r="E4260" t="inlineStr">
        <is>
          <t>SURAHAMMAR</t>
        </is>
      </c>
      <c r="F4260" t="inlineStr">
        <is>
          <t>Sveaskog</t>
        </is>
      </c>
      <c r="G4260" t="n">
        <v>6.1</v>
      </c>
      <c r="H4260" t="n">
        <v>0</v>
      </c>
      <c r="I4260" t="n">
        <v>0</v>
      </c>
      <c r="J4260" t="n">
        <v>0</v>
      </c>
      <c r="K4260" t="n">
        <v>0</v>
      </c>
      <c r="L4260" t="n">
        <v>0</v>
      </c>
      <c r="M4260" t="n">
        <v>0</v>
      </c>
      <c r="N4260" t="n">
        <v>0</v>
      </c>
      <c r="O4260" t="n">
        <v>0</v>
      </c>
      <c r="P4260" t="n">
        <v>0</v>
      </c>
      <c r="Q4260" t="n">
        <v>0</v>
      </c>
      <c r="R4260" s="2" t="inlineStr"/>
    </row>
    <row r="4261" ht="15" customHeight="1">
      <c r="A4261" t="inlineStr">
        <is>
          <t>A 26854-2024</t>
        </is>
      </c>
      <c r="B4261" s="1" t="n">
        <v>45470</v>
      </c>
      <c r="C4261" s="1" t="n">
        <v>45724</v>
      </c>
      <c r="D4261" t="inlineStr">
        <is>
          <t>VÄSTMANLANDS LÄN</t>
        </is>
      </c>
      <c r="E4261" t="inlineStr">
        <is>
          <t>SALA</t>
        </is>
      </c>
      <c r="G4261" t="n">
        <v>1.4</v>
      </c>
      <c r="H4261" t="n">
        <v>0</v>
      </c>
      <c r="I4261" t="n">
        <v>0</v>
      </c>
      <c r="J4261" t="n">
        <v>0</v>
      </c>
      <c r="K4261" t="n">
        <v>0</v>
      </c>
      <c r="L4261" t="n">
        <v>0</v>
      </c>
      <c r="M4261" t="n">
        <v>0</v>
      </c>
      <c r="N4261" t="n">
        <v>0</v>
      </c>
      <c r="O4261" t="n">
        <v>0</v>
      </c>
      <c r="P4261" t="n">
        <v>0</v>
      </c>
      <c r="Q4261" t="n">
        <v>0</v>
      </c>
      <c r="R4261" s="2" t="inlineStr"/>
    </row>
    <row r="4262" ht="15" customHeight="1">
      <c r="A4262" t="inlineStr">
        <is>
          <t>A 26794-2024</t>
        </is>
      </c>
      <c r="B4262" s="1" t="n">
        <v>45470</v>
      </c>
      <c r="C4262" s="1" t="n">
        <v>45724</v>
      </c>
      <c r="D4262" t="inlineStr">
        <is>
          <t>VÄSTMANLANDS LÄN</t>
        </is>
      </c>
      <c r="E4262" t="inlineStr">
        <is>
          <t>KÖPING</t>
        </is>
      </c>
      <c r="G4262" t="n">
        <v>1.6</v>
      </c>
      <c r="H4262" t="n">
        <v>0</v>
      </c>
      <c r="I4262" t="n">
        <v>0</v>
      </c>
      <c r="J4262" t="n">
        <v>0</v>
      </c>
      <c r="K4262" t="n">
        <v>0</v>
      </c>
      <c r="L4262" t="n">
        <v>0</v>
      </c>
      <c r="M4262" t="n">
        <v>0</v>
      </c>
      <c r="N4262" t="n">
        <v>0</v>
      </c>
      <c r="O4262" t="n">
        <v>0</v>
      </c>
      <c r="P4262" t="n">
        <v>0</v>
      </c>
      <c r="Q4262" t="n">
        <v>0</v>
      </c>
      <c r="R4262" s="2" t="inlineStr"/>
    </row>
    <row r="4263" ht="15" customHeight="1">
      <c r="A4263" t="inlineStr">
        <is>
          <t>A 26868-2024</t>
        </is>
      </c>
      <c r="B4263" s="1" t="n">
        <v>45470</v>
      </c>
      <c r="C4263" s="1" t="n">
        <v>45724</v>
      </c>
      <c r="D4263" t="inlineStr">
        <is>
          <t>VÄSTMANLANDS LÄN</t>
        </is>
      </c>
      <c r="E4263" t="inlineStr">
        <is>
          <t>KUNGSÖR</t>
        </is>
      </c>
      <c r="G4263" t="n">
        <v>5.5</v>
      </c>
      <c r="H4263" t="n">
        <v>0</v>
      </c>
      <c r="I4263" t="n">
        <v>0</v>
      </c>
      <c r="J4263" t="n">
        <v>0</v>
      </c>
      <c r="K4263" t="n">
        <v>0</v>
      </c>
      <c r="L4263" t="n">
        <v>0</v>
      </c>
      <c r="M4263" t="n">
        <v>0</v>
      </c>
      <c r="N4263" t="n">
        <v>0</v>
      </c>
      <c r="O4263" t="n">
        <v>0</v>
      </c>
      <c r="P4263" t="n">
        <v>0</v>
      </c>
      <c r="Q4263" t="n">
        <v>0</v>
      </c>
      <c r="R4263" s="2" t="inlineStr"/>
    </row>
    <row r="4264" ht="15" customHeight="1">
      <c r="A4264" t="inlineStr">
        <is>
          <t>A 26848-2024</t>
        </is>
      </c>
      <c r="B4264" s="1" t="n">
        <v>45470</v>
      </c>
      <c r="C4264" s="1" t="n">
        <v>45724</v>
      </c>
      <c r="D4264" t="inlineStr">
        <is>
          <t>VÄSTMANLANDS LÄN</t>
        </is>
      </c>
      <c r="E4264" t="inlineStr">
        <is>
          <t>SALA</t>
        </is>
      </c>
      <c r="G4264" t="n">
        <v>0.7</v>
      </c>
      <c r="H4264" t="n">
        <v>0</v>
      </c>
      <c r="I4264" t="n">
        <v>0</v>
      </c>
      <c r="J4264" t="n">
        <v>0</v>
      </c>
      <c r="K4264" t="n">
        <v>0</v>
      </c>
      <c r="L4264" t="n">
        <v>0</v>
      </c>
      <c r="M4264" t="n">
        <v>0</v>
      </c>
      <c r="N4264" t="n">
        <v>0</v>
      </c>
      <c r="O4264" t="n">
        <v>0</v>
      </c>
      <c r="P4264" t="n">
        <v>0</v>
      </c>
      <c r="Q4264" t="n">
        <v>0</v>
      </c>
      <c r="R4264" s="2" t="inlineStr"/>
    </row>
    <row r="4265" ht="15" customHeight="1">
      <c r="A4265" t="inlineStr">
        <is>
          <t>A 26844-2024</t>
        </is>
      </c>
      <c r="B4265" s="1" t="n">
        <v>45470</v>
      </c>
      <c r="C4265" s="1" t="n">
        <v>45724</v>
      </c>
      <c r="D4265" t="inlineStr">
        <is>
          <t>VÄSTMANLANDS LÄN</t>
        </is>
      </c>
      <c r="E4265" t="inlineStr">
        <is>
          <t>SALA</t>
        </is>
      </c>
      <c r="G4265" t="n">
        <v>2.6</v>
      </c>
      <c r="H4265" t="n">
        <v>0</v>
      </c>
      <c r="I4265" t="n">
        <v>0</v>
      </c>
      <c r="J4265" t="n">
        <v>0</v>
      </c>
      <c r="K4265" t="n">
        <v>0</v>
      </c>
      <c r="L4265" t="n">
        <v>0</v>
      </c>
      <c r="M4265" t="n">
        <v>0</v>
      </c>
      <c r="N4265" t="n">
        <v>0</v>
      </c>
      <c r="O4265" t="n">
        <v>0</v>
      </c>
      <c r="P4265" t="n">
        <v>0</v>
      </c>
      <c r="Q4265" t="n">
        <v>0</v>
      </c>
      <c r="R4265" s="2" t="inlineStr"/>
    </row>
    <row r="4266" ht="15" customHeight="1">
      <c r="A4266" t="inlineStr">
        <is>
          <t>A 27097-2024</t>
        </is>
      </c>
      <c r="B4266" s="1" t="n">
        <v>45471</v>
      </c>
      <c r="C4266" s="1" t="n">
        <v>45724</v>
      </c>
      <c r="D4266" t="inlineStr">
        <is>
          <t>VÄSTMANLANDS LÄN</t>
        </is>
      </c>
      <c r="E4266" t="inlineStr">
        <is>
          <t>SALA</t>
        </is>
      </c>
      <c r="G4266" t="n">
        <v>8.199999999999999</v>
      </c>
      <c r="H4266" t="n">
        <v>0</v>
      </c>
      <c r="I4266" t="n">
        <v>0</v>
      </c>
      <c r="J4266" t="n">
        <v>0</v>
      </c>
      <c r="K4266" t="n">
        <v>0</v>
      </c>
      <c r="L4266" t="n">
        <v>0</v>
      </c>
      <c r="M4266" t="n">
        <v>0</v>
      </c>
      <c r="N4266" t="n">
        <v>0</v>
      </c>
      <c r="O4266" t="n">
        <v>0</v>
      </c>
      <c r="P4266" t="n">
        <v>0</v>
      </c>
      <c r="Q4266" t="n">
        <v>0</v>
      </c>
      <c r="R4266" s="2" t="inlineStr"/>
    </row>
    <row r="4267" ht="15" customHeight="1">
      <c r="A4267" t="inlineStr">
        <is>
          <t>A 27262-2024</t>
        </is>
      </c>
      <c r="B4267" s="1" t="n">
        <v>45471</v>
      </c>
      <c r="C4267" s="1" t="n">
        <v>45724</v>
      </c>
      <c r="D4267" t="inlineStr">
        <is>
          <t>VÄSTMANLANDS LÄN</t>
        </is>
      </c>
      <c r="E4267" t="inlineStr">
        <is>
          <t>SALA</t>
        </is>
      </c>
      <c r="G4267" t="n">
        <v>0.8</v>
      </c>
      <c r="H4267" t="n">
        <v>0</v>
      </c>
      <c r="I4267" t="n">
        <v>0</v>
      </c>
      <c r="J4267" t="n">
        <v>0</v>
      </c>
      <c r="K4267" t="n">
        <v>0</v>
      </c>
      <c r="L4267" t="n">
        <v>0</v>
      </c>
      <c r="M4267" t="n">
        <v>0</v>
      </c>
      <c r="N4267" t="n">
        <v>0</v>
      </c>
      <c r="O4267" t="n">
        <v>0</v>
      </c>
      <c r="P4267" t="n">
        <v>0</v>
      </c>
      <c r="Q4267" t="n">
        <v>0</v>
      </c>
      <c r="R4267" s="2" t="inlineStr"/>
    </row>
    <row r="4268" ht="15" customHeight="1">
      <c r="A4268" t="inlineStr">
        <is>
          <t>A 27261-2024</t>
        </is>
      </c>
      <c r="B4268" s="1" t="n">
        <v>45471</v>
      </c>
      <c r="C4268" s="1" t="n">
        <v>45724</v>
      </c>
      <c r="D4268" t="inlineStr">
        <is>
          <t>VÄSTMANLANDS LÄN</t>
        </is>
      </c>
      <c r="E4268" t="inlineStr">
        <is>
          <t>SALA</t>
        </is>
      </c>
      <c r="G4268" t="n">
        <v>6.1</v>
      </c>
      <c r="H4268" t="n">
        <v>0</v>
      </c>
      <c r="I4268" t="n">
        <v>0</v>
      </c>
      <c r="J4268" t="n">
        <v>0</v>
      </c>
      <c r="K4268" t="n">
        <v>0</v>
      </c>
      <c r="L4268" t="n">
        <v>0</v>
      </c>
      <c r="M4268" t="n">
        <v>0</v>
      </c>
      <c r="N4268" t="n">
        <v>0</v>
      </c>
      <c r="O4268" t="n">
        <v>0</v>
      </c>
      <c r="P4268" t="n">
        <v>0</v>
      </c>
      <c r="Q4268" t="n">
        <v>0</v>
      </c>
      <c r="R4268" s="2" t="inlineStr"/>
    </row>
    <row r="4269" ht="15" customHeight="1">
      <c r="A4269" t="inlineStr">
        <is>
          <t>A 27351-2024</t>
        </is>
      </c>
      <c r="B4269" s="1" t="n">
        <v>45473</v>
      </c>
      <c r="C4269" s="1" t="n">
        <v>45724</v>
      </c>
      <c r="D4269" t="inlineStr">
        <is>
          <t>VÄSTMANLANDS LÄN</t>
        </is>
      </c>
      <c r="E4269" t="inlineStr">
        <is>
          <t>ARBOGA</t>
        </is>
      </c>
      <c r="G4269" t="n">
        <v>2.5</v>
      </c>
      <c r="H4269" t="n">
        <v>0</v>
      </c>
      <c r="I4269" t="n">
        <v>0</v>
      </c>
      <c r="J4269" t="n">
        <v>0</v>
      </c>
      <c r="K4269" t="n">
        <v>0</v>
      </c>
      <c r="L4269" t="n">
        <v>0</v>
      </c>
      <c r="M4269" t="n">
        <v>0</v>
      </c>
      <c r="N4269" t="n">
        <v>0</v>
      </c>
      <c r="O4269" t="n">
        <v>0</v>
      </c>
      <c r="P4269" t="n">
        <v>0</v>
      </c>
      <c r="Q4269" t="n">
        <v>0</v>
      </c>
      <c r="R4269" s="2" t="inlineStr"/>
    </row>
    <row r="4270" ht="15" customHeight="1">
      <c r="A4270" t="inlineStr">
        <is>
          <t>A 27564-2024</t>
        </is>
      </c>
      <c r="B4270" s="1" t="n">
        <v>45474</v>
      </c>
      <c r="C4270" s="1" t="n">
        <v>45724</v>
      </c>
      <c r="D4270" t="inlineStr">
        <is>
          <t>VÄSTMANLANDS LÄN</t>
        </is>
      </c>
      <c r="E4270" t="inlineStr">
        <is>
          <t>SKINNSKATTEBERG</t>
        </is>
      </c>
      <c r="F4270" t="inlineStr">
        <is>
          <t>Sveaskog</t>
        </is>
      </c>
      <c r="G4270" t="n">
        <v>0.8</v>
      </c>
      <c r="H4270" t="n">
        <v>0</v>
      </c>
      <c r="I4270" t="n">
        <v>0</v>
      </c>
      <c r="J4270" t="n">
        <v>0</v>
      </c>
      <c r="K4270" t="n">
        <v>0</v>
      </c>
      <c r="L4270" t="n">
        <v>0</v>
      </c>
      <c r="M4270" t="n">
        <v>0</v>
      </c>
      <c r="N4270" t="n">
        <v>0</v>
      </c>
      <c r="O4270" t="n">
        <v>0</v>
      </c>
      <c r="P4270" t="n">
        <v>0</v>
      </c>
      <c r="Q4270" t="n">
        <v>0</v>
      </c>
      <c r="R4270" s="2" t="inlineStr"/>
    </row>
    <row r="4271" ht="15" customHeight="1">
      <c r="A4271" t="inlineStr">
        <is>
          <t>A 27580-2024</t>
        </is>
      </c>
      <c r="B4271" s="1" t="n">
        <v>45474</v>
      </c>
      <c r="C4271" s="1" t="n">
        <v>45724</v>
      </c>
      <c r="D4271" t="inlineStr">
        <is>
          <t>VÄSTMANLANDS LÄN</t>
        </is>
      </c>
      <c r="E4271" t="inlineStr">
        <is>
          <t>NORBERG</t>
        </is>
      </c>
      <c r="G4271" t="n">
        <v>3.9</v>
      </c>
      <c r="H4271" t="n">
        <v>0</v>
      </c>
      <c r="I4271" t="n">
        <v>0</v>
      </c>
      <c r="J4271" t="n">
        <v>0</v>
      </c>
      <c r="K4271" t="n">
        <v>0</v>
      </c>
      <c r="L4271" t="n">
        <v>0</v>
      </c>
      <c r="M4271" t="n">
        <v>0</v>
      </c>
      <c r="N4271" t="n">
        <v>0</v>
      </c>
      <c r="O4271" t="n">
        <v>0</v>
      </c>
      <c r="P4271" t="n">
        <v>0</v>
      </c>
      <c r="Q4271" t="n">
        <v>0</v>
      </c>
      <c r="R4271" s="2" t="inlineStr"/>
    </row>
    <row r="4272" ht="15" customHeight="1">
      <c r="A4272" t="inlineStr">
        <is>
          <t>A 27565-2024</t>
        </is>
      </c>
      <c r="B4272" s="1" t="n">
        <v>45474</v>
      </c>
      <c r="C4272" s="1" t="n">
        <v>45724</v>
      </c>
      <c r="D4272" t="inlineStr">
        <is>
          <t>VÄSTMANLANDS LÄN</t>
        </is>
      </c>
      <c r="E4272" t="inlineStr">
        <is>
          <t>SKINNSKATTEBERG</t>
        </is>
      </c>
      <c r="F4272" t="inlineStr">
        <is>
          <t>Sveaskog</t>
        </is>
      </c>
      <c r="G4272" t="n">
        <v>1.4</v>
      </c>
      <c r="H4272" t="n">
        <v>0</v>
      </c>
      <c r="I4272" t="n">
        <v>0</v>
      </c>
      <c r="J4272" t="n">
        <v>0</v>
      </c>
      <c r="K4272" t="n">
        <v>0</v>
      </c>
      <c r="L4272" t="n">
        <v>0</v>
      </c>
      <c r="M4272" t="n">
        <v>0</v>
      </c>
      <c r="N4272" t="n">
        <v>0</v>
      </c>
      <c r="O4272" t="n">
        <v>0</v>
      </c>
      <c r="P4272" t="n">
        <v>0</v>
      </c>
      <c r="Q4272" t="n">
        <v>0</v>
      </c>
      <c r="R4272" s="2" t="inlineStr"/>
    </row>
    <row r="4273" ht="15" customHeight="1">
      <c r="A4273" t="inlineStr">
        <is>
          <t>A 27589-2024</t>
        </is>
      </c>
      <c r="B4273" s="1" t="n">
        <v>45474</v>
      </c>
      <c r="C4273" s="1" t="n">
        <v>45724</v>
      </c>
      <c r="D4273" t="inlineStr">
        <is>
          <t>VÄSTMANLANDS LÄN</t>
        </is>
      </c>
      <c r="E4273" t="inlineStr">
        <is>
          <t>NORBERG</t>
        </is>
      </c>
      <c r="G4273" t="n">
        <v>2.7</v>
      </c>
      <c r="H4273" t="n">
        <v>0</v>
      </c>
      <c r="I4273" t="n">
        <v>0</v>
      </c>
      <c r="J4273" t="n">
        <v>0</v>
      </c>
      <c r="K4273" t="n">
        <v>0</v>
      </c>
      <c r="L4273" t="n">
        <v>0</v>
      </c>
      <c r="M4273" t="n">
        <v>0</v>
      </c>
      <c r="N4273" t="n">
        <v>0</v>
      </c>
      <c r="O4273" t="n">
        <v>0</v>
      </c>
      <c r="P4273" t="n">
        <v>0</v>
      </c>
      <c r="Q4273" t="n">
        <v>0</v>
      </c>
      <c r="R4273" s="2" t="inlineStr"/>
    </row>
    <row r="4274" ht="15" customHeight="1">
      <c r="A4274" t="inlineStr">
        <is>
          <t>A 28058-2024</t>
        </is>
      </c>
      <c r="B4274" s="1" t="n">
        <v>45476</v>
      </c>
      <c r="C4274" s="1" t="n">
        <v>45724</v>
      </c>
      <c r="D4274" t="inlineStr">
        <is>
          <t>VÄSTMANLANDS LÄN</t>
        </is>
      </c>
      <c r="E4274" t="inlineStr">
        <is>
          <t>SKINNSKATTEBERG</t>
        </is>
      </c>
      <c r="F4274" t="inlineStr">
        <is>
          <t>Sveaskog</t>
        </is>
      </c>
      <c r="G4274" t="n">
        <v>1.2</v>
      </c>
      <c r="H4274" t="n">
        <v>0</v>
      </c>
      <c r="I4274" t="n">
        <v>0</v>
      </c>
      <c r="J4274" t="n">
        <v>0</v>
      </c>
      <c r="K4274" t="n">
        <v>0</v>
      </c>
      <c r="L4274" t="n">
        <v>0</v>
      </c>
      <c r="M4274" t="n">
        <v>0</v>
      </c>
      <c r="N4274" t="n">
        <v>0</v>
      </c>
      <c r="O4274" t="n">
        <v>0</v>
      </c>
      <c r="P4274" t="n">
        <v>0</v>
      </c>
      <c r="Q4274" t="n">
        <v>0</v>
      </c>
      <c r="R4274" s="2" t="inlineStr"/>
    </row>
    <row r="4275" ht="15" customHeight="1">
      <c r="A4275" t="inlineStr">
        <is>
          <t>A 28082-2024</t>
        </is>
      </c>
      <c r="B4275" s="1" t="n">
        <v>45476</v>
      </c>
      <c r="C4275" s="1" t="n">
        <v>45724</v>
      </c>
      <c r="D4275" t="inlineStr">
        <is>
          <t>VÄSTMANLANDS LÄN</t>
        </is>
      </c>
      <c r="E4275" t="inlineStr">
        <is>
          <t>SALA</t>
        </is>
      </c>
      <c r="G4275" t="n">
        <v>4.7</v>
      </c>
      <c r="H4275" t="n">
        <v>0</v>
      </c>
      <c r="I4275" t="n">
        <v>0</v>
      </c>
      <c r="J4275" t="n">
        <v>0</v>
      </c>
      <c r="K4275" t="n">
        <v>0</v>
      </c>
      <c r="L4275" t="n">
        <v>0</v>
      </c>
      <c r="M4275" t="n">
        <v>0</v>
      </c>
      <c r="N4275" t="n">
        <v>0</v>
      </c>
      <c r="O4275" t="n">
        <v>0</v>
      </c>
      <c r="P4275" t="n">
        <v>0</v>
      </c>
      <c r="Q4275" t="n">
        <v>0</v>
      </c>
      <c r="R4275" s="2" t="inlineStr"/>
    </row>
    <row r="4276" ht="15" customHeight="1">
      <c r="A4276" t="inlineStr">
        <is>
          <t>A 28113-2024</t>
        </is>
      </c>
      <c r="B4276" s="1" t="n">
        <v>45476</v>
      </c>
      <c r="C4276" s="1" t="n">
        <v>45724</v>
      </c>
      <c r="D4276" t="inlineStr">
        <is>
          <t>VÄSTMANLANDS LÄN</t>
        </is>
      </c>
      <c r="E4276" t="inlineStr">
        <is>
          <t>FAGERSTA</t>
        </is>
      </c>
      <c r="G4276" t="n">
        <v>6.3</v>
      </c>
      <c r="H4276" t="n">
        <v>0</v>
      </c>
      <c r="I4276" t="n">
        <v>0</v>
      </c>
      <c r="J4276" t="n">
        <v>0</v>
      </c>
      <c r="K4276" t="n">
        <v>0</v>
      </c>
      <c r="L4276" t="n">
        <v>0</v>
      </c>
      <c r="M4276" t="n">
        <v>0</v>
      </c>
      <c r="N4276" t="n">
        <v>0</v>
      </c>
      <c r="O4276" t="n">
        <v>0</v>
      </c>
      <c r="P4276" t="n">
        <v>0</v>
      </c>
      <c r="Q4276" t="n">
        <v>0</v>
      </c>
      <c r="R4276" s="2" t="inlineStr"/>
    </row>
    <row r="4277" ht="15" customHeight="1">
      <c r="A4277" t="inlineStr">
        <is>
          <t>A 28093-2024</t>
        </is>
      </c>
      <c r="B4277" s="1" t="n">
        <v>45476</v>
      </c>
      <c r="C4277" s="1" t="n">
        <v>45724</v>
      </c>
      <c r="D4277" t="inlineStr">
        <is>
          <t>VÄSTMANLANDS LÄN</t>
        </is>
      </c>
      <c r="E4277" t="inlineStr">
        <is>
          <t>SALA</t>
        </is>
      </c>
      <c r="G4277" t="n">
        <v>4.2</v>
      </c>
      <c r="H4277" t="n">
        <v>0</v>
      </c>
      <c r="I4277" t="n">
        <v>0</v>
      </c>
      <c r="J4277" t="n">
        <v>0</v>
      </c>
      <c r="K4277" t="n">
        <v>0</v>
      </c>
      <c r="L4277" t="n">
        <v>0</v>
      </c>
      <c r="M4277" t="n">
        <v>0</v>
      </c>
      <c r="N4277" t="n">
        <v>0</v>
      </c>
      <c r="O4277" t="n">
        <v>0</v>
      </c>
      <c r="P4277" t="n">
        <v>0</v>
      </c>
      <c r="Q4277" t="n">
        <v>0</v>
      </c>
      <c r="R4277" s="2" t="inlineStr"/>
    </row>
    <row r="4278" ht="15" customHeight="1">
      <c r="A4278" t="inlineStr">
        <is>
          <t>A 28060-2024</t>
        </is>
      </c>
      <c r="B4278" s="1" t="n">
        <v>45476</v>
      </c>
      <c r="C4278" s="1" t="n">
        <v>45724</v>
      </c>
      <c r="D4278" t="inlineStr">
        <is>
          <t>VÄSTMANLANDS LÄN</t>
        </is>
      </c>
      <c r="E4278" t="inlineStr">
        <is>
          <t>SKINNSKATTEBERG</t>
        </is>
      </c>
      <c r="F4278" t="inlineStr">
        <is>
          <t>Sveaskog</t>
        </is>
      </c>
      <c r="G4278" t="n">
        <v>2.4</v>
      </c>
      <c r="H4278" t="n">
        <v>0</v>
      </c>
      <c r="I4278" t="n">
        <v>0</v>
      </c>
      <c r="J4278" t="n">
        <v>0</v>
      </c>
      <c r="K4278" t="n">
        <v>0</v>
      </c>
      <c r="L4278" t="n">
        <v>0</v>
      </c>
      <c r="M4278" t="n">
        <v>0</v>
      </c>
      <c r="N4278" t="n">
        <v>0</v>
      </c>
      <c r="O4278" t="n">
        <v>0</v>
      </c>
      <c r="P4278" t="n">
        <v>0</v>
      </c>
      <c r="Q4278" t="n">
        <v>0</v>
      </c>
      <c r="R4278" s="2" t="inlineStr"/>
    </row>
    <row r="4279" ht="15" customHeight="1">
      <c r="A4279" t="inlineStr">
        <is>
          <t>A 28056-2024</t>
        </is>
      </c>
      <c r="B4279" s="1" t="n">
        <v>45476</v>
      </c>
      <c r="C4279" s="1" t="n">
        <v>45724</v>
      </c>
      <c r="D4279" t="inlineStr">
        <is>
          <t>VÄSTMANLANDS LÄN</t>
        </is>
      </c>
      <c r="E4279" t="inlineStr">
        <is>
          <t>SKINNSKATTEBERG</t>
        </is>
      </c>
      <c r="F4279" t="inlineStr">
        <is>
          <t>Sveaskog</t>
        </is>
      </c>
      <c r="G4279" t="n">
        <v>1.5</v>
      </c>
      <c r="H4279" t="n">
        <v>0</v>
      </c>
      <c r="I4279" t="n">
        <v>0</v>
      </c>
      <c r="J4279" t="n">
        <v>0</v>
      </c>
      <c r="K4279" t="n">
        <v>0</v>
      </c>
      <c r="L4279" t="n">
        <v>0</v>
      </c>
      <c r="M4279" t="n">
        <v>0</v>
      </c>
      <c r="N4279" t="n">
        <v>0</v>
      </c>
      <c r="O4279" t="n">
        <v>0</v>
      </c>
      <c r="P4279" t="n">
        <v>0</v>
      </c>
      <c r="Q4279" t="n">
        <v>0</v>
      </c>
      <c r="R4279" s="2" t="inlineStr"/>
    </row>
    <row r="4280" ht="15" customHeight="1">
      <c r="A4280" t="inlineStr">
        <is>
          <t>A 28389-2024</t>
        </is>
      </c>
      <c r="B4280" s="1" t="n">
        <v>45477</v>
      </c>
      <c r="C4280" s="1" t="n">
        <v>45724</v>
      </c>
      <c r="D4280" t="inlineStr">
        <is>
          <t>VÄSTMANLANDS LÄN</t>
        </is>
      </c>
      <c r="E4280" t="inlineStr">
        <is>
          <t>KÖPING</t>
        </is>
      </c>
      <c r="F4280" t="inlineStr">
        <is>
          <t>Sveaskog</t>
        </is>
      </c>
      <c r="G4280" t="n">
        <v>3.5</v>
      </c>
      <c r="H4280" t="n">
        <v>0</v>
      </c>
      <c r="I4280" t="n">
        <v>0</v>
      </c>
      <c r="J4280" t="n">
        <v>0</v>
      </c>
      <c r="K4280" t="n">
        <v>0</v>
      </c>
      <c r="L4280" t="n">
        <v>0</v>
      </c>
      <c r="M4280" t="n">
        <v>0</v>
      </c>
      <c r="N4280" t="n">
        <v>0</v>
      </c>
      <c r="O4280" t="n">
        <v>0</v>
      </c>
      <c r="P4280" t="n">
        <v>0</v>
      </c>
      <c r="Q4280" t="n">
        <v>0</v>
      </c>
      <c r="R4280" s="2" t="inlineStr"/>
    </row>
    <row r="4281" ht="15" customHeight="1">
      <c r="A4281" t="inlineStr">
        <is>
          <t>A 28377-2024</t>
        </is>
      </c>
      <c r="B4281" s="1" t="n">
        <v>45477</v>
      </c>
      <c r="C4281" s="1" t="n">
        <v>45724</v>
      </c>
      <c r="D4281" t="inlineStr">
        <is>
          <t>VÄSTMANLANDS LÄN</t>
        </is>
      </c>
      <c r="E4281" t="inlineStr">
        <is>
          <t>KÖPING</t>
        </is>
      </c>
      <c r="F4281" t="inlineStr">
        <is>
          <t>Sveaskog</t>
        </is>
      </c>
      <c r="G4281" t="n">
        <v>4.6</v>
      </c>
      <c r="H4281" t="n">
        <v>0</v>
      </c>
      <c r="I4281" t="n">
        <v>0</v>
      </c>
      <c r="J4281" t="n">
        <v>0</v>
      </c>
      <c r="K4281" t="n">
        <v>0</v>
      </c>
      <c r="L4281" t="n">
        <v>0</v>
      </c>
      <c r="M4281" t="n">
        <v>0</v>
      </c>
      <c r="N4281" t="n">
        <v>0</v>
      </c>
      <c r="O4281" t="n">
        <v>0</v>
      </c>
      <c r="P4281" t="n">
        <v>0</v>
      </c>
      <c r="Q4281" t="n">
        <v>0</v>
      </c>
      <c r="R4281" s="2" t="inlineStr"/>
    </row>
    <row r="4282" ht="15" customHeight="1">
      <c r="A4282" t="inlineStr">
        <is>
          <t>A 28383-2024</t>
        </is>
      </c>
      <c r="B4282" s="1" t="n">
        <v>45477</v>
      </c>
      <c r="C4282" s="1" t="n">
        <v>45724</v>
      </c>
      <c r="D4282" t="inlineStr">
        <is>
          <t>VÄSTMANLANDS LÄN</t>
        </is>
      </c>
      <c r="E4282" t="inlineStr">
        <is>
          <t>KÖPING</t>
        </is>
      </c>
      <c r="F4282" t="inlineStr">
        <is>
          <t>Sveaskog</t>
        </is>
      </c>
      <c r="G4282" t="n">
        <v>7.7</v>
      </c>
      <c r="H4282" t="n">
        <v>0</v>
      </c>
      <c r="I4282" t="n">
        <v>0</v>
      </c>
      <c r="J4282" t="n">
        <v>0</v>
      </c>
      <c r="K4282" t="n">
        <v>0</v>
      </c>
      <c r="L4282" t="n">
        <v>0</v>
      </c>
      <c r="M4282" t="n">
        <v>0</v>
      </c>
      <c r="N4282" t="n">
        <v>0</v>
      </c>
      <c r="O4282" t="n">
        <v>0</v>
      </c>
      <c r="P4282" t="n">
        <v>0</v>
      </c>
      <c r="Q4282" t="n">
        <v>0</v>
      </c>
      <c r="R4282" s="2" t="inlineStr"/>
    </row>
    <row r="4283" ht="15" customHeight="1">
      <c r="A4283" t="inlineStr">
        <is>
          <t>A 28379-2024</t>
        </is>
      </c>
      <c r="B4283" s="1" t="n">
        <v>45477</v>
      </c>
      <c r="C4283" s="1" t="n">
        <v>45724</v>
      </c>
      <c r="D4283" t="inlineStr">
        <is>
          <t>VÄSTMANLANDS LÄN</t>
        </is>
      </c>
      <c r="E4283" t="inlineStr">
        <is>
          <t>KÖPING</t>
        </is>
      </c>
      <c r="F4283" t="inlineStr">
        <is>
          <t>Sveaskog</t>
        </is>
      </c>
      <c r="G4283" t="n">
        <v>3.7</v>
      </c>
      <c r="H4283" t="n">
        <v>0</v>
      </c>
      <c r="I4283" t="n">
        <v>0</v>
      </c>
      <c r="J4283" t="n">
        <v>0</v>
      </c>
      <c r="K4283" t="n">
        <v>0</v>
      </c>
      <c r="L4283" t="n">
        <v>0</v>
      </c>
      <c r="M4283" t="n">
        <v>0</v>
      </c>
      <c r="N4283" t="n">
        <v>0</v>
      </c>
      <c r="O4283" t="n">
        <v>0</v>
      </c>
      <c r="P4283" t="n">
        <v>0</v>
      </c>
      <c r="Q4283" t="n">
        <v>0</v>
      </c>
      <c r="R4283" s="2" t="inlineStr"/>
    </row>
    <row r="4284" ht="15" customHeight="1">
      <c r="A4284" t="inlineStr">
        <is>
          <t>A 28375-2024</t>
        </is>
      </c>
      <c r="B4284" s="1" t="n">
        <v>45477</v>
      </c>
      <c r="C4284" s="1" t="n">
        <v>45724</v>
      </c>
      <c r="D4284" t="inlineStr">
        <is>
          <t>VÄSTMANLANDS LÄN</t>
        </is>
      </c>
      <c r="E4284" t="inlineStr">
        <is>
          <t>KÖPING</t>
        </is>
      </c>
      <c r="F4284" t="inlineStr">
        <is>
          <t>Sveaskog</t>
        </is>
      </c>
      <c r="G4284" t="n">
        <v>3</v>
      </c>
      <c r="H4284" t="n">
        <v>0</v>
      </c>
      <c r="I4284" t="n">
        <v>0</v>
      </c>
      <c r="J4284" t="n">
        <v>0</v>
      </c>
      <c r="K4284" t="n">
        <v>0</v>
      </c>
      <c r="L4284" t="n">
        <v>0</v>
      </c>
      <c r="M4284" t="n">
        <v>0</v>
      </c>
      <c r="N4284" t="n">
        <v>0</v>
      </c>
      <c r="O4284" t="n">
        <v>0</v>
      </c>
      <c r="P4284" t="n">
        <v>0</v>
      </c>
      <c r="Q4284" t="n">
        <v>0</v>
      </c>
      <c r="R4284" s="2" t="inlineStr"/>
    </row>
    <row r="4285" ht="15" customHeight="1">
      <c r="A4285" t="inlineStr">
        <is>
          <t>A 28439-2024</t>
        </is>
      </c>
      <c r="B4285" s="1" t="n">
        <v>45477</v>
      </c>
      <c r="C4285" s="1" t="n">
        <v>45724</v>
      </c>
      <c r="D4285" t="inlineStr">
        <is>
          <t>VÄSTMANLANDS LÄN</t>
        </is>
      </c>
      <c r="E4285" t="inlineStr">
        <is>
          <t>SALA</t>
        </is>
      </c>
      <c r="G4285" t="n">
        <v>9.5</v>
      </c>
      <c r="H4285" t="n">
        <v>0</v>
      </c>
      <c r="I4285" t="n">
        <v>0</v>
      </c>
      <c r="J4285" t="n">
        <v>0</v>
      </c>
      <c r="K4285" t="n">
        <v>0</v>
      </c>
      <c r="L4285" t="n">
        <v>0</v>
      </c>
      <c r="M4285" t="n">
        <v>0</v>
      </c>
      <c r="N4285" t="n">
        <v>0</v>
      </c>
      <c r="O4285" t="n">
        <v>0</v>
      </c>
      <c r="P4285" t="n">
        <v>0</v>
      </c>
      <c r="Q4285" t="n">
        <v>0</v>
      </c>
      <c r="R4285" s="2" t="inlineStr"/>
    </row>
    <row r="4286" ht="15" customHeight="1">
      <c r="A4286" t="inlineStr">
        <is>
          <t>A 28203-2024</t>
        </is>
      </c>
      <c r="B4286" s="1" t="n">
        <v>45477</v>
      </c>
      <c r="C4286" s="1" t="n">
        <v>45724</v>
      </c>
      <c r="D4286" t="inlineStr">
        <is>
          <t>VÄSTMANLANDS LÄN</t>
        </is>
      </c>
      <c r="E4286" t="inlineStr">
        <is>
          <t>FAGERSTA</t>
        </is>
      </c>
      <c r="F4286" t="inlineStr">
        <is>
          <t>Sveaskog</t>
        </is>
      </c>
      <c r="G4286" t="n">
        <v>4.2</v>
      </c>
      <c r="H4286" t="n">
        <v>0</v>
      </c>
      <c r="I4286" t="n">
        <v>0</v>
      </c>
      <c r="J4286" t="n">
        <v>0</v>
      </c>
      <c r="K4286" t="n">
        <v>0</v>
      </c>
      <c r="L4286" t="n">
        <v>0</v>
      </c>
      <c r="M4286" t="n">
        <v>0</v>
      </c>
      <c r="N4286" t="n">
        <v>0</v>
      </c>
      <c r="O4286" t="n">
        <v>0</v>
      </c>
      <c r="P4286" t="n">
        <v>0</v>
      </c>
      <c r="Q4286" t="n">
        <v>0</v>
      </c>
      <c r="R4286" s="2" t="inlineStr"/>
    </row>
    <row r="4287" ht="15" customHeight="1">
      <c r="A4287" t="inlineStr">
        <is>
          <t>A 28201-2024</t>
        </is>
      </c>
      <c r="B4287" s="1" t="n">
        <v>45477</v>
      </c>
      <c r="C4287" s="1" t="n">
        <v>45724</v>
      </c>
      <c r="D4287" t="inlineStr">
        <is>
          <t>VÄSTMANLANDS LÄN</t>
        </is>
      </c>
      <c r="E4287" t="inlineStr">
        <is>
          <t>FAGERSTA</t>
        </is>
      </c>
      <c r="F4287" t="inlineStr">
        <is>
          <t>Sveaskog</t>
        </is>
      </c>
      <c r="G4287" t="n">
        <v>1.7</v>
      </c>
      <c r="H4287" t="n">
        <v>0</v>
      </c>
      <c r="I4287" t="n">
        <v>0</v>
      </c>
      <c r="J4287" t="n">
        <v>0</v>
      </c>
      <c r="K4287" t="n">
        <v>0</v>
      </c>
      <c r="L4287" t="n">
        <v>0</v>
      </c>
      <c r="M4287" t="n">
        <v>0</v>
      </c>
      <c r="N4287" t="n">
        <v>0</v>
      </c>
      <c r="O4287" t="n">
        <v>0</v>
      </c>
      <c r="P4287" t="n">
        <v>0</v>
      </c>
      <c r="Q4287" t="n">
        <v>0</v>
      </c>
      <c r="R4287" s="2" t="inlineStr"/>
    </row>
    <row r="4288" ht="15" customHeight="1">
      <c r="A4288" t="inlineStr">
        <is>
          <t>A 28394-2024</t>
        </is>
      </c>
      <c r="B4288" s="1" t="n">
        <v>45477</v>
      </c>
      <c r="C4288" s="1" t="n">
        <v>45724</v>
      </c>
      <c r="D4288" t="inlineStr">
        <is>
          <t>VÄSTMANLANDS LÄN</t>
        </is>
      </c>
      <c r="E4288" t="inlineStr">
        <is>
          <t>KÖPING</t>
        </is>
      </c>
      <c r="F4288" t="inlineStr">
        <is>
          <t>Sveaskog</t>
        </is>
      </c>
      <c r="G4288" t="n">
        <v>2</v>
      </c>
      <c r="H4288" t="n">
        <v>0</v>
      </c>
      <c r="I4288" t="n">
        <v>0</v>
      </c>
      <c r="J4288" t="n">
        <v>0</v>
      </c>
      <c r="K4288" t="n">
        <v>0</v>
      </c>
      <c r="L4288" t="n">
        <v>0</v>
      </c>
      <c r="M4288" t="n">
        <v>0</v>
      </c>
      <c r="N4288" t="n">
        <v>0</v>
      </c>
      <c r="O4288" t="n">
        <v>0</v>
      </c>
      <c r="P4288" t="n">
        <v>0</v>
      </c>
      <c r="Q4288" t="n">
        <v>0</v>
      </c>
      <c r="R4288" s="2" t="inlineStr"/>
    </row>
    <row r="4289" ht="15" customHeight="1">
      <c r="A4289" t="inlineStr">
        <is>
          <t>A 28386-2024</t>
        </is>
      </c>
      <c r="B4289" s="1" t="n">
        <v>45477</v>
      </c>
      <c r="C4289" s="1" t="n">
        <v>45724</v>
      </c>
      <c r="D4289" t="inlineStr">
        <is>
          <t>VÄSTMANLANDS LÄN</t>
        </is>
      </c>
      <c r="E4289" t="inlineStr">
        <is>
          <t>KÖPING</t>
        </is>
      </c>
      <c r="F4289" t="inlineStr">
        <is>
          <t>Sveaskog</t>
        </is>
      </c>
      <c r="G4289" t="n">
        <v>0.7</v>
      </c>
      <c r="H4289" t="n">
        <v>0</v>
      </c>
      <c r="I4289" t="n">
        <v>0</v>
      </c>
      <c r="J4289" t="n">
        <v>0</v>
      </c>
      <c r="K4289" t="n">
        <v>0</v>
      </c>
      <c r="L4289" t="n">
        <v>0</v>
      </c>
      <c r="M4289" t="n">
        <v>0</v>
      </c>
      <c r="N4289" t="n">
        <v>0</v>
      </c>
      <c r="O4289" t="n">
        <v>0</v>
      </c>
      <c r="P4289" t="n">
        <v>0</v>
      </c>
      <c r="Q4289" t="n">
        <v>0</v>
      </c>
      <c r="R4289" s="2" t="inlineStr"/>
    </row>
    <row r="4290" ht="15" customHeight="1">
      <c r="A4290" t="inlineStr">
        <is>
          <t>A 28374-2024</t>
        </is>
      </c>
      <c r="B4290" s="1" t="n">
        <v>45477</v>
      </c>
      <c r="C4290" s="1" t="n">
        <v>45724</v>
      </c>
      <c r="D4290" t="inlineStr">
        <is>
          <t>VÄSTMANLANDS LÄN</t>
        </is>
      </c>
      <c r="E4290" t="inlineStr">
        <is>
          <t>KÖPING</t>
        </is>
      </c>
      <c r="F4290" t="inlineStr">
        <is>
          <t>Sveaskog</t>
        </is>
      </c>
      <c r="G4290" t="n">
        <v>2.6</v>
      </c>
      <c r="H4290" t="n">
        <v>0</v>
      </c>
      <c r="I4290" t="n">
        <v>0</v>
      </c>
      <c r="J4290" t="n">
        <v>0</v>
      </c>
      <c r="K4290" t="n">
        <v>0</v>
      </c>
      <c r="L4290" t="n">
        <v>0</v>
      </c>
      <c r="M4290" t="n">
        <v>0</v>
      </c>
      <c r="N4290" t="n">
        <v>0</v>
      </c>
      <c r="O4290" t="n">
        <v>0</v>
      </c>
      <c r="P4290" t="n">
        <v>0</v>
      </c>
      <c r="Q4290" t="n">
        <v>0</v>
      </c>
      <c r="R4290" s="2" t="inlineStr"/>
    </row>
    <row r="4291" ht="15" customHeight="1">
      <c r="A4291" t="inlineStr">
        <is>
          <t>A 28278-2024</t>
        </is>
      </c>
      <c r="B4291" s="1" t="n">
        <v>45477</v>
      </c>
      <c r="C4291" s="1" t="n">
        <v>45724</v>
      </c>
      <c r="D4291" t="inlineStr">
        <is>
          <t>VÄSTMANLANDS LÄN</t>
        </is>
      </c>
      <c r="E4291" t="inlineStr">
        <is>
          <t>SKINNSKATTEBERG</t>
        </is>
      </c>
      <c r="F4291" t="inlineStr">
        <is>
          <t>Sveaskog</t>
        </is>
      </c>
      <c r="G4291" t="n">
        <v>2</v>
      </c>
      <c r="H4291" t="n">
        <v>0</v>
      </c>
      <c r="I4291" t="n">
        <v>0</v>
      </c>
      <c r="J4291" t="n">
        <v>0</v>
      </c>
      <c r="K4291" t="n">
        <v>0</v>
      </c>
      <c r="L4291" t="n">
        <v>0</v>
      </c>
      <c r="M4291" t="n">
        <v>0</v>
      </c>
      <c r="N4291" t="n">
        <v>0</v>
      </c>
      <c r="O4291" t="n">
        <v>0</v>
      </c>
      <c r="P4291" t="n">
        <v>0</v>
      </c>
      <c r="Q4291" t="n">
        <v>0</v>
      </c>
      <c r="R4291" s="2" t="inlineStr"/>
    </row>
    <row r="4292" ht="15" customHeight="1">
      <c r="A4292" t="inlineStr">
        <is>
          <t>A 28233-2024</t>
        </is>
      </c>
      <c r="B4292" s="1" t="n">
        <v>45477</v>
      </c>
      <c r="C4292" s="1" t="n">
        <v>45724</v>
      </c>
      <c r="D4292" t="inlineStr">
        <is>
          <t>VÄSTMANLANDS LÄN</t>
        </is>
      </c>
      <c r="E4292" t="inlineStr">
        <is>
          <t>SKINNSKATTEBERG</t>
        </is>
      </c>
      <c r="F4292" t="inlineStr">
        <is>
          <t>Sveaskog</t>
        </is>
      </c>
      <c r="G4292" t="n">
        <v>2.3</v>
      </c>
      <c r="H4292" t="n">
        <v>0</v>
      </c>
      <c r="I4292" t="n">
        <v>0</v>
      </c>
      <c r="J4292" t="n">
        <v>0</v>
      </c>
      <c r="K4292" t="n">
        <v>0</v>
      </c>
      <c r="L4292" t="n">
        <v>0</v>
      </c>
      <c r="M4292" t="n">
        <v>0</v>
      </c>
      <c r="N4292" t="n">
        <v>0</v>
      </c>
      <c r="O4292" t="n">
        <v>0</v>
      </c>
      <c r="P4292" t="n">
        <v>0</v>
      </c>
      <c r="Q4292" t="n">
        <v>0</v>
      </c>
      <c r="R4292" s="2" t="inlineStr"/>
    </row>
    <row r="4293" ht="15" customHeight="1">
      <c r="A4293" t="inlineStr">
        <is>
          <t>A 28205-2024</t>
        </is>
      </c>
      <c r="B4293" s="1" t="n">
        <v>45477</v>
      </c>
      <c r="C4293" s="1" t="n">
        <v>45724</v>
      </c>
      <c r="D4293" t="inlineStr">
        <is>
          <t>VÄSTMANLANDS LÄN</t>
        </is>
      </c>
      <c r="E4293" t="inlineStr">
        <is>
          <t>FAGERSTA</t>
        </is>
      </c>
      <c r="F4293" t="inlineStr">
        <is>
          <t>Sveaskog</t>
        </is>
      </c>
      <c r="G4293" t="n">
        <v>6.7</v>
      </c>
      <c r="H4293" t="n">
        <v>0</v>
      </c>
      <c r="I4293" t="n">
        <v>0</v>
      </c>
      <c r="J4293" t="n">
        <v>0</v>
      </c>
      <c r="K4293" t="n">
        <v>0</v>
      </c>
      <c r="L4293" t="n">
        <v>0</v>
      </c>
      <c r="M4293" t="n">
        <v>0</v>
      </c>
      <c r="N4293" t="n">
        <v>0</v>
      </c>
      <c r="O4293" t="n">
        <v>0</v>
      </c>
      <c r="P4293" t="n">
        <v>0</v>
      </c>
      <c r="Q4293" t="n">
        <v>0</v>
      </c>
      <c r="R4293" s="2" t="inlineStr"/>
    </row>
    <row r="4294" ht="15" customHeight="1">
      <c r="A4294" t="inlineStr">
        <is>
          <t>A 28188-2024</t>
        </is>
      </c>
      <c r="B4294" s="1" t="n">
        <v>45477</v>
      </c>
      <c r="C4294" s="1" t="n">
        <v>45724</v>
      </c>
      <c r="D4294" t="inlineStr">
        <is>
          <t>VÄSTMANLANDS LÄN</t>
        </is>
      </c>
      <c r="E4294" t="inlineStr">
        <is>
          <t>SKINNSKATTEBERG</t>
        </is>
      </c>
      <c r="F4294" t="inlineStr">
        <is>
          <t>Sveaskog</t>
        </is>
      </c>
      <c r="G4294" t="n">
        <v>8.4</v>
      </c>
      <c r="H4294" t="n">
        <v>0</v>
      </c>
      <c r="I4294" t="n">
        <v>0</v>
      </c>
      <c r="J4294" t="n">
        <v>0</v>
      </c>
      <c r="K4294" t="n">
        <v>0</v>
      </c>
      <c r="L4294" t="n">
        <v>0</v>
      </c>
      <c r="M4294" t="n">
        <v>0</v>
      </c>
      <c r="N4294" t="n">
        <v>0</v>
      </c>
      <c r="O4294" t="n">
        <v>0</v>
      </c>
      <c r="P4294" t="n">
        <v>0</v>
      </c>
      <c r="Q4294" t="n">
        <v>0</v>
      </c>
      <c r="R4294" s="2" t="inlineStr"/>
    </row>
    <row r="4295" ht="15" customHeight="1">
      <c r="A4295" t="inlineStr">
        <is>
          <t>A 28207-2024</t>
        </is>
      </c>
      <c r="B4295" s="1" t="n">
        <v>45477</v>
      </c>
      <c r="C4295" s="1" t="n">
        <v>45724</v>
      </c>
      <c r="D4295" t="inlineStr">
        <is>
          <t>VÄSTMANLANDS LÄN</t>
        </is>
      </c>
      <c r="E4295" t="inlineStr">
        <is>
          <t>FAGERSTA</t>
        </is>
      </c>
      <c r="F4295" t="inlineStr">
        <is>
          <t>Sveaskog</t>
        </is>
      </c>
      <c r="G4295" t="n">
        <v>11.4</v>
      </c>
      <c r="H4295" t="n">
        <v>0</v>
      </c>
      <c r="I4295" t="n">
        <v>0</v>
      </c>
      <c r="J4295" t="n">
        <v>0</v>
      </c>
      <c r="K4295" t="n">
        <v>0</v>
      </c>
      <c r="L4295" t="n">
        <v>0</v>
      </c>
      <c r="M4295" t="n">
        <v>0</v>
      </c>
      <c r="N4295" t="n">
        <v>0</v>
      </c>
      <c r="O4295" t="n">
        <v>0</v>
      </c>
      <c r="P4295" t="n">
        <v>0</v>
      </c>
      <c r="Q4295" t="n">
        <v>0</v>
      </c>
      <c r="R4295" s="2" t="inlineStr"/>
    </row>
    <row r="4296" ht="15" customHeight="1">
      <c r="A4296" t="inlineStr">
        <is>
          <t>A 28614-2024</t>
        </is>
      </c>
      <c r="B4296" s="1" t="n">
        <v>45478</v>
      </c>
      <c r="C4296" s="1" t="n">
        <v>45724</v>
      </c>
      <c r="D4296" t="inlineStr">
        <is>
          <t>VÄSTMANLANDS LÄN</t>
        </is>
      </c>
      <c r="E4296" t="inlineStr">
        <is>
          <t>SALA</t>
        </is>
      </c>
      <c r="G4296" t="n">
        <v>1.4</v>
      </c>
      <c r="H4296" t="n">
        <v>0</v>
      </c>
      <c r="I4296" t="n">
        <v>0</v>
      </c>
      <c r="J4296" t="n">
        <v>0</v>
      </c>
      <c r="K4296" t="n">
        <v>0</v>
      </c>
      <c r="L4296" t="n">
        <v>0</v>
      </c>
      <c r="M4296" t="n">
        <v>0</v>
      </c>
      <c r="N4296" t="n">
        <v>0</v>
      </c>
      <c r="O4296" t="n">
        <v>0</v>
      </c>
      <c r="P4296" t="n">
        <v>0</v>
      </c>
      <c r="Q4296" t="n">
        <v>0</v>
      </c>
      <c r="R4296" s="2" t="inlineStr"/>
    </row>
    <row r="4297" ht="15" customHeight="1">
      <c r="A4297" t="inlineStr">
        <is>
          <t>A 28691-2024</t>
        </is>
      </c>
      <c r="B4297" s="1" t="n">
        <v>45478</v>
      </c>
      <c r="C4297" s="1" t="n">
        <v>45724</v>
      </c>
      <c r="D4297" t="inlineStr">
        <is>
          <t>VÄSTMANLANDS LÄN</t>
        </is>
      </c>
      <c r="E4297" t="inlineStr">
        <is>
          <t>KÖPING</t>
        </is>
      </c>
      <c r="G4297" t="n">
        <v>3.4</v>
      </c>
      <c r="H4297" t="n">
        <v>0</v>
      </c>
      <c r="I4297" t="n">
        <v>0</v>
      </c>
      <c r="J4297" t="n">
        <v>0</v>
      </c>
      <c r="K4297" t="n">
        <v>0</v>
      </c>
      <c r="L4297" t="n">
        <v>0</v>
      </c>
      <c r="M4297" t="n">
        <v>0</v>
      </c>
      <c r="N4297" t="n">
        <v>0</v>
      </c>
      <c r="O4297" t="n">
        <v>0</v>
      </c>
      <c r="P4297" t="n">
        <v>0</v>
      </c>
      <c r="Q4297" t="n">
        <v>0</v>
      </c>
      <c r="R4297" s="2" t="inlineStr"/>
    </row>
    <row r="4298" ht="15" customHeight="1">
      <c r="A4298" t="inlineStr">
        <is>
          <t>A 28812-2024</t>
        </is>
      </c>
      <c r="B4298" s="1" t="n">
        <v>45478</v>
      </c>
      <c r="C4298" s="1" t="n">
        <v>45724</v>
      </c>
      <c r="D4298" t="inlineStr">
        <is>
          <t>VÄSTMANLANDS LÄN</t>
        </is>
      </c>
      <c r="E4298" t="inlineStr">
        <is>
          <t>SURAHAMMAR</t>
        </is>
      </c>
      <c r="F4298" t="inlineStr">
        <is>
          <t>Bergvik skog väst AB</t>
        </is>
      </c>
      <c r="G4298" t="n">
        <v>17.8</v>
      </c>
      <c r="H4298" t="n">
        <v>0</v>
      </c>
      <c r="I4298" t="n">
        <v>0</v>
      </c>
      <c r="J4298" t="n">
        <v>0</v>
      </c>
      <c r="K4298" t="n">
        <v>0</v>
      </c>
      <c r="L4298" t="n">
        <v>0</v>
      </c>
      <c r="M4298" t="n">
        <v>0</v>
      </c>
      <c r="N4298" t="n">
        <v>0</v>
      </c>
      <c r="O4298" t="n">
        <v>0</v>
      </c>
      <c r="P4298" t="n">
        <v>0</v>
      </c>
      <c r="Q4298" t="n">
        <v>0</v>
      </c>
      <c r="R4298" s="2" t="inlineStr"/>
    </row>
    <row r="4299" ht="15" customHeight="1">
      <c r="A4299" t="inlineStr">
        <is>
          <t>A 28661-2024</t>
        </is>
      </c>
      <c r="B4299" s="1" t="n">
        <v>45478</v>
      </c>
      <c r="C4299" s="1" t="n">
        <v>45724</v>
      </c>
      <c r="D4299" t="inlineStr">
        <is>
          <t>VÄSTMANLANDS LÄN</t>
        </is>
      </c>
      <c r="E4299" t="inlineStr">
        <is>
          <t>SALA</t>
        </is>
      </c>
      <c r="G4299" t="n">
        <v>0.6</v>
      </c>
      <c r="H4299" t="n">
        <v>0</v>
      </c>
      <c r="I4299" t="n">
        <v>0</v>
      </c>
      <c r="J4299" t="n">
        <v>0</v>
      </c>
      <c r="K4299" t="n">
        <v>0</v>
      </c>
      <c r="L4299" t="n">
        <v>0</v>
      </c>
      <c r="M4299" t="n">
        <v>0</v>
      </c>
      <c r="N4299" t="n">
        <v>0</v>
      </c>
      <c r="O4299" t="n">
        <v>0</v>
      </c>
      <c r="P4299" t="n">
        <v>0</v>
      </c>
      <c r="Q4299" t="n">
        <v>0</v>
      </c>
      <c r="R4299" s="2" t="inlineStr"/>
    </row>
    <row r="4300" ht="15" customHeight="1">
      <c r="A4300" t="inlineStr">
        <is>
          <t>A 28941-2024</t>
        </is>
      </c>
      <c r="B4300" s="1" t="n">
        <v>45480</v>
      </c>
      <c r="C4300" s="1" t="n">
        <v>45724</v>
      </c>
      <c r="D4300" t="inlineStr">
        <is>
          <t>VÄSTMANLANDS LÄN</t>
        </is>
      </c>
      <c r="E4300" t="inlineStr">
        <is>
          <t>SKINNSKATTEBERG</t>
        </is>
      </c>
      <c r="G4300" t="n">
        <v>2.1</v>
      </c>
      <c r="H4300" t="n">
        <v>0</v>
      </c>
      <c r="I4300" t="n">
        <v>0</v>
      </c>
      <c r="J4300" t="n">
        <v>0</v>
      </c>
      <c r="K4300" t="n">
        <v>0</v>
      </c>
      <c r="L4300" t="n">
        <v>0</v>
      </c>
      <c r="M4300" t="n">
        <v>0</v>
      </c>
      <c r="N4300" t="n">
        <v>0</v>
      </c>
      <c r="O4300" t="n">
        <v>0</v>
      </c>
      <c r="P4300" t="n">
        <v>0</v>
      </c>
      <c r="Q4300" t="n">
        <v>0</v>
      </c>
      <c r="R4300" s="2" t="inlineStr"/>
    </row>
    <row r="4301" ht="15" customHeight="1">
      <c r="A4301" t="inlineStr">
        <is>
          <t>A 28902-2024</t>
        </is>
      </c>
      <c r="B4301" s="1" t="n">
        <v>45480</v>
      </c>
      <c r="C4301" s="1" t="n">
        <v>45724</v>
      </c>
      <c r="D4301" t="inlineStr">
        <is>
          <t>VÄSTMANLANDS LÄN</t>
        </is>
      </c>
      <c r="E4301" t="inlineStr">
        <is>
          <t>KÖPING</t>
        </is>
      </c>
      <c r="G4301" t="n">
        <v>4.6</v>
      </c>
      <c r="H4301" t="n">
        <v>0</v>
      </c>
      <c r="I4301" t="n">
        <v>0</v>
      </c>
      <c r="J4301" t="n">
        <v>0</v>
      </c>
      <c r="K4301" t="n">
        <v>0</v>
      </c>
      <c r="L4301" t="n">
        <v>0</v>
      </c>
      <c r="M4301" t="n">
        <v>0</v>
      </c>
      <c r="N4301" t="n">
        <v>0</v>
      </c>
      <c r="O4301" t="n">
        <v>0</v>
      </c>
      <c r="P4301" t="n">
        <v>0</v>
      </c>
      <c r="Q4301" t="n">
        <v>0</v>
      </c>
      <c r="R4301" s="2" t="inlineStr"/>
    </row>
    <row r="4302" ht="15" customHeight="1">
      <c r="A4302" t="inlineStr">
        <is>
          <t>A 28904-2024</t>
        </is>
      </c>
      <c r="B4302" s="1" t="n">
        <v>45480</v>
      </c>
      <c r="C4302" s="1" t="n">
        <v>45724</v>
      </c>
      <c r="D4302" t="inlineStr">
        <is>
          <t>VÄSTMANLANDS LÄN</t>
        </is>
      </c>
      <c r="E4302" t="inlineStr">
        <is>
          <t>KÖPING</t>
        </is>
      </c>
      <c r="G4302" t="n">
        <v>1.3</v>
      </c>
      <c r="H4302" t="n">
        <v>0</v>
      </c>
      <c r="I4302" t="n">
        <v>0</v>
      </c>
      <c r="J4302" t="n">
        <v>0</v>
      </c>
      <c r="K4302" t="n">
        <v>0</v>
      </c>
      <c r="L4302" t="n">
        <v>0</v>
      </c>
      <c r="M4302" t="n">
        <v>0</v>
      </c>
      <c r="N4302" t="n">
        <v>0</v>
      </c>
      <c r="O4302" t="n">
        <v>0</v>
      </c>
      <c r="P4302" t="n">
        <v>0</v>
      </c>
      <c r="Q4302" t="n">
        <v>0</v>
      </c>
      <c r="R4302" s="2" t="inlineStr"/>
    </row>
    <row r="4303" ht="15" customHeight="1">
      <c r="A4303" t="inlineStr">
        <is>
          <t>A 28940-2024</t>
        </is>
      </c>
      <c r="B4303" s="1" t="n">
        <v>45480</v>
      </c>
      <c r="C4303" s="1" t="n">
        <v>45724</v>
      </c>
      <c r="D4303" t="inlineStr">
        <is>
          <t>VÄSTMANLANDS LÄN</t>
        </is>
      </c>
      <c r="E4303" t="inlineStr">
        <is>
          <t>SKINNSKATTEBERG</t>
        </is>
      </c>
      <c r="G4303" t="n">
        <v>3.9</v>
      </c>
      <c r="H4303" t="n">
        <v>0</v>
      </c>
      <c r="I4303" t="n">
        <v>0</v>
      </c>
      <c r="J4303" t="n">
        <v>0</v>
      </c>
      <c r="K4303" t="n">
        <v>0</v>
      </c>
      <c r="L4303" t="n">
        <v>0</v>
      </c>
      <c r="M4303" t="n">
        <v>0</v>
      </c>
      <c r="N4303" t="n">
        <v>0</v>
      </c>
      <c r="O4303" t="n">
        <v>0</v>
      </c>
      <c r="P4303" t="n">
        <v>0</v>
      </c>
      <c r="Q4303" t="n">
        <v>0</v>
      </c>
      <c r="R4303" s="2" t="inlineStr"/>
    </row>
    <row r="4304" ht="15" customHeight="1">
      <c r="A4304" t="inlineStr">
        <is>
          <t>A 29019-2024</t>
        </is>
      </c>
      <c r="B4304" s="1" t="n">
        <v>45481</v>
      </c>
      <c r="C4304" s="1" t="n">
        <v>45724</v>
      </c>
      <c r="D4304" t="inlineStr">
        <is>
          <t>VÄSTMANLANDS LÄN</t>
        </is>
      </c>
      <c r="E4304" t="inlineStr">
        <is>
          <t>SALA</t>
        </is>
      </c>
      <c r="G4304" t="n">
        <v>7.4</v>
      </c>
      <c r="H4304" t="n">
        <v>0</v>
      </c>
      <c r="I4304" t="n">
        <v>0</v>
      </c>
      <c r="J4304" t="n">
        <v>0</v>
      </c>
      <c r="K4304" t="n">
        <v>0</v>
      </c>
      <c r="L4304" t="n">
        <v>0</v>
      </c>
      <c r="M4304" t="n">
        <v>0</v>
      </c>
      <c r="N4304" t="n">
        <v>0</v>
      </c>
      <c r="O4304" t="n">
        <v>0</v>
      </c>
      <c r="P4304" t="n">
        <v>0</v>
      </c>
      <c r="Q4304" t="n">
        <v>0</v>
      </c>
      <c r="R4304" s="2" t="inlineStr"/>
    </row>
    <row r="4305" ht="15" customHeight="1">
      <c r="A4305" t="inlineStr">
        <is>
          <t>A 28973-2024</t>
        </is>
      </c>
      <c r="B4305" s="1" t="n">
        <v>45481</v>
      </c>
      <c r="C4305" s="1" t="n">
        <v>45724</v>
      </c>
      <c r="D4305" t="inlineStr">
        <is>
          <t>VÄSTMANLANDS LÄN</t>
        </is>
      </c>
      <c r="E4305" t="inlineStr">
        <is>
          <t>KÖPING</t>
        </is>
      </c>
      <c r="G4305" t="n">
        <v>4.5</v>
      </c>
      <c r="H4305" t="n">
        <v>0</v>
      </c>
      <c r="I4305" t="n">
        <v>0</v>
      </c>
      <c r="J4305" t="n">
        <v>0</v>
      </c>
      <c r="K4305" t="n">
        <v>0</v>
      </c>
      <c r="L4305" t="n">
        <v>0</v>
      </c>
      <c r="M4305" t="n">
        <v>0</v>
      </c>
      <c r="N4305" t="n">
        <v>0</v>
      </c>
      <c r="O4305" t="n">
        <v>0</v>
      </c>
      <c r="P4305" t="n">
        <v>0</v>
      </c>
      <c r="Q4305" t="n">
        <v>0</v>
      </c>
      <c r="R4305" s="2" t="inlineStr"/>
    </row>
    <row r="4306" ht="15" customHeight="1">
      <c r="A4306" t="inlineStr">
        <is>
          <t>A 28945-2024</t>
        </is>
      </c>
      <c r="B4306" s="1" t="n">
        <v>45481</v>
      </c>
      <c r="C4306" s="1" t="n">
        <v>45724</v>
      </c>
      <c r="D4306" t="inlineStr">
        <is>
          <t>VÄSTMANLANDS LÄN</t>
        </is>
      </c>
      <c r="E4306" t="inlineStr">
        <is>
          <t>KÖPING</t>
        </is>
      </c>
      <c r="G4306" t="n">
        <v>2.2</v>
      </c>
      <c r="H4306" t="n">
        <v>0</v>
      </c>
      <c r="I4306" t="n">
        <v>0</v>
      </c>
      <c r="J4306" t="n">
        <v>0</v>
      </c>
      <c r="K4306" t="n">
        <v>0</v>
      </c>
      <c r="L4306" t="n">
        <v>0</v>
      </c>
      <c r="M4306" t="n">
        <v>0</v>
      </c>
      <c r="N4306" t="n">
        <v>0</v>
      </c>
      <c r="O4306" t="n">
        <v>0</v>
      </c>
      <c r="P4306" t="n">
        <v>0</v>
      </c>
      <c r="Q4306" t="n">
        <v>0</v>
      </c>
      <c r="R4306" s="2" t="inlineStr"/>
    </row>
    <row r="4307" ht="15" customHeight="1">
      <c r="A4307" t="inlineStr">
        <is>
          <t>A 29158-2024</t>
        </is>
      </c>
      <c r="B4307" s="1" t="n">
        <v>45482</v>
      </c>
      <c r="C4307" s="1" t="n">
        <v>45724</v>
      </c>
      <c r="D4307" t="inlineStr">
        <is>
          <t>VÄSTMANLANDS LÄN</t>
        </is>
      </c>
      <c r="E4307" t="inlineStr">
        <is>
          <t>SURAHAMMAR</t>
        </is>
      </c>
      <c r="F4307" t="inlineStr">
        <is>
          <t>Sveaskog</t>
        </is>
      </c>
      <c r="G4307" t="n">
        <v>3.6</v>
      </c>
      <c r="H4307" t="n">
        <v>0</v>
      </c>
      <c r="I4307" t="n">
        <v>0</v>
      </c>
      <c r="J4307" t="n">
        <v>0</v>
      </c>
      <c r="K4307" t="n">
        <v>0</v>
      </c>
      <c r="L4307" t="n">
        <v>0</v>
      </c>
      <c r="M4307" t="n">
        <v>0</v>
      </c>
      <c r="N4307" t="n">
        <v>0</v>
      </c>
      <c r="O4307" t="n">
        <v>0</v>
      </c>
      <c r="P4307" t="n">
        <v>0</v>
      </c>
      <c r="Q4307" t="n">
        <v>0</v>
      </c>
      <c r="R4307" s="2" t="inlineStr"/>
    </row>
    <row r="4308" ht="15" customHeight="1">
      <c r="A4308" t="inlineStr">
        <is>
          <t>A 29136-2024</t>
        </is>
      </c>
      <c r="B4308" s="1" t="n">
        <v>45482</v>
      </c>
      <c r="C4308" s="1" t="n">
        <v>45724</v>
      </c>
      <c r="D4308" t="inlineStr">
        <is>
          <t>VÄSTMANLANDS LÄN</t>
        </is>
      </c>
      <c r="E4308" t="inlineStr">
        <is>
          <t>KÖPING</t>
        </is>
      </c>
      <c r="G4308" t="n">
        <v>0.9</v>
      </c>
      <c r="H4308" t="n">
        <v>0</v>
      </c>
      <c r="I4308" t="n">
        <v>0</v>
      </c>
      <c r="J4308" t="n">
        <v>0</v>
      </c>
      <c r="K4308" t="n">
        <v>0</v>
      </c>
      <c r="L4308" t="n">
        <v>0</v>
      </c>
      <c r="M4308" t="n">
        <v>0</v>
      </c>
      <c r="N4308" t="n">
        <v>0</v>
      </c>
      <c r="O4308" t="n">
        <v>0</v>
      </c>
      <c r="P4308" t="n">
        <v>0</v>
      </c>
      <c r="Q4308" t="n">
        <v>0</v>
      </c>
      <c r="R4308" s="2" t="inlineStr"/>
    </row>
    <row r="4309" ht="15" customHeight="1">
      <c r="A4309" t="inlineStr">
        <is>
          <t>A 29206-2024</t>
        </is>
      </c>
      <c r="B4309" s="1" t="n">
        <v>45482</v>
      </c>
      <c r="C4309" s="1" t="n">
        <v>45724</v>
      </c>
      <c r="D4309" t="inlineStr">
        <is>
          <t>VÄSTMANLANDS LÄN</t>
        </is>
      </c>
      <c r="E4309" t="inlineStr">
        <is>
          <t>KÖPING</t>
        </is>
      </c>
      <c r="G4309" t="n">
        <v>1.6</v>
      </c>
      <c r="H4309" t="n">
        <v>0</v>
      </c>
      <c r="I4309" t="n">
        <v>0</v>
      </c>
      <c r="J4309" t="n">
        <v>0</v>
      </c>
      <c r="K4309" t="n">
        <v>0</v>
      </c>
      <c r="L4309" t="n">
        <v>0</v>
      </c>
      <c r="M4309" t="n">
        <v>0</v>
      </c>
      <c r="N4309" t="n">
        <v>0</v>
      </c>
      <c r="O4309" t="n">
        <v>0</v>
      </c>
      <c r="P4309" t="n">
        <v>0</v>
      </c>
      <c r="Q4309" t="n">
        <v>0</v>
      </c>
      <c r="R4309" s="2" t="inlineStr"/>
    </row>
    <row r="4310" ht="15" customHeight="1">
      <c r="A4310" t="inlineStr">
        <is>
          <t>A 29568-2024</t>
        </is>
      </c>
      <c r="B4310" s="1" t="n">
        <v>45484</v>
      </c>
      <c r="C4310" s="1" t="n">
        <v>45724</v>
      </c>
      <c r="D4310" t="inlineStr">
        <is>
          <t>VÄSTMANLANDS LÄN</t>
        </is>
      </c>
      <c r="E4310" t="inlineStr">
        <is>
          <t>KUNGSÖR</t>
        </is>
      </c>
      <c r="G4310" t="n">
        <v>1.7</v>
      </c>
      <c r="H4310" t="n">
        <v>0</v>
      </c>
      <c r="I4310" t="n">
        <v>0</v>
      </c>
      <c r="J4310" t="n">
        <v>0</v>
      </c>
      <c r="K4310" t="n">
        <v>0</v>
      </c>
      <c r="L4310" t="n">
        <v>0</v>
      </c>
      <c r="M4310" t="n">
        <v>0</v>
      </c>
      <c r="N4310" t="n">
        <v>0</v>
      </c>
      <c r="O4310" t="n">
        <v>0</v>
      </c>
      <c r="P4310" t="n">
        <v>0</v>
      </c>
      <c r="Q4310" t="n">
        <v>0</v>
      </c>
      <c r="R4310" s="2" t="inlineStr"/>
    </row>
    <row r="4311" ht="15" customHeight="1">
      <c r="A4311" t="inlineStr">
        <is>
          <t>A 29831-2024</t>
        </is>
      </c>
      <c r="B4311" s="1" t="n">
        <v>45485</v>
      </c>
      <c r="C4311" s="1" t="n">
        <v>45724</v>
      </c>
      <c r="D4311" t="inlineStr">
        <is>
          <t>VÄSTMANLANDS LÄN</t>
        </is>
      </c>
      <c r="E4311" t="inlineStr">
        <is>
          <t>SKINNSKATTEBERG</t>
        </is>
      </c>
      <c r="F4311" t="inlineStr">
        <is>
          <t>Sveaskog</t>
        </is>
      </c>
      <c r="G4311" t="n">
        <v>1.5</v>
      </c>
      <c r="H4311" t="n">
        <v>0</v>
      </c>
      <c r="I4311" t="n">
        <v>0</v>
      </c>
      <c r="J4311" t="n">
        <v>0</v>
      </c>
      <c r="K4311" t="n">
        <v>0</v>
      </c>
      <c r="L4311" t="n">
        <v>0</v>
      </c>
      <c r="M4311" t="n">
        <v>0</v>
      </c>
      <c r="N4311" t="n">
        <v>0</v>
      </c>
      <c r="O4311" t="n">
        <v>0</v>
      </c>
      <c r="P4311" t="n">
        <v>0</v>
      </c>
      <c r="Q4311" t="n">
        <v>0</v>
      </c>
      <c r="R4311" s="2" t="inlineStr"/>
    </row>
    <row r="4312" ht="15" customHeight="1">
      <c r="A4312" t="inlineStr">
        <is>
          <t>A 29830-2024</t>
        </is>
      </c>
      <c r="B4312" s="1" t="n">
        <v>45485</v>
      </c>
      <c r="C4312" s="1" t="n">
        <v>45724</v>
      </c>
      <c r="D4312" t="inlineStr">
        <is>
          <t>VÄSTMANLANDS LÄN</t>
        </is>
      </c>
      <c r="E4312" t="inlineStr">
        <is>
          <t>SKINNSKATTEBERG</t>
        </is>
      </c>
      <c r="F4312" t="inlineStr">
        <is>
          <t>Sveaskog</t>
        </is>
      </c>
      <c r="G4312" t="n">
        <v>3</v>
      </c>
      <c r="H4312" t="n">
        <v>0</v>
      </c>
      <c r="I4312" t="n">
        <v>0</v>
      </c>
      <c r="J4312" t="n">
        <v>0</v>
      </c>
      <c r="K4312" t="n">
        <v>0</v>
      </c>
      <c r="L4312" t="n">
        <v>0</v>
      </c>
      <c r="M4312" t="n">
        <v>0</v>
      </c>
      <c r="N4312" t="n">
        <v>0</v>
      </c>
      <c r="O4312" t="n">
        <v>0</v>
      </c>
      <c r="P4312" t="n">
        <v>0</v>
      </c>
      <c r="Q4312" t="n">
        <v>0</v>
      </c>
      <c r="R4312" s="2" t="inlineStr"/>
    </row>
    <row r="4313" ht="15" customHeight="1">
      <c r="A4313" t="inlineStr">
        <is>
          <t>A 29708-2024</t>
        </is>
      </c>
      <c r="B4313" s="1" t="n">
        <v>45485</v>
      </c>
      <c r="C4313" s="1" t="n">
        <v>45724</v>
      </c>
      <c r="D4313" t="inlineStr">
        <is>
          <t>VÄSTMANLANDS LÄN</t>
        </is>
      </c>
      <c r="E4313" t="inlineStr">
        <is>
          <t>SKINNSKATTEBERG</t>
        </is>
      </c>
      <c r="G4313" t="n">
        <v>1.2</v>
      </c>
      <c r="H4313" t="n">
        <v>0</v>
      </c>
      <c r="I4313" t="n">
        <v>0</v>
      </c>
      <c r="J4313" t="n">
        <v>0</v>
      </c>
      <c r="K4313" t="n">
        <v>0</v>
      </c>
      <c r="L4313" t="n">
        <v>0</v>
      </c>
      <c r="M4313" t="n">
        <v>0</v>
      </c>
      <c r="N4313" t="n">
        <v>0</v>
      </c>
      <c r="O4313" t="n">
        <v>0</v>
      </c>
      <c r="P4313" t="n">
        <v>0</v>
      </c>
      <c r="Q4313" t="n">
        <v>0</v>
      </c>
      <c r="R4313" s="2" t="inlineStr"/>
    </row>
    <row r="4314" ht="15" customHeight="1">
      <c r="A4314" t="inlineStr">
        <is>
          <t>A 29705-2024</t>
        </is>
      </c>
      <c r="B4314" s="1" t="n">
        <v>45485</v>
      </c>
      <c r="C4314" s="1" t="n">
        <v>45724</v>
      </c>
      <c r="D4314" t="inlineStr">
        <is>
          <t>VÄSTMANLANDS LÄN</t>
        </is>
      </c>
      <c r="E4314" t="inlineStr">
        <is>
          <t>SKINNSKATTEBERG</t>
        </is>
      </c>
      <c r="G4314" t="n">
        <v>2.2</v>
      </c>
      <c r="H4314" t="n">
        <v>0</v>
      </c>
      <c r="I4314" t="n">
        <v>0</v>
      </c>
      <c r="J4314" t="n">
        <v>0</v>
      </c>
      <c r="K4314" t="n">
        <v>0</v>
      </c>
      <c r="L4314" t="n">
        <v>0</v>
      </c>
      <c r="M4314" t="n">
        <v>0</v>
      </c>
      <c r="N4314" t="n">
        <v>0</v>
      </c>
      <c r="O4314" t="n">
        <v>0</v>
      </c>
      <c r="P4314" t="n">
        <v>0</v>
      </c>
      <c r="Q4314" t="n">
        <v>0</v>
      </c>
      <c r="R4314" s="2" t="inlineStr"/>
    </row>
    <row r="4315" ht="15" customHeight="1">
      <c r="A4315" t="inlineStr">
        <is>
          <t>A 30028-2024</t>
        </is>
      </c>
      <c r="B4315" s="1" t="n">
        <v>45485</v>
      </c>
      <c r="C4315" s="1" t="n">
        <v>45724</v>
      </c>
      <c r="D4315" t="inlineStr">
        <is>
          <t>VÄSTMANLANDS LÄN</t>
        </is>
      </c>
      <c r="E4315" t="inlineStr">
        <is>
          <t>SALA</t>
        </is>
      </c>
      <c r="G4315" t="n">
        <v>2.6</v>
      </c>
      <c r="H4315" t="n">
        <v>0</v>
      </c>
      <c r="I4315" t="n">
        <v>0</v>
      </c>
      <c r="J4315" t="n">
        <v>0</v>
      </c>
      <c r="K4315" t="n">
        <v>0</v>
      </c>
      <c r="L4315" t="n">
        <v>0</v>
      </c>
      <c r="M4315" t="n">
        <v>0</v>
      </c>
      <c r="N4315" t="n">
        <v>0</v>
      </c>
      <c r="O4315" t="n">
        <v>0</v>
      </c>
      <c r="P4315" t="n">
        <v>0</v>
      </c>
      <c r="Q4315" t="n">
        <v>0</v>
      </c>
      <c r="R4315" s="2" t="inlineStr"/>
    </row>
    <row r="4316" ht="15" customHeight="1">
      <c r="A4316" t="inlineStr">
        <is>
          <t>A 29829-2024</t>
        </is>
      </c>
      <c r="B4316" s="1" t="n">
        <v>45485</v>
      </c>
      <c r="C4316" s="1" t="n">
        <v>45724</v>
      </c>
      <c r="D4316" t="inlineStr">
        <is>
          <t>VÄSTMANLANDS LÄN</t>
        </is>
      </c>
      <c r="E4316" t="inlineStr">
        <is>
          <t>SKINNSKATTEBERG</t>
        </is>
      </c>
      <c r="F4316" t="inlineStr">
        <is>
          <t>Sveaskog</t>
        </is>
      </c>
      <c r="G4316" t="n">
        <v>4.1</v>
      </c>
      <c r="H4316" t="n">
        <v>0</v>
      </c>
      <c r="I4316" t="n">
        <v>0</v>
      </c>
      <c r="J4316" t="n">
        <v>0</v>
      </c>
      <c r="K4316" t="n">
        <v>0</v>
      </c>
      <c r="L4316" t="n">
        <v>0</v>
      </c>
      <c r="M4316" t="n">
        <v>0</v>
      </c>
      <c r="N4316" t="n">
        <v>0</v>
      </c>
      <c r="O4316" t="n">
        <v>0</v>
      </c>
      <c r="P4316" t="n">
        <v>0</v>
      </c>
      <c r="Q4316" t="n">
        <v>0</v>
      </c>
      <c r="R4316" s="2" t="inlineStr"/>
    </row>
    <row r="4317" ht="15" customHeight="1">
      <c r="A4317" t="inlineStr">
        <is>
          <t>A 29711-2024</t>
        </is>
      </c>
      <c r="B4317" s="1" t="n">
        <v>45485</v>
      </c>
      <c r="C4317" s="1" t="n">
        <v>45724</v>
      </c>
      <c r="D4317" t="inlineStr">
        <is>
          <t>VÄSTMANLANDS LÄN</t>
        </is>
      </c>
      <c r="E4317" t="inlineStr">
        <is>
          <t>SKINNSKATTEBERG</t>
        </is>
      </c>
      <c r="G4317" t="n">
        <v>11.4</v>
      </c>
      <c r="H4317" t="n">
        <v>0</v>
      </c>
      <c r="I4317" t="n">
        <v>0</v>
      </c>
      <c r="J4317" t="n">
        <v>0</v>
      </c>
      <c r="K4317" t="n">
        <v>0</v>
      </c>
      <c r="L4317" t="n">
        <v>0</v>
      </c>
      <c r="M4317" t="n">
        <v>0</v>
      </c>
      <c r="N4317" t="n">
        <v>0</v>
      </c>
      <c r="O4317" t="n">
        <v>0</v>
      </c>
      <c r="P4317" t="n">
        <v>0</v>
      </c>
      <c r="Q4317" t="n">
        <v>0</v>
      </c>
      <c r="R4317" s="2" t="inlineStr"/>
    </row>
    <row r="4318" ht="15" customHeight="1">
      <c r="A4318" t="inlineStr">
        <is>
          <t>A 29929-2024</t>
        </is>
      </c>
      <c r="B4318" s="1" t="n">
        <v>45488</v>
      </c>
      <c r="C4318" s="1" t="n">
        <v>45724</v>
      </c>
      <c r="D4318" t="inlineStr">
        <is>
          <t>VÄSTMANLANDS LÄN</t>
        </is>
      </c>
      <c r="E4318" t="inlineStr">
        <is>
          <t>SALA</t>
        </is>
      </c>
      <c r="G4318" t="n">
        <v>0.7</v>
      </c>
      <c r="H4318" t="n">
        <v>0</v>
      </c>
      <c r="I4318" t="n">
        <v>0</v>
      </c>
      <c r="J4318" t="n">
        <v>0</v>
      </c>
      <c r="K4318" t="n">
        <v>0</v>
      </c>
      <c r="L4318" t="n">
        <v>0</v>
      </c>
      <c r="M4318" t="n">
        <v>0</v>
      </c>
      <c r="N4318" t="n">
        <v>0</v>
      </c>
      <c r="O4318" t="n">
        <v>0</v>
      </c>
      <c r="P4318" t="n">
        <v>0</v>
      </c>
      <c r="Q4318" t="n">
        <v>0</v>
      </c>
      <c r="R4318" s="2" t="inlineStr"/>
    </row>
    <row r="4319" ht="15" customHeight="1">
      <c r="A4319" t="inlineStr">
        <is>
          <t>A 29960-2024</t>
        </is>
      </c>
      <c r="B4319" s="1" t="n">
        <v>45488</v>
      </c>
      <c r="C4319" s="1" t="n">
        <v>45724</v>
      </c>
      <c r="D4319" t="inlineStr">
        <is>
          <t>VÄSTMANLANDS LÄN</t>
        </is>
      </c>
      <c r="E4319" t="inlineStr">
        <is>
          <t>KÖPING</t>
        </is>
      </c>
      <c r="G4319" t="n">
        <v>11.5</v>
      </c>
      <c r="H4319" t="n">
        <v>0</v>
      </c>
      <c r="I4319" t="n">
        <v>0</v>
      </c>
      <c r="J4319" t="n">
        <v>0</v>
      </c>
      <c r="K4319" t="n">
        <v>0</v>
      </c>
      <c r="L4319" t="n">
        <v>0</v>
      </c>
      <c r="M4319" t="n">
        <v>0</v>
      </c>
      <c r="N4319" t="n">
        <v>0</v>
      </c>
      <c r="O4319" t="n">
        <v>0</v>
      </c>
      <c r="P4319" t="n">
        <v>0</v>
      </c>
      <c r="Q4319" t="n">
        <v>0</v>
      </c>
      <c r="R4319" s="2" t="inlineStr"/>
    </row>
    <row r="4320" ht="15" customHeight="1">
      <c r="A4320" t="inlineStr">
        <is>
          <t>A 30356-2024</t>
        </is>
      </c>
      <c r="B4320" s="1" t="n">
        <v>45491</v>
      </c>
      <c r="C4320" s="1" t="n">
        <v>45724</v>
      </c>
      <c r="D4320" t="inlineStr">
        <is>
          <t>VÄSTMANLANDS LÄN</t>
        </is>
      </c>
      <c r="E4320" t="inlineStr">
        <is>
          <t>FAGERSTA</t>
        </is>
      </c>
      <c r="F4320" t="inlineStr">
        <is>
          <t>Bergvik skog väst AB</t>
        </is>
      </c>
      <c r="G4320" t="n">
        <v>0.9</v>
      </c>
      <c r="H4320" t="n">
        <v>0</v>
      </c>
      <c r="I4320" t="n">
        <v>0</v>
      </c>
      <c r="J4320" t="n">
        <v>0</v>
      </c>
      <c r="K4320" t="n">
        <v>0</v>
      </c>
      <c r="L4320" t="n">
        <v>0</v>
      </c>
      <c r="M4320" t="n">
        <v>0</v>
      </c>
      <c r="N4320" t="n">
        <v>0</v>
      </c>
      <c r="O4320" t="n">
        <v>0</v>
      </c>
      <c r="P4320" t="n">
        <v>0</v>
      </c>
      <c r="Q4320" t="n">
        <v>0</v>
      </c>
      <c r="R4320" s="2" t="inlineStr"/>
    </row>
    <row r="4321" ht="15" customHeight="1">
      <c r="A4321" t="inlineStr">
        <is>
          <t>A 30357-2024</t>
        </is>
      </c>
      <c r="B4321" s="1" t="n">
        <v>45491</v>
      </c>
      <c r="C4321" s="1" t="n">
        <v>45724</v>
      </c>
      <c r="D4321" t="inlineStr">
        <is>
          <t>VÄSTMANLANDS LÄN</t>
        </is>
      </c>
      <c r="E4321" t="inlineStr">
        <is>
          <t>FAGERSTA</t>
        </is>
      </c>
      <c r="F4321" t="inlineStr">
        <is>
          <t>Övriga Aktiebolag</t>
        </is>
      </c>
      <c r="G4321" t="n">
        <v>2.5</v>
      </c>
      <c r="H4321" t="n">
        <v>0</v>
      </c>
      <c r="I4321" t="n">
        <v>0</v>
      </c>
      <c r="J4321" t="n">
        <v>0</v>
      </c>
      <c r="K4321" t="n">
        <v>0</v>
      </c>
      <c r="L4321" t="n">
        <v>0</v>
      </c>
      <c r="M4321" t="n">
        <v>0</v>
      </c>
      <c r="N4321" t="n">
        <v>0</v>
      </c>
      <c r="O4321" t="n">
        <v>0</v>
      </c>
      <c r="P4321" t="n">
        <v>0</v>
      </c>
      <c r="Q4321" t="n">
        <v>0</v>
      </c>
      <c r="R4321" s="2" t="inlineStr"/>
    </row>
    <row r="4322" ht="15" customHeight="1">
      <c r="A4322" t="inlineStr">
        <is>
          <t>A 30358-2024</t>
        </is>
      </c>
      <c r="B4322" s="1" t="n">
        <v>45491</v>
      </c>
      <c r="C4322" s="1" t="n">
        <v>45724</v>
      </c>
      <c r="D4322" t="inlineStr">
        <is>
          <t>VÄSTMANLANDS LÄN</t>
        </is>
      </c>
      <c r="E4322" t="inlineStr">
        <is>
          <t>NORBERG</t>
        </is>
      </c>
      <c r="F4322" t="inlineStr">
        <is>
          <t>Övriga Aktiebolag</t>
        </is>
      </c>
      <c r="G4322" t="n">
        <v>1.9</v>
      </c>
      <c r="H4322" t="n">
        <v>0</v>
      </c>
      <c r="I4322" t="n">
        <v>0</v>
      </c>
      <c r="J4322" t="n">
        <v>0</v>
      </c>
      <c r="K4322" t="n">
        <v>0</v>
      </c>
      <c r="L4322" t="n">
        <v>0</v>
      </c>
      <c r="M4322" t="n">
        <v>0</v>
      </c>
      <c r="N4322" t="n">
        <v>0</v>
      </c>
      <c r="O4322" t="n">
        <v>0</v>
      </c>
      <c r="P4322" t="n">
        <v>0</v>
      </c>
      <c r="Q4322" t="n">
        <v>0</v>
      </c>
      <c r="R4322" s="2" t="inlineStr"/>
    </row>
    <row r="4323" ht="15" customHeight="1">
      <c r="A4323" t="inlineStr">
        <is>
          <t>A 30506-2024</t>
        </is>
      </c>
      <c r="B4323" s="1" t="n">
        <v>45492</v>
      </c>
      <c r="C4323" s="1" t="n">
        <v>45724</v>
      </c>
      <c r="D4323" t="inlineStr">
        <is>
          <t>VÄSTMANLANDS LÄN</t>
        </is>
      </c>
      <c r="E4323" t="inlineStr">
        <is>
          <t>KÖPING</t>
        </is>
      </c>
      <c r="G4323" t="n">
        <v>4.2</v>
      </c>
      <c r="H4323" t="n">
        <v>0</v>
      </c>
      <c r="I4323" t="n">
        <v>0</v>
      </c>
      <c r="J4323" t="n">
        <v>0</v>
      </c>
      <c r="K4323" t="n">
        <v>0</v>
      </c>
      <c r="L4323" t="n">
        <v>0</v>
      </c>
      <c r="M4323" t="n">
        <v>0</v>
      </c>
      <c r="N4323" t="n">
        <v>0</v>
      </c>
      <c r="O4323" t="n">
        <v>0</v>
      </c>
      <c r="P4323" t="n">
        <v>0</v>
      </c>
      <c r="Q4323" t="n">
        <v>0</v>
      </c>
      <c r="R4323" s="2" t="inlineStr"/>
    </row>
    <row r="4324" ht="15" customHeight="1">
      <c r="A4324" t="inlineStr">
        <is>
          <t>A 30533-2024</t>
        </is>
      </c>
      <c r="B4324" s="1" t="n">
        <v>45492</v>
      </c>
      <c r="C4324" s="1" t="n">
        <v>45724</v>
      </c>
      <c r="D4324" t="inlineStr">
        <is>
          <t>VÄSTMANLANDS LÄN</t>
        </is>
      </c>
      <c r="E4324" t="inlineStr">
        <is>
          <t>KÖPING</t>
        </is>
      </c>
      <c r="F4324" t="inlineStr">
        <is>
          <t>Sveaskog</t>
        </is>
      </c>
      <c r="G4324" t="n">
        <v>15</v>
      </c>
      <c r="H4324" t="n">
        <v>0</v>
      </c>
      <c r="I4324" t="n">
        <v>0</v>
      </c>
      <c r="J4324" t="n">
        <v>0</v>
      </c>
      <c r="K4324" t="n">
        <v>0</v>
      </c>
      <c r="L4324" t="n">
        <v>0</v>
      </c>
      <c r="M4324" t="n">
        <v>0</v>
      </c>
      <c r="N4324" t="n">
        <v>0</v>
      </c>
      <c r="O4324" t="n">
        <v>0</v>
      </c>
      <c r="P4324" t="n">
        <v>0</v>
      </c>
      <c r="Q4324" t="n">
        <v>0</v>
      </c>
      <c r="R4324" s="2" t="inlineStr"/>
    </row>
    <row r="4325" ht="15" customHeight="1">
      <c r="A4325" t="inlineStr">
        <is>
          <t>A 30531-2024</t>
        </is>
      </c>
      <c r="B4325" s="1" t="n">
        <v>45492</v>
      </c>
      <c r="C4325" s="1" t="n">
        <v>45724</v>
      </c>
      <c r="D4325" t="inlineStr">
        <is>
          <t>VÄSTMANLANDS LÄN</t>
        </is>
      </c>
      <c r="E4325" t="inlineStr">
        <is>
          <t>SKINNSKATTEBERG</t>
        </is>
      </c>
      <c r="F4325" t="inlineStr">
        <is>
          <t>Sveaskog</t>
        </is>
      </c>
      <c r="G4325" t="n">
        <v>3.5</v>
      </c>
      <c r="H4325" t="n">
        <v>0</v>
      </c>
      <c r="I4325" t="n">
        <v>0</v>
      </c>
      <c r="J4325" t="n">
        <v>0</v>
      </c>
      <c r="K4325" t="n">
        <v>0</v>
      </c>
      <c r="L4325" t="n">
        <v>0</v>
      </c>
      <c r="M4325" t="n">
        <v>0</v>
      </c>
      <c r="N4325" t="n">
        <v>0</v>
      </c>
      <c r="O4325" t="n">
        <v>0</v>
      </c>
      <c r="P4325" t="n">
        <v>0</v>
      </c>
      <c r="Q4325" t="n">
        <v>0</v>
      </c>
      <c r="R4325" s="2" t="inlineStr"/>
    </row>
    <row r="4326" ht="15" customHeight="1">
      <c r="A4326" t="inlineStr">
        <is>
          <t>A 30532-2024</t>
        </is>
      </c>
      <c r="B4326" s="1" t="n">
        <v>45492</v>
      </c>
      <c r="C4326" s="1" t="n">
        <v>45724</v>
      </c>
      <c r="D4326" t="inlineStr">
        <is>
          <t>VÄSTMANLANDS LÄN</t>
        </is>
      </c>
      <c r="E4326" t="inlineStr">
        <is>
          <t>SKINNSKATTEBERG</t>
        </is>
      </c>
      <c r="F4326" t="inlineStr">
        <is>
          <t>Sveaskog</t>
        </is>
      </c>
      <c r="G4326" t="n">
        <v>4.7</v>
      </c>
      <c r="H4326" t="n">
        <v>0</v>
      </c>
      <c r="I4326" t="n">
        <v>0</v>
      </c>
      <c r="J4326" t="n">
        <v>0</v>
      </c>
      <c r="K4326" t="n">
        <v>0</v>
      </c>
      <c r="L4326" t="n">
        <v>0</v>
      </c>
      <c r="M4326" t="n">
        <v>0</v>
      </c>
      <c r="N4326" t="n">
        <v>0</v>
      </c>
      <c r="O4326" t="n">
        <v>0</v>
      </c>
      <c r="P4326" t="n">
        <v>0</v>
      </c>
      <c r="Q4326" t="n">
        <v>0</v>
      </c>
      <c r="R4326" s="2" t="inlineStr"/>
    </row>
    <row r="4327" ht="15" customHeight="1">
      <c r="A4327" t="inlineStr">
        <is>
          <t>A 30613-2024</t>
        </is>
      </c>
      <c r="B4327" s="1" t="n">
        <v>45495</v>
      </c>
      <c r="C4327" s="1" t="n">
        <v>45724</v>
      </c>
      <c r="D4327" t="inlineStr">
        <is>
          <t>VÄSTMANLANDS LÄN</t>
        </is>
      </c>
      <c r="E4327" t="inlineStr">
        <is>
          <t>SALA</t>
        </is>
      </c>
      <c r="G4327" t="n">
        <v>0.6</v>
      </c>
      <c r="H4327" t="n">
        <v>0</v>
      </c>
      <c r="I4327" t="n">
        <v>0</v>
      </c>
      <c r="J4327" t="n">
        <v>0</v>
      </c>
      <c r="K4327" t="n">
        <v>0</v>
      </c>
      <c r="L4327" t="n">
        <v>0</v>
      </c>
      <c r="M4327" t="n">
        <v>0</v>
      </c>
      <c r="N4327" t="n">
        <v>0</v>
      </c>
      <c r="O4327" t="n">
        <v>0</v>
      </c>
      <c r="P4327" t="n">
        <v>0</v>
      </c>
      <c r="Q4327" t="n">
        <v>0</v>
      </c>
      <c r="R4327" s="2" t="inlineStr"/>
    </row>
    <row r="4328" ht="15" customHeight="1">
      <c r="A4328" t="inlineStr">
        <is>
          <t>A 30653-2024</t>
        </is>
      </c>
      <c r="B4328" s="1" t="n">
        <v>45495</v>
      </c>
      <c r="C4328" s="1" t="n">
        <v>45724</v>
      </c>
      <c r="D4328" t="inlineStr">
        <is>
          <t>VÄSTMANLANDS LÄN</t>
        </is>
      </c>
      <c r="E4328" t="inlineStr">
        <is>
          <t>SKINNSKATTEBERG</t>
        </is>
      </c>
      <c r="G4328" t="n">
        <v>3.9</v>
      </c>
      <c r="H4328" t="n">
        <v>0</v>
      </c>
      <c r="I4328" t="n">
        <v>0</v>
      </c>
      <c r="J4328" t="n">
        <v>0</v>
      </c>
      <c r="K4328" t="n">
        <v>0</v>
      </c>
      <c r="L4328" t="n">
        <v>0</v>
      </c>
      <c r="M4328" t="n">
        <v>0</v>
      </c>
      <c r="N4328" t="n">
        <v>0</v>
      </c>
      <c r="O4328" t="n">
        <v>0</v>
      </c>
      <c r="P4328" t="n">
        <v>0</v>
      </c>
      <c r="Q4328" t="n">
        <v>0</v>
      </c>
      <c r="R4328" s="2" t="inlineStr"/>
    </row>
    <row r="4329" ht="15" customHeight="1">
      <c r="A4329" t="inlineStr">
        <is>
          <t>A 30648-2024</t>
        </is>
      </c>
      <c r="B4329" s="1" t="n">
        <v>45495</v>
      </c>
      <c r="C4329" s="1" t="n">
        <v>45724</v>
      </c>
      <c r="D4329" t="inlineStr">
        <is>
          <t>VÄSTMANLANDS LÄN</t>
        </is>
      </c>
      <c r="E4329" t="inlineStr">
        <is>
          <t>VÄSTERÅS</t>
        </is>
      </c>
      <c r="G4329" t="n">
        <v>11.3</v>
      </c>
      <c r="H4329" t="n">
        <v>0</v>
      </c>
      <c r="I4329" t="n">
        <v>0</v>
      </c>
      <c r="J4329" t="n">
        <v>0</v>
      </c>
      <c r="K4329" t="n">
        <v>0</v>
      </c>
      <c r="L4329" t="n">
        <v>0</v>
      </c>
      <c r="M4329" t="n">
        <v>0</v>
      </c>
      <c r="N4329" t="n">
        <v>0</v>
      </c>
      <c r="O4329" t="n">
        <v>0</v>
      </c>
      <c r="P4329" t="n">
        <v>0</v>
      </c>
      <c r="Q4329" t="n">
        <v>0</v>
      </c>
      <c r="R4329" s="2" t="inlineStr"/>
    </row>
    <row r="4330" ht="15" customHeight="1">
      <c r="A4330" t="inlineStr">
        <is>
          <t>A 30837-2024</t>
        </is>
      </c>
      <c r="B4330" s="1" t="n">
        <v>45497</v>
      </c>
      <c r="C4330" s="1" t="n">
        <v>45724</v>
      </c>
      <c r="D4330" t="inlineStr">
        <is>
          <t>VÄSTMANLANDS LÄN</t>
        </is>
      </c>
      <c r="E4330" t="inlineStr">
        <is>
          <t>SKINNSKATTEBERG</t>
        </is>
      </c>
      <c r="F4330" t="inlineStr">
        <is>
          <t>Sveaskog</t>
        </is>
      </c>
      <c r="G4330" t="n">
        <v>1.9</v>
      </c>
      <c r="H4330" t="n">
        <v>0</v>
      </c>
      <c r="I4330" t="n">
        <v>0</v>
      </c>
      <c r="J4330" t="n">
        <v>0</v>
      </c>
      <c r="K4330" t="n">
        <v>0</v>
      </c>
      <c r="L4330" t="n">
        <v>0</v>
      </c>
      <c r="M4330" t="n">
        <v>0</v>
      </c>
      <c r="N4330" t="n">
        <v>0</v>
      </c>
      <c r="O4330" t="n">
        <v>0</v>
      </c>
      <c r="P4330" t="n">
        <v>0</v>
      </c>
      <c r="Q4330" t="n">
        <v>0</v>
      </c>
      <c r="R4330" s="2" t="inlineStr"/>
    </row>
    <row r="4331" ht="15" customHeight="1">
      <c r="A4331" t="inlineStr">
        <is>
          <t>A 30838-2024</t>
        </is>
      </c>
      <c r="B4331" s="1" t="n">
        <v>45497</v>
      </c>
      <c r="C4331" s="1" t="n">
        <v>45724</v>
      </c>
      <c r="D4331" t="inlineStr">
        <is>
          <t>VÄSTMANLANDS LÄN</t>
        </is>
      </c>
      <c r="E4331" t="inlineStr">
        <is>
          <t>SKINNSKATTEBERG</t>
        </is>
      </c>
      <c r="F4331" t="inlineStr">
        <is>
          <t>Sveaskog</t>
        </is>
      </c>
      <c r="G4331" t="n">
        <v>3.3</v>
      </c>
      <c r="H4331" t="n">
        <v>0</v>
      </c>
      <c r="I4331" t="n">
        <v>0</v>
      </c>
      <c r="J4331" t="n">
        <v>0</v>
      </c>
      <c r="K4331" t="n">
        <v>0</v>
      </c>
      <c r="L4331" t="n">
        <v>0</v>
      </c>
      <c r="M4331" t="n">
        <v>0</v>
      </c>
      <c r="N4331" t="n">
        <v>0</v>
      </c>
      <c r="O4331" t="n">
        <v>0</v>
      </c>
      <c r="P4331" t="n">
        <v>0</v>
      </c>
      <c r="Q4331" t="n">
        <v>0</v>
      </c>
      <c r="R4331" s="2" t="inlineStr"/>
    </row>
    <row r="4332" ht="15" customHeight="1">
      <c r="A4332" t="inlineStr">
        <is>
          <t>A 30836-2024</t>
        </is>
      </c>
      <c r="B4332" s="1" t="n">
        <v>45497</v>
      </c>
      <c r="C4332" s="1" t="n">
        <v>45724</v>
      </c>
      <c r="D4332" t="inlineStr">
        <is>
          <t>VÄSTMANLANDS LÄN</t>
        </is>
      </c>
      <c r="E4332" t="inlineStr">
        <is>
          <t>SKINNSKATTEBERG</t>
        </is>
      </c>
      <c r="F4332" t="inlineStr">
        <is>
          <t>Sveaskog</t>
        </is>
      </c>
      <c r="G4332" t="n">
        <v>1.5</v>
      </c>
      <c r="H4332" t="n">
        <v>0</v>
      </c>
      <c r="I4332" t="n">
        <v>0</v>
      </c>
      <c r="J4332" t="n">
        <v>0</v>
      </c>
      <c r="K4332" t="n">
        <v>0</v>
      </c>
      <c r="L4332" t="n">
        <v>0</v>
      </c>
      <c r="M4332" t="n">
        <v>0</v>
      </c>
      <c r="N4332" t="n">
        <v>0</v>
      </c>
      <c r="O4332" t="n">
        <v>0</v>
      </c>
      <c r="P4332" t="n">
        <v>0</v>
      </c>
      <c r="Q4332" t="n">
        <v>0</v>
      </c>
      <c r="R4332" s="2" t="inlineStr"/>
    </row>
    <row r="4333" ht="15" customHeight="1">
      <c r="A4333" t="inlineStr">
        <is>
          <t>A 30835-2024</t>
        </is>
      </c>
      <c r="B4333" s="1" t="n">
        <v>45497</v>
      </c>
      <c r="C4333" s="1" t="n">
        <v>45724</v>
      </c>
      <c r="D4333" t="inlineStr">
        <is>
          <t>VÄSTMANLANDS LÄN</t>
        </is>
      </c>
      <c r="E4333" t="inlineStr">
        <is>
          <t>SKINNSKATTEBERG</t>
        </is>
      </c>
      <c r="F4333" t="inlineStr">
        <is>
          <t>Sveaskog</t>
        </is>
      </c>
      <c r="G4333" t="n">
        <v>1.5</v>
      </c>
      <c r="H4333" t="n">
        <v>0</v>
      </c>
      <c r="I4333" t="n">
        <v>0</v>
      </c>
      <c r="J4333" t="n">
        <v>0</v>
      </c>
      <c r="K4333" t="n">
        <v>0</v>
      </c>
      <c r="L4333" t="n">
        <v>0</v>
      </c>
      <c r="M4333" t="n">
        <v>0</v>
      </c>
      <c r="N4333" t="n">
        <v>0</v>
      </c>
      <c r="O4333" t="n">
        <v>0</v>
      </c>
      <c r="P4333" t="n">
        <v>0</v>
      </c>
      <c r="Q4333" t="n">
        <v>0</v>
      </c>
      <c r="R4333" s="2" t="inlineStr"/>
    </row>
    <row r="4334" ht="15" customHeight="1">
      <c r="A4334" t="inlineStr">
        <is>
          <t>A 30998-2024</t>
        </is>
      </c>
      <c r="B4334" s="1" t="n">
        <v>45499</v>
      </c>
      <c r="C4334" s="1" t="n">
        <v>45724</v>
      </c>
      <c r="D4334" t="inlineStr">
        <is>
          <t>VÄSTMANLANDS LÄN</t>
        </is>
      </c>
      <c r="E4334" t="inlineStr">
        <is>
          <t>SKINNSKATTEBERG</t>
        </is>
      </c>
      <c r="F4334" t="inlineStr">
        <is>
          <t>Sveaskog</t>
        </is>
      </c>
      <c r="G4334" t="n">
        <v>4</v>
      </c>
      <c r="H4334" t="n">
        <v>0</v>
      </c>
      <c r="I4334" t="n">
        <v>0</v>
      </c>
      <c r="J4334" t="n">
        <v>0</v>
      </c>
      <c r="K4334" t="n">
        <v>0</v>
      </c>
      <c r="L4334" t="n">
        <v>0</v>
      </c>
      <c r="M4334" t="n">
        <v>0</v>
      </c>
      <c r="N4334" t="n">
        <v>0</v>
      </c>
      <c r="O4334" t="n">
        <v>0</v>
      </c>
      <c r="P4334" t="n">
        <v>0</v>
      </c>
      <c r="Q4334" t="n">
        <v>0</v>
      </c>
      <c r="R4334" s="2" t="inlineStr"/>
    </row>
    <row r="4335" ht="15" customHeight="1">
      <c r="A4335" t="inlineStr">
        <is>
          <t>A 30999-2024</t>
        </is>
      </c>
      <c r="B4335" s="1" t="n">
        <v>45499</v>
      </c>
      <c r="C4335" s="1" t="n">
        <v>45724</v>
      </c>
      <c r="D4335" t="inlineStr">
        <is>
          <t>VÄSTMANLANDS LÄN</t>
        </is>
      </c>
      <c r="E4335" t="inlineStr">
        <is>
          <t>SKINNSKATTEBERG</t>
        </is>
      </c>
      <c r="F4335" t="inlineStr">
        <is>
          <t>Sveaskog</t>
        </is>
      </c>
      <c r="G4335" t="n">
        <v>1.9</v>
      </c>
      <c r="H4335" t="n">
        <v>0</v>
      </c>
      <c r="I4335" t="n">
        <v>0</v>
      </c>
      <c r="J4335" t="n">
        <v>0</v>
      </c>
      <c r="K4335" t="n">
        <v>0</v>
      </c>
      <c r="L4335" t="n">
        <v>0</v>
      </c>
      <c r="M4335" t="n">
        <v>0</v>
      </c>
      <c r="N4335" t="n">
        <v>0</v>
      </c>
      <c r="O4335" t="n">
        <v>0</v>
      </c>
      <c r="P4335" t="n">
        <v>0</v>
      </c>
      <c r="Q4335" t="n">
        <v>0</v>
      </c>
      <c r="R4335" s="2" t="inlineStr"/>
    </row>
    <row r="4336" ht="15" customHeight="1">
      <c r="A4336" t="inlineStr">
        <is>
          <t>A 31105-2024</t>
        </is>
      </c>
      <c r="B4336" s="1" t="n">
        <v>45502</v>
      </c>
      <c r="C4336" s="1" t="n">
        <v>45724</v>
      </c>
      <c r="D4336" t="inlineStr">
        <is>
          <t>VÄSTMANLANDS LÄN</t>
        </is>
      </c>
      <c r="E4336" t="inlineStr">
        <is>
          <t>SKINNSKATTEBERG</t>
        </is>
      </c>
      <c r="F4336" t="inlineStr">
        <is>
          <t>Sveaskog</t>
        </is>
      </c>
      <c r="G4336" t="n">
        <v>6.1</v>
      </c>
      <c r="H4336" t="n">
        <v>0</v>
      </c>
      <c r="I4336" t="n">
        <v>0</v>
      </c>
      <c r="J4336" t="n">
        <v>0</v>
      </c>
      <c r="K4336" t="n">
        <v>0</v>
      </c>
      <c r="L4336" t="n">
        <v>0</v>
      </c>
      <c r="M4336" t="n">
        <v>0</v>
      </c>
      <c r="N4336" t="n">
        <v>0</v>
      </c>
      <c r="O4336" t="n">
        <v>0</v>
      </c>
      <c r="P4336" t="n">
        <v>0</v>
      </c>
      <c r="Q4336" t="n">
        <v>0</v>
      </c>
      <c r="R4336" s="2" t="inlineStr"/>
    </row>
    <row r="4337" ht="15" customHeight="1">
      <c r="A4337" t="inlineStr">
        <is>
          <t>A 31069-2024</t>
        </is>
      </c>
      <c r="B4337" s="1" t="n">
        <v>45502</v>
      </c>
      <c r="C4337" s="1" t="n">
        <v>45724</v>
      </c>
      <c r="D4337" t="inlineStr">
        <is>
          <t>VÄSTMANLANDS LÄN</t>
        </is>
      </c>
      <c r="E4337" t="inlineStr">
        <is>
          <t>KÖPING</t>
        </is>
      </c>
      <c r="G4337" t="n">
        <v>1.8</v>
      </c>
      <c r="H4337" t="n">
        <v>0</v>
      </c>
      <c r="I4337" t="n">
        <v>0</v>
      </c>
      <c r="J4337" t="n">
        <v>0</v>
      </c>
      <c r="K4337" t="n">
        <v>0</v>
      </c>
      <c r="L4337" t="n">
        <v>0</v>
      </c>
      <c r="M4337" t="n">
        <v>0</v>
      </c>
      <c r="N4337" t="n">
        <v>0</v>
      </c>
      <c r="O4337" t="n">
        <v>0</v>
      </c>
      <c r="P4337" t="n">
        <v>0</v>
      </c>
      <c r="Q4337" t="n">
        <v>0</v>
      </c>
      <c r="R4337" s="2" t="inlineStr"/>
    </row>
    <row r="4338" ht="15" customHeight="1">
      <c r="A4338" t="inlineStr">
        <is>
          <t>A 31192-2024</t>
        </is>
      </c>
      <c r="B4338" s="1" t="n">
        <v>45503</v>
      </c>
      <c r="C4338" s="1" t="n">
        <v>45724</v>
      </c>
      <c r="D4338" t="inlineStr">
        <is>
          <t>VÄSTMANLANDS LÄN</t>
        </is>
      </c>
      <c r="E4338" t="inlineStr">
        <is>
          <t>SURAHAMMAR</t>
        </is>
      </c>
      <c r="F4338" t="inlineStr">
        <is>
          <t>Allmännings- och besparingsskogar</t>
        </is>
      </c>
      <c r="G4338" t="n">
        <v>17.2</v>
      </c>
      <c r="H4338" t="n">
        <v>0</v>
      </c>
      <c r="I4338" t="n">
        <v>0</v>
      </c>
      <c r="J4338" t="n">
        <v>0</v>
      </c>
      <c r="K4338" t="n">
        <v>0</v>
      </c>
      <c r="L4338" t="n">
        <v>0</v>
      </c>
      <c r="M4338" t="n">
        <v>0</v>
      </c>
      <c r="N4338" t="n">
        <v>0</v>
      </c>
      <c r="O4338" t="n">
        <v>0</v>
      </c>
      <c r="P4338" t="n">
        <v>0</v>
      </c>
      <c r="Q4338" t="n">
        <v>0</v>
      </c>
      <c r="R4338" s="2" t="inlineStr"/>
    </row>
    <row r="4339" ht="15" customHeight="1">
      <c r="A4339" t="inlineStr">
        <is>
          <t>A 31163-2024</t>
        </is>
      </c>
      <c r="B4339" s="1" t="n">
        <v>45503</v>
      </c>
      <c r="C4339" s="1" t="n">
        <v>45724</v>
      </c>
      <c r="D4339" t="inlineStr">
        <is>
          <t>VÄSTMANLANDS LÄN</t>
        </is>
      </c>
      <c r="E4339" t="inlineStr">
        <is>
          <t>KÖPING</t>
        </is>
      </c>
      <c r="F4339" t="inlineStr">
        <is>
          <t>Allmännings- och besparingsskogar</t>
        </is>
      </c>
      <c r="G4339" t="n">
        <v>2.9</v>
      </c>
      <c r="H4339" t="n">
        <v>0</v>
      </c>
      <c r="I4339" t="n">
        <v>0</v>
      </c>
      <c r="J4339" t="n">
        <v>0</v>
      </c>
      <c r="K4339" t="n">
        <v>0</v>
      </c>
      <c r="L4339" t="n">
        <v>0</v>
      </c>
      <c r="M4339" t="n">
        <v>0</v>
      </c>
      <c r="N4339" t="n">
        <v>0</v>
      </c>
      <c r="O4339" t="n">
        <v>0</v>
      </c>
      <c r="P4339" t="n">
        <v>0</v>
      </c>
      <c r="Q4339" t="n">
        <v>0</v>
      </c>
      <c r="R4339" s="2" t="inlineStr"/>
    </row>
    <row r="4340" ht="15" customHeight="1">
      <c r="A4340" t="inlineStr">
        <is>
          <t>A 31231-2024</t>
        </is>
      </c>
      <c r="B4340" s="1" t="n">
        <v>45503</v>
      </c>
      <c r="C4340" s="1" t="n">
        <v>45724</v>
      </c>
      <c r="D4340" t="inlineStr">
        <is>
          <t>VÄSTMANLANDS LÄN</t>
        </is>
      </c>
      <c r="E4340" t="inlineStr">
        <is>
          <t>FAGERSTA</t>
        </is>
      </c>
      <c r="G4340" t="n">
        <v>6</v>
      </c>
      <c r="H4340" t="n">
        <v>0</v>
      </c>
      <c r="I4340" t="n">
        <v>0</v>
      </c>
      <c r="J4340" t="n">
        <v>0</v>
      </c>
      <c r="K4340" t="n">
        <v>0</v>
      </c>
      <c r="L4340" t="n">
        <v>0</v>
      </c>
      <c r="M4340" t="n">
        <v>0</v>
      </c>
      <c r="N4340" t="n">
        <v>0</v>
      </c>
      <c r="O4340" t="n">
        <v>0</v>
      </c>
      <c r="P4340" t="n">
        <v>0</v>
      </c>
      <c r="Q4340" t="n">
        <v>0</v>
      </c>
      <c r="R4340" s="2" t="inlineStr"/>
    </row>
    <row r="4341" ht="15" customHeight="1">
      <c r="A4341" t="inlineStr">
        <is>
          <t>A 31235-2024</t>
        </is>
      </c>
      <c r="B4341" s="1" t="n">
        <v>45503</v>
      </c>
      <c r="C4341" s="1" t="n">
        <v>45724</v>
      </c>
      <c r="D4341" t="inlineStr">
        <is>
          <t>VÄSTMANLANDS LÄN</t>
        </is>
      </c>
      <c r="E4341" t="inlineStr">
        <is>
          <t>SALA</t>
        </is>
      </c>
      <c r="G4341" t="n">
        <v>5.3</v>
      </c>
      <c r="H4341" t="n">
        <v>0</v>
      </c>
      <c r="I4341" t="n">
        <v>0</v>
      </c>
      <c r="J4341" t="n">
        <v>0</v>
      </c>
      <c r="K4341" t="n">
        <v>0</v>
      </c>
      <c r="L4341" t="n">
        <v>0</v>
      </c>
      <c r="M4341" t="n">
        <v>0</v>
      </c>
      <c r="N4341" t="n">
        <v>0</v>
      </c>
      <c r="O4341" t="n">
        <v>0</v>
      </c>
      <c r="P4341" t="n">
        <v>0</v>
      </c>
      <c r="Q4341" t="n">
        <v>0</v>
      </c>
      <c r="R4341" s="2" t="inlineStr"/>
    </row>
    <row r="4342" ht="15" customHeight="1">
      <c r="A4342" t="inlineStr">
        <is>
          <t>A 31274-2024</t>
        </is>
      </c>
      <c r="B4342" s="1" t="n">
        <v>45504</v>
      </c>
      <c r="C4342" s="1" t="n">
        <v>45724</v>
      </c>
      <c r="D4342" t="inlineStr">
        <is>
          <t>VÄSTMANLANDS LÄN</t>
        </is>
      </c>
      <c r="E4342" t="inlineStr">
        <is>
          <t>SKINNSKATTEBERG</t>
        </is>
      </c>
      <c r="F4342" t="inlineStr">
        <is>
          <t>Allmännings- och besparingsskogar</t>
        </is>
      </c>
      <c r="G4342" t="n">
        <v>6.5</v>
      </c>
      <c r="H4342" t="n">
        <v>0</v>
      </c>
      <c r="I4342" t="n">
        <v>0</v>
      </c>
      <c r="J4342" t="n">
        <v>0</v>
      </c>
      <c r="K4342" t="n">
        <v>0</v>
      </c>
      <c r="L4342" t="n">
        <v>0</v>
      </c>
      <c r="M4342" t="n">
        <v>0</v>
      </c>
      <c r="N4342" t="n">
        <v>0</v>
      </c>
      <c r="O4342" t="n">
        <v>0</v>
      </c>
      <c r="P4342" t="n">
        <v>0</v>
      </c>
      <c r="Q4342" t="n">
        <v>0</v>
      </c>
      <c r="R4342" s="2" t="inlineStr"/>
    </row>
    <row r="4343" ht="15" customHeight="1">
      <c r="A4343" t="inlineStr">
        <is>
          <t>A 31302-2024</t>
        </is>
      </c>
      <c r="B4343" s="1" t="n">
        <v>45504</v>
      </c>
      <c r="C4343" s="1" t="n">
        <v>45724</v>
      </c>
      <c r="D4343" t="inlineStr">
        <is>
          <t>VÄSTMANLANDS LÄN</t>
        </is>
      </c>
      <c r="E4343" t="inlineStr">
        <is>
          <t>SKINNSKATTEBERG</t>
        </is>
      </c>
      <c r="G4343" t="n">
        <v>17</v>
      </c>
      <c r="H4343" t="n">
        <v>0</v>
      </c>
      <c r="I4343" t="n">
        <v>0</v>
      </c>
      <c r="J4343" t="n">
        <v>0</v>
      </c>
      <c r="K4343" t="n">
        <v>0</v>
      </c>
      <c r="L4343" t="n">
        <v>0</v>
      </c>
      <c r="M4343" t="n">
        <v>0</v>
      </c>
      <c r="N4343" t="n">
        <v>0</v>
      </c>
      <c r="O4343" t="n">
        <v>0</v>
      </c>
      <c r="P4343" t="n">
        <v>0</v>
      </c>
      <c r="Q4343" t="n">
        <v>0</v>
      </c>
      <c r="R4343" s="2" t="inlineStr"/>
    </row>
    <row r="4344" ht="15" customHeight="1">
      <c r="A4344" t="inlineStr">
        <is>
          <t>A 31321-2024</t>
        </is>
      </c>
      <c r="B4344" s="1" t="n">
        <v>45504</v>
      </c>
      <c r="C4344" s="1" t="n">
        <v>45724</v>
      </c>
      <c r="D4344" t="inlineStr">
        <is>
          <t>VÄSTMANLANDS LÄN</t>
        </is>
      </c>
      <c r="E4344" t="inlineStr">
        <is>
          <t>VÄSTERÅS</t>
        </is>
      </c>
      <c r="G4344" t="n">
        <v>3.6</v>
      </c>
      <c r="H4344" t="n">
        <v>0</v>
      </c>
      <c r="I4344" t="n">
        <v>0</v>
      </c>
      <c r="J4344" t="n">
        <v>0</v>
      </c>
      <c r="K4344" t="n">
        <v>0</v>
      </c>
      <c r="L4344" t="n">
        <v>0</v>
      </c>
      <c r="M4344" t="n">
        <v>0</v>
      </c>
      <c r="N4344" t="n">
        <v>0</v>
      </c>
      <c r="O4344" t="n">
        <v>0</v>
      </c>
      <c r="P4344" t="n">
        <v>0</v>
      </c>
      <c r="Q4344" t="n">
        <v>0</v>
      </c>
      <c r="R4344" s="2" t="inlineStr"/>
    </row>
    <row r="4345" ht="15" customHeight="1">
      <c r="A4345" t="inlineStr">
        <is>
          <t>A 31406-2024</t>
        </is>
      </c>
      <c r="B4345" s="1" t="n">
        <v>45505</v>
      </c>
      <c r="C4345" s="1" t="n">
        <v>45724</v>
      </c>
      <c r="D4345" t="inlineStr">
        <is>
          <t>VÄSTMANLANDS LÄN</t>
        </is>
      </c>
      <c r="E4345" t="inlineStr">
        <is>
          <t>ARBOGA</t>
        </is>
      </c>
      <c r="G4345" t="n">
        <v>2.8</v>
      </c>
      <c r="H4345" t="n">
        <v>0</v>
      </c>
      <c r="I4345" t="n">
        <v>0</v>
      </c>
      <c r="J4345" t="n">
        <v>0</v>
      </c>
      <c r="K4345" t="n">
        <v>0</v>
      </c>
      <c r="L4345" t="n">
        <v>0</v>
      </c>
      <c r="M4345" t="n">
        <v>0</v>
      </c>
      <c r="N4345" t="n">
        <v>0</v>
      </c>
      <c r="O4345" t="n">
        <v>0</v>
      </c>
      <c r="P4345" t="n">
        <v>0</v>
      </c>
      <c r="Q4345" t="n">
        <v>0</v>
      </c>
      <c r="R4345" s="2" t="inlineStr"/>
    </row>
    <row r="4346" ht="15" customHeight="1">
      <c r="A4346" t="inlineStr">
        <is>
          <t>A 31407-2024</t>
        </is>
      </c>
      <c r="B4346" s="1" t="n">
        <v>45505</v>
      </c>
      <c r="C4346" s="1" t="n">
        <v>45724</v>
      </c>
      <c r="D4346" t="inlineStr">
        <is>
          <t>VÄSTMANLANDS LÄN</t>
        </is>
      </c>
      <c r="E4346" t="inlineStr">
        <is>
          <t>SKINNSKATTEBERG</t>
        </is>
      </c>
      <c r="F4346" t="inlineStr">
        <is>
          <t>Sveaskog</t>
        </is>
      </c>
      <c r="G4346" t="n">
        <v>7.9</v>
      </c>
      <c r="H4346" t="n">
        <v>0</v>
      </c>
      <c r="I4346" t="n">
        <v>0</v>
      </c>
      <c r="J4346" t="n">
        <v>0</v>
      </c>
      <c r="K4346" t="n">
        <v>0</v>
      </c>
      <c r="L4346" t="n">
        <v>0</v>
      </c>
      <c r="M4346" t="n">
        <v>0</v>
      </c>
      <c r="N4346" t="n">
        <v>0</v>
      </c>
      <c r="O4346" t="n">
        <v>0</v>
      </c>
      <c r="P4346" t="n">
        <v>0</v>
      </c>
      <c r="Q4346" t="n">
        <v>0</v>
      </c>
      <c r="R4346" s="2" t="inlineStr"/>
    </row>
    <row r="4347" ht="15" customHeight="1">
      <c r="A4347" t="inlineStr">
        <is>
          <t>A 31405-2024</t>
        </is>
      </c>
      <c r="B4347" s="1" t="n">
        <v>45505</v>
      </c>
      <c r="C4347" s="1" t="n">
        <v>45724</v>
      </c>
      <c r="D4347" t="inlineStr">
        <is>
          <t>VÄSTMANLANDS LÄN</t>
        </is>
      </c>
      <c r="E4347" t="inlineStr">
        <is>
          <t>SALA</t>
        </is>
      </c>
      <c r="G4347" t="n">
        <v>5.2</v>
      </c>
      <c r="H4347" t="n">
        <v>0</v>
      </c>
      <c r="I4347" t="n">
        <v>0</v>
      </c>
      <c r="J4347" t="n">
        <v>0</v>
      </c>
      <c r="K4347" t="n">
        <v>0</v>
      </c>
      <c r="L4347" t="n">
        <v>0</v>
      </c>
      <c r="M4347" t="n">
        <v>0</v>
      </c>
      <c r="N4347" t="n">
        <v>0</v>
      </c>
      <c r="O4347" t="n">
        <v>0</v>
      </c>
      <c r="P4347" t="n">
        <v>0</v>
      </c>
      <c r="Q4347" t="n">
        <v>0</v>
      </c>
      <c r="R4347" s="2" t="inlineStr"/>
    </row>
    <row r="4348" ht="15" customHeight="1">
      <c r="A4348" t="inlineStr">
        <is>
          <t>A 31599-2024</t>
        </is>
      </c>
      <c r="B4348" s="1" t="n">
        <v>45506</v>
      </c>
      <c r="C4348" s="1" t="n">
        <v>45724</v>
      </c>
      <c r="D4348" t="inlineStr">
        <is>
          <t>VÄSTMANLANDS LÄN</t>
        </is>
      </c>
      <c r="E4348" t="inlineStr">
        <is>
          <t>SALA</t>
        </is>
      </c>
      <c r="G4348" t="n">
        <v>0.9</v>
      </c>
      <c r="H4348" t="n">
        <v>0</v>
      </c>
      <c r="I4348" t="n">
        <v>0</v>
      </c>
      <c r="J4348" t="n">
        <v>0</v>
      </c>
      <c r="K4348" t="n">
        <v>0</v>
      </c>
      <c r="L4348" t="n">
        <v>0</v>
      </c>
      <c r="M4348" t="n">
        <v>0</v>
      </c>
      <c r="N4348" t="n">
        <v>0</v>
      </c>
      <c r="O4348" t="n">
        <v>0</v>
      </c>
      <c r="P4348" t="n">
        <v>0</v>
      </c>
      <c r="Q4348" t="n">
        <v>0</v>
      </c>
      <c r="R4348" s="2" t="inlineStr"/>
    </row>
    <row r="4349" ht="15" customHeight="1">
      <c r="A4349" t="inlineStr">
        <is>
          <t>A 31608-2024</t>
        </is>
      </c>
      <c r="B4349" s="1" t="n">
        <v>45506</v>
      </c>
      <c r="C4349" s="1" t="n">
        <v>45724</v>
      </c>
      <c r="D4349" t="inlineStr">
        <is>
          <t>VÄSTMANLANDS LÄN</t>
        </is>
      </c>
      <c r="E4349" t="inlineStr">
        <is>
          <t>SALA</t>
        </is>
      </c>
      <c r="G4349" t="n">
        <v>1.7</v>
      </c>
      <c r="H4349" t="n">
        <v>0</v>
      </c>
      <c r="I4349" t="n">
        <v>0</v>
      </c>
      <c r="J4349" t="n">
        <v>0</v>
      </c>
      <c r="K4349" t="n">
        <v>0</v>
      </c>
      <c r="L4349" t="n">
        <v>0</v>
      </c>
      <c r="M4349" t="n">
        <v>0</v>
      </c>
      <c r="N4349" t="n">
        <v>0</v>
      </c>
      <c r="O4349" t="n">
        <v>0</v>
      </c>
      <c r="P4349" t="n">
        <v>0</v>
      </c>
      <c r="Q4349" t="n">
        <v>0</v>
      </c>
      <c r="R4349" s="2" t="inlineStr"/>
    </row>
    <row r="4350" ht="15" customHeight="1">
      <c r="A4350" t="inlineStr">
        <is>
          <t>A 31623-2024</t>
        </is>
      </c>
      <c r="B4350" s="1" t="n">
        <v>45506</v>
      </c>
      <c r="C4350" s="1" t="n">
        <v>45724</v>
      </c>
      <c r="D4350" t="inlineStr">
        <is>
          <t>VÄSTMANLANDS LÄN</t>
        </is>
      </c>
      <c r="E4350" t="inlineStr">
        <is>
          <t>VÄSTERÅS</t>
        </is>
      </c>
      <c r="F4350" t="inlineStr">
        <is>
          <t>Kommuner</t>
        </is>
      </c>
      <c r="G4350" t="n">
        <v>4.2</v>
      </c>
      <c r="H4350" t="n">
        <v>0</v>
      </c>
      <c r="I4350" t="n">
        <v>0</v>
      </c>
      <c r="J4350" t="n">
        <v>0</v>
      </c>
      <c r="K4350" t="n">
        <v>0</v>
      </c>
      <c r="L4350" t="n">
        <v>0</v>
      </c>
      <c r="M4350" t="n">
        <v>0</v>
      </c>
      <c r="N4350" t="n">
        <v>0</v>
      </c>
      <c r="O4350" t="n">
        <v>0</v>
      </c>
      <c r="P4350" t="n">
        <v>0</v>
      </c>
      <c r="Q4350" t="n">
        <v>0</v>
      </c>
      <c r="R4350" s="2" t="inlineStr"/>
    </row>
    <row r="4351" ht="15" customHeight="1">
      <c r="A4351" t="inlineStr">
        <is>
          <t>A 31601-2024</t>
        </is>
      </c>
      <c r="B4351" s="1" t="n">
        <v>45506</v>
      </c>
      <c r="C4351" s="1" t="n">
        <v>45724</v>
      </c>
      <c r="D4351" t="inlineStr">
        <is>
          <t>VÄSTMANLANDS LÄN</t>
        </is>
      </c>
      <c r="E4351" t="inlineStr">
        <is>
          <t>SALA</t>
        </is>
      </c>
      <c r="G4351" t="n">
        <v>0.5</v>
      </c>
      <c r="H4351" t="n">
        <v>0</v>
      </c>
      <c r="I4351" t="n">
        <v>0</v>
      </c>
      <c r="J4351" t="n">
        <v>0</v>
      </c>
      <c r="K4351" t="n">
        <v>0</v>
      </c>
      <c r="L4351" t="n">
        <v>0</v>
      </c>
      <c r="M4351" t="n">
        <v>0</v>
      </c>
      <c r="N4351" t="n">
        <v>0</v>
      </c>
      <c r="O4351" t="n">
        <v>0</v>
      </c>
      <c r="P4351" t="n">
        <v>0</v>
      </c>
      <c r="Q4351" t="n">
        <v>0</v>
      </c>
      <c r="R4351" s="2" t="inlineStr"/>
    </row>
    <row r="4352" ht="15" customHeight="1">
      <c r="A4352" t="inlineStr">
        <is>
          <t>A 31609-2024</t>
        </is>
      </c>
      <c r="B4352" s="1" t="n">
        <v>45506</v>
      </c>
      <c r="C4352" s="1" t="n">
        <v>45724</v>
      </c>
      <c r="D4352" t="inlineStr">
        <is>
          <t>VÄSTMANLANDS LÄN</t>
        </is>
      </c>
      <c r="E4352" t="inlineStr">
        <is>
          <t>SALA</t>
        </is>
      </c>
      <c r="G4352" t="n">
        <v>0.8</v>
      </c>
      <c r="H4352" t="n">
        <v>0</v>
      </c>
      <c r="I4352" t="n">
        <v>0</v>
      </c>
      <c r="J4352" t="n">
        <v>0</v>
      </c>
      <c r="K4352" t="n">
        <v>0</v>
      </c>
      <c r="L4352" t="n">
        <v>0</v>
      </c>
      <c r="M4352" t="n">
        <v>0</v>
      </c>
      <c r="N4352" t="n">
        <v>0</v>
      </c>
      <c r="O4352" t="n">
        <v>0</v>
      </c>
      <c r="P4352" t="n">
        <v>0</v>
      </c>
      <c r="Q4352" t="n">
        <v>0</v>
      </c>
      <c r="R4352" s="2" t="inlineStr"/>
    </row>
    <row r="4353" ht="15" customHeight="1">
      <c r="A4353" t="inlineStr">
        <is>
          <t>A 31617-2024</t>
        </is>
      </c>
      <c r="B4353" s="1" t="n">
        <v>45506</v>
      </c>
      <c r="C4353" s="1" t="n">
        <v>45724</v>
      </c>
      <c r="D4353" t="inlineStr">
        <is>
          <t>VÄSTMANLANDS LÄN</t>
        </is>
      </c>
      <c r="E4353" t="inlineStr">
        <is>
          <t>SKINNSKATTEBERG</t>
        </is>
      </c>
      <c r="G4353" t="n">
        <v>5.9</v>
      </c>
      <c r="H4353" t="n">
        <v>0</v>
      </c>
      <c r="I4353" t="n">
        <v>0</v>
      </c>
      <c r="J4353" t="n">
        <v>0</v>
      </c>
      <c r="K4353" t="n">
        <v>0</v>
      </c>
      <c r="L4353" t="n">
        <v>0</v>
      </c>
      <c r="M4353" t="n">
        <v>0</v>
      </c>
      <c r="N4353" t="n">
        <v>0</v>
      </c>
      <c r="O4353" t="n">
        <v>0</v>
      </c>
      <c r="P4353" t="n">
        <v>0</v>
      </c>
      <c r="Q4353" t="n">
        <v>0</v>
      </c>
      <c r="R4353" s="2" t="inlineStr"/>
    </row>
    <row r="4354" ht="15" customHeight="1">
      <c r="A4354" t="inlineStr">
        <is>
          <t>A 31629-2024</t>
        </is>
      </c>
      <c r="B4354" s="1" t="n">
        <v>45506</v>
      </c>
      <c r="C4354" s="1" t="n">
        <v>45724</v>
      </c>
      <c r="D4354" t="inlineStr">
        <is>
          <t>VÄSTMANLANDS LÄN</t>
        </is>
      </c>
      <c r="E4354" t="inlineStr">
        <is>
          <t>SKINNSKATTEBERG</t>
        </is>
      </c>
      <c r="F4354" t="inlineStr">
        <is>
          <t>Sveaskog</t>
        </is>
      </c>
      <c r="G4354" t="n">
        <v>3.7</v>
      </c>
      <c r="H4354" t="n">
        <v>0</v>
      </c>
      <c r="I4354" t="n">
        <v>0</v>
      </c>
      <c r="J4354" t="n">
        <v>0</v>
      </c>
      <c r="K4354" t="n">
        <v>0</v>
      </c>
      <c r="L4354" t="n">
        <v>0</v>
      </c>
      <c r="M4354" t="n">
        <v>0</v>
      </c>
      <c r="N4354" t="n">
        <v>0</v>
      </c>
      <c r="O4354" t="n">
        <v>0</v>
      </c>
      <c r="P4354" t="n">
        <v>0</v>
      </c>
      <c r="Q4354" t="n">
        <v>0</v>
      </c>
      <c r="R4354" s="2" t="inlineStr"/>
    </row>
    <row r="4355" ht="15" customHeight="1">
      <c r="A4355" t="inlineStr">
        <is>
          <t>A 31597-2024</t>
        </is>
      </c>
      <c r="B4355" s="1" t="n">
        <v>45506</v>
      </c>
      <c r="C4355" s="1" t="n">
        <v>45724</v>
      </c>
      <c r="D4355" t="inlineStr">
        <is>
          <t>VÄSTMANLANDS LÄN</t>
        </is>
      </c>
      <c r="E4355" t="inlineStr">
        <is>
          <t>SALA</t>
        </is>
      </c>
      <c r="G4355" t="n">
        <v>2.4</v>
      </c>
      <c r="H4355" t="n">
        <v>0</v>
      </c>
      <c r="I4355" t="n">
        <v>0</v>
      </c>
      <c r="J4355" t="n">
        <v>0</v>
      </c>
      <c r="K4355" t="n">
        <v>0</v>
      </c>
      <c r="L4355" t="n">
        <v>0</v>
      </c>
      <c r="M4355" t="n">
        <v>0</v>
      </c>
      <c r="N4355" t="n">
        <v>0</v>
      </c>
      <c r="O4355" t="n">
        <v>0</v>
      </c>
      <c r="P4355" t="n">
        <v>0</v>
      </c>
      <c r="Q4355" t="n">
        <v>0</v>
      </c>
      <c r="R4355" s="2" t="inlineStr"/>
    </row>
    <row r="4356" ht="15" customHeight="1">
      <c r="A4356" t="inlineStr">
        <is>
          <t>A 31655-2024</t>
        </is>
      </c>
      <c r="B4356" s="1" t="n">
        <v>45506</v>
      </c>
      <c r="C4356" s="1" t="n">
        <v>45724</v>
      </c>
      <c r="D4356" t="inlineStr">
        <is>
          <t>VÄSTMANLANDS LÄN</t>
        </is>
      </c>
      <c r="E4356" t="inlineStr">
        <is>
          <t>SALA</t>
        </is>
      </c>
      <c r="G4356" t="n">
        <v>1</v>
      </c>
      <c r="H4356" t="n">
        <v>0</v>
      </c>
      <c r="I4356" t="n">
        <v>0</v>
      </c>
      <c r="J4356" t="n">
        <v>0</v>
      </c>
      <c r="K4356" t="n">
        <v>0</v>
      </c>
      <c r="L4356" t="n">
        <v>0</v>
      </c>
      <c r="M4356" t="n">
        <v>0</v>
      </c>
      <c r="N4356" t="n">
        <v>0</v>
      </c>
      <c r="O4356" t="n">
        <v>0</v>
      </c>
      <c r="P4356" t="n">
        <v>0</v>
      </c>
      <c r="Q4356" t="n">
        <v>0</v>
      </c>
      <c r="R4356" s="2" t="inlineStr"/>
    </row>
    <row r="4357" ht="15" customHeight="1">
      <c r="A4357" t="inlineStr">
        <is>
          <t>A 31618-2024</t>
        </is>
      </c>
      <c r="B4357" s="1" t="n">
        <v>45506</v>
      </c>
      <c r="C4357" s="1" t="n">
        <v>45724</v>
      </c>
      <c r="D4357" t="inlineStr">
        <is>
          <t>VÄSTMANLANDS LÄN</t>
        </is>
      </c>
      <c r="E4357" t="inlineStr">
        <is>
          <t>VÄSTERÅS</t>
        </is>
      </c>
      <c r="F4357" t="inlineStr">
        <is>
          <t>Kommuner</t>
        </is>
      </c>
      <c r="G4357" t="n">
        <v>4.6</v>
      </c>
      <c r="H4357" t="n">
        <v>0</v>
      </c>
      <c r="I4357" t="n">
        <v>0</v>
      </c>
      <c r="J4357" t="n">
        <v>0</v>
      </c>
      <c r="K4357" t="n">
        <v>0</v>
      </c>
      <c r="L4357" t="n">
        <v>0</v>
      </c>
      <c r="M4357" t="n">
        <v>0</v>
      </c>
      <c r="N4357" t="n">
        <v>0</v>
      </c>
      <c r="O4357" t="n">
        <v>0</v>
      </c>
      <c r="P4357" t="n">
        <v>0</v>
      </c>
      <c r="Q4357" t="n">
        <v>0</v>
      </c>
      <c r="R4357" s="2" t="inlineStr"/>
    </row>
    <row r="4358" ht="15" customHeight="1">
      <c r="A4358" t="inlineStr">
        <is>
          <t>A 31612-2024</t>
        </is>
      </c>
      <c r="B4358" s="1" t="n">
        <v>45506</v>
      </c>
      <c r="C4358" s="1" t="n">
        <v>45724</v>
      </c>
      <c r="D4358" t="inlineStr">
        <is>
          <t>VÄSTMANLANDS LÄN</t>
        </is>
      </c>
      <c r="E4358" t="inlineStr">
        <is>
          <t>SALA</t>
        </is>
      </c>
      <c r="G4358" t="n">
        <v>3.2</v>
      </c>
      <c r="H4358" t="n">
        <v>0</v>
      </c>
      <c r="I4358" t="n">
        <v>0</v>
      </c>
      <c r="J4358" t="n">
        <v>0</v>
      </c>
      <c r="K4358" t="n">
        <v>0</v>
      </c>
      <c r="L4358" t="n">
        <v>0</v>
      </c>
      <c r="M4358" t="n">
        <v>0</v>
      </c>
      <c r="N4358" t="n">
        <v>0</v>
      </c>
      <c r="O4358" t="n">
        <v>0</v>
      </c>
      <c r="P4358" t="n">
        <v>0</v>
      </c>
      <c r="Q4358" t="n">
        <v>0</v>
      </c>
      <c r="R4358" s="2" t="inlineStr"/>
    </row>
    <row r="4359" ht="15" customHeight="1">
      <c r="A4359" t="inlineStr">
        <is>
          <t>A 32024-2024</t>
        </is>
      </c>
      <c r="B4359" s="1" t="n">
        <v>45510</v>
      </c>
      <c r="C4359" s="1" t="n">
        <v>45724</v>
      </c>
      <c r="D4359" t="inlineStr">
        <is>
          <t>VÄSTMANLANDS LÄN</t>
        </is>
      </c>
      <c r="E4359" t="inlineStr">
        <is>
          <t>SKINNSKATTEBERG</t>
        </is>
      </c>
      <c r="G4359" t="n">
        <v>2</v>
      </c>
      <c r="H4359" t="n">
        <v>0</v>
      </c>
      <c r="I4359" t="n">
        <v>0</v>
      </c>
      <c r="J4359" t="n">
        <v>0</v>
      </c>
      <c r="K4359" t="n">
        <v>0</v>
      </c>
      <c r="L4359" t="n">
        <v>0</v>
      </c>
      <c r="M4359" t="n">
        <v>0</v>
      </c>
      <c r="N4359" t="n">
        <v>0</v>
      </c>
      <c r="O4359" t="n">
        <v>0</v>
      </c>
      <c r="P4359" t="n">
        <v>0</v>
      </c>
      <c r="Q4359" t="n">
        <v>0</v>
      </c>
      <c r="R4359" s="2" t="inlineStr"/>
    </row>
    <row r="4360" ht="15" customHeight="1">
      <c r="A4360" t="inlineStr">
        <is>
          <t>A 32041-2024</t>
        </is>
      </c>
      <c r="B4360" s="1" t="n">
        <v>45510</v>
      </c>
      <c r="C4360" s="1" t="n">
        <v>45724</v>
      </c>
      <c r="D4360" t="inlineStr">
        <is>
          <t>VÄSTMANLANDS LÄN</t>
        </is>
      </c>
      <c r="E4360" t="inlineStr">
        <is>
          <t>KÖPING</t>
        </is>
      </c>
      <c r="G4360" t="n">
        <v>6.2</v>
      </c>
      <c r="H4360" t="n">
        <v>0</v>
      </c>
      <c r="I4360" t="n">
        <v>0</v>
      </c>
      <c r="J4360" t="n">
        <v>0</v>
      </c>
      <c r="K4360" t="n">
        <v>0</v>
      </c>
      <c r="L4360" t="n">
        <v>0</v>
      </c>
      <c r="M4360" t="n">
        <v>0</v>
      </c>
      <c r="N4360" t="n">
        <v>0</v>
      </c>
      <c r="O4360" t="n">
        <v>0</v>
      </c>
      <c r="P4360" t="n">
        <v>0</v>
      </c>
      <c r="Q4360" t="n">
        <v>0</v>
      </c>
      <c r="R4360" s="2" t="inlineStr"/>
    </row>
    <row r="4361" ht="15" customHeight="1">
      <c r="A4361" t="inlineStr">
        <is>
          <t>A 32029-2024</t>
        </is>
      </c>
      <c r="B4361" s="1" t="n">
        <v>45510</v>
      </c>
      <c r="C4361" s="1" t="n">
        <v>45724</v>
      </c>
      <c r="D4361" t="inlineStr">
        <is>
          <t>VÄSTMANLANDS LÄN</t>
        </is>
      </c>
      <c r="E4361" t="inlineStr">
        <is>
          <t>KÖPING</t>
        </is>
      </c>
      <c r="G4361" t="n">
        <v>0.6</v>
      </c>
      <c r="H4361" t="n">
        <v>0</v>
      </c>
      <c r="I4361" t="n">
        <v>0</v>
      </c>
      <c r="J4361" t="n">
        <v>0</v>
      </c>
      <c r="K4361" t="n">
        <v>0</v>
      </c>
      <c r="L4361" t="n">
        <v>0</v>
      </c>
      <c r="M4361" t="n">
        <v>0</v>
      </c>
      <c r="N4361" t="n">
        <v>0</v>
      </c>
      <c r="O4361" t="n">
        <v>0</v>
      </c>
      <c r="P4361" t="n">
        <v>0</v>
      </c>
      <c r="Q4361" t="n">
        <v>0</v>
      </c>
      <c r="R4361" s="2" t="inlineStr"/>
    </row>
    <row r="4362" ht="15" customHeight="1">
      <c r="A4362" t="inlineStr">
        <is>
          <t>A 31941-2024</t>
        </is>
      </c>
      <c r="B4362" s="1" t="n">
        <v>45510</v>
      </c>
      <c r="C4362" s="1" t="n">
        <v>45724</v>
      </c>
      <c r="D4362" t="inlineStr">
        <is>
          <t>VÄSTMANLANDS LÄN</t>
        </is>
      </c>
      <c r="E4362" t="inlineStr">
        <is>
          <t>SALA</t>
        </is>
      </c>
      <c r="G4362" t="n">
        <v>2.4</v>
      </c>
      <c r="H4362" t="n">
        <v>0</v>
      </c>
      <c r="I4362" t="n">
        <v>0</v>
      </c>
      <c r="J4362" t="n">
        <v>0</v>
      </c>
      <c r="K4362" t="n">
        <v>0</v>
      </c>
      <c r="L4362" t="n">
        <v>0</v>
      </c>
      <c r="M4362" t="n">
        <v>0</v>
      </c>
      <c r="N4362" t="n">
        <v>0</v>
      </c>
      <c r="O4362" t="n">
        <v>0</v>
      </c>
      <c r="P4362" t="n">
        <v>0</v>
      </c>
      <c r="Q4362" t="n">
        <v>0</v>
      </c>
      <c r="R4362" s="2" t="inlineStr"/>
    </row>
    <row r="4363" ht="15" customHeight="1">
      <c r="A4363" t="inlineStr">
        <is>
          <t>A 32153-2024</t>
        </is>
      </c>
      <c r="B4363" s="1" t="n">
        <v>45511</v>
      </c>
      <c r="C4363" s="1" t="n">
        <v>45724</v>
      </c>
      <c r="D4363" t="inlineStr">
        <is>
          <t>VÄSTMANLANDS LÄN</t>
        </is>
      </c>
      <c r="E4363" t="inlineStr">
        <is>
          <t>SKINNSKATTEBERG</t>
        </is>
      </c>
      <c r="F4363" t="inlineStr">
        <is>
          <t>Sveaskog</t>
        </is>
      </c>
      <c r="G4363" t="n">
        <v>0.8</v>
      </c>
      <c r="H4363" t="n">
        <v>0</v>
      </c>
      <c r="I4363" t="n">
        <v>0</v>
      </c>
      <c r="J4363" t="n">
        <v>0</v>
      </c>
      <c r="K4363" t="n">
        <v>0</v>
      </c>
      <c r="L4363" t="n">
        <v>0</v>
      </c>
      <c r="M4363" t="n">
        <v>0</v>
      </c>
      <c r="N4363" t="n">
        <v>0</v>
      </c>
      <c r="O4363" t="n">
        <v>0</v>
      </c>
      <c r="P4363" t="n">
        <v>0</v>
      </c>
      <c r="Q4363" t="n">
        <v>0</v>
      </c>
      <c r="R4363" s="2" t="inlineStr"/>
    </row>
    <row r="4364" ht="15" customHeight="1">
      <c r="A4364" t="inlineStr">
        <is>
          <t>A 32316-2024</t>
        </is>
      </c>
      <c r="B4364" s="1" t="n">
        <v>45512</v>
      </c>
      <c r="C4364" s="1" t="n">
        <v>45724</v>
      </c>
      <c r="D4364" t="inlineStr">
        <is>
          <t>VÄSTMANLANDS LÄN</t>
        </is>
      </c>
      <c r="E4364" t="inlineStr">
        <is>
          <t>SKINNSKATTEBERG</t>
        </is>
      </c>
      <c r="F4364" t="inlineStr">
        <is>
          <t>Sveaskog</t>
        </is>
      </c>
      <c r="G4364" t="n">
        <v>3.6</v>
      </c>
      <c r="H4364" t="n">
        <v>0</v>
      </c>
      <c r="I4364" t="n">
        <v>0</v>
      </c>
      <c r="J4364" t="n">
        <v>0</v>
      </c>
      <c r="K4364" t="n">
        <v>0</v>
      </c>
      <c r="L4364" t="n">
        <v>0</v>
      </c>
      <c r="M4364" t="n">
        <v>0</v>
      </c>
      <c r="N4364" t="n">
        <v>0</v>
      </c>
      <c r="O4364" t="n">
        <v>0</v>
      </c>
      <c r="P4364" t="n">
        <v>0</v>
      </c>
      <c r="Q4364" t="n">
        <v>0</v>
      </c>
      <c r="R4364" s="2" t="inlineStr"/>
    </row>
    <row r="4365" ht="15" customHeight="1">
      <c r="A4365" t="inlineStr">
        <is>
          <t>A 32285-2024</t>
        </is>
      </c>
      <c r="B4365" s="1" t="n">
        <v>45512</v>
      </c>
      <c r="C4365" s="1" t="n">
        <v>45724</v>
      </c>
      <c r="D4365" t="inlineStr">
        <is>
          <t>VÄSTMANLANDS LÄN</t>
        </is>
      </c>
      <c r="E4365" t="inlineStr">
        <is>
          <t>SKINNSKATTEBERG</t>
        </is>
      </c>
      <c r="G4365" t="n">
        <v>1</v>
      </c>
      <c r="H4365" t="n">
        <v>0</v>
      </c>
      <c r="I4365" t="n">
        <v>0</v>
      </c>
      <c r="J4365" t="n">
        <v>0</v>
      </c>
      <c r="K4365" t="n">
        <v>0</v>
      </c>
      <c r="L4365" t="n">
        <v>0</v>
      </c>
      <c r="M4365" t="n">
        <v>0</v>
      </c>
      <c r="N4365" t="n">
        <v>0</v>
      </c>
      <c r="O4365" t="n">
        <v>0</v>
      </c>
      <c r="P4365" t="n">
        <v>0</v>
      </c>
      <c r="Q4365" t="n">
        <v>0</v>
      </c>
      <c r="R4365" s="2" t="inlineStr"/>
    </row>
    <row r="4366" ht="15" customHeight="1">
      <c r="A4366" t="inlineStr">
        <is>
          <t>A 32349-2024</t>
        </is>
      </c>
      <c r="B4366" s="1" t="n">
        <v>45512</v>
      </c>
      <c r="C4366" s="1" t="n">
        <v>45724</v>
      </c>
      <c r="D4366" t="inlineStr">
        <is>
          <t>VÄSTMANLANDS LÄN</t>
        </is>
      </c>
      <c r="E4366" t="inlineStr">
        <is>
          <t>SKINNSKATTEBERG</t>
        </is>
      </c>
      <c r="F4366" t="inlineStr">
        <is>
          <t>Sveaskog</t>
        </is>
      </c>
      <c r="G4366" t="n">
        <v>2.5</v>
      </c>
      <c r="H4366" t="n">
        <v>0</v>
      </c>
      <c r="I4366" t="n">
        <v>0</v>
      </c>
      <c r="J4366" t="n">
        <v>0</v>
      </c>
      <c r="K4366" t="n">
        <v>0</v>
      </c>
      <c r="L4366" t="n">
        <v>0</v>
      </c>
      <c r="M4366" t="n">
        <v>0</v>
      </c>
      <c r="N4366" t="n">
        <v>0</v>
      </c>
      <c r="O4366" t="n">
        <v>0</v>
      </c>
      <c r="P4366" t="n">
        <v>0</v>
      </c>
      <c r="Q4366" t="n">
        <v>0</v>
      </c>
      <c r="R4366" s="2" t="inlineStr"/>
    </row>
    <row r="4367" ht="15" customHeight="1">
      <c r="A4367" t="inlineStr">
        <is>
          <t>A 32350-2024</t>
        </is>
      </c>
      <c r="B4367" s="1" t="n">
        <v>45512</v>
      </c>
      <c r="C4367" s="1" t="n">
        <v>45724</v>
      </c>
      <c r="D4367" t="inlineStr">
        <is>
          <t>VÄSTMANLANDS LÄN</t>
        </is>
      </c>
      <c r="E4367" t="inlineStr">
        <is>
          <t>SKINNSKATTEBERG</t>
        </is>
      </c>
      <c r="F4367" t="inlineStr">
        <is>
          <t>Sveaskog</t>
        </is>
      </c>
      <c r="G4367" t="n">
        <v>4.7</v>
      </c>
      <c r="H4367" t="n">
        <v>0</v>
      </c>
      <c r="I4367" t="n">
        <v>0</v>
      </c>
      <c r="J4367" t="n">
        <v>0</v>
      </c>
      <c r="K4367" t="n">
        <v>0</v>
      </c>
      <c r="L4367" t="n">
        <v>0</v>
      </c>
      <c r="M4367" t="n">
        <v>0</v>
      </c>
      <c r="N4367" t="n">
        <v>0</v>
      </c>
      <c r="O4367" t="n">
        <v>0</v>
      </c>
      <c r="P4367" t="n">
        <v>0</v>
      </c>
      <c r="Q4367" t="n">
        <v>0</v>
      </c>
      <c r="R4367" s="2" t="inlineStr"/>
    </row>
    <row r="4368" ht="15" customHeight="1">
      <c r="A4368" t="inlineStr">
        <is>
          <t>A 32354-2024</t>
        </is>
      </c>
      <c r="B4368" s="1" t="n">
        <v>45512</v>
      </c>
      <c r="C4368" s="1" t="n">
        <v>45724</v>
      </c>
      <c r="D4368" t="inlineStr">
        <is>
          <t>VÄSTMANLANDS LÄN</t>
        </is>
      </c>
      <c r="E4368" t="inlineStr">
        <is>
          <t>SKINNSKATTEBERG</t>
        </is>
      </c>
      <c r="F4368" t="inlineStr">
        <is>
          <t>Sveaskog</t>
        </is>
      </c>
      <c r="G4368" t="n">
        <v>1</v>
      </c>
      <c r="H4368" t="n">
        <v>0</v>
      </c>
      <c r="I4368" t="n">
        <v>0</v>
      </c>
      <c r="J4368" t="n">
        <v>0</v>
      </c>
      <c r="K4368" t="n">
        <v>0</v>
      </c>
      <c r="L4368" t="n">
        <v>0</v>
      </c>
      <c r="M4368" t="n">
        <v>0</v>
      </c>
      <c r="N4368" t="n">
        <v>0</v>
      </c>
      <c r="O4368" t="n">
        <v>0</v>
      </c>
      <c r="P4368" t="n">
        <v>0</v>
      </c>
      <c r="Q4368" t="n">
        <v>0</v>
      </c>
      <c r="R4368" s="2" t="inlineStr"/>
    </row>
    <row r="4369" ht="15" customHeight="1">
      <c r="A4369" t="inlineStr">
        <is>
          <t>A 32352-2024</t>
        </is>
      </c>
      <c r="B4369" s="1" t="n">
        <v>45512</v>
      </c>
      <c r="C4369" s="1" t="n">
        <v>45724</v>
      </c>
      <c r="D4369" t="inlineStr">
        <is>
          <t>VÄSTMANLANDS LÄN</t>
        </is>
      </c>
      <c r="E4369" t="inlineStr">
        <is>
          <t>SKINNSKATTEBERG</t>
        </is>
      </c>
      <c r="F4369" t="inlineStr">
        <is>
          <t>Sveaskog</t>
        </is>
      </c>
      <c r="G4369" t="n">
        <v>2.5</v>
      </c>
      <c r="H4369" t="n">
        <v>0</v>
      </c>
      <c r="I4369" t="n">
        <v>0</v>
      </c>
      <c r="J4369" t="n">
        <v>0</v>
      </c>
      <c r="K4369" t="n">
        <v>0</v>
      </c>
      <c r="L4369" t="n">
        <v>0</v>
      </c>
      <c r="M4369" t="n">
        <v>0</v>
      </c>
      <c r="N4369" t="n">
        <v>0</v>
      </c>
      <c r="O4369" t="n">
        <v>0</v>
      </c>
      <c r="P4369" t="n">
        <v>0</v>
      </c>
      <c r="Q4369" t="n">
        <v>0</v>
      </c>
      <c r="R4369" s="2" t="inlineStr"/>
    </row>
    <row r="4370" ht="15" customHeight="1">
      <c r="A4370" t="inlineStr">
        <is>
          <t>A 32372-2024</t>
        </is>
      </c>
      <c r="B4370" s="1" t="n">
        <v>45512</v>
      </c>
      <c r="C4370" s="1" t="n">
        <v>45724</v>
      </c>
      <c r="D4370" t="inlineStr">
        <is>
          <t>VÄSTMANLANDS LÄN</t>
        </is>
      </c>
      <c r="E4370" t="inlineStr">
        <is>
          <t>SALA</t>
        </is>
      </c>
      <c r="F4370" t="inlineStr">
        <is>
          <t>Sveaskog</t>
        </is>
      </c>
      <c r="G4370" t="n">
        <v>2.5</v>
      </c>
      <c r="H4370" t="n">
        <v>0</v>
      </c>
      <c r="I4370" t="n">
        <v>0</v>
      </c>
      <c r="J4370" t="n">
        <v>0</v>
      </c>
      <c r="K4370" t="n">
        <v>0</v>
      </c>
      <c r="L4370" t="n">
        <v>0</v>
      </c>
      <c r="M4370" t="n">
        <v>0</v>
      </c>
      <c r="N4370" t="n">
        <v>0</v>
      </c>
      <c r="O4370" t="n">
        <v>0</v>
      </c>
      <c r="P4370" t="n">
        <v>0</v>
      </c>
      <c r="Q4370" t="n">
        <v>0</v>
      </c>
      <c r="R4370" s="2" t="inlineStr"/>
    </row>
    <row r="4371" ht="15" customHeight="1">
      <c r="A4371" t="inlineStr">
        <is>
          <t>A 32303-2024</t>
        </is>
      </c>
      <c r="B4371" s="1" t="n">
        <v>45512</v>
      </c>
      <c r="C4371" s="1" t="n">
        <v>45724</v>
      </c>
      <c r="D4371" t="inlineStr">
        <is>
          <t>VÄSTMANLANDS LÄN</t>
        </is>
      </c>
      <c r="E4371" t="inlineStr">
        <is>
          <t>SALA</t>
        </is>
      </c>
      <c r="G4371" t="n">
        <v>3.3</v>
      </c>
      <c r="H4371" t="n">
        <v>0</v>
      </c>
      <c r="I4371" t="n">
        <v>0</v>
      </c>
      <c r="J4371" t="n">
        <v>0</v>
      </c>
      <c r="K4371" t="n">
        <v>0</v>
      </c>
      <c r="L4371" t="n">
        <v>0</v>
      </c>
      <c r="M4371" t="n">
        <v>0</v>
      </c>
      <c r="N4371" t="n">
        <v>0</v>
      </c>
      <c r="O4371" t="n">
        <v>0</v>
      </c>
      <c r="P4371" t="n">
        <v>0</v>
      </c>
      <c r="Q4371" t="n">
        <v>0</v>
      </c>
      <c r="R4371" s="2" t="inlineStr"/>
    </row>
    <row r="4372" ht="15" customHeight="1">
      <c r="A4372" t="inlineStr">
        <is>
          <t>A 32275-2024</t>
        </is>
      </c>
      <c r="B4372" s="1" t="n">
        <v>45512</v>
      </c>
      <c r="C4372" s="1" t="n">
        <v>45724</v>
      </c>
      <c r="D4372" t="inlineStr">
        <is>
          <t>VÄSTMANLANDS LÄN</t>
        </is>
      </c>
      <c r="E4372" t="inlineStr">
        <is>
          <t>ARBOGA</t>
        </is>
      </c>
      <c r="G4372" t="n">
        <v>2</v>
      </c>
      <c r="H4372" t="n">
        <v>0</v>
      </c>
      <c r="I4372" t="n">
        <v>0</v>
      </c>
      <c r="J4372" t="n">
        <v>0</v>
      </c>
      <c r="K4372" t="n">
        <v>0</v>
      </c>
      <c r="L4372" t="n">
        <v>0</v>
      </c>
      <c r="M4372" t="n">
        <v>0</v>
      </c>
      <c r="N4372" t="n">
        <v>0</v>
      </c>
      <c r="O4372" t="n">
        <v>0</v>
      </c>
      <c r="P4372" t="n">
        <v>0</v>
      </c>
      <c r="Q4372" t="n">
        <v>0</v>
      </c>
      <c r="R4372" s="2" t="inlineStr"/>
    </row>
    <row r="4373" ht="15" customHeight="1">
      <c r="A4373" t="inlineStr">
        <is>
          <t>A 32484-2024</t>
        </is>
      </c>
      <c r="B4373" s="1" t="n">
        <v>45513</v>
      </c>
      <c r="C4373" s="1" t="n">
        <v>45724</v>
      </c>
      <c r="D4373" t="inlineStr">
        <is>
          <t>VÄSTMANLANDS LÄN</t>
        </is>
      </c>
      <c r="E4373" t="inlineStr">
        <is>
          <t>SALA</t>
        </is>
      </c>
      <c r="G4373" t="n">
        <v>1</v>
      </c>
      <c r="H4373" t="n">
        <v>0</v>
      </c>
      <c r="I4373" t="n">
        <v>0</v>
      </c>
      <c r="J4373" t="n">
        <v>0</v>
      </c>
      <c r="K4373" t="n">
        <v>0</v>
      </c>
      <c r="L4373" t="n">
        <v>0</v>
      </c>
      <c r="M4373" t="n">
        <v>0</v>
      </c>
      <c r="N4373" t="n">
        <v>0</v>
      </c>
      <c r="O4373" t="n">
        <v>0</v>
      </c>
      <c r="P4373" t="n">
        <v>0</v>
      </c>
      <c r="Q4373" t="n">
        <v>0</v>
      </c>
      <c r="R4373" s="2" t="inlineStr"/>
    </row>
    <row r="4374" ht="15" customHeight="1">
      <c r="A4374" t="inlineStr">
        <is>
          <t>A 32866-2024</t>
        </is>
      </c>
      <c r="B4374" s="1" t="n">
        <v>45516</v>
      </c>
      <c r="C4374" s="1" t="n">
        <v>45724</v>
      </c>
      <c r="D4374" t="inlineStr">
        <is>
          <t>VÄSTMANLANDS LÄN</t>
        </is>
      </c>
      <c r="E4374" t="inlineStr">
        <is>
          <t>VÄSTERÅS</t>
        </is>
      </c>
      <c r="G4374" t="n">
        <v>1</v>
      </c>
      <c r="H4374" t="n">
        <v>0</v>
      </c>
      <c r="I4374" t="n">
        <v>0</v>
      </c>
      <c r="J4374" t="n">
        <v>0</v>
      </c>
      <c r="K4374" t="n">
        <v>0</v>
      </c>
      <c r="L4374" t="n">
        <v>0</v>
      </c>
      <c r="M4374" t="n">
        <v>0</v>
      </c>
      <c r="N4374" t="n">
        <v>0</v>
      </c>
      <c r="O4374" t="n">
        <v>0</v>
      </c>
      <c r="P4374" t="n">
        <v>0</v>
      </c>
      <c r="Q4374" t="n">
        <v>0</v>
      </c>
      <c r="R4374" s="2" t="inlineStr"/>
    </row>
    <row r="4375" ht="15" customHeight="1">
      <c r="A4375" t="inlineStr">
        <is>
          <t>A 32861-2024</t>
        </is>
      </c>
      <c r="B4375" s="1" t="n">
        <v>45516</v>
      </c>
      <c r="C4375" s="1" t="n">
        <v>45724</v>
      </c>
      <c r="D4375" t="inlineStr">
        <is>
          <t>VÄSTMANLANDS LÄN</t>
        </is>
      </c>
      <c r="E4375" t="inlineStr">
        <is>
          <t>VÄSTERÅS</t>
        </is>
      </c>
      <c r="G4375" t="n">
        <v>7.1</v>
      </c>
      <c r="H4375" t="n">
        <v>0</v>
      </c>
      <c r="I4375" t="n">
        <v>0</v>
      </c>
      <c r="J4375" t="n">
        <v>0</v>
      </c>
      <c r="K4375" t="n">
        <v>0</v>
      </c>
      <c r="L4375" t="n">
        <v>0</v>
      </c>
      <c r="M4375" t="n">
        <v>0</v>
      </c>
      <c r="N4375" t="n">
        <v>0</v>
      </c>
      <c r="O4375" t="n">
        <v>0</v>
      </c>
      <c r="P4375" t="n">
        <v>0</v>
      </c>
      <c r="Q4375" t="n">
        <v>0</v>
      </c>
      <c r="R4375" s="2" t="inlineStr"/>
    </row>
    <row r="4376" ht="15" customHeight="1">
      <c r="A4376" t="inlineStr">
        <is>
          <t>A 32857-2024</t>
        </is>
      </c>
      <c r="B4376" s="1" t="n">
        <v>45516</v>
      </c>
      <c r="C4376" s="1" t="n">
        <v>45724</v>
      </c>
      <c r="D4376" t="inlineStr">
        <is>
          <t>VÄSTMANLANDS LÄN</t>
        </is>
      </c>
      <c r="E4376" t="inlineStr">
        <is>
          <t>SKINNSKATTEBERG</t>
        </is>
      </c>
      <c r="F4376" t="inlineStr">
        <is>
          <t>Sveaskog</t>
        </is>
      </c>
      <c r="G4376" t="n">
        <v>4.8</v>
      </c>
      <c r="H4376" t="n">
        <v>0</v>
      </c>
      <c r="I4376" t="n">
        <v>0</v>
      </c>
      <c r="J4376" t="n">
        <v>0</v>
      </c>
      <c r="K4376" t="n">
        <v>0</v>
      </c>
      <c r="L4376" t="n">
        <v>0</v>
      </c>
      <c r="M4376" t="n">
        <v>0</v>
      </c>
      <c r="N4376" t="n">
        <v>0</v>
      </c>
      <c r="O4376" t="n">
        <v>0</v>
      </c>
      <c r="P4376" t="n">
        <v>0</v>
      </c>
      <c r="Q4376" t="n">
        <v>0</v>
      </c>
      <c r="R4376" s="2" t="inlineStr"/>
    </row>
    <row r="4377" ht="15" customHeight="1">
      <c r="A4377" t="inlineStr">
        <is>
          <t>A 32868-2024</t>
        </is>
      </c>
      <c r="B4377" s="1" t="n">
        <v>45516</v>
      </c>
      <c r="C4377" s="1" t="n">
        <v>45724</v>
      </c>
      <c r="D4377" t="inlineStr">
        <is>
          <t>VÄSTMANLANDS LÄN</t>
        </is>
      </c>
      <c r="E4377" t="inlineStr">
        <is>
          <t>VÄSTERÅS</t>
        </is>
      </c>
      <c r="G4377" t="n">
        <v>1</v>
      </c>
      <c r="H4377" t="n">
        <v>0</v>
      </c>
      <c r="I4377" t="n">
        <v>0</v>
      </c>
      <c r="J4377" t="n">
        <v>0</v>
      </c>
      <c r="K4377" t="n">
        <v>0</v>
      </c>
      <c r="L4377" t="n">
        <v>0</v>
      </c>
      <c r="M4377" t="n">
        <v>0</v>
      </c>
      <c r="N4377" t="n">
        <v>0</v>
      </c>
      <c r="O4377" t="n">
        <v>0</v>
      </c>
      <c r="P4377" t="n">
        <v>0</v>
      </c>
      <c r="Q4377" t="n">
        <v>0</v>
      </c>
      <c r="R4377" s="2" t="inlineStr"/>
    </row>
    <row r="4378" ht="15" customHeight="1">
      <c r="A4378" t="inlineStr">
        <is>
          <t>A 32864-2024</t>
        </is>
      </c>
      <c r="B4378" s="1" t="n">
        <v>45516</v>
      </c>
      <c r="C4378" s="1" t="n">
        <v>45724</v>
      </c>
      <c r="D4378" t="inlineStr">
        <is>
          <t>VÄSTMANLANDS LÄN</t>
        </is>
      </c>
      <c r="E4378" t="inlineStr">
        <is>
          <t>SKINNSKATTEBERG</t>
        </is>
      </c>
      <c r="F4378" t="inlineStr">
        <is>
          <t>Sveaskog</t>
        </is>
      </c>
      <c r="G4378" t="n">
        <v>0.9</v>
      </c>
      <c r="H4378" t="n">
        <v>0</v>
      </c>
      <c r="I4378" t="n">
        <v>0</v>
      </c>
      <c r="J4378" t="n">
        <v>0</v>
      </c>
      <c r="K4378" t="n">
        <v>0</v>
      </c>
      <c r="L4378" t="n">
        <v>0</v>
      </c>
      <c r="M4378" t="n">
        <v>0</v>
      </c>
      <c r="N4378" t="n">
        <v>0</v>
      </c>
      <c r="O4378" t="n">
        <v>0</v>
      </c>
      <c r="P4378" t="n">
        <v>0</v>
      </c>
      <c r="Q4378" t="n">
        <v>0</v>
      </c>
      <c r="R4378" s="2" t="inlineStr"/>
    </row>
    <row r="4379" ht="15" customHeight="1">
      <c r="A4379" t="inlineStr">
        <is>
          <t>A 32860-2024</t>
        </is>
      </c>
      <c r="B4379" s="1" t="n">
        <v>45516</v>
      </c>
      <c r="C4379" s="1" t="n">
        <v>45724</v>
      </c>
      <c r="D4379" t="inlineStr">
        <is>
          <t>VÄSTMANLANDS LÄN</t>
        </is>
      </c>
      <c r="E4379" t="inlineStr">
        <is>
          <t>SKINNSKATTEBERG</t>
        </is>
      </c>
      <c r="F4379" t="inlineStr">
        <is>
          <t>Sveaskog</t>
        </is>
      </c>
      <c r="G4379" t="n">
        <v>7.4</v>
      </c>
      <c r="H4379" t="n">
        <v>0</v>
      </c>
      <c r="I4379" t="n">
        <v>0</v>
      </c>
      <c r="J4379" t="n">
        <v>0</v>
      </c>
      <c r="K4379" t="n">
        <v>0</v>
      </c>
      <c r="L4379" t="n">
        <v>0</v>
      </c>
      <c r="M4379" t="n">
        <v>0</v>
      </c>
      <c r="N4379" t="n">
        <v>0</v>
      </c>
      <c r="O4379" t="n">
        <v>0</v>
      </c>
      <c r="P4379" t="n">
        <v>0</v>
      </c>
      <c r="Q4379" t="n">
        <v>0</v>
      </c>
      <c r="R4379" s="2" t="inlineStr"/>
    </row>
    <row r="4380" ht="15" customHeight="1">
      <c r="A4380" t="inlineStr">
        <is>
          <t>A 32863-2024</t>
        </is>
      </c>
      <c r="B4380" s="1" t="n">
        <v>45516</v>
      </c>
      <c r="C4380" s="1" t="n">
        <v>45724</v>
      </c>
      <c r="D4380" t="inlineStr">
        <is>
          <t>VÄSTMANLANDS LÄN</t>
        </is>
      </c>
      <c r="E4380" t="inlineStr">
        <is>
          <t>SKINNSKATTEBERG</t>
        </is>
      </c>
      <c r="F4380" t="inlineStr">
        <is>
          <t>Sveaskog</t>
        </is>
      </c>
      <c r="G4380" t="n">
        <v>1.1</v>
      </c>
      <c r="H4380" t="n">
        <v>0</v>
      </c>
      <c r="I4380" t="n">
        <v>0</v>
      </c>
      <c r="J4380" t="n">
        <v>0</v>
      </c>
      <c r="K4380" t="n">
        <v>0</v>
      </c>
      <c r="L4380" t="n">
        <v>0</v>
      </c>
      <c r="M4380" t="n">
        <v>0</v>
      </c>
      <c r="N4380" t="n">
        <v>0</v>
      </c>
      <c r="O4380" t="n">
        <v>0</v>
      </c>
      <c r="P4380" t="n">
        <v>0</v>
      </c>
      <c r="Q4380" t="n">
        <v>0</v>
      </c>
      <c r="R4380" s="2" t="inlineStr"/>
    </row>
    <row r="4381" ht="15" customHeight="1">
      <c r="A4381" t="inlineStr">
        <is>
          <t>A 32851-2024</t>
        </is>
      </c>
      <c r="B4381" s="1" t="n">
        <v>45516</v>
      </c>
      <c r="C4381" s="1" t="n">
        <v>45724</v>
      </c>
      <c r="D4381" t="inlineStr">
        <is>
          <t>VÄSTMANLANDS LÄN</t>
        </is>
      </c>
      <c r="E4381" t="inlineStr">
        <is>
          <t>VÄSTERÅS</t>
        </is>
      </c>
      <c r="G4381" t="n">
        <v>2.5</v>
      </c>
      <c r="H4381" t="n">
        <v>0</v>
      </c>
      <c r="I4381" t="n">
        <v>0</v>
      </c>
      <c r="J4381" t="n">
        <v>0</v>
      </c>
      <c r="K4381" t="n">
        <v>0</v>
      </c>
      <c r="L4381" t="n">
        <v>0</v>
      </c>
      <c r="M4381" t="n">
        <v>0</v>
      </c>
      <c r="N4381" t="n">
        <v>0</v>
      </c>
      <c r="O4381" t="n">
        <v>0</v>
      </c>
      <c r="P4381" t="n">
        <v>0</v>
      </c>
      <c r="Q4381" t="n">
        <v>0</v>
      </c>
      <c r="R4381" s="2" t="inlineStr"/>
    </row>
    <row r="4382" ht="15" customHeight="1">
      <c r="A4382" t="inlineStr">
        <is>
          <t>A 32808-2024</t>
        </is>
      </c>
      <c r="B4382" s="1" t="n">
        <v>45516</v>
      </c>
      <c r="C4382" s="1" t="n">
        <v>45724</v>
      </c>
      <c r="D4382" t="inlineStr">
        <is>
          <t>VÄSTMANLANDS LÄN</t>
        </is>
      </c>
      <c r="E4382" t="inlineStr">
        <is>
          <t>SURAHAMMAR</t>
        </is>
      </c>
      <c r="F4382" t="inlineStr">
        <is>
          <t>Övriga Aktiebolag</t>
        </is>
      </c>
      <c r="G4382" t="n">
        <v>1.9</v>
      </c>
      <c r="H4382" t="n">
        <v>0</v>
      </c>
      <c r="I4382" t="n">
        <v>0</v>
      </c>
      <c r="J4382" t="n">
        <v>0</v>
      </c>
      <c r="K4382" t="n">
        <v>0</v>
      </c>
      <c r="L4382" t="n">
        <v>0</v>
      </c>
      <c r="M4382" t="n">
        <v>0</v>
      </c>
      <c r="N4382" t="n">
        <v>0</v>
      </c>
      <c r="O4382" t="n">
        <v>0</v>
      </c>
      <c r="P4382" t="n">
        <v>0</v>
      </c>
      <c r="Q4382" t="n">
        <v>0</v>
      </c>
      <c r="R4382" s="2" t="inlineStr"/>
    </row>
    <row r="4383" ht="15" customHeight="1">
      <c r="A4383" t="inlineStr">
        <is>
          <t>A 33231-2024</t>
        </is>
      </c>
      <c r="B4383" s="1" t="n">
        <v>45518</v>
      </c>
      <c r="C4383" s="1" t="n">
        <v>45724</v>
      </c>
      <c r="D4383" t="inlineStr">
        <is>
          <t>VÄSTMANLANDS LÄN</t>
        </is>
      </c>
      <c r="E4383" t="inlineStr">
        <is>
          <t>SURAHAMMAR</t>
        </is>
      </c>
      <c r="F4383" t="inlineStr">
        <is>
          <t>Bergvik skog väst AB</t>
        </is>
      </c>
      <c r="G4383" t="n">
        <v>1.5</v>
      </c>
      <c r="H4383" t="n">
        <v>0</v>
      </c>
      <c r="I4383" t="n">
        <v>0</v>
      </c>
      <c r="J4383" t="n">
        <v>0</v>
      </c>
      <c r="K4383" t="n">
        <v>0</v>
      </c>
      <c r="L4383" t="n">
        <v>0</v>
      </c>
      <c r="M4383" t="n">
        <v>0</v>
      </c>
      <c r="N4383" t="n">
        <v>0</v>
      </c>
      <c r="O4383" t="n">
        <v>0</v>
      </c>
      <c r="P4383" t="n">
        <v>0</v>
      </c>
      <c r="Q4383" t="n">
        <v>0</v>
      </c>
      <c r="R4383" s="2" t="inlineStr"/>
    </row>
    <row r="4384" ht="15" customHeight="1">
      <c r="A4384" t="inlineStr">
        <is>
          <t>A 33160-2024</t>
        </is>
      </c>
      <c r="B4384" s="1" t="n">
        <v>45518</v>
      </c>
      <c r="C4384" s="1" t="n">
        <v>45724</v>
      </c>
      <c r="D4384" t="inlineStr">
        <is>
          <t>VÄSTMANLANDS LÄN</t>
        </is>
      </c>
      <c r="E4384" t="inlineStr">
        <is>
          <t>SURAHAMMAR</t>
        </is>
      </c>
      <c r="G4384" t="n">
        <v>1</v>
      </c>
      <c r="H4384" t="n">
        <v>0</v>
      </c>
      <c r="I4384" t="n">
        <v>0</v>
      </c>
      <c r="J4384" t="n">
        <v>0</v>
      </c>
      <c r="K4384" t="n">
        <v>0</v>
      </c>
      <c r="L4384" t="n">
        <v>0</v>
      </c>
      <c r="M4384" t="n">
        <v>0</v>
      </c>
      <c r="N4384" t="n">
        <v>0</v>
      </c>
      <c r="O4384" t="n">
        <v>0</v>
      </c>
      <c r="P4384" t="n">
        <v>0</v>
      </c>
      <c r="Q4384" t="n">
        <v>0</v>
      </c>
      <c r="R4384" s="2" t="inlineStr"/>
    </row>
    <row r="4385" ht="15" customHeight="1">
      <c r="A4385" t="inlineStr">
        <is>
          <t>A 33346-2024</t>
        </is>
      </c>
      <c r="B4385" s="1" t="n">
        <v>45519</v>
      </c>
      <c r="C4385" s="1" t="n">
        <v>45724</v>
      </c>
      <c r="D4385" t="inlineStr">
        <is>
          <t>VÄSTMANLANDS LÄN</t>
        </is>
      </c>
      <c r="E4385" t="inlineStr">
        <is>
          <t>VÄSTERÅS</t>
        </is>
      </c>
      <c r="G4385" t="n">
        <v>4.1</v>
      </c>
      <c r="H4385" t="n">
        <v>0</v>
      </c>
      <c r="I4385" t="n">
        <v>0</v>
      </c>
      <c r="J4385" t="n">
        <v>0</v>
      </c>
      <c r="K4385" t="n">
        <v>0</v>
      </c>
      <c r="L4385" t="n">
        <v>0</v>
      </c>
      <c r="M4385" t="n">
        <v>0</v>
      </c>
      <c r="N4385" t="n">
        <v>0</v>
      </c>
      <c r="O4385" t="n">
        <v>0</v>
      </c>
      <c r="P4385" t="n">
        <v>0</v>
      </c>
      <c r="Q4385" t="n">
        <v>0</v>
      </c>
      <c r="R4385" s="2" t="inlineStr"/>
    </row>
    <row r="4386" ht="15" customHeight="1">
      <c r="A4386" t="inlineStr">
        <is>
          <t>A 33430-2024</t>
        </is>
      </c>
      <c r="B4386" s="1" t="n">
        <v>45519</v>
      </c>
      <c r="C4386" s="1" t="n">
        <v>45724</v>
      </c>
      <c r="D4386" t="inlineStr">
        <is>
          <t>VÄSTMANLANDS LÄN</t>
        </is>
      </c>
      <c r="E4386" t="inlineStr">
        <is>
          <t>SKINNSKATTEBERG</t>
        </is>
      </c>
      <c r="F4386" t="inlineStr">
        <is>
          <t>Sveaskog</t>
        </is>
      </c>
      <c r="G4386" t="n">
        <v>1.7</v>
      </c>
      <c r="H4386" t="n">
        <v>0</v>
      </c>
      <c r="I4386" t="n">
        <v>0</v>
      </c>
      <c r="J4386" t="n">
        <v>0</v>
      </c>
      <c r="K4386" t="n">
        <v>0</v>
      </c>
      <c r="L4386" t="n">
        <v>0</v>
      </c>
      <c r="M4386" t="n">
        <v>0</v>
      </c>
      <c r="N4386" t="n">
        <v>0</v>
      </c>
      <c r="O4386" t="n">
        <v>0</v>
      </c>
      <c r="P4386" t="n">
        <v>0</v>
      </c>
      <c r="Q4386" t="n">
        <v>0</v>
      </c>
      <c r="R4386" s="2" t="inlineStr"/>
    </row>
    <row r="4387" ht="15" customHeight="1">
      <c r="A4387" t="inlineStr">
        <is>
          <t>A 33434-2024</t>
        </is>
      </c>
      <c r="B4387" s="1" t="n">
        <v>45519</v>
      </c>
      <c r="C4387" s="1" t="n">
        <v>45724</v>
      </c>
      <c r="D4387" t="inlineStr">
        <is>
          <t>VÄSTMANLANDS LÄN</t>
        </is>
      </c>
      <c r="E4387" t="inlineStr">
        <is>
          <t>SKINNSKATTEBERG</t>
        </is>
      </c>
      <c r="F4387" t="inlineStr">
        <is>
          <t>Sveaskog</t>
        </is>
      </c>
      <c r="G4387" t="n">
        <v>1.5</v>
      </c>
      <c r="H4387" t="n">
        <v>0</v>
      </c>
      <c r="I4387" t="n">
        <v>0</v>
      </c>
      <c r="J4387" t="n">
        <v>0</v>
      </c>
      <c r="K4387" t="n">
        <v>0</v>
      </c>
      <c r="L4387" t="n">
        <v>0</v>
      </c>
      <c r="M4387" t="n">
        <v>0</v>
      </c>
      <c r="N4387" t="n">
        <v>0</v>
      </c>
      <c r="O4387" t="n">
        <v>0</v>
      </c>
      <c r="P4387" t="n">
        <v>0</v>
      </c>
      <c r="Q4387" t="n">
        <v>0</v>
      </c>
      <c r="R4387" s="2" t="inlineStr"/>
    </row>
    <row r="4388" ht="15" customHeight="1">
      <c r="A4388" t="inlineStr">
        <is>
          <t>A 33431-2024</t>
        </is>
      </c>
      <c r="B4388" s="1" t="n">
        <v>45519</v>
      </c>
      <c r="C4388" s="1" t="n">
        <v>45724</v>
      </c>
      <c r="D4388" t="inlineStr">
        <is>
          <t>VÄSTMANLANDS LÄN</t>
        </is>
      </c>
      <c r="E4388" t="inlineStr">
        <is>
          <t>SKINNSKATTEBERG</t>
        </is>
      </c>
      <c r="F4388" t="inlineStr">
        <is>
          <t>Sveaskog</t>
        </is>
      </c>
      <c r="G4388" t="n">
        <v>1.7</v>
      </c>
      <c r="H4388" t="n">
        <v>0</v>
      </c>
      <c r="I4388" t="n">
        <v>0</v>
      </c>
      <c r="J4388" t="n">
        <v>0</v>
      </c>
      <c r="K4388" t="n">
        <v>0</v>
      </c>
      <c r="L4388" t="n">
        <v>0</v>
      </c>
      <c r="M4388" t="n">
        <v>0</v>
      </c>
      <c r="N4388" t="n">
        <v>0</v>
      </c>
      <c r="O4388" t="n">
        <v>0</v>
      </c>
      <c r="P4388" t="n">
        <v>0</v>
      </c>
      <c r="Q4388" t="n">
        <v>0</v>
      </c>
      <c r="R4388" s="2" t="inlineStr"/>
    </row>
    <row r="4389" ht="15" customHeight="1">
      <c r="A4389" t="inlineStr">
        <is>
          <t>A 33435-2024</t>
        </is>
      </c>
      <c r="B4389" s="1" t="n">
        <v>45519</v>
      </c>
      <c r="C4389" s="1" t="n">
        <v>45724</v>
      </c>
      <c r="D4389" t="inlineStr">
        <is>
          <t>VÄSTMANLANDS LÄN</t>
        </is>
      </c>
      <c r="E4389" t="inlineStr">
        <is>
          <t>SKINNSKATTEBERG</t>
        </is>
      </c>
      <c r="F4389" t="inlineStr">
        <is>
          <t>Sveaskog</t>
        </is>
      </c>
      <c r="G4389" t="n">
        <v>3.2</v>
      </c>
      <c r="H4389" t="n">
        <v>0</v>
      </c>
      <c r="I4389" t="n">
        <v>0</v>
      </c>
      <c r="J4389" t="n">
        <v>0</v>
      </c>
      <c r="K4389" t="n">
        <v>0</v>
      </c>
      <c r="L4389" t="n">
        <v>0</v>
      </c>
      <c r="M4389" t="n">
        <v>0</v>
      </c>
      <c r="N4389" t="n">
        <v>0</v>
      </c>
      <c r="O4389" t="n">
        <v>0</v>
      </c>
      <c r="P4389" t="n">
        <v>0</v>
      </c>
      <c r="Q4389" t="n">
        <v>0</v>
      </c>
      <c r="R4389" s="2" t="inlineStr"/>
    </row>
    <row r="4390" ht="15" customHeight="1">
      <c r="A4390" t="inlineStr">
        <is>
          <t>A 33432-2024</t>
        </is>
      </c>
      <c r="B4390" s="1" t="n">
        <v>45519</v>
      </c>
      <c r="C4390" s="1" t="n">
        <v>45724</v>
      </c>
      <c r="D4390" t="inlineStr">
        <is>
          <t>VÄSTMANLANDS LÄN</t>
        </is>
      </c>
      <c r="E4390" t="inlineStr">
        <is>
          <t>SKINNSKATTEBERG</t>
        </is>
      </c>
      <c r="F4390" t="inlineStr">
        <is>
          <t>Sveaskog</t>
        </is>
      </c>
      <c r="G4390" t="n">
        <v>7.2</v>
      </c>
      <c r="H4390" t="n">
        <v>0</v>
      </c>
      <c r="I4390" t="n">
        <v>0</v>
      </c>
      <c r="J4390" t="n">
        <v>0</v>
      </c>
      <c r="K4390" t="n">
        <v>0</v>
      </c>
      <c r="L4390" t="n">
        <v>0</v>
      </c>
      <c r="M4390" t="n">
        <v>0</v>
      </c>
      <c r="N4390" t="n">
        <v>0</v>
      </c>
      <c r="O4390" t="n">
        <v>0</v>
      </c>
      <c r="P4390" t="n">
        <v>0</v>
      </c>
      <c r="Q4390" t="n">
        <v>0</v>
      </c>
      <c r="R4390" s="2" t="inlineStr"/>
    </row>
    <row r="4391" ht="15" customHeight="1">
      <c r="A4391" t="inlineStr">
        <is>
          <t>A 33436-2024</t>
        </is>
      </c>
      <c r="B4391" s="1" t="n">
        <v>45519</v>
      </c>
      <c r="C4391" s="1" t="n">
        <v>45724</v>
      </c>
      <c r="D4391" t="inlineStr">
        <is>
          <t>VÄSTMANLANDS LÄN</t>
        </is>
      </c>
      <c r="E4391" t="inlineStr">
        <is>
          <t>SKINNSKATTEBERG</t>
        </is>
      </c>
      <c r="F4391" t="inlineStr">
        <is>
          <t>Sveaskog</t>
        </is>
      </c>
      <c r="G4391" t="n">
        <v>1.5</v>
      </c>
      <c r="H4391" t="n">
        <v>0</v>
      </c>
      <c r="I4391" t="n">
        <v>0</v>
      </c>
      <c r="J4391" t="n">
        <v>0</v>
      </c>
      <c r="K4391" t="n">
        <v>0</v>
      </c>
      <c r="L4391" t="n">
        <v>0</v>
      </c>
      <c r="M4391" t="n">
        <v>0</v>
      </c>
      <c r="N4391" t="n">
        <v>0</v>
      </c>
      <c r="O4391" t="n">
        <v>0</v>
      </c>
      <c r="P4391" t="n">
        <v>0</v>
      </c>
      <c r="Q4391" t="n">
        <v>0</v>
      </c>
      <c r="R4391" s="2" t="inlineStr"/>
    </row>
    <row r="4392" ht="15" customHeight="1">
      <c r="A4392" t="inlineStr">
        <is>
          <t>A 33571-2024</t>
        </is>
      </c>
      <c r="B4392" s="1" t="n">
        <v>45520</v>
      </c>
      <c r="C4392" s="1" t="n">
        <v>45724</v>
      </c>
      <c r="D4392" t="inlineStr">
        <is>
          <t>VÄSTMANLANDS LÄN</t>
        </is>
      </c>
      <c r="E4392" t="inlineStr">
        <is>
          <t>SKINNSKATTEBERG</t>
        </is>
      </c>
      <c r="F4392" t="inlineStr">
        <is>
          <t>Sveaskog</t>
        </is>
      </c>
      <c r="G4392" t="n">
        <v>3</v>
      </c>
      <c r="H4392" t="n">
        <v>0</v>
      </c>
      <c r="I4392" t="n">
        <v>0</v>
      </c>
      <c r="J4392" t="n">
        <v>0</v>
      </c>
      <c r="K4392" t="n">
        <v>0</v>
      </c>
      <c r="L4392" t="n">
        <v>0</v>
      </c>
      <c r="M4392" t="n">
        <v>0</v>
      </c>
      <c r="N4392" t="n">
        <v>0</v>
      </c>
      <c r="O4392" t="n">
        <v>0</v>
      </c>
      <c r="P4392" t="n">
        <v>0</v>
      </c>
      <c r="Q4392" t="n">
        <v>0</v>
      </c>
      <c r="R4392" s="2" t="inlineStr"/>
    </row>
    <row r="4393" ht="15" customHeight="1">
      <c r="A4393" t="inlineStr">
        <is>
          <t>A 33789-2024</t>
        </is>
      </c>
      <c r="B4393" s="1" t="n">
        <v>45520</v>
      </c>
      <c r="C4393" s="1" t="n">
        <v>45724</v>
      </c>
      <c r="D4393" t="inlineStr">
        <is>
          <t>VÄSTMANLANDS LÄN</t>
        </is>
      </c>
      <c r="E4393" t="inlineStr">
        <is>
          <t>SKINNSKATTEBERG</t>
        </is>
      </c>
      <c r="G4393" t="n">
        <v>9.1</v>
      </c>
      <c r="H4393" t="n">
        <v>0</v>
      </c>
      <c r="I4393" t="n">
        <v>0</v>
      </c>
      <c r="J4393" t="n">
        <v>0</v>
      </c>
      <c r="K4393" t="n">
        <v>0</v>
      </c>
      <c r="L4393" t="n">
        <v>0</v>
      </c>
      <c r="M4393" t="n">
        <v>0</v>
      </c>
      <c r="N4393" t="n">
        <v>0</v>
      </c>
      <c r="O4393" t="n">
        <v>0</v>
      </c>
      <c r="P4393" t="n">
        <v>0</v>
      </c>
      <c r="Q4393" t="n">
        <v>0</v>
      </c>
      <c r="R4393" s="2" t="inlineStr"/>
    </row>
    <row r="4394" ht="15" customHeight="1">
      <c r="A4394" t="inlineStr">
        <is>
          <t>A 33794-2024</t>
        </is>
      </c>
      <c r="B4394" s="1" t="n">
        <v>45520</v>
      </c>
      <c r="C4394" s="1" t="n">
        <v>45724</v>
      </c>
      <c r="D4394" t="inlineStr">
        <is>
          <t>VÄSTMANLANDS LÄN</t>
        </is>
      </c>
      <c r="E4394" t="inlineStr">
        <is>
          <t>SKINNSKATTEBERG</t>
        </is>
      </c>
      <c r="G4394" t="n">
        <v>1.4</v>
      </c>
      <c r="H4394" t="n">
        <v>0</v>
      </c>
      <c r="I4394" t="n">
        <v>0</v>
      </c>
      <c r="J4394" t="n">
        <v>0</v>
      </c>
      <c r="K4394" t="n">
        <v>0</v>
      </c>
      <c r="L4394" t="n">
        <v>0</v>
      </c>
      <c r="M4394" t="n">
        <v>0</v>
      </c>
      <c r="N4394" t="n">
        <v>0</v>
      </c>
      <c r="O4394" t="n">
        <v>0</v>
      </c>
      <c r="P4394" t="n">
        <v>0</v>
      </c>
      <c r="Q4394" t="n">
        <v>0</v>
      </c>
      <c r="R4394" s="2" t="inlineStr"/>
    </row>
    <row r="4395" ht="15" customHeight="1">
      <c r="A4395" t="inlineStr">
        <is>
          <t>A 33932-2024</t>
        </is>
      </c>
      <c r="B4395" s="1" t="n">
        <v>45523</v>
      </c>
      <c r="C4395" s="1" t="n">
        <v>45724</v>
      </c>
      <c r="D4395" t="inlineStr">
        <is>
          <t>VÄSTMANLANDS LÄN</t>
        </is>
      </c>
      <c r="E4395" t="inlineStr">
        <is>
          <t>KÖPING</t>
        </is>
      </c>
      <c r="G4395" t="n">
        <v>1</v>
      </c>
      <c r="H4395" t="n">
        <v>0</v>
      </c>
      <c r="I4395" t="n">
        <v>0</v>
      </c>
      <c r="J4395" t="n">
        <v>0</v>
      </c>
      <c r="K4395" t="n">
        <v>0</v>
      </c>
      <c r="L4395" t="n">
        <v>0</v>
      </c>
      <c r="M4395" t="n">
        <v>0</v>
      </c>
      <c r="N4395" t="n">
        <v>0</v>
      </c>
      <c r="O4395" t="n">
        <v>0</v>
      </c>
      <c r="P4395" t="n">
        <v>0</v>
      </c>
      <c r="Q4395" t="n">
        <v>0</v>
      </c>
      <c r="R4395" s="2" t="inlineStr"/>
    </row>
    <row r="4396" ht="15" customHeight="1">
      <c r="A4396" t="inlineStr">
        <is>
          <t>A 33986-2024</t>
        </is>
      </c>
      <c r="B4396" s="1" t="n">
        <v>45523</v>
      </c>
      <c r="C4396" s="1" t="n">
        <v>45724</v>
      </c>
      <c r="D4396" t="inlineStr">
        <is>
          <t>VÄSTMANLANDS LÄN</t>
        </is>
      </c>
      <c r="E4396" t="inlineStr">
        <is>
          <t>KÖPING</t>
        </is>
      </c>
      <c r="G4396" t="n">
        <v>2.9</v>
      </c>
      <c r="H4396" t="n">
        <v>0</v>
      </c>
      <c r="I4396" t="n">
        <v>0</v>
      </c>
      <c r="J4396" t="n">
        <v>0</v>
      </c>
      <c r="K4396" t="n">
        <v>0</v>
      </c>
      <c r="L4396" t="n">
        <v>0</v>
      </c>
      <c r="M4396" t="n">
        <v>0</v>
      </c>
      <c r="N4396" t="n">
        <v>0</v>
      </c>
      <c r="O4396" t="n">
        <v>0</v>
      </c>
      <c r="P4396" t="n">
        <v>0</v>
      </c>
      <c r="Q4396" t="n">
        <v>0</v>
      </c>
      <c r="R4396" s="2" t="inlineStr"/>
    </row>
    <row r="4397" ht="15" customHeight="1">
      <c r="A4397" t="inlineStr">
        <is>
          <t>A 33989-2024</t>
        </is>
      </c>
      <c r="B4397" s="1" t="n">
        <v>45523</v>
      </c>
      <c r="C4397" s="1" t="n">
        <v>45724</v>
      </c>
      <c r="D4397" t="inlineStr">
        <is>
          <t>VÄSTMANLANDS LÄN</t>
        </is>
      </c>
      <c r="E4397" t="inlineStr">
        <is>
          <t>KÖPING</t>
        </is>
      </c>
      <c r="G4397" t="n">
        <v>2.1</v>
      </c>
      <c r="H4397" t="n">
        <v>0</v>
      </c>
      <c r="I4397" t="n">
        <v>0</v>
      </c>
      <c r="J4397" t="n">
        <v>0</v>
      </c>
      <c r="K4397" t="n">
        <v>0</v>
      </c>
      <c r="L4397" t="n">
        <v>0</v>
      </c>
      <c r="M4397" t="n">
        <v>0</v>
      </c>
      <c r="N4397" t="n">
        <v>0</v>
      </c>
      <c r="O4397" t="n">
        <v>0</v>
      </c>
      <c r="P4397" t="n">
        <v>0</v>
      </c>
      <c r="Q4397" t="n">
        <v>0</v>
      </c>
      <c r="R4397" s="2" t="inlineStr"/>
    </row>
    <row r="4398" ht="15" customHeight="1">
      <c r="A4398" t="inlineStr">
        <is>
          <t>A 34090-2024</t>
        </is>
      </c>
      <c r="B4398" s="1" t="n">
        <v>45523</v>
      </c>
      <c r="C4398" s="1" t="n">
        <v>45724</v>
      </c>
      <c r="D4398" t="inlineStr">
        <is>
          <t>VÄSTMANLANDS LÄN</t>
        </is>
      </c>
      <c r="E4398" t="inlineStr">
        <is>
          <t>KÖPING</t>
        </is>
      </c>
      <c r="F4398" t="inlineStr">
        <is>
          <t>Allmännings- och besparingsskogar</t>
        </is>
      </c>
      <c r="G4398" t="n">
        <v>12</v>
      </c>
      <c r="H4398" t="n">
        <v>0</v>
      </c>
      <c r="I4398" t="n">
        <v>0</v>
      </c>
      <c r="J4398" t="n">
        <v>0</v>
      </c>
      <c r="K4398" t="n">
        <v>0</v>
      </c>
      <c r="L4398" t="n">
        <v>0</v>
      </c>
      <c r="M4398" t="n">
        <v>0</v>
      </c>
      <c r="N4398" t="n">
        <v>0</v>
      </c>
      <c r="O4398" t="n">
        <v>0</v>
      </c>
      <c r="P4398" t="n">
        <v>0</v>
      </c>
      <c r="Q4398" t="n">
        <v>0</v>
      </c>
      <c r="R4398" s="2" t="inlineStr"/>
    </row>
    <row r="4399" ht="15" customHeight="1">
      <c r="A4399" t="inlineStr">
        <is>
          <t>A 34160-2024</t>
        </is>
      </c>
      <c r="B4399" s="1" t="n">
        <v>45524</v>
      </c>
      <c r="C4399" s="1" t="n">
        <v>45724</v>
      </c>
      <c r="D4399" t="inlineStr">
        <is>
          <t>VÄSTMANLANDS LÄN</t>
        </is>
      </c>
      <c r="E4399" t="inlineStr">
        <is>
          <t>FAGERSTA</t>
        </is>
      </c>
      <c r="G4399" t="n">
        <v>2</v>
      </c>
      <c r="H4399" t="n">
        <v>0</v>
      </c>
      <c r="I4399" t="n">
        <v>0</v>
      </c>
      <c r="J4399" t="n">
        <v>0</v>
      </c>
      <c r="K4399" t="n">
        <v>0</v>
      </c>
      <c r="L4399" t="n">
        <v>0</v>
      </c>
      <c r="M4399" t="n">
        <v>0</v>
      </c>
      <c r="N4399" t="n">
        <v>0</v>
      </c>
      <c r="O4399" t="n">
        <v>0</v>
      </c>
      <c r="P4399" t="n">
        <v>0</v>
      </c>
      <c r="Q4399" t="n">
        <v>0</v>
      </c>
      <c r="R4399" s="2" t="inlineStr"/>
    </row>
    <row r="4400" ht="15" customHeight="1">
      <c r="A4400" t="inlineStr">
        <is>
          <t>A 34328-2024</t>
        </is>
      </c>
      <c r="B4400" s="1" t="n">
        <v>45524</v>
      </c>
      <c r="C4400" s="1" t="n">
        <v>45724</v>
      </c>
      <c r="D4400" t="inlineStr">
        <is>
          <t>VÄSTMANLANDS LÄN</t>
        </is>
      </c>
      <c r="E4400" t="inlineStr">
        <is>
          <t>SKINNSKATTEBERG</t>
        </is>
      </c>
      <c r="G4400" t="n">
        <v>4.6</v>
      </c>
      <c r="H4400" t="n">
        <v>0</v>
      </c>
      <c r="I4400" t="n">
        <v>0</v>
      </c>
      <c r="J4400" t="n">
        <v>0</v>
      </c>
      <c r="K4400" t="n">
        <v>0</v>
      </c>
      <c r="L4400" t="n">
        <v>0</v>
      </c>
      <c r="M4400" t="n">
        <v>0</v>
      </c>
      <c r="N4400" t="n">
        <v>0</v>
      </c>
      <c r="O4400" t="n">
        <v>0</v>
      </c>
      <c r="P4400" t="n">
        <v>0</v>
      </c>
      <c r="Q4400" t="n">
        <v>0</v>
      </c>
      <c r="R4400" s="2" t="inlineStr"/>
    </row>
    <row r="4401" ht="15" customHeight="1">
      <c r="A4401" t="inlineStr">
        <is>
          <t>A 34329-2024</t>
        </is>
      </c>
      <c r="B4401" s="1" t="n">
        <v>45524</v>
      </c>
      <c r="C4401" s="1" t="n">
        <v>45724</v>
      </c>
      <c r="D4401" t="inlineStr">
        <is>
          <t>VÄSTMANLANDS LÄN</t>
        </is>
      </c>
      <c r="E4401" t="inlineStr">
        <is>
          <t>SKINNSKATTEBERG</t>
        </is>
      </c>
      <c r="G4401" t="n">
        <v>1.7</v>
      </c>
      <c r="H4401" t="n">
        <v>0</v>
      </c>
      <c r="I4401" t="n">
        <v>0</v>
      </c>
      <c r="J4401" t="n">
        <v>0</v>
      </c>
      <c r="K4401" t="n">
        <v>0</v>
      </c>
      <c r="L4401" t="n">
        <v>0</v>
      </c>
      <c r="M4401" t="n">
        <v>0</v>
      </c>
      <c r="N4401" t="n">
        <v>0</v>
      </c>
      <c r="O4401" t="n">
        <v>0</v>
      </c>
      <c r="P4401" t="n">
        <v>0</v>
      </c>
      <c r="Q4401" t="n">
        <v>0</v>
      </c>
      <c r="R4401" s="2" t="inlineStr"/>
    </row>
    <row r="4402" ht="15" customHeight="1">
      <c r="A4402" t="inlineStr">
        <is>
          <t>A 34330-2024</t>
        </is>
      </c>
      <c r="B4402" s="1" t="n">
        <v>45524</v>
      </c>
      <c r="C4402" s="1" t="n">
        <v>45724</v>
      </c>
      <c r="D4402" t="inlineStr">
        <is>
          <t>VÄSTMANLANDS LÄN</t>
        </is>
      </c>
      <c r="E4402" t="inlineStr">
        <is>
          <t>SKINNSKATTEBERG</t>
        </is>
      </c>
      <c r="G4402" t="n">
        <v>5.5</v>
      </c>
      <c r="H4402" t="n">
        <v>0</v>
      </c>
      <c r="I4402" t="n">
        <v>0</v>
      </c>
      <c r="J4402" t="n">
        <v>0</v>
      </c>
      <c r="K4402" t="n">
        <v>0</v>
      </c>
      <c r="L4402" t="n">
        <v>0</v>
      </c>
      <c r="M4402" t="n">
        <v>0</v>
      </c>
      <c r="N4402" t="n">
        <v>0</v>
      </c>
      <c r="O4402" t="n">
        <v>0</v>
      </c>
      <c r="P4402" t="n">
        <v>0</v>
      </c>
      <c r="Q4402" t="n">
        <v>0</v>
      </c>
      <c r="R4402" s="2" t="inlineStr"/>
    </row>
    <row r="4403" ht="15" customHeight="1">
      <c r="A4403" t="inlineStr">
        <is>
          <t>A 34419-2024</t>
        </is>
      </c>
      <c r="B4403" s="1" t="n">
        <v>45525</v>
      </c>
      <c r="C4403" s="1" t="n">
        <v>45724</v>
      </c>
      <c r="D4403" t="inlineStr">
        <is>
          <t>VÄSTMANLANDS LÄN</t>
        </is>
      </c>
      <c r="E4403" t="inlineStr">
        <is>
          <t>SALA</t>
        </is>
      </c>
      <c r="G4403" t="n">
        <v>2.5</v>
      </c>
      <c r="H4403" t="n">
        <v>0</v>
      </c>
      <c r="I4403" t="n">
        <v>0</v>
      </c>
      <c r="J4403" t="n">
        <v>0</v>
      </c>
      <c r="K4403" t="n">
        <v>0</v>
      </c>
      <c r="L4403" t="n">
        <v>0</v>
      </c>
      <c r="M4403" t="n">
        <v>0</v>
      </c>
      <c r="N4403" t="n">
        <v>0</v>
      </c>
      <c r="O4403" t="n">
        <v>0</v>
      </c>
      <c r="P4403" t="n">
        <v>0</v>
      </c>
      <c r="Q4403" t="n">
        <v>0</v>
      </c>
      <c r="R4403" s="2" t="inlineStr"/>
    </row>
    <row r="4404" ht="15" customHeight="1">
      <c r="A4404" t="inlineStr">
        <is>
          <t>A 34412-2024</t>
        </is>
      </c>
      <c r="B4404" s="1" t="n">
        <v>45525</v>
      </c>
      <c r="C4404" s="1" t="n">
        <v>45724</v>
      </c>
      <c r="D4404" t="inlineStr">
        <is>
          <t>VÄSTMANLANDS LÄN</t>
        </is>
      </c>
      <c r="E4404" t="inlineStr">
        <is>
          <t>SALA</t>
        </is>
      </c>
      <c r="G4404" t="n">
        <v>7.3</v>
      </c>
      <c r="H4404" t="n">
        <v>0</v>
      </c>
      <c r="I4404" t="n">
        <v>0</v>
      </c>
      <c r="J4404" t="n">
        <v>0</v>
      </c>
      <c r="K4404" t="n">
        <v>0</v>
      </c>
      <c r="L4404" t="n">
        <v>0</v>
      </c>
      <c r="M4404" t="n">
        <v>0</v>
      </c>
      <c r="N4404" t="n">
        <v>0</v>
      </c>
      <c r="O4404" t="n">
        <v>0</v>
      </c>
      <c r="P4404" t="n">
        <v>0</v>
      </c>
      <c r="Q4404" t="n">
        <v>0</v>
      </c>
      <c r="R4404" s="2" t="inlineStr"/>
    </row>
    <row r="4405" ht="15" customHeight="1">
      <c r="A4405" t="inlineStr">
        <is>
          <t>A 34416-2024</t>
        </is>
      </c>
      <c r="B4405" s="1" t="n">
        <v>45525</v>
      </c>
      <c r="C4405" s="1" t="n">
        <v>45724</v>
      </c>
      <c r="D4405" t="inlineStr">
        <is>
          <t>VÄSTMANLANDS LÄN</t>
        </is>
      </c>
      <c r="E4405" t="inlineStr">
        <is>
          <t>SALA</t>
        </is>
      </c>
      <c r="G4405" t="n">
        <v>1.9</v>
      </c>
      <c r="H4405" t="n">
        <v>0</v>
      </c>
      <c r="I4405" t="n">
        <v>0</v>
      </c>
      <c r="J4405" t="n">
        <v>0</v>
      </c>
      <c r="K4405" t="n">
        <v>0</v>
      </c>
      <c r="L4405" t="n">
        <v>0</v>
      </c>
      <c r="M4405" t="n">
        <v>0</v>
      </c>
      <c r="N4405" t="n">
        <v>0</v>
      </c>
      <c r="O4405" t="n">
        <v>0</v>
      </c>
      <c r="P4405" t="n">
        <v>0</v>
      </c>
      <c r="Q4405" t="n">
        <v>0</v>
      </c>
      <c r="R4405" s="2" t="inlineStr"/>
    </row>
    <row r="4406" ht="15" customHeight="1">
      <c r="A4406" t="inlineStr">
        <is>
          <t>A 34436-2024</t>
        </is>
      </c>
      <c r="B4406" s="1" t="n">
        <v>45525</v>
      </c>
      <c r="C4406" s="1" t="n">
        <v>45724</v>
      </c>
      <c r="D4406" t="inlineStr">
        <is>
          <t>VÄSTMANLANDS LÄN</t>
        </is>
      </c>
      <c r="E4406" t="inlineStr">
        <is>
          <t>KÖPING</t>
        </is>
      </c>
      <c r="G4406" t="n">
        <v>2.1</v>
      </c>
      <c r="H4406" t="n">
        <v>0</v>
      </c>
      <c r="I4406" t="n">
        <v>0</v>
      </c>
      <c r="J4406" t="n">
        <v>0</v>
      </c>
      <c r="K4406" t="n">
        <v>0</v>
      </c>
      <c r="L4406" t="n">
        <v>0</v>
      </c>
      <c r="M4406" t="n">
        <v>0</v>
      </c>
      <c r="N4406" t="n">
        <v>0</v>
      </c>
      <c r="O4406" t="n">
        <v>0</v>
      </c>
      <c r="P4406" t="n">
        <v>0</v>
      </c>
      <c r="Q4406" t="n">
        <v>0</v>
      </c>
      <c r="R4406" s="2" t="inlineStr"/>
    </row>
    <row r="4407" ht="15" customHeight="1">
      <c r="A4407" t="inlineStr">
        <is>
          <t>A 35003-2024</t>
        </is>
      </c>
      <c r="B4407" s="1" t="n">
        <v>45527</v>
      </c>
      <c r="C4407" s="1" t="n">
        <v>45724</v>
      </c>
      <c r="D4407" t="inlineStr">
        <is>
          <t>VÄSTMANLANDS LÄN</t>
        </is>
      </c>
      <c r="E4407" t="inlineStr">
        <is>
          <t>SALA</t>
        </is>
      </c>
      <c r="G4407" t="n">
        <v>0.7</v>
      </c>
      <c r="H4407" t="n">
        <v>0</v>
      </c>
      <c r="I4407" t="n">
        <v>0</v>
      </c>
      <c r="J4407" t="n">
        <v>0</v>
      </c>
      <c r="K4407" t="n">
        <v>0</v>
      </c>
      <c r="L4407" t="n">
        <v>0</v>
      </c>
      <c r="M4407" t="n">
        <v>0</v>
      </c>
      <c r="N4407" t="n">
        <v>0</v>
      </c>
      <c r="O4407" t="n">
        <v>0</v>
      </c>
      <c r="P4407" t="n">
        <v>0</v>
      </c>
      <c r="Q4407" t="n">
        <v>0</v>
      </c>
      <c r="R4407" s="2" t="inlineStr"/>
    </row>
    <row r="4408" ht="15" customHeight="1">
      <c r="A4408" t="inlineStr">
        <is>
          <t>A 35051-2024</t>
        </is>
      </c>
      <c r="B4408" s="1" t="n">
        <v>45527</v>
      </c>
      <c r="C4408" s="1" t="n">
        <v>45724</v>
      </c>
      <c r="D4408" t="inlineStr">
        <is>
          <t>VÄSTMANLANDS LÄN</t>
        </is>
      </c>
      <c r="E4408" t="inlineStr">
        <is>
          <t>SKINNSKATTEBERG</t>
        </is>
      </c>
      <c r="F4408" t="inlineStr">
        <is>
          <t>Sveaskog</t>
        </is>
      </c>
      <c r="G4408" t="n">
        <v>1.1</v>
      </c>
      <c r="H4408" t="n">
        <v>0</v>
      </c>
      <c r="I4408" t="n">
        <v>0</v>
      </c>
      <c r="J4408" t="n">
        <v>0</v>
      </c>
      <c r="K4408" t="n">
        <v>0</v>
      </c>
      <c r="L4408" t="n">
        <v>0</v>
      </c>
      <c r="M4408" t="n">
        <v>0</v>
      </c>
      <c r="N4408" t="n">
        <v>0</v>
      </c>
      <c r="O4408" t="n">
        <v>0</v>
      </c>
      <c r="P4408" t="n">
        <v>0</v>
      </c>
      <c r="Q4408" t="n">
        <v>0</v>
      </c>
      <c r="R4408" s="2" t="inlineStr"/>
    </row>
    <row r="4409" ht="15" customHeight="1">
      <c r="A4409" t="inlineStr">
        <is>
          <t>A 35059-2024</t>
        </is>
      </c>
      <c r="B4409" s="1" t="n">
        <v>45527</v>
      </c>
      <c r="C4409" s="1" t="n">
        <v>45724</v>
      </c>
      <c r="D4409" t="inlineStr">
        <is>
          <t>VÄSTMANLANDS LÄN</t>
        </is>
      </c>
      <c r="E4409" t="inlineStr">
        <is>
          <t>SKINNSKATTEBERG</t>
        </is>
      </c>
      <c r="F4409" t="inlineStr">
        <is>
          <t>Sveaskog</t>
        </is>
      </c>
      <c r="G4409" t="n">
        <v>0.6</v>
      </c>
      <c r="H4409" t="n">
        <v>0</v>
      </c>
      <c r="I4409" t="n">
        <v>0</v>
      </c>
      <c r="J4409" t="n">
        <v>0</v>
      </c>
      <c r="K4409" t="n">
        <v>0</v>
      </c>
      <c r="L4409" t="n">
        <v>0</v>
      </c>
      <c r="M4409" t="n">
        <v>0</v>
      </c>
      <c r="N4409" t="n">
        <v>0</v>
      </c>
      <c r="O4409" t="n">
        <v>0</v>
      </c>
      <c r="P4409" t="n">
        <v>0</v>
      </c>
      <c r="Q4409" t="n">
        <v>0</v>
      </c>
      <c r="R4409" s="2" t="inlineStr"/>
    </row>
    <row r="4410" ht="15" customHeight="1">
      <c r="A4410" t="inlineStr">
        <is>
          <t>A 35016-2024</t>
        </is>
      </c>
      <c r="B4410" s="1" t="n">
        <v>45527</v>
      </c>
      <c r="C4410" s="1" t="n">
        <v>45724</v>
      </c>
      <c r="D4410" t="inlineStr">
        <is>
          <t>VÄSTMANLANDS LÄN</t>
        </is>
      </c>
      <c r="E4410" t="inlineStr">
        <is>
          <t>SALA</t>
        </is>
      </c>
      <c r="G4410" t="n">
        <v>0.4</v>
      </c>
      <c r="H4410" t="n">
        <v>0</v>
      </c>
      <c r="I4410" t="n">
        <v>0</v>
      </c>
      <c r="J4410" t="n">
        <v>0</v>
      </c>
      <c r="K4410" t="n">
        <v>0</v>
      </c>
      <c r="L4410" t="n">
        <v>0</v>
      </c>
      <c r="M4410" t="n">
        <v>0</v>
      </c>
      <c r="N4410" t="n">
        <v>0</v>
      </c>
      <c r="O4410" t="n">
        <v>0</v>
      </c>
      <c r="P4410" t="n">
        <v>0</v>
      </c>
      <c r="Q4410" t="n">
        <v>0</v>
      </c>
      <c r="R4410" s="2" t="inlineStr"/>
    </row>
    <row r="4411" ht="15" customHeight="1">
      <c r="A4411" t="inlineStr">
        <is>
          <t>A 35036-2024</t>
        </is>
      </c>
      <c r="B4411" s="1" t="n">
        <v>45527</v>
      </c>
      <c r="C4411" s="1" t="n">
        <v>45724</v>
      </c>
      <c r="D4411" t="inlineStr">
        <is>
          <t>VÄSTMANLANDS LÄN</t>
        </is>
      </c>
      <c r="E4411" t="inlineStr">
        <is>
          <t>HALLSTAHAMMAR</t>
        </is>
      </c>
      <c r="G4411" t="n">
        <v>1.7</v>
      </c>
      <c r="H4411" t="n">
        <v>0</v>
      </c>
      <c r="I4411" t="n">
        <v>0</v>
      </c>
      <c r="J4411" t="n">
        <v>0</v>
      </c>
      <c r="K4411" t="n">
        <v>0</v>
      </c>
      <c r="L4411" t="n">
        <v>0</v>
      </c>
      <c r="M4411" t="n">
        <v>0</v>
      </c>
      <c r="N4411" t="n">
        <v>0</v>
      </c>
      <c r="O4411" t="n">
        <v>0</v>
      </c>
      <c r="P4411" t="n">
        <v>0</v>
      </c>
      <c r="Q4411" t="n">
        <v>0</v>
      </c>
      <c r="R4411" s="2" t="inlineStr"/>
    </row>
    <row r="4412" ht="15" customHeight="1">
      <c r="A4412" t="inlineStr">
        <is>
          <t>A 35010-2024</t>
        </is>
      </c>
      <c r="B4412" s="1" t="n">
        <v>45527</v>
      </c>
      <c r="C4412" s="1" t="n">
        <v>45724</v>
      </c>
      <c r="D4412" t="inlineStr">
        <is>
          <t>VÄSTMANLANDS LÄN</t>
        </is>
      </c>
      <c r="E4412" t="inlineStr">
        <is>
          <t>SALA</t>
        </is>
      </c>
      <c r="G4412" t="n">
        <v>6.2</v>
      </c>
      <c r="H4412" t="n">
        <v>0</v>
      </c>
      <c r="I4412" t="n">
        <v>0</v>
      </c>
      <c r="J4412" t="n">
        <v>0</v>
      </c>
      <c r="K4412" t="n">
        <v>0</v>
      </c>
      <c r="L4412" t="n">
        <v>0</v>
      </c>
      <c r="M4412" t="n">
        <v>0</v>
      </c>
      <c r="N4412" t="n">
        <v>0</v>
      </c>
      <c r="O4412" t="n">
        <v>0</v>
      </c>
      <c r="P4412" t="n">
        <v>0</v>
      </c>
      <c r="Q4412" t="n">
        <v>0</v>
      </c>
      <c r="R4412" s="2" t="inlineStr"/>
    </row>
    <row r="4413" ht="15" customHeight="1">
      <c r="A4413" t="inlineStr">
        <is>
          <t>A 35062-2024</t>
        </is>
      </c>
      <c r="B4413" s="1" t="n">
        <v>45527</v>
      </c>
      <c r="C4413" s="1" t="n">
        <v>45724</v>
      </c>
      <c r="D4413" t="inlineStr">
        <is>
          <t>VÄSTMANLANDS LÄN</t>
        </is>
      </c>
      <c r="E4413" t="inlineStr">
        <is>
          <t>FAGERSTA</t>
        </is>
      </c>
      <c r="F4413" t="inlineStr">
        <is>
          <t>Sveaskog</t>
        </is>
      </c>
      <c r="G4413" t="n">
        <v>4.4</v>
      </c>
      <c r="H4413" t="n">
        <v>0</v>
      </c>
      <c r="I4413" t="n">
        <v>0</v>
      </c>
      <c r="J4413" t="n">
        <v>0</v>
      </c>
      <c r="K4413" t="n">
        <v>0</v>
      </c>
      <c r="L4413" t="n">
        <v>0</v>
      </c>
      <c r="M4413" t="n">
        <v>0</v>
      </c>
      <c r="N4413" t="n">
        <v>0</v>
      </c>
      <c r="O4413" t="n">
        <v>0</v>
      </c>
      <c r="P4413" t="n">
        <v>0</v>
      </c>
      <c r="Q4413" t="n">
        <v>0</v>
      </c>
      <c r="R4413" s="2" t="inlineStr"/>
    </row>
    <row r="4414" ht="15" customHeight="1">
      <c r="A4414" t="inlineStr">
        <is>
          <t>A 34803-2024</t>
        </is>
      </c>
      <c r="B4414" s="1" t="n">
        <v>45527</v>
      </c>
      <c r="C4414" s="1" t="n">
        <v>45724</v>
      </c>
      <c r="D4414" t="inlineStr">
        <is>
          <t>VÄSTMANLANDS LÄN</t>
        </is>
      </c>
      <c r="E4414" t="inlineStr">
        <is>
          <t>KÖPING</t>
        </is>
      </c>
      <c r="G4414" t="n">
        <v>1.9</v>
      </c>
      <c r="H4414" t="n">
        <v>0</v>
      </c>
      <c r="I4414" t="n">
        <v>0</v>
      </c>
      <c r="J4414" t="n">
        <v>0</v>
      </c>
      <c r="K4414" t="n">
        <v>0</v>
      </c>
      <c r="L4414" t="n">
        <v>0</v>
      </c>
      <c r="M4414" t="n">
        <v>0</v>
      </c>
      <c r="N4414" t="n">
        <v>0</v>
      </c>
      <c r="O4414" t="n">
        <v>0</v>
      </c>
      <c r="P4414" t="n">
        <v>0</v>
      </c>
      <c r="Q4414" t="n">
        <v>0</v>
      </c>
      <c r="R4414" s="2" t="inlineStr"/>
    </row>
    <row r="4415" ht="15" customHeight="1">
      <c r="A4415" t="inlineStr">
        <is>
          <t>A 34984-2024</t>
        </is>
      </c>
      <c r="B4415" s="1" t="n">
        <v>45527</v>
      </c>
      <c r="C4415" s="1" t="n">
        <v>45724</v>
      </c>
      <c r="D4415" t="inlineStr">
        <is>
          <t>VÄSTMANLANDS LÄN</t>
        </is>
      </c>
      <c r="E4415" t="inlineStr">
        <is>
          <t>HALLSTAHAMMAR</t>
        </is>
      </c>
      <c r="G4415" t="n">
        <v>4.1</v>
      </c>
      <c r="H4415" t="n">
        <v>0</v>
      </c>
      <c r="I4415" t="n">
        <v>0</v>
      </c>
      <c r="J4415" t="n">
        <v>0</v>
      </c>
      <c r="K4415" t="n">
        <v>0</v>
      </c>
      <c r="L4415" t="n">
        <v>0</v>
      </c>
      <c r="M4415" t="n">
        <v>0</v>
      </c>
      <c r="N4415" t="n">
        <v>0</v>
      </c>
      <c r="O4415" t="n">
        <v>0</v>
      </c>
      <c r="P4415" t="n">
        <v>0</v>
      </c>
      <c r="Q4415" t="n">
        <v>0</v>
      </c>
      <c r="R4415" s="2" t="inlineStr"/>
    </row>
    <row r="4416" ht="15" customHeight="1">
      <c r="A4416" t="inlineStr">
        <is>
          <t>A 35049-2024</t>
        </is>
      </c>
      <c r="B4416" s="1" t="n">
        <v>45527</v>
      </c>
      <c r="C4416" s="1" t="n">
        <v>45724</v>
      </c>
      <c r="D4416" t="inlineStr">
        <is>
          <t>VÄSTMANLANDS LÄN</t>
        </is>
      </c>
      <c r="E4416" t="inlineStr">
        <is>
          <t>SKINNSKATTEBERG</t>
        </is>
      </c>
      <c r="F4416" t="inlineStr">
        <is>
          <t>Sveaskog</t>
        </is>
      </c>
      <c r="G4416" t="n">
        <v>2</v>
      </c>
      <c r="H4416" t="n">
        <v>0</v>
      </c>
      <c r="I4416" t="n">
        <v>0</v>
      </c>
      <c r="J4416" t="n">
        <v>0</v>
      </c>
      <c r="K4416" t="n">
        <v>0</v>
      </c>
      <c r="L4416" t="n">
        <v>0</v>
      </c>
      <c r="M4416" t="n">
        <v>0</v>
      </c>
      <c r="N4416" t="n">
        <v>0</v>
      </c>
      <c r="O4416" t="n">
        <v>0</v>
      </c>
      <c r="P4416" t="n">
        <v>0</v>
      </c>
      <c r="Q4416" t="n">
        <v>0</v>
      </c>
      <c r="R4416" s="2" t="inlineStr"/>
    </row>
    <row r="4417" ht="15" customHeight="1">
      <c r="A4417" t="inlineStr">
        <is>
          <t>A 35053-2024</t>
        </is>
      </c>
      <c r="B4417" s="1" t="n">
        <v>45527</v>
      </c>
      <c r="C4417" s="1" t="n">
        <v>45724</v>
      </c>
      <c r="D4417" t="inlineStr">
        <is>
          <t>VÄSTMANLANDS LÄN</t>
        </is>
      </c>
      <c r="E4417" t="inlineStr">
        <is>
          <t>SKINNSKATTEBERG</t>
        </is>
      </c>
      <c r="F4417" t="inlineStr">
        <is>
          <t>Sveaskog</t>
        </is>
      </c>
      <c r="G4417" t="n">
        <v>2</v>
      </c>
      <c r="H4417" t="n">
        <v>0</v>
      </c>
      <c r="I4417" t="n">
        <v>0</v>
      </c>
      <c r="J4417" t="n">
        <v>0</v>
      </c>
      <c r="K4417" t="n">
        <v>0</v>
      </c>
      <c r="L4417" t="n">
        <v>0</v>
      </c>
      <c r="M4417" t="n">
        <v>0</v>
      </c>
      <c r="N4417" t="n">
        <v>0</v>
      </c>
      <c r="O4417" t="n">
        <v>0</v>
      </c>
      <c r="P4417" t="n">
        <v>0</v>
      </c>
      <c r="Q4417" t="n">
        <v>0</v>
      </c>
      <c r="R4417" s="2" t="inlineStr"/>
    </row>
    <row r="4418" ht="15" customHeight="1">
      <c r="A4418" t="inlineStr">
        <is>
          <t>A 35057-2024</t>
        </is>
      </c>
      <c r="B4418" s="1" t="n">
        <v>45527</v>
      </c>
      <c r="C4418" s="1" t="n">
        <v>45724</v>
      </c>
      <c r="D4418" t="inlineStr">
        <is>
          <t>VÄSTMANLANDS LÄN</t>
        </is>
      </c>
      <c r="E4418" t="inlineStr">
        <is>
          <t>SKINNSKATTEBERG</t>
        </is>
      </c>
      <c r="F4418" t="inlineStr">
        <is>
          <t>Sveaskog</t>
        </is>
      </c>
      <c r="G4418" t="n">
        <v>0.6</v>
      </c>
      <c r="H4418" t="n">
        <v>0</v>
      </c>
      <c r="I4418" t="n">
        <v>0</v>
      </c>
      <c r="J4418" t="n">
        <v>0</v>
      </c>
      <c r="K4418" t="n">
        <v>0</v>
      </c>
      <c r="L4418" t="n">
        <v>0</v>
      </c>
      <c r="M4418" t="n">
        <v>0</v>
      </c>
      <c r="N4418" t="n">
        <v>0</v>
      </c>
      <c r="O4418" t="n">
        <v>0</v>
      </c>
      <c r="P4418" t="n">
        <v>0</v>
      </c>
      <c r="Q4418" t="n">
        <v>0</v>
      </c>
      <c r="R4418" s="2" t="inlineStr"/>
    </row>
    <row r="4419" ht="15" customHeight="1">
      <c r="A4419" t="inlineStr">
        <is>
          <t>A 35187-2024</t>
        </is>
      </c>
      <c r="B4419" s="1" t="n">
        <v>45530</v>
      </c>
      <c r="C4419" s="1" t="n">
        <v>45724</v>
      </c>
      <c r="D4419" t="inlineStr">
        <is>
          <t>VÄSTMANLANDS LÄN</t>
        </is>
      </c>
      <c r="E4419" t="inlineStr">
        <is>
          <t>VÄSTERÅS</t>
        </is>
      </c>
      <c r="F4419" t="inlineStr">
        <is>
          <t>Allmännings- och besparingsskogar</t>
        </is>
      </c>
      <c r="G4419" t="n">
        <v>6.7</v>
      </c>
      <c r="H4419" t="n">
        <v>0</v>
      </c>
      <c r="I4419" t="n">
        <v>0</v>
      </c>
      <c r="J4419" t="n">
        <v>0</v>
      </c>
      <c r="K4419" t="n">
        <v>0</v>
      </c>
      <c r="L4419" t="n">
        <v>0</v>
      </c>
      <c r="M4419" t="n">
        <v>0</v>
      </c>
      <c r="N4419" t="n">
        <v>0</v>
      </c>
      <c r="O4419" t="n">
        <v>0</v>
      </c>
      <c r="P4419" t="n">
        <v>0</v>
      </c>
      <c r="Q4419" t="n">
        <v>0</v>
      </c>
      <c r="R4419" s="2" t="inlineStr"/>
    </row>
    <row r="4420" ht="15" customHeight="1">
      <c r="A4420" t="inlineStr">
        <is>
          <t>A 35149-2024</t>
        </is>
      </c>
      <c r="B4420" s="1" t="n">
        <v>45530</v>
      </c>
      <c r="C4420" s="1" t="n">
        <v>45724</v>
      </c>
      <c r="D4420" t="inlineStr">
        <is>
          <t>VÄSTMANLANDS LÄN</t>
        </is>
      </c>
      <c r="E4420" t="inlineStr">
        <is>
          <t>VÄSTERÅS</t>
        </is>
      </c>
      <c r="F4420" t="inlineStr">
        <is>
          <t>Allmännings- och besparingsskogar</t>
        </is>
      </c>
      <c r="G4420" t="n">
        <v>3.2</v>
      </c>
      <c r="H4420" t="n">
        <v>0</v>
      </c>
      <c r="I4420" t="n">
        <v>0</v>
      </c>
      <c r="J4420" t="n">
        <v>0</v>
      </c>
      <c r="K4420" t="n">
        <v>0</v>
      </c>
      <c r="L4420" t="n">
        <v>0</v>
      </c>
      <c r="M4420" t="n">
        <v>0</v>
      </c>
      <c r="N4420" t="n">
        <v>0</v>
      </c>
      <c r="O4420" t="n">
        <v>0</v>
      </c>
      <c r="P4420" t="n">
        <v>0</v>
      </c>
      <c r="Q4420" t="n">
        <v>0</v>
      </c>
      <c r="R4420" s="2" t="inlineStr"/>
    </row>
    <row r="4421" ht="15" customHeight="1">
      <c r="A4421" t="inlineStr">
        <is>
          <t>A 35267-2024</t>
        </is>
      </c>
      <c r="B4421" s="1" t="n">
        <v>45530</v>
      </c>
      <c r="C4421" s="1" t="n">
        <v>45724</v>
      </c>
      <c r="D4421" t="inlineStr">
        <is>
          <t>VÄSTMANLANDS LÄN</t>
        </is>
      </c>
      <c r="E4421" t="inlineStr">
        <is>
          <t>VÄSTERÅS</t>
        </is>
      </c>
      <c r="G4421" t="n">
        <v>10.1</v>
      </c>
      <c r="H4421" t="n">
        <v>0</v>
      </c>
      <c r="I4421" t="n">
        <v>0</v>
      </c>
      <c r="J4421" t="n">
        <v>0</v>
      </c>
      <c r="K4421" t="n">
        <v>0</v>
      </c>
      <c r="L4421" t="n">
        <v>0</v>
      </c>
      <c r="M4421" t="n">
        <v>0</v>
      </c>
      <c r="N4421" t="n">
        <v>0</v>
      </c>
      <c r="O4421" t="n">
        <v>0</v>
      </c>
      <c r="P4421" t="n">
        <v>0</v>
      </c>
      <c r="Q4421" t="n">
        <v>0</v>
      </c>
      <c r="R4421" s="2" t="inlineStr"/>
    </row>
    <row r="4422" ht="15" customHeight="1">
      <c r="A4422" t="inlineStr">
        <is>
          <t>A 35370-2024</t>
        </is>
      </c>
      <c r="B4422" s="1" t="n">
        <v>45531</v>
      </c>
      <c r="C4422" s="1" t="n">
        <v>45724</v>
      </c>
      <c r="D4422" t="inlineStr">
        <is>
          <t>VÄSTMANLANDS LÄN</t>
        </is>
      </c>
      <c r="E4422" t="inlineStr">
        <is>
          <t>SKINNSKATTEBERG</t>
        </is>
      </c>
      <c r="G4422" t="n">
        <v>5.1</v>
      </c>
      <c r="H4422" t="n">
        <v>0</v>
      </c>
      <c r="I4422" t="n">
        <v>0</v>
      </c>
      <c r="J4422" t="n">
        <v>0</v>
      </c>
      <c r="K4422" t="n">
        <v>0</v>
      </c>
      <c r="L4422" t="n">
        <v>0</v>
      </c>
      <c r="M4422" t="n">
        <v>0</v>
      </c>
      <c r="N4422" t="n">
        <v>0</v>
      </c>
      <c r="O4422" t="n">
        <v>0</v>
      </c>
      <c r="P4422" t="n">
        <v>0</v>
      </c>
      <c r="Q4422" t="n">
        <v>0</v>
      </c>
      <c r="R4422" s="2" t="inlineStr"/>
    </row>
    <row r="4423" ht="15" customHeight="1">
      <c r="A4423" t="inlineStr">
        <is>
          <t>A 35462-2024</t>
        </is>
      </c>
      <c r="B4423" s="1" t="n">
        <v>45531</v>
      </c>
      <c r="C4423" s="1" t="n">
        <v>45724</v>
      </c>
      <c r="D4423" t="inlineStr">
        <is>
          <t>VÄSTMANLANDS LÄN</t>
        </is>
      </c>
      <c r="E4423" t="inlineStr">
        <is>
          <t>SALA</t>
        </is>
      </c>
      <c r="G4423" t="n">
        <v>0.6</v>
      </c>
      <c r="H4423" t="n">
        <v>0</v>
      </c>
      <c r="I4423" t="n">
        <v>0</v>
      </c>
      <c r="J4423" t="n">
        <v>0</v>
      </c>
      <c r="K4423" t="n">
        <v>0</v>
      </c>
      <c r="L4423" t="n">
        <v>0</v>
      </c>
      <c r="M4423" t="n">
        <v>0</v>
      </c>
      <c r="N4423" t="n">
        <v>0</v>
      </c>
      <c r="O4423" t="n">
        <v>0</v>
      </c>
      <c r="P4423" t="n">
        <v>0</v>
      </c>
      <c r="Q4423" t="n">
        <v>0</v>
      </c>
      <c r="R4423" s="2" t="inlineStr"/>
    </row>
    <row r="4424" ht="15" customHeight="1">
      <c r="A4424" t="inlineStr">
        <is>
          <t>A 35499-2024</t>
        </is>
      </c>
      <c r="B4424" s="1" t="n">
        <v>45531</v>
      </c>
      <c r="C4424" s="1" t="n">
        <v>45724</v>
      </c>
      <c r="D4424" t="inlineStr">
        <is>
          <t>VÄSTMANLANDS LÄN</t>
        </is>
      </c>
      <c r="E4424" t="inlineStr">
        <is>
          <t>SALA</t>
        </is>
      </c>
      <c r="G4424" t="n">
        <v>3.1</v>
      </c>
      <c r="H4424" t="n">
        <v>0</v>
      </c>
      <c r="I4424" t="n">
        <v>0</v>
      </c>
      <c r="J4424" t="n">
        <v>0</v>
      </c>
      <c r="K4424" t="n">
        <v>0</v>
      </c>
      <c r="L4424" t="n">
        <v>0</v>
      </c>
      <c r="M4424" t="n">
        <v>0</v>
      </c>
      <c r="N4424" t="n">
        <v>0</v>
      </c>
      <c r="O4424" t="n">
        <v>0</v>
      </c>
      <c r="P4424" t="n">
        <v>0</v>
      </c>
      <c r="Q4424" t="n">
        <v>0</v>
      </c>
      <c r="R4424" s="2" t="inlineStr"/>
    </row>
    <row r="4425" ht="15" customHeight="1">
      <c r="A4425" t="inlineStr">
        <is>
          <t>A 35529-2024</t>
        </is>
      </c>
      <c r="B4425" s="1" t="n">
        <v>45531</v>
      </c>
      <c r="C4425" s="1" t="n">
        <v>45724</v>
      </c>
      <c r="D4425" t="inlineStr">
        <is>
          <t>VÄSTMANLANDS LÄN</t>
        </is>
      </c>
      <c r="E4425" t="inlineStr">
        <is>
          <t>SALA</t>
        </is>
      </c>
      <c r="G4425" t="n">
        <v>0.8</v>
      </c>
      <c r="H4425" t="n">
        <v>0</v>
      </c>
      <c r="I4425" t="n">
        <v>0</v>
      </c>
      <c r="J4425" t="n">
        <v>0</v>
      </c>
      <c r="K4425" t="n">
        <v>0</v>
      </c>
      <c r="L4425" t="n">
        <v>0</v>
      </c>
      <c r="M4425" t="n">
        <v>0</v>
      </c>
      <c r="N4425" t="n">
        <v>0</v>
      </c>
      <c r="O4425" t="n">
        <v>0</v>
      </c>
      <c r="P4425" t="n">
        <v>0</v>
      </c>
      <c r="Q4425" t="n">
        <v>0</v>
      </c>
      <c r="R4425" s="2" t="inlineStr"/>
    </row>
    <row r="4426" ht="15" customHeight="1">
      <c r="A4426" t="inlineStr">
        <is>
          <t>A 35558-2024</t>
        </is>
      </c>
      <c r="B4426" s="1" t="n">
        <v>45531</v>
      </c>
      <c r="C4426" s="1" t="n">
        <v>45724</v>
      </c>
      <c r="D4426" t="inlineStr">
        <is>
          <t>VÄSTMANLANDS LÄN</t>
        </is>
      </c>
      <c r="E4426" t="inlineStr">
        <is>
          <t>SALA</t>
        </is>
      </c>
      <c r="G4426" t="n">
        <v>3.7</v>
      </c>
      <c r="H4426" t="n">
        <v>0</v>
      </c>
      <c r="I4426" t="n">
        <v>0</v>
      </c>
      <c r="J4426" t="n">
        <v>0</v>
      </c>
      <c r="K4426" t="n">
        <v>0</v>
      </c>
      <c r="L4426" t="n">
        <v>0</v>
      </c>
      <c r="M4426" t="n">
        <v>0</v>
      </c>
      <c r="N4426" t="n">
        <v>0</v>
      </c>
      <c r="O4426" t="n">
        <v>0</v>
      </c>
      <c r="P4426" t="n">
        <v>0</v>
      </c>
      <c r="Q4426" t="n">
        <v>0</v>
      </c>
      <c r="R4426" s="2" t="inlineStr"/>
    </row>
    <row r="4427" ht="15" customHeight="1">
      <c r="A4427" t="inlineStr">
        <is>
          <t>A 35519-2024</t>
        </is>
      </c>
      <c r="B4427" s="1" t="n">
        <v>45531</v>
      </c>
      <c r="C4427" s="1" t="n">
        <v>45724</v>
      </c>
      <c r="D4427" t="inlineStr">
        <is>
          <t>VÄSTMANLANDS LÄN</t>
        </is>
      </c>
      <c r="E4427" t="inlineStr">
        <is>
          <t>SALA</t>
        </is>
      </c>
      <c r="G4427" t="n">
        <v>1.8</v>
      </c>
      <c r="H4427" t="n">
        <v>0</v>
      </c>
      <c r="I4427" t="n">
        <v>0</v>
      </c>
      <c r="J4427" t="n">
        <v>0</v>
      </c>
      <c r="K4427" t="n">
        <v>0</v>
      </c>
      <c r="L4427" t="n">
        <v>0</v>
      </c>
      <c r="M4427" t="n">
        <v>0</v>
      </c>
      <c r="N4427" t="n">
        <v>0</v>
      </c>
      <c r="O4427" t="n">
        <v>0</v>
      </c>
      <c r="P4427" t="n">
        <v>0</v>
      </c>
      <c r="Q4427" t="n">
        <v>0</v>
      </c>
      <c r="R4427" s="2" t="inlineStr"/>
    </row>
    <row r="4428" ht="15" customHeight="1">
      <c r="A4428" t="inlineStr">
        <is>
          <t>A 35528-2024</t>
        </is>
      </c>
      <c r="B4428" s="1" t="n">
        <v>45531</v>
      </c>
      <c r="C4428" s="1" t="n">
        <v>45724</v>
      </c>
      <c r="D4428" t="inlineStr">
        <is>
          <t>VÄSTMANLANDS LÄN</t>
        </is>
      </c>
      <c r="E4428" t="inlineStr">
        <is>
          <t>SALA</t>
        </is>
      </c>
      <c r="G4428" t="n">
        <v>1.3</v>
      </c>
      <c r="H4428" t="n">
        <v>0</v>
      </c>
      <c r="I4428" t="n">
        <v>0</v>
      </c>
      <c r="J4428" t="n">
        <v>0</v>
      </c>
      <c r="K4428" t="n">
        <v>0</v>
      </c>
      <c r="L4428" t="n">
        <v>0</v>
      </c>
      <c r="M4428" t="n">
        <v>0</v>
      </c>
      <c r="N4428" t="n">
        <v>0</v>
      </c>
      <c r="O4428" t="n">
        <v>0</v>
      </c>
      <c r="P4428" t="n">
        <v>0</v>
      </c>
      <c r="Q4428" t="n">
        <v>0</v>
      </c>
      <c r="R4428" s="2" t="inlineStr"/>
    </row>
    <row r="4429" ht="15" customHeight="1">
      <c r="A4429" t="inlineStr">
        <is>
          <t>A 35573-2024</t>
        </is>
      </c>
      <c r="B4429" s="1" t="n">
        <v>45531</v>
      </c>
      <c r="C4429" s="1" t="n">
        <v>45724</v>
      </c>
      <c r="D4429" t="inlineStr">
        <is>
          <t>VÄSTMANLANDS LÄN</t>
        </is>
      </c>
      <c r="E4429" t="inlineStr">
        <is>
          <t>SALA</t>
        </is>
      </c>
      <c r="G4429" t="n">
        <v>1.8</v>
      </c>
      <c r="H4429" t="n">
        <v>0</v>
      </c>
      <c r="I4429" t="n">
        <v>0</v>
      </c>
      <c r="J4429" t="n">
        <v>0</v>
      </c>
      <c r="K4429" t="n">
        <v>0</v>
      </c>
      <c r="L4429" t="n">
        <v>0</v>
      </c>
      <c r="M4429" t="n">
        <v>0</v>
      </c>
      <c r="N4429" t="n">
        <v>0</v>
      </c>
      <c r="O4429" t="n">
        <v>0</v>
      </c>
      <c r="P4429" t="n">
        <v>0</v>
      </c>
      <c r="Q4429" t="n">
        <v>0</v>
      </c>
      <c r="R4429" s="2" t="inlineStr"/>
    </row>
    <row r="4430" ht="15" customHeight="1">
      <c r="A4430" t="inlineStr">
        <is>
          <t>A 35698-2024</t>
        </is>
      </c>
      <c r="B4430" s="1" t="n">
        <v>45532</v>
      </c>
      <c r="C4430" s="1" t="n">
        <v>45724</v>
      </c>
      <c r="D4430" t="inlineStr">
        <is>
          <t>VÄSTMANLANDS LÄN</t>
        </is>
      </c>
      <c r="E4430" t="inlineStr">
        <is>
          <t>VÄSTERÅS</t>
        </is>
      </c>
      <c r="G4430" t="n">
        <v>7.2</v>
      </c>
      <c r="H4430" t="n">
        <v>0</v>
      </c>
      <c r="I4430" t="n">
        <v>0</v>
      </c>
      <c r="J4430" t="n">
        <v>0</v>
      </c>
      <c r="K4430" t="n">
        <v>0</v>
      </c>
      <c r="L4430" t="n">
        <v>0</v>
      </c>
      <c r="M4430" t="n">
        <v>0</v>
      </c>
      <c r="N4430" t="n">
        <v>0</v>
      </c>
      <c r="O4430" t="n">
        <v>0</v>
      </c>
      <c r="P4430" t="n">
        <v>0</v>
      </c>
      <c r="Q4430" t="n">
        <v>0</v>
      </c>
      <c r="R4430" s="2" t="inlineStr"/>
    </row>
    <row r="4431" ht="15" customHeight="1">
      <c r="A4431" t="inlineStr">
        <is>
          <t>A 35706-2024</t>
        </is>
      </c>
      <c r="B4431" s="1" t="n">
        <v>45532</v>
      </c>
      <c r="C4431" s="1" t="n">
        <v>45724</v>
      </c>
      <c r="D4431" t="inlineStr">
        <is>
          <t>VÄSTMANLANDS LÄN</t>
        </is>
      </c>
      <c r="E4431" t="inlineStr">
        <is>
          <t>SKINNSKATTEBERG</t>
        </is>
      </c>
      <c r="G4431" t="n">
        <v>0.4</v>
      </c>
      <c r="H4431" t="n">
        <v>0</v>
      </c>
      <c r="I4431" t="n">
        <v>0</v>
      </c>
      <c r="J4431" t="n">
        <v>0</v>
      </c>
      <c r="K4431" t="n">
        <v>0</v>
      </c>
      <c r="L4431" t="n">
        <v>0</v>
      </c>
      <c r="M4431" t="n">
        <v>0</v>
      </c>
      <c r="N4431" t="n">
        <v>0</v>
      </c>
      <c r="O4431" t="n">
        <v>0</v>
      </c>
      <c r="P4431" t="n">
        <v>0</v>
      </c>
      <c r="Q4431" t="n">
        <v>0</v>
      </c>
      <c r="R4431" s="2" t="inlineStr"/>
    </row>
    <row r="4432" ht="15" customHeight="1">
      <c r="A4432" t="inlineStr">
        <is>
          <t>A 35683-2024</t>
        </is>
      </c>
      <c r="B4432" s="1" t="n">
        <v>45532</v>
      </c>
      <c r="C4432" s="1" t="n">
        <v>45724</v>
      </c>
      <c r="D4432" t="inlineStr">
        <is>
          <t>VÄSTMANLANDS LÄN</t>
        </is>
      </c>
      <c r="E4432" t="inlineStr">
        <is>
          <t>SKINNSKATTEBERG</t>
        </is>
      </c>
      <c r="G4432" t="n">
        <v>6.5</v>
      </c>
      <c r="H4432" t="n">
        <v>0</v>
      </c>
      <c r="I4432" t="n">
        <v>0</v>
      </c>
      <c r="J4432" t="n">
        <v>0</v>
      </c>
      <c r="K4432" t="n">
        <v>0</v>
      </c>
      <c r="L4432" t="n">
        <v>0</v>
      </c>
      <c r="M4432" t="n">
        <v>0</v>
      </c>
      <c r="N4432" t="n">
        <v>0</v>
      </c>
      <c r="O4432" t="n">
        <v>0</v>
      </c>
      <c r="P4432" t="n">
        <v>0</v>
      </c>
      <c r="Q4432" t="n">
        <v>0</v>
      </c>
      <c r="R4432" s="2" t="inlineStr"/>
    </row>
    <row r="4433" ht="15" customHeight="1">
      <c r="A4433" t="inlineStr">
        <is>
          <t>A 35709-2024</t>
        </is>
      </c>
      <c r="B4433" s="1" t="n">
        <v>45532</v>
      </c>
      <c r="C4433" s="1" t="n">
        <v>45724</v>
      </c>
      <c r="D4433" t="inlineStr">
        <is>
          <t>VÄSTMANLANDS LÄN</t>
        </is>
      </c>
      <c r="E4433" t="inlineStr">
        <is>
          <t>SKINNSKATTEBERG</t>
        </is>
      </c>
      <c r="G4433" t="n">
        <v>5.2</v>
      </c>
      <c r="H4433" t="n">
        <v>0</v>
      </c>
      <c r="I4433" t="n">
        <v>0</v>
      </c>
      <c r="J4433" t="n">
        <v>0</v>
      </c>
      <c r="K4433" t="n">
        <v>0</v>
      </c>
      <c r="L4433" t="n">
        <v>0</v>
      </c>
      <c r="M4433" t="n">
        <v>0</v>
      </c>
      <c r="N4433" t="n">
        <v>0</v>
      </c>
      <c r="O4433" t="n">
        <v>0</v>
      </c>
      <c r="P4433" t="n">
        <v>0</v>
      </c>
      <c r="Q4433" t="n">
        <v>0</v>
      </c>
      <c r="R4433" s="2" t="inlineStr"/>
    </row>
    <row r="4434" ht="15" customHeight="1">
      <c r="A4434" t="inlineStr">
        <is>
          <t>A 35831-2024</t>
        </is>
      </c>
      <c r="B4434" s="1" t="n">
        <v>45532</v>
      </c>
      <c r="C4434" s="1" t="n">
        <v>45724</v>
      </c>
      <c r="D4434" t="inlineStr">
        <is>
          <t>VÄSTMANLANDS LÄN</t>
        </is>
      </c>
      <c r="E4434" t="inlineStr">
        <is>
          <t>SKINNSKATTEBERG</t>
        </is>
      </c>
      <c r="G4434" t="n">
        <v>4</v>
      </c>
      <c r="H4434" t="n">
        <v>0</v>
      </c>
      <c r="I4434" t="n">
        <v>0</v>
      </c>
      <c r="J4434" t="n">
        <v>0</v>
      </c>
      <c r="K4434" t="n">
        <v>0</v>
      </c>
      <c r="L4434" t="n">
        <v>0</v>
      </c>
      <c r="M4434" t="n">
        <v>0</v>
      </c>
      <c r="N4434" t="n">
        <v>0</v>
      </c>
      <c r="O4434" t="n">
        <v>0</v>
      </c>
      <c r="P4434" t="n">
        <v>0</v>
      </c>
      <c r="Q4434" t="n">
        <v>0</v>
      </c>
      <c r="R4434" s="2" t="inlineStr"/>
    </row>
    <row r="4435" ht="15" customHeight="1">
      <c r="A4435" t="inlineStr">
        <is>
          <t>A 35834-2024</t>
        </is>
      </c>
      <c r="B4435" s="1" t="n">
        <v>45532</v>
      </c>
      <c r="C4435" s="1" t="n">
        <v>45724</v>
      </c>
      <c r="D4435" t="inlineStr">
        <is>
          <t>VÄSTMANLANDS LÄN</t>
        </is>
      </c>
      <c r="E4435" t="inlineStr">
        <is>
          <t>SKINNSKATTEBERG</t>
        </is>
      </c>
      <c r="G4435" t="n">
        <v>1.8</v>
      </c>
      <c r="H4435" t="n">
        <v>0</v>
      </c>
      <c r="I4435" t="n">
        <v>0</v>
      </c>
      <c r="J4435" t="n">
        <v>0</v>
      </c>
      <c r="K4435" t="n">
        <v>0</v>
      </c>
      <c r="L4435" t="n">
        <v>0</v>
      </c>
      <c r="M4435" t="n">
        <v>0</v>
      </c>
      <c r="N4435" t="n">
        <v>0</v>
      </c>
      <c r="O4435" t="n">
        <v>0</v>
      </c>
      <c r="P4435" t="n">
        <v>0</v>
      </c>
      <c r="Q4435" t="n">
        <v>0</v>
      </c>
      <c r="R4435" s="2" t="inlineStr"/>
    </row>
    <row r="4436" ht="15" customHeight="1">
      <c r="A4436" t="inlineStr">
        <is>
          <t>A 35684-2024</t>
        </is>
      </c>
      <c r="B4436" s="1" t="n">
        <v>45532</v>
      </c>
      <c r="C4436" s="1" t="n">
        <v>45724</v>
      </c>
      <c r="D4436" t="inlineStr">
        <is>
          <t>VÄSTMANLANDS LÄN</t>
        </is>
      </c>
      <c r="E4436" t="inlineStr">
        <is>
          <t>KÖPING</t>
        </is>
      </c>
      <c r="G4436" t="n">
        <v>0.8</v>
      </c>
      <c r="H4436" t="n">
        <v>0</v>
      </c>
      <c r="I4436" t="n">
        <v>0</v>
      </c>
      <c r="J4436" t="n">
        <v>0</v>
      </c>
      <c r="K4436" t="n">
        <v>0</v>
      </c>
      <c r="L4436" t="n">
        <v>0</v>
      </c>
      <c r="M4436" t="n">
        <v>0</v>
      </c>
      <c r="N4436" t="n">
        <v>0</v>
      </c>
      <c r="O4436" t="n">
        <v>0</v>
      </c>
      <c r="P4436" t="n">
        <v>0</v>
      </c>
      <c r="Q4436" t="n">
        <v>0</v>
      </c>
      <c r="R4436" s="2" t="inlineStr"/>
    </row>
    <row r="4437" ht="15" customHeight="1">
      <c r="A4437" t="inlineStr">
        <is>
          <t>A 35700-2024</t>
        </is>
      </c>
      <c r="B4437" s="1" t="n">
        <v>45532</v>
      </c>
      <c r="C4437" s="1" t="n">
        <v>45724</v>
      </c>
      <c r="D4437" t="inlineStr">
        <is>
          <t>VÄSTMANLANDS LÄN</t>
        </is>
      </c>
      <c r="E4437" t="inlineStr">
        <is>
          <t>VÄSTERÅS</t>
        </is>
      </c>
      <c r="G4437" t="n">
        <v>0.4</v>
      </c>
      <c r="H4437" t="n">
        <v>0</v>
      </c>
      <c r="I4437" t="n">
        <v>0</v>
      </c>
      <c r="J4437" t="n">
        <v>0</v>
      </c>
      <c r="K4437" t="n">
        <v>0</v>
      </c>
      <c r="L4437" t="n">
        <v>0</v>
      </c>
      <c r="M4437" t="n">
        <v>0</v>
      </c>
      <c r="N4437" t="n">
        <v>0</v>
      </c>
      <c r="O4437" t="n">
        <v>0</v>
      </c>
      <c r="P4437" t="n">
        <v>0</v>
      </c>
      <c r="Q4437" t="n">
        <v>0</v>
      </c>
      <c r="R4437" s="2" t="inlineStr"/>
    </row>
    <row r="4438" ht="15" customHeight="1">
      <c r="A4438" t="inlineStr">
        <is>
          <t>A 35716-2024</t>
        </is>
      </c>
      <c r="B4438" s="1" t="n">
        <v>45532</v>
      </c>
      <c r="C4438" s="1" t="n">
        <v>45724</v>
      </c>
      <c r="D4438" t="inlineStr">
        <is>
          <t>VÄSTMANLANDS LÄN</t>
        </is>
      </c>
      <c r="E4438" t="inlineStr">
        <is>
          <t>KUNGSÖR</t>
        </is>
      </c>
      <c r="G4438" t="n">
        <v>0.6</v>
      </c>
      <c r="H4438" t="n">
        <v>0</v>
      </c>
      <c r="I4438" t="n">
        <v>0</v>
      </c>
      <c r="J4438" t="n">
        <v>0</v>
      </c>
      <c r="K4438" t="n">
        <v>0</v>
      </c>
      <c r="L4438" t="n">
        <v>0</v>
      </c>
      <c r="M4438" t="n">
        <v>0</v>
      </c>
      <c r="N4438" t="n">
        <v>0</v>
      </c>
      <c r="O4438" t="n">
        <v>0</v>
      </c>
      <c r="P4438" t="n">
        <v>0</v>
      </c>
      <c r="Q4438" t="n">
        <v>0</v>
      </c>
      <c r="R4438" s="2" t="inlineStr"/>
    </row>
    <row r="4439" ht="15" customHeight="1">
      <c r="A4439" t="inlineStr">
        <is>
          <t>A 35736-2024</t>
        </is>
      </c>
      <c r="B4439" s="1" t="n">
        <v>45532</v>
      </c>
      <c r="C4439" s="1" t="n">
        <v>45724</v>
      </c>
      <c r="D4439" t="inlineStr">
        <is>
          <t>VÄSTMANLANDS LÄN</t>
        </is>
      </c>
      <c r="E4439" t="inlineStr">
        <is>
          <t>FAGERSTA</t>
        </is>
      </c>
      <c r="G4439" t="n">
        <v>4.2</v>
      </c>
      <c r="H4439" t="n">
        <v>0</v>
      </c>
      <c r="I4439" t="n">
        <v>0</v>
      </c>
      <c r="J4439" t="n">
        <v>0</v>
      </c>
      <c r="K4439" t="n">
        <v>0</v>
      </c>
      <c r="L4439" t="n">
        <v>0</v>
      </c>
      <c r="M4439" t="n">
        <v>0</v>
      </c>
      <c r="N4439" t="n">
        <v>0</v>
      </c>
      <c r="O4439" t="n">
        <v>0</v>
      </c>
      <c r="P4439" t="n">
        <v>0</v>
      </c>
      <c r="Q4439" t="n">
        <v>0</v>
      </c>
      <c r="R4439" s="2" t="inlineStr"/>
    </row>
    <row r="4440" ht="15" customHeight="1">
      <c r="A4440" t="inlineStr">
        <is>
          <t>A 36075-2024</t>
        </is>
      </c>
      <c r="B4440" s="1" t="n">
        <v>45533</v>
      </c>
      <c r="C4440" s="1" t="n">
        <v>45724</v>
      </c>
      <c r="D4440" t="inlineStr">
        <is>
          <t>VÄSTMANLANDS LÄN</t>
        </is>
      </c>
      <c r="E4440" t="inlineStr">
        <is>
          <t>SALA</t>
        </is>
      </c>
      <c r="G4440" t="n">
        <v>1.5</v>
      </c>
      <c r="H4440" t="n">
        <v>0</v>
      </c>
      <c r="I4440" t="n">
        <v>0</v>
      </c>
      <c r="J4440" t="n">
        <v>0</v>
      </c>
      <c r="K4440" t="n">
        <v>0</v>
      </c>
      <c r="L4440" t="n">
        <v>0</v>
      </c>
      <c r="M4440" t="n">
        <v>0</v>
      </c>
      <c r="N4440" t="n">
        <v>0</v>
      </c>
      <c r="O4440" t="n">
        <v>0</v>
      </c>
      <c r="P4440" t="n">
        <v>0</v>
      </c>
      <c r="Q4440" t="n">
        <v>0</v>
      </c>
      <c r="R4440" s="2" t="inlineStr"/>
    </row>
    <row r="4441" ht="15" customHeight="1">
      <c r="A4441" t="inlineStr">
        <is>
          <t>A 35976-2024</t>
        </is>
      </c>
      <c r="B4441" s="1" t="n">
        <v>45533</v>
      </c>
      <c r="C4441" s="1" t="n">
        <v>45724</v>
      </c>
      <c r="D4441" t="inlineStr">
        <is>
          <t>VÄSTMANLANDS LÄN</t>
        </is>
      </c>
      <c r="E4441" t="inlineStr">
        <is>
          <t>SALA</t>
        </is>
      </c>
      <c r="G4441" t="n">
        <v>2.3</v>
      </c>
      <c r="H4441" t="n">
        <v>0</v>
      </c>
      <c r="I4441" t="n">
        <v>0</v>
      </c>
      <c r="J4441" t="n">
        <v>0</v>
      </c>
      <c r="K4441" t="n">
        <v>0</v>
      </c>
      <c r="L4441" t="n">
        <v>0</v>
      </c>
      <c r="M4441" t="n">
        <v>0</v>
      </c>
      <c r="N4441" t="n">
        <v>0</v>
      </c>
      <c r="O4441" t="n">
        <v>0</v>
      </c>
      <c r="P4441" t="n">
        <v>0</v>
      </c>
      <c r="Q4441" t="n">
        <v>0</v>
      </c>
      <c r="R4441" s="2" t="inlineStr"/>
    </row>
    <row r="4442" ht="15" customHeight="1">
      <c r="A4442" t="inlineStr">
        <is>
          <t>A 36073-2024</t>
        </is>
      </c>
      <c r="B4442" s="1" t="n">
        <v>45533</v>
      </c>
      <c r="C4442" s="1" t="n">
        <v>45724</v>
      </c>
      <c r="D4442" t="inlineStr">
        <is>
          <t>VÄSTMANLANDS LÄN</t>
        </is>
      </c>
      <c r="E4442" t="inlineStr">
        <is>
          <t>SALA</t>
        </is>
      </c>
      <c r="G4442" t="n">
        <v>1.7</v>
      </c>
      <c r="H4442" t="n">
        <v>0</v>
      </c>
      <c r="I4442" t="n">
        <v>0</v>
      </c>
      <c r="J4442" t="n">
        <v>0</v>
      </c>
      <c r="K4442" t="n">
        <v>0</v>
      </c>
      <c r="L4442" t="n">
        <v>0</v>
      </c>
      <c r="M4442" t="n">
        <v>0</v>
      </c>
      <c r="N4442" t="n">
        <v>0</v>
      </c>
      <c r="O4442" t="n">
        <v>0</v>
      </c>
      <c r="P4442" t="n">
        <v>0</v>
      </c>
      <c r="Q4442" t="n">
        <v>0</v>
      </c>
      <c r="R4442" s="2" t="inlineStr"/>
    </row>
    <row r="4443" ht="15" customHeight="1">
      <c r="A4443" t="inlineStr">
        <is>
          <t>A 36087-2024</t>
        </is>
      </c>
      <c r="B4443" s="1" t="n">
        <v>45533</v>
      </c>
      <c r="C4443" s="1" t="n">
        <v>45724</v>
      </c>
      <c r="D4443" t="inlineStr">
        <is>
          <t>VÄSTMANLANDS LÄN</t>
        </is>
      </c>
      <c r="E4443" t="inlineStr">
        <is>
          <t>VÄSTERÅS</t>
        </is>
      </c>
      <c r="G4443" t="n">
        <v>4.1</v>
      </c>
      <c r="H4443" t="n">
        <v>0</v>
      </c>
      <c r="I4443" t="n">
        <v>0</v>
      </c>
      <c r="J4443" t="n">
        <v>0</v>
      </c>
      <c r="K4443" t="n">
        <v>0</v>
      </c>
      <c r="L4443" t="n">
        <v>0</v>
      </c>
      <c r="M4443" t="n">
        <v>0</v>
      </c>
      <c r="N4443" t="n">
        <v>0</v>
      </c>
      <c r="O4443" t="n">
        <v>0</v>
      </c>
      <c r="P4443" t="n">
        <v>0</v>
      </c>
      <c r="Q4443" t="n">
        <v>0</v>
      </c>
      <c r="R4443" s="2" t="inlineStr"/>
    </row>
    <row r="4444" ht="15" customHeight="1">
      <c r="A4444" t="inlineStr">
        <is>
          <t>A 36187-2024</t>
        </is>
      </c>
      <c r="B4444" s="1" t="n">
        <v>45534</v>
      </c>
      <c r="C4444" s="1" t="n">
        <v>45724</v>
      </c>
      <c r="D4444" t="inlineStr">
        <is>
          <t>VÄSTMANLANDS LÄN</t>
        </is>
      </c>
      <c r="E4444" t="inlineStr">
        <is>
          <t>ARBOGA</t>
        </is>
      </c>
      <c r="F4444" t="inlineStr">
        <is>
          <t>Sveaskog</t>
        </is>
      </c>
      <c r="G4444" t="n">
        <v>3.2</v>
      </c>
      <c r="H4444" t="n">
        <v>0</v>
      </c>
      <c r="I4444" t="n">
        <v>0</v>
      </c>
      <c r="J4444" t="n">
        <v>0</v>
      </c>
      <c r="K4444" t="n">
        <v>0</v>
      </c>
      <c r="L4444" t="n">
        <v>0</v>
      </c>
      <c r="M4444" t="n">
        <v>0</v>
      </c>
      <c r="N4444" t="n">
        <v>0</v>
      </c>
      <c r="O4444" t="n">
        <v>0</v>
      </c>
      <c r="P4444" t="n">
        <v>0</v>
      </c>
      <c r="Q4444" t="n">
        <v>0</v>
      </c>
      <c r="R4444" s="2" t="inlineStr"/>
    </row>
    <row r="4445" ht="15" customHeight="1">
      <c r="A4445" t="inlineStr">
        <is>
          <t>A 36248-2024</t>
        </is>
      </c>
      <c r="B4445" s="1" t="n">
        <v>45534</v>
      </c>
      <c r="C4445" s="1" t="n">
        <v>45724</v>
      </c>
      <c r="D4445" t="inlineStr">
        <is>
          <t>VÄSTMANLANDS LÄN</t>
        </is>
      </c>
      <c r="E4445" t="inlineStr">
        <is>
          <t>SKINNSKATTEBERG</t>
        </is>
      </c>
      <c r="G4445" t="n">
        <v>2.6</v>
      </c>
      <c r="H4445" t="n">
        <v>0</v>
      </c>
      <c r="I4445" t="n">
        <v>0</v>
      </c>
      <c r="J4445" t="n">
        <v>0</v>
      </c>
      <c r="K4445" t="n">
        <v>0</v>
      </c>
      <c r="L4445" t="n">
        <v>0</v>
      </c>
      <c r="M4445" t="n">
        <v>0</v>
      </c>
      <c r="N4445" t="n">
        <v>0</v>
      </c>
      <c r="O4445" t="n">
        <v>0</v>
      </c>
      <c r="P4445" t="n">
        <v>0</v>
      </c>
      <c r="Q4445" t="n">
        <v>0</v>
      </c>
      <c r="R4445" s="2" t="inlineStr"/>
    </row>
    <row r="4446" ht="15" customHeight="1">
      <c r="A4446" t="inlineStr">
        <is>
          <t>A 36264-2024</t>
        </is>
      </c>
      <c r="B4446" s="1" t="n">
        <v>45534</v>
      </c>
      <c r="C4446" s="1" t="n">
        <v>45724</v>
      </c>
      <c r="D4446" t="inlineStr">
        <is>
          <t>VÄSTMANLANDS LÄN</t>
        </is>
      </c>
      <c r="E4446" t="inlineStr">
        <is>
          <t>NORBERG</t>
        </is>
      </c>
      <c r="G4446" t="n">
        <v>1.3</v>
      </c>
      <c r="H4446" t="n">
        <v>0</v>
      </c>
      <c r="I4446" t="n">
        <v>0</v>
      </c>
      <c r="J4446" t="n">
        <v>0</v>
      </c>
      <c r="K4446" t="n">
        <v>0</v>
      </c>
      <c r="L4446" t="n">
        <v>0</v>
      </c>
      <c r="M4446" t="n">
        <v>0</v>
      </c>
      <c r="N4446" t="n">
        <v>0</v>
      </c>
      <c r="O4446" t="n">
        <v>0</v>
      </c>
      <c r="P4446" t="n">
        <v>0</v>
      </c>
      <c r="Q4446" t="n">
        <v>0</v>
      </c>
      <c r="R4446" s="2" t="inlineStr"/>
    </row>
    <row r="4447" ht="15" customHeight="1">
      <c r="A4447" t="inlineStr">
        <is>
          <t>A 36443-2024</t>
        </is>
      </c>
      <c r="B4447" s="1" t="n">
        <v>45537</v>
      </c>
      <c r="C4447" s="1" t="n">
        <v>45724</v>
      </c>
      <c r="D4447" t="inlineStr">
        <is>
          <t>VÄSTMANLANDS LÄN</t>
        </is>
      </c>
      <c r="E4447" t="inlineStr">
        <is>
          <t>NORBERG</t>
        </is>
      </c>
      <c r="G4447" t="n">
        <v>0.8</v>
      </c>
      <c r="H4447" t="n">
        <v>0</v>
      </c>
      <c r="I4447" t="n">
        <v>0</v>
      </c>
      <c r="J4447" t="n">
        <v>0</v>
      </c>
      <c r="K4447" t="n">
        <v>0</v>
      </c>
      <c r="L4447" t="n">
        <v>0</v>
      </c>
      <c r="M4447" t="n">
        <v>0</v>
      </c>
      <c r="N4447" t="n">
        <v>0</v>
      </c>
      <c r="O4447" t="n">
        <v>0</v>
      </c>
      <c r="P4447" t="n">
        <v>0</v>
      </c>
      <c r="Q4447" t="n">
        <v>0</v>
      </c>
      <c r="R4447" s="2" t="inlineStr"/>
    </row>
    <row r="4448" ht="15" customHeight="1">
      <c r="A4448" t="inlineStr">
        <is>
          <t>A 36642-2024</t>
        </is>
      </c>
      <c r="B4448" s="1" t="n">
        <v>45537</v>
      </c>
      <c r="C4448" s="1" t="n">
        <v>45724</v>
      </c>
      <c r="D4448" t="inlineStr">
        <is>
          <t>VÄSTMANLANDS LÄN</t>
        </is>
      </c>
      <c r="E4448" t="inlineStr">
        <is>
          <t>SKINNSKATTEBERG</t>
        </is>
      </c>
      <c r="F4448" t="inlineStr">
        <is>
          <t>Sveaskog</t>
        </is>
      </c>
      <c r="G4448" t="n">
        <v>1.4</v>
      </c>
      <c r="H4448" t="n">
        <v>0</v>
      </c>
      <c r="I4448" t="n">
        <v>0</v>
      </c>
      <c r="J4448" t="n">
        <v>0</v>
      </c>
      <c r="K4448" t="n">
        <v>0</v>
      </c>
      <c r="L4448" t="n">
        <v>0</v>
      </c>
      <c r="M4448" t="n">
        <v>0</v>
      </c>
      <c r="N4448" t="n">
        <v>0</v>
      </c>
      <c r="O4448" t="n">
        <v>0</v>
      </c>
      <c r="P4448" t="n">
        <v>0</v>
      </c>
      <c r="Q4448" t="n">
        <v>0</v>
      </c>
      <c r="R4448" s="2" t="inlineStr"/>
    </row>
    <row r="4449" ht="15" customHeight="1">
      <c r="A4449" t="inlineStr">
        <is>
          <t>A 36476-2024</t>
        </is>
      </c>
      <c r="B4449" s="1" t="n">
        <v>45537</v>
      </c>
      <c r="C4449" s="1" t="n">
        <v>45724</v>
      </c>
      <c r="D4449" t="inlineStr">
        <is>
          <t>VÄSTMANLANDS LÄN</t>
        </is>
      </c>
      <c r="E4449" t="inlineStr">
        <is>
          <t>KÖPING</t>
        </is>
      </c>
      <c r="G4449" t="n">
        <v>3.4</v>
      </c>
      <c r="H4449" t="n">
        <v>0</v>
      </c>
      <c r="I4449" t="n">
        <v>0</v>
      </c>
      <c r="J4449" t="n">
        <v>0</v>
      </c>
      <c r="K4449" t="n">
        <v>0</v>
      </c>
      <c r="L4449" t="n">
        <v>0</v>
      </c>
      <c r="M4449" t="n">
        <v>0</v>
      </c>
      <c r="N4449" t="n">
        <v>0</v>
      </c>
      <c r="O4449" t="n">
        <v>0</v>
      </c>
      <c r="P4449" t="n">
        <v>0</v>
      </c>
      <c r="Q4449" t="n">
        <v>0</v>
      </c>
      <c r="R4449" s="2" t="inlineStr"/>
    </row>
    <row r="4450" ht="15" customHeight="1">
      <c r="A4450" t="inlineStr">
        <is>
          <t>A 36597-2024</t>
        </is>
      </c>
      <c r="B4450" s="1" t="n">
        <v>45537</v>
      </c>
      <c r="C4450" s="1" t="n">
        <v>45724</v>
      </c>
      <c r="D4450" t="inlineStr">
        <is>
          <t>VÄSTMANLANDS LÄN</t>
        </is>
      </c>
      <c r="E4450" t="inlineStr">
        <is>
          <t>SKINNSKATTEBERG</t>
        </is>
      </c>
      <c r="F4450" t="inlineStr">
        <is>
          <t>Sveaskog</t>
        </is>
      </c>
      <c r="G4450" t="n">
        <v>2.3</v>
      </c>
      <c r="H4450" t="n">
        <v>0</v>
      </c>
      <c r="I4450" t="n">
        <v>0</v>
      </c>
      <c r="J4450" t="n">
        <v>0</v>
      </c>
      <c r="K4450" t="n">
        <v>0</v>
      </c>
      <c r="L4450" t="n">
        <v>0</v>
      </c>
      <c r="M4450" t="n">
        <v>0</v>
      </c>
      <c r="N4450" t="n">
        <v>0</v>
      </c>
      <c r="O4450" t="n">
        <v>0</v>
      </c>
      <c r="P4450" t="n">
        <v>0</v>
      </c>
      <c r="Q4450" t="n">
        <v>0</v>
      </c>
      <c r="R4450" s="2" t="inlineStr"/>
    </row>
    <row r="4451" ht="15" customHeight="1">
      <c r="A4451" t="inlineStr">
        <is>
          <t>A 36559-2024</t>
        </is>
      </c>
      <c r="B4451" s="1" t="n">
        <v>45537</v>
      </c>
      <c r="C4451" s="1" t="n">
        <v>45724</v>
      </c>
      <c r="D4451" t="inlineStr">
        <is>
          <t>VÄSTMANLANDS LÄN</t>
        </is>
      </c>
      <c r="E4451" t="inlineStr">
        <is>
          <t>VÄSTERÅS</t>
        </is>
      </c>
      <c r="G4451" t="n">
        <v>3.9</v>
      </c>
      <c r="H4451" t="n">
        <v>0</v>
      </c>
      <c r="I4451" t="n">
        <v>0</v>
      </c>
      <c r="J4451" t="n">
        <v>0</v>
      </c>
      <c r="K4451" t="n">
        <v>0</v>
      </c>
      <c r="L4451" t="n">
        <v>0</v>
      </c>
      <c r="M4451" t="n">
        <v>0</v>
      </c>
      <c r="N4451" t="n">
        <v>0</v>
      </c>
      <c r="O4451" t="n">
        <v>0</v>
      </c>
      <c r="P4451" t="n">
        <v>0</v>
      </c>
      <c r="Q4451" t="n">
        <v>0</v>
      </c>
      <c r="R4451" s="2" t="inlineStr"/>
    </row>
    <row r="4452" ht="15" customHeight="1">
      <c r="A4452" t="inlineStr">
        <is>
          <t>A 36651-2024</t>
        </is>
      </c>
      <c r="B4452" s="1" t="n">
        <v>45537</v>
      </c>
      <c r="C4452" s="1" t="n">
        <v>45724</v>
      </c>
      <c r="D4452" t="inlineStr">
        <is>
          <t>VÄSTMANLANDS LÄN</t>
        </is>
      </c>
      <c r="E4452" t="inlineStr">
        <is>
          <t>SKINNSKATTEBERG</t>
        </is>
      </c>
      <c r="F4452" t="inlineStr">
        <is>
          <t>Sveaskog</t>
        </is>
      </c>
      <c r="G4452" t="n">
        <v>2.7</v>
      </c>
      <c r="H4452" t="n">
        <v>0</v>
      </c>
      <c r="I4452" t="n">
        <v>0</v>
      </c>
      <c r="J4452" t="n">
        <v>0</v>
      </c>
      <c r="K4452" t="n">
        <v>0</v>
      </c>
      <c r="L4452" t="n">
        <v>0</v>
      </c>
      <c r="M4452" t="n">
        <v>0</v>
      </c>
      <c r="N4452" t="n">
        <v>0</v>
      </c>
      <c r="O4452" t="n">
        <v>0</v>
      </c>
      <c r="P4452" t="n">
        <v>0</v>
      </c>
      <c r="Q4452" t="n">
        <v>0</v>
      </c>
      <c r="R4452" s="2" t="inlineStr"/>
    </row>
    <row r="4453" ht="15" customHeight="1">
      <c r="A4453" t="inlineStr">
        <is>
          <t>A 36692-2024</t>
        </is>
      </c>
      <c r="B4453" s="1" t="n">
        <v>45537</v>
      </c>
      <c r="C4453" s="1" t="n">
        <v>45724</v>
      </c>
      <c r="D4453" t="inlineStr">
        <is>
          <t>VÄSTMANLANDS LÄN</t>
        </is>
      </c>
      <c r="E4453" t="inlineStr">
        <is>
          <t>SKINNSKATTEBERG</t>
        </is>
      </c>
      <c r="F4453" t="inlineStr">
        <is>
          <t>Sveaskog</t>
        </is>
      </c>
      <c r="G4453" t="n">
        <v>0.7</v>
      </c>
      <c r="H4453" t="n">
        <v>0</v>
      </c>
      <c r="I4453" t="n">
        <v>0</v>
      </c>
      <c r="J4453" t="n">
        <v>0</v>
      </c>
      <c r="K4453" t="n">
        <v>0</v>
      </c>
      <c r="L4453" t="n">
        <v>0</v>
      </c>
      <c r="M4453" t="n">
        <v>0</v>
      </c>
      <c r="N4453" t="n">
        <v>0</v>
      </c>
      <c r="O4453" t="n">
        <v>0</v>
      </c>
      <c r="P4453" t="n">
        <v>0</v>
      </c>
      <c r="Q4453" t="n">
        <v>0</v>
      </c>
      <c r="R4453" s="2" t="inlineStr"/>
    </row>
    <row r="4454" ht="15" customHeight="1">
      <c r="A4454" t="inlineStr">
        <is>
          <t>A 36761-2024</t>
        </is>
      </c>
      <c r="B4454" s="1" t="n">
        <v>45538</v>
      </c>
      <c r="C4454" s="1" t="n">
        <v>45724</v>
      </c>
      <c r="D4454" t="inlineStr">
        <is>
          <t>VÄSTMANLANDS LÄN</t>
        </is>
      </c>
      <c r="E4454" t="inlineStr">
        <is>
          <t>SKINNSKATTEBERG</t>
        </is>
      </c>
      <c r="F4454" t="inlineStr">
        <is>
          <t>Sveaskog</t>
        </is>
      </c>
      <c r="G4454" t="n">
        <v>1.3</v>
      </c>
      <c r="H4454" t="n">
        <v>0</v>
      </c>
      <c r="I4454" t="n">
        <v>0</v>
      </c>
      <c r="J4454" t="n">
        <v>0</v>
      </c>
      <c r="K4454" t="n">
        <v>0</v>
      </c>
      <c r="L4454" t="n">
        <v>0</v>
      </c>
      <c r="M4454" t="n">
        <v>0</v>
      </c>
      <c r="N4454" t="n">
        <v>0</v>
      </c>
      <c r="O4454" t="n">
        <v>0</v>
      </c>
      <c r="P4454" t="n">
        <v>0</v>
      </c>
      <c r="Q4454" t="n">
        <v>0</v>
      </c>
      <c r="R4454" s="2" t="inlineStr"/>
    </row>
    <row r="4455" ht="15" customHeight="1">
      <c r="A4455" t="inlineStr">
        <is>
          <t>A 37137-2024</t>
        </is>
      </c>
      <c r="B4455" s="1" t="n">
        <v>45539</v>
      </c>
      <c r="C4455" s="1" t="n">
        <v>45724</v>
      </c>
      <c r="D4455" t="inlineStr">
        <is>
          <t>VÄSTMANLANDS LÄN</t>
        </is>
      </c>
      <c r="E4455" t="inlineStr">
        <is>
          <t>SALA</t>
        </is>
      </c>
      <c r="F4455" t="inlineStr">
        <is>
          <t>Kommuner</t>
        </is>
      </c>
      <c r="G4455" t="n">
        <v>9.199999999999999</v>
      </c>
      <c r="H4455" t="n">
        <v>0</v>
      </c>
      <c r="I4455" t="n">
        <v>0</v>
      </c>
      <c r="J4455" t="n">
        <v>0</v>
      </c>
      <c r="K4455" t="n">
        <v>0</v>
      </c>
      <c r="L4455" t="n">
        <v>0</v>
      </c>
      <c r="M4455" t="n">
        <v>0</v>
      </c>
      <c r="N4455" t="n">
        <v>0</v>
      </c>
      <c r="O4455" t="n">
        <v>0</v>
      </c>
      <c r="P4455" t="n">
        <v>0</v>
      </c>
      <c r="Q4455" t="n">
        <v>0</v>
      </c>
      <c r="R4455" s="2" t="inlineStr"/>
    </row>
    <row r="4456" ht="15" customHeight="1">
      <c r="A4456" t="inlineStr">
        <is>
          <t>A 37183-2024</t>
        </is>
      </c>
      <c r="B4456" s="1" t="n">
        <v>45539</v>
      </c>
      <c r="C4456" s="1" t="n">
        <v>45724</v>
      </c>
      <c r="D4456" t="inlineStr">
        <is>
          <t>VÄSTMANLANDS LÄN</t>
        </is>
      </c>
      <c r="E4456" t="inlineStr">
        <is>
          <t>SALA</t>
        </is>
      </c>
      <c r="G4456" t="n">
        <v>1.2</v>
      </c>
      <c r="H4456" t="n">
        <v>0</v>
      </c>
      <c r="I4456" t="n">
        <v>0</v>
      </c>
      <c r="J4456" t="n">
        <v>0</v>
      </c>
      <c r="K4456" t="n">
        <v>0</v>
      </c>
      <c r="L4456" t="n">
        <v>0</v>
      </c>
      <c r="M4456" t="n">
        <v>0</v>
      </c>
      <c r="N4456" t="n">
        <v>0</v>
      </c>
      <c r="O4456" t="n">
        <v>0</v>
      </c>
      <c r="P4456" t="n">
        <v>0</v>
      </c>
      <c r="Q4456" t="n">
        <v>0</v>
      </c>
      <c r="R4456" s="2" t="inlineStr"/>
    </row>
    <row r="4457" ht="15" customHeight="1">
      <c r="A4457" t="inlineStr">
        <is>
          <t>A 37185-2024</t>
        </is>
      </c>
      <c r="B4457" s="1" t="n">
        <v>45539</v>
      </c>
      <c r="C4457" s="1" t="n">
        <v>45724</v>
      </c>
      <c r="D4457" t="inlineStr">
        <is>
          <t>VÄSTMANLANDS LÄN</t>
        </is>
      </c>
      <c r="E4457" t="inlineStr">
        <is>
          <t>SALA</t>
        </is>
      </c>
      <c r="G4457" t="n">
        <v>0.9</v>
      </c>
      <c r="H4457" t="n">
        <v>0</v>
      </c>
      <c r="I4457" t="n">
        <v>0</v>
      </c>
      <c r="J4457" t="n">
        <v>0</v>
      </c>
      <c r="K4457" t="n">
        <v>0</v>
      </c>
      <c r="L4457" t="n">
        <v>0</v>
      </c>
      <c r="M4457" t="n">
        <v>0</v>
      </c>
      <c r="N4457" t="n">
        <v>0</v>
      </c>
      <c r="O4457" t="n">
        <v>0</v>
      </c>
      <c r="P4457" t="n">
        <v>0</v>
      </c>
      <c r="Q4457" t="n">
        <v>0</v>
      </c>
      <c r="R4457" s="2" t="inlineStr"/>
    </row>
    <row r="4458" ht="15" customHeight="1">
      <c r="A4458" t="inlineStr">
        <is>
          <t>A 37224-2024</t>
        </is>
      </c>
      <c r="B4458" s="1" t="n">
        <v>45539</v>
      </c>
      <c r="C4458" s="1" t="n">
        <v>45724</v>
      </c>
      <c r="D4458" t="inlineStr">
        <is>
          <t>VÄSTMANLANDS LÄN</t>
        </is>
      </c>
      <c r="E4458" t="inlineStr">
        <is>
          <t>SALA</t>
        </is>
      </c>
      <c r="G4458" t="n">
        <v>5.9</v>
      </c>
      <c r="H4458" t="n">
        <v>0</v>
      </c>
      <c r="I4458" t="n">
        <v>0</v>
      </c>
      <c r="J4458" t="n">
        <v>0</v>
      </c>
      <c r="K4458" t="n">
        <v>0</v>
      </c>
      <c r="L4458" t="n">
        <v>0</v>
      </c>
      <c r="M4458" t="n">
        <v>0</v>
      </c>
      <c r="N4458" t="n">
        <v>0</v>
      </c>
      <c r="O4458" t="n">
        <v>0</v>
      </c>
      <c r="P4458" t="n">
        <v>0</v>
      </c>
      <c r="Q4458" t="n">
        <v>0</v>
      </c>
      <c r="R4458" s="2" t="inlineStr"/>
    </row>
    <row r="4459" ht="15" customHeight="1">
      <c r="A4459" t="inlineStr">
        <is>
          <t>A 37190-2024</t>
        </is>
      </c>
      <c r="B4459" s="1" t="n">
        <v>45539</v>
      </c>
      <c r="C4459" s="1" t="n">
        <v>45724</v>
      </c>
      <c r="D4459" t="inlineStr">
        <is>
          <t>VÄSTMANLANDS LÄN</t>
        </is>
      </c>
      <c r="E4459" t="inlineStr">
        <is>
          <t>SALA</t>
        </is>
      </c>
      <c r="G4459" t="n">
        <v>0.9</v>
      </c>
      <c r="H4459" t="n">
        <v>0</v>
      </c>
      <c r="I4459" t="n">
        <v>0</v>
      </c>
      <c r="J4459" t="n">
        <v>0</v>
      </c>
      <c r="K4459" t="n">
        <v>0</v>
      </c>
      <c r="L4459" t="n">
        <v>0</v>
      </c>
      <c r="M4459" t="n">
        <v>0</v>
      </c>
      <c r="N4459" t="n">
        <v>0</v>
      </c>
      <c r="O4459" t="n">
        <v>0</v>
      </c>
      <c r="P4459" t="n">
        <v>0</v>
      </c>
      <c r="Q4459" t="n">
        <v>0</v>
      </c>
      <c r="R4459" s="2" t="inlineStr"/>
    </row>
    <row r="4460" ht="15" customHeight="1">
      <c r="A4460" t="inlineStr">
        <is>
          <t>A 37251-2024</t>
        </is>
      </c>
      <c r="B4460" s="1" t="n">
        <v>45540</v>
      </c>
      <c r="C4460" s="1" t="n">
        <v>45724</v>
      </c>
      <c r="D4460" t="inlineStr">
        <is>
          <t>VÄSTMANLANDS LÄN</t>
        </is>
      </c>
      <c r="E4460" t="inlineStr">
        <is>
          <t>SALA</t>
        </is>
      </c>
      <c r="G4460" t="n">
        <v>16</v>
      </c>
      <c r="H4460" t="n">
        <v>0</v>
      </c>
      <c r="I4460" t="n">
        <v>0</v>
      </c>
      <c r="J4460" t="n">
        <v>0</v>
      </c>
      <c r="K4460" t="n">
        <v>0</v>
      </c>
      <c r="L4460" t="n">
        <v>0</v>
      </c>
      <c r="M4460" t="n">
        <v>0</v>
      </c>
      <c r="N4460" t="n">
        <v>0</v>
      </c>
      <c r="O4460" t="n">
        <v>0</v>
      </c>
      <c r="P4460" t="n">
        <v>0</v>
      </c>
      <c r="Q4460" t="n">
        <v>0</v>
      </c>
      <c r="R4460" s="2" t="inlineStr"/>
    </row>
    <row r="4461" ht="15" customHeight="1">
      <c r="A4461" t="inlineStr">
        <is>
          <t>A 37332-2024</t>
        </is>
      </c>
      <c r="B4461" s="1" t="n">
        <v>45540</v>
      </c>
      <c r="C4461" s="1" t="n">
        <v>45724</v>
      </c>
      <c r="D4461" t="inlineStr">
        <is>
          <t>VÄSTMANLANDS LÄN</t>
        </is>
      </c>
      <c r="E4461" t="inlineStr">
        <is>
          <t>SALA</t>
        </is>
      </c>
      <c r="G4461" t="n">
        <v>2.6</v>
      </c>
      <c r="H4461" t="n">
        <v>0</v>
      </c>
      <c r="I4461" t="n">
        <v>0</v>
      </c>
      <c r="J4461" t="n">
        <v>0</v>
      </c>
      <c r="K4461" t="n">
        <v>0</v>
      </c>
      <c r="L4461" t="n">
        <v>0</v>
      </c>
      <c r="M4461" t="n">
        <v>0</v>
      </c>
      <c r="N4461" t="n">
        <v>0</v>
      </c>
      <c r="O4461" t="n">
        <v>0</v>
      </c>
      <c r="P4461" t="n">
        <v>0</v>
      </c>
      <c r="Q4461" t="n">
        <v>0</v>
      </c>
      <c r="R4461" s="2" t="inlineStr"/>
    </row>
    <row r="4462" ht="15" customHeight="1">
      <c r="A4462" t="inlineStr">
        <is>
          <t>A 37337-2024</t>
        </is>
      </c>
      <c r="B4462" s="1" t="n">
        <v>45540</v>
      </c>
      <c r="C4462" s="1" t="n">
        <v>45724</v>
      </c>
      <c r="D4462" t="inlineStr">
        <is>
          <t>VÄSTMANLANDS LÄN</t>
        </is>
      </c>
      <c r="E4462" t="inlineStr">
        <is>
          <t>SALA</t>
        </is>
      </c>
      <c r="G4462" t="n">
        <v>6.5</v>
      </c>
      <c r="H4462" t="n">
        <v>0</v>
      </c>
      <c r="I4462" t="n">
        <v>0</v>
      </c>
      <c r="J4462" t="n">
        <v>0</v>
      </c>
      <c r="K4462" t="n">
        <v>0</v>
      </c>
      <c r="L4462" t="n">
        <v>0</v>
      </c>
      <c r="M4462" t="n">
        <v>0</v>
      </c>
      <c r="N4462" t="n">
        <v>0</v>
      </c>
      <c r="O4462" t="n">
        <v>0</v>
      </c>
      <c r="P4462" t="n">
        <v>0</v>
      </c>
      <c r="Q4462" t="n">
        <v>0</v>
      </c>
      <c r="R4462" s="2" t="inlineStr"/>
    </row>
    <row r="4463" ht="15" customHeight="1">
      <c r="A4463" t="inlineStr">
        <is>
          <t>A 37418-2024</t>
        </is>
      </c>
      <c r="B4463" s="1" t="n">
        <v>45540</v>
      </c>
      <c r="C4463" s="1" t="n">
        <v>45724</v>
      </c>
      <c r="D4463" t="inlineStr">
        <is>
          <t>VÄSTMANLANDS LÄN</t>
        </is>
      </c>
      <c r="E4463" t="inlineStr">
        <is>
          <t>FAGERSTA</t>
        </is>
      </c>
      <c r="G4463" t="n">
        <v>0.9</v>
      </c>
      <c r="H4463" t="n">
        <v>0</v>
      </c>
      <c r="I4463" t="n">
        <v>0</v>
      </c>
      <c r="J4463" t="n">
        <v>0</v>
      </c>
      <c r="K4463" t="n">
        <v>0</v>
      </c>
      <c r="L4463" t="n">
        <v>0</v>
      </c>
      <c r="M4463" t="n">
        <v>0</v>
      </c>
      <c r="N4463" t="n">
        <v>0</v>
      </c>
      <c r="O4463" t="n">
        <v>0</v>
      </c>
      <c r="P4463" t="n">
        <v>0</v>
      </c>
      <c r="Q4463" t="n">
        <v>0</v>
      </c>
      <c r="R4463" s="2" t="inlineStr"/>
    </row>
    <row r="4464" ht="15" customHeight="1">
      <c r="A4464" t="inlineStr">
        <is>
          <t>A 37433-2024</t>
        </is>
      </c>
      <c r="B4464" s="1" t="n">
        <v>45540</v>
      </c>
      <c r="C4464" s="1" t="n">
        <v>45724</v>
      </c>
      <c r="D4464" t="inlineStr">
        <is>
          <t>VÄSTMANLANDS LÄN</t>
        </is>
      </c>
      <c r="E4464" t="inlineStr">
        <is>
          <t>FAGERSTA</t>
        </is>
      </c>
      <c r="G4464" t="n">
        <v>3.1</v>
      </c>
      <c r="H4464" t="n">
        <v>0</v>
      </c>
      <c r="I4464" t="n">
        <v>0</v>
      </c>
      <c r="J4464" t="n">
        <v>0</v>
      </c>
      <c r="K4464" t="n">
        <v>0</v>
      </c>
      <c r="L4464" t="n">
        <v>0</v>
      </c>
      <c r="M4464" t="n">
        <v>0</v>
      </c>
      <c r="N4464" t="n">
        <v>0</v>
      </c>
      <c r="O4464" t="n">
        <v>0</v>
      </c>
      <c r="P4464" t="n">
        <v>0</v>
      </c>
      <c r="Q4464" t="n">
        <v>0</v>
      </c>
      <c r="R4464" s="2" t="inlineStr"/>
    </row>
    <row r="4465" ht="15" customHeight="1">
      <c r="A4465" t="inlineStr">
        <is>
          <t>A 37602-2024</t>
        </is>
      </c>
      <c r="B4465" s="1" t="n">
        <v>45541</v>
      </c>
      <c r="C4465" s="1" t="n">
        <v>45724</v>
      </c>
      <c r="D4465" t="inlineStr">
        <is>
          <t>VÄSTMANLANDS LÄN</t>
        </is>
      </c>
      <c r="E4465" t="inlineStr">
        <is>
          <t>SALA</t>
        </is>
      </c>
      <c r="G4465" t="n">
        <v>1.5</v>
      </c>
      <c r="H4465" t="n">
        <v>0</v>
      </c>
      <c r="I4465" t="n">
        <v>0</v>
      </c>
      <c r="J4465" t="n">
        <v>0</v>
      </c>
      <c r="K4465" t="n">
        <v>0</v>
      </c>
      <c r="L4465" t="n">
        <v>0</v>
      </c>
      <c r="M4465" t="n">
        <v>0</v>
      </c>
      <c r="N4465" t="n">
        <v>0</v>
      </c>
      <c r="O4465" t="n">
        <v>0</v>
      </c>
      <c r="P4465" t="n">
        <v>0</v>
      </c>
      <c r="Q4465" t="n">
        <v>0</v>
      </c>
      <c r="R4465" s="2" t="inlineStr"/>
    </row>
    <row r="4466" ht="15" customHeight="1">
      <c r="A4466" t="inlineStr">
        <is>
          <t>A 37638-2024</t>
        </is>
      </c>
      <c r="B4466" s="1" t="n">
        <v>45541</v>
      </c>
      <c r="C4466" s="1" t="n">
        <v>45724</v>
      </c>
      <c r="D4466" t="inlineStr">
        <is>
          <t>VÄSTMANLANDS LÄN</t>
        </is>
      </c>
      <c r="E4466" t="inlineStr">
        <is>
          <t>SKINNSKATTEBERG</t>
        </is>
      </c>
      <c r="G4466" t="n">
        <v>9.9</v>
      </c>
      <c r="H4466" t="n">
        <v>0</v>
      </c>
      <c r="I4466" t="n">
        <v>0</v>
      </c>
      <c r="J4466" t="n">
        <v>0</v>
      </c>
      <c r="K4466" t="n">
        <v>0</v>
      </c>
      <c r="L4466" t="n">
        <v>0</v>
      </c>
      <c r="M4466" t="n">
        <v>0</v>
      </c>
      <c r="N4466" t="n">
        <v>0</v>
      </c>
      <c r="O4466" t="n">
        <v>0</v>
      </c>
      <c r="P4466" t="n">
        <v>0</v>
      </c>
      <c r="Q4466" t="n">
        <v>0</v>
      </c>
      <c r="R4466" s="2" t="inlineStr"/>
    </row>
    <row r="4467" ht="15" customHeight="1">
      <c r="A4467" t="inlineStr">
        <is>
          <t>A 37587-2024</t>
        </is>
      </c>
      <c r="B4467" s="1" t="n">
        <v>45541</v>
      </c>
      <c r="C4467" s="1" t="n">
        <v>45724</v>
      </c>
      <c r="D4467" t="inlineStr">
        <is>
          <t>VÄSTMANLANDS LÄN</t>
        </is>
      </c>
      <c r="E4467" t="inlineStr">
        <is>
          <t>SALA</t>
        </is>
      </c>
      <c r="G4467" t="n">
        <v>1.2</v>
      </c>
      <c r="H4467" t="n">
        <v>0</v>
      </c>
      <c r="I4467" t="n">
        <v>0</v>
      </c>
      <c r="J4467" t="n">
        <v>0</v>
      </c>
      <c r="K4467" t="n">
        <v>0</v>
      </c>
      <c r="L4467" t="n">
        <v>0</v>
      </c>
      <c r="M4467" t="n">
        <v>0</v>
      </c>
      <c r="N4467" t="n">
        <v>0</v>
      </c>
      <c r="O4467" t="n">
        <v>0</v>
      </c>
      <c r="P4467" t="n">
        <v>0</v>
      </c>
      <c r="Q4467" t="n">
        <v>0</v>
      </c>
      <c r="R4467" s="2" t="inlineStr"/>
    </row>
    <row r="4468" ht="15" customHeight="1">
      <c r="A4468" t="inlineStr">
        <is>
          <t>A 37612-2024</t>
        </is>
      </c>
      <c r="B4468" s="1" t="n">
        <v>45541</v>
      </c>
      <c r="C4468" s="1" t="n">
        <v>45724</v>
      </c>
      <c r="D4468" t="inlineStr">
        <is>
          <t>VÄSTMANLANDS LÄN</t>
        </is>
      </c>
      <c r="E4468" t="inlineStr">
        <is>
          <t>SALA</t>
        </is>
      </c>
      <c r="G4468" t="n">
        <v>2.2</v>
      </c>
      <c r="H4468" t="n">
        <v>0</v>
      </c>
      <c r="I4468" t="n">
        <v>0</v>
      </c>
      <c r="J4468" t="n">
        <v>0</v>
      </c>
      <c r="K4468" t="n">
        <v>0</v>
      </c>
      <c r="L4468" t="n">
        <v>0</v>
      </c>
      <c r="M4468" t="n">
        <v>0</v>
      </c>
      <c r="N4468" t="n">
        <v>0</v>
      </c>
      <c r="O4468" t="n">
        <v>0</v>
      </c>
      <c r="P4468" t="n">
        <v>0</v>
      </c>
      <c r="Q4468" t="n">
        <v>0</v>
      </c>
      <c r="R4468" s="2" t="inlineStr"/>
    </row>
    <row r="4469" ht="15" customHeight="1">
      <c r="A4469" t="inlineStr">
        <is>
          <t>A 37624-2024</t>
        </is>
      </c>
      <c r="B4469" s="1" t="n">
        <v>45541</v>
      </c>
      <c r="C4469" s="1" t="n">
        <v>45724</v>
      </c>
      <c r="D4469" t="inlineStr">
        <is>
          <t>VÄSTMANLANDS LÄN</t>
        </is>
      </c>
      <c r="E4469" t="inlineStr">
        <is>
          <t>SALA</t>
        </is>
      </c>
      <c r="G4469" t="n">
        <v>0.7</v>
      </c>
      <c r="H4469" t="n">
        <v>0</v>
      </c>
      <c r="I4469" t="n">
        <v>0</v>
      </c>
      <c r="J4469" t="n">
        <v>0</v>
      </c>
      <c r="K4469" t="n">
        <v>0</v>
      </c>
      <c r="L4469" t="n">
        <v>0</v>
      </c>
      <c r="M4469" t="n">
        <v>0</v>
      </c>
      <c r="N4469" t="n">
        <v>0</v>
      </c>
      <c r="O4469" t="n">
        <v>0</v>
      </c>
      <c r="P4469" t="n">
        <v>0</v>
      </c>
      <c r="Q4469" t="n">
        <v>0</v>
      </c>
      <c r="R4469" s="2" t="inlineStr"/>
    </row>
    <row r="4470" ht="15" customHeight="1">
      <c r="A4470" t="inlineStr">
        <is>
          <t>A 37615-2024</t>
        </is>
      </c>
      <c r="B4470" s="1" t="n">
        <v>45541</v>
      </c>
      <c r="C4470" s="1" t="n">
        <v>45724</v>
      </c>
      <c r="D4470" t="inlineStr">
        <is>
          <t>VÄSTMANLANDS LÄN</t>
        </is>
      </c>
      <c r="E4470" t="inlineStr">
        <is>
          <t>SALA</t>
        </is>
      </c>
      <c r="G4470" t="n">
        <v>1.1</v>
      </c>
      <c r="H4470" t="n">
        <v>0</v>
      </c>
      <c r="I4470" t="n">
        <v>0</v>
      </c>
      <c r="J4470" t="n">
        <v>0</v>
      </c>
      <c r="K4470" t="n">
        <v>0</v>
      </c>
      <c r="L4470" t="n">
        <v>0</v>
      </c>
      <c r="M4470" t="n">
        <v>0</v>
      </c>
      <c r="N4470" t="n">
        <v>0</v>
      </c>
      <c r="O4470" t="n">
        <v>0</v>
      </c>
      <c r="P4470" t="n">
        <v>0</v>
      </c>
      <c r="Q4470" t="n">
        <v>0</v>
      </c>
      <c r="R4470" s="2" t="inlineStr"/>
    </row>
    <row r="4471" ht="15" customHeight="1">
      <c r="A4471" t="inlineStr">
        <is>
          <t>A 37732-2024</t>
        </is>
      </c>
      <c r="B4471" s="1" t="n">
        <v>45541</v>
      </c>
      <c r="C4471" s="1" t="n">
        <v>45724</v>
      </c>
      <c r="D4471" t="inlineStr">
        <is>
          <t>VÄSTMANLANDS LÄN</t>
        </is>
      </c>
      <c r="E4471" t="inlineStr">
        <is>
          <t>SKINNSKATTEBERG</t>
        </is>
      </c>
      <c r="F4471" t="inlineStr">
        <is>
          <t>Sveaskog</t>
        </is>
      </c>
      <c r="G4471" t="n">
        <v>4.2</v>
      </c>
      <c r="H4471" t="n">
        <v>0</v>
      </c>
      <c r="I4471" t="n">
        <v>0</v>
      </c>
      <c r="J4471" t="n">
        <v>0</v>
      </c>
      <c r="K4471" t="n">
        <v>0</v>
      </c>
      <c r="L4471" t="n">
        <v>0</v>
      </c>
      <c r="M4471" t="n">
        <v>0</v>
      </c>
      <c r="N4471" t="n">
        <v>0</v>
      </c>
      <c r="O4471" t="n">
        <v>0</v>
      </c>
      <c r="P4471" t="n">
        <v>0</v>
      </c>
      <c r="Q4471" t="n">
        <v>0</v>
      </c>
      <c r="R4471" s="2" t="inlineStr"/>
    </row>
    <row r="4472" ht="15" customHeight="1">
      <c r="A4472" t="inlineStr">
        <is>
          <t>A 37735-2024</t>
        </is>
      </c>
      <c r="B4472" s="1" t="n">
        <v>45541</v>
      </c>
      <c r="C4472" s="1" t="n">
        <v>45724</v>
      </c>
      <c r="D4472" t="inlineStr">
        <is>
          <t>VÄSTMANLANDS LÄN</t>
        </is>
      </c>
      <c r="E4472" t="inlineStr">
        <is>
          <t>SKINNSKATTEBERG</t>
        </is>
      </c>
      <c r="F4472" t="inlineStr">
        <is>
          <t>Sveaskog</t>
        </is>
      </c>
      <c r="G4472" t="n">
        <v>3.4</v>
      </c>
      <c r="H4472" t="n">
        <v>0</v>
      </c>
      <c r="I4472" t="n">
        <v>0</v>
      </c>
      <c r="J4472" t="n">
        <v>0</v>
      </c>
      <c r="K4472" t="n">
        <v>0</v>
      </c>
      <c r="L4472" t="n">
        <v>0</v>
      </c>
      <c r="M4472" t="n">
        <v>0</v>
      </c>
      <c r="N4472" t="n">
        <v>0</v>
      </c>
      <c r="O4472" t="n">
        <v>0</v>
      </c>
      <c r="P4472" t="n">
        <v>0</v>
      </c>
      <c r="Q4472" t="n">
        <v>0</v>
      </c>
      <c r="R4472" s="2" t="inlineStr"/>
    </row>
    <row r="4473" ht="15" customHeight="1">
      <c r="A4473" t="inlineStr">
        <is>
          <t>A 37730-2024</t>
        </is>
      </c>
      <c r="B4473" s="1" t="n">
        <v>45541</v>
      </c>
      <c r="C4473" s="1" t="n">
        <v>45724</v>
      </c>
      <c r="D4473" t="inlineStr">
        <is>
          <t>VÄSTMANLANDS LÄN</t>
        </is>
      </c>
      <c r="E4473" t="inlineStr">
        <is>
          <t>SKINNSKATTEBERG</t>
        </is>
      </c>
      <c r="F4473" t="inlineStr">
        <is>
          <t>Sveaskog</t>
        </is>
      </c>
      <c r="G4473" t="n">
        <v>1.2</v>
      </c>
      <c r="H4473" t="n">
        <v>0</v>
      </c>
      <c r="I4473" t="n">
        <v>0</v>
      </c>
      <c r="J4473" t="n">
        <v>0</v>
      </c>
      <c r="K4473" t="n">
        <v>0</v>
      </c>
      <c r="L4473" t="n">
        <v>0</v>
      </c>
      <c r="M4473" t="n">
        <v>0</v>
      </c>
      <c r="N4473" t="n">
        <v>0</v>
      </c>
      <c r="O4473" t="n">
        <v>0</v>
      </c>
      <c r="P4473" t="n">
        <v>0</v>
      </c>
      <c r="Q4473" t="n">
        <v>0</v>
      </c>
      <c r="R4473" s="2" t="inlineStr"/>
    </row>
    <row r="4474" ht="15" customHeight="1">
      <c r="A4474" t="inlineStr">
        <is>
          <t>A 37769-2024</t>
        </is>
      </c>
      <c r="B4474" s="1" t="n">
        <v>45541</v>
      </c>
      <c r="C4474" s="1" t="n">
        <v>45724</v>
      </c>
      <c r="D4474" t="inlineStr">
        <is>
          <t>VÄSTMANLANDS LÄN</t>
        </is>
      </c>
      <c r="E4474" t="inlineStr">
        <is>
          <t>SKINNSKATTEBERG</t>
        </is>
      </c>
      <c r="G4474" t="n">
        <v>3.2</v>
      </c>
      <c r="H4474" t="n">
        <v>0</v>
      </c>
      <c r="I4474" t="n">
        <v>0</v>
      </c>
      <c r="J4474" t="n">
        <v>0</v>
      </c>
      <c r="K4474" t="n">
        <v>0</v>
      </c>
      <c r="L4474" t="n">
        <v>0</v>
      </c>
      <c r="M4474" t="n">
        <v>0</v>
      </c>
      <c r="N4474" t="n">
        <v>0</v>
      </c>
      <c r="O4474" t="n">
        <v>0</v>
      </c>
      <c r="P4474" t="n">
        <v>0</v>
      </c>
      <c r="Q4474" t="n">
        <v>0</v>
      </c>
      <c r="R4474" s="2" t="inlineStr"/>
    </row>
    <row r="4475" ht="15" customHeight="1">
      <c r="A4475" t="inlineStr">
        <is>
          <t>A 37958-2024</t>
        </is>
      </c>
      <c r="B4475" s="1" t="n">
        <v>45544</v>
      </c>
      <c r="C4475" s="1" t="n">
        <v>45724</v>
      </c>
      <c r="D4475" t="inlineStr">
        <is>
          <t>VÄSTMANLANDS LÄN</t>
        </is>
      </c>
      <c r="E4475" t="inlineStr">
        <is>
          <t>SALA</t>
        </is>
      </c>
      <c r="G4475" t="n">
        <v>5.6</v>
      </c>
      <c r="H4475" t="n">
        <v>0</v>
      </c>
      <c r="I4475" t="n">
        <v>0</v>
      </c>
      <c r="J4475" t="n">
        <v>0</v>
      </c>
      <c r="K4475" t="n">
        <v>0</v>
      </c>
      <c r="L4475" t="n">
        <v>0</v>
      </c>
      <c r="M4475" t="n">
        <v>0</v>
      </c>
      <c r="N4475" t="n">
        <v>0</v>
      </c>
      <c r="O4475" t="n">
        <v>0</v>
      </c>
      <c r="P4475" t="n">
        <v>0</v>
      </c>
      <c r="Q4475" t="n">
        <v>0</v>
      </c>
      <c r="R4475" s="2" t="inlineStr"/>
    </row>
    <row r="4476" ht="15" customHeight="1">
      <c r="A4476" t="inlineStr">
        <is>
          <t>A 37998-2024</t>
        </is>
      </c>
      <c r="B4476" s="1" t="n">
        <v>45544</v>
      </c>
      <c r="C4476" s="1" t="n">
        <v>45724</v>
      </c>
      <c r="D4476" t="inlineStr">
        <is>
          <t>VÄSTMANLANDS LÄN</t>
        </is>
      </c>
      <c r="E4476" t="inlineStr">
        <is>
          <t>KÖPING</t>
        </is>
      </c>
      <c r="G4476" t="n">
        <v>4.5</v>
      </c>
      <c r="H4476" t="n">
        <v>0</v>
      </c>
      <c r="I4476" t="n">
        <v>0</v>
      </c>
      <c r="J4476" t="n">
        <v>0</v>
      </c>
      <c r="K4476" t="n">
        <v>0</v>
      </c>
      <c r="L4476" t="n">
        <v>0</v>
      </c>
      <c r="M4476" t="n">
        <v>0</v>
      </c>
      <c r="N4476" t="n">
        <v>0</v>
      </c>
      <c r="O4476" t="n">
        <v>0</v>
      </c>
      <c r="P4476" t="n">
        <v>0</v>
      </c>
      <c r="Q4476" t="n">
        <v>0</v>
      </c>
      <c r="R4476" s="2" t="inlineStr"/>
    </row>
    <row r="4477" ht="15" customHeight="1">
      <c r="A4477" t="inlineStr">
        <is>
          <t>A 38109-2024</t>
        </is>
      </c>
      <c r="B4477" s="1" t="n">
        <v>45545</v>
      </c>
      <c r="C4477" s="1" t="n">
        <v>45724</v>
      </c>
      <c r="D4477" t="inlineStr">
        <is>
          <t>VÄSTMANLANDS LÄN</t>
        </is>
      </c>
      <c r="E4477" t="inlineStr">
        <is>
          <t>VÄSTERÅS</t>
        </is>
      </c>
      <c r="G4477" t="n">
        <v>4.3</v>
      </c>
      <c r="H4477" t="n">
        <v>0</v>
      </c>
      <c r="I4477" t="n">
        <v>0</v>
      </c>
      <c r="J4477" t="n">
        <v>0</v>
      </c>
      <c r="K4477" t="n">
        <v>0</v>
      </c>
      <c r="L4477" t="n">
        <v>0</v>
      </c>
      <c r="M4477" t="n">
        <v>0</v>
      </c>
      <c r="N4477" t="n">
        <v>0</v>
      </c>
      <c r="O4477" t="n">
        <v>0</v>
      </c>
      <c r="P4477" t="n">
        <v>0</v>
      </c>
      <c r="Q4477" t="n">
        <v>0</v>
      </c>
      <c r="R4477" s="2" t="inlineStr"/>
    </row>
    <row r="4478" ht="15" customHeight="1">
      <c r="A4478" t="inlineStr">
        <is>
          <t>A 38345-2024</t>
        </is>
      </c>
      <c r="B4478" s="1" t="n">
        <v>45545</v>
      </c>
      <c r="C4478" s="1" t="n">
        <v>45724</v>
      </c>
      <c r="D4478" t="inlineStr">
        <is>
          <t>VÄSTMANLANDS LÄN</t>
        </is>
      </c>
      <c r="E4478" t="inlineStr">
        <is>
          <t>VÄSTERÅS</t>
        </is>
      </c>
      <c r="G4478" t="n">
        <v>0.7</v>
      </c>
      <c r="H4478" t="n">
        <v>0</v>
      </c>
      <c r="I4478" t="n">
        <v>0</v>
      </c>
      <c r="J4478" t="n">
        <v>0</v>
      </c>
      <c r="K4478" t="n">
        <v>0</v>
      </c>
      <c r="L4478" t="n">
        <v>0</v>
      </c>
      <c r="M4478" t="n">
        <v>0</v>
      </c>
      <c r="N4478" t="n">
        <v>0</v>
      </c>
      <c r="O4478" t="n">
        <v>0</v>
      </c>
      <c r="P4478" t="n">
        <v>0</v>
      </c>
      <c r="Q4478" t="n">
        <v>0</v>
      </c>
      <c r="R4478" s="2" t="inlineStr"/>
    </row>
    <row r="4479" ht="15" customHeight="1">
      <c r="A4479" t="inlineStr">
        <is>
          <t>A 38324-2024</t>
        </is>
      </c>
      <c r="B4479" s="1" t="n">
        <v>45545</v>
      </c>
      <c r="C4479" s="1" t="n">
        <v>45724</v>
      </c>
      <c r="D4479" t="inlineStr">
        <is>
          <t>VÄSTMANLANDS LÄN</t>
        </is>
      </c>
      <c r="E4479" t="inlineStr">
        <is>
          <t>NORBERG</t>
        </is>
      </c>
      <c r="G4479" t="n">
        <v>0.8</v>
      </c>
      <c r="H4479" t="n">
        <v>0</v>
      </c>
      <c r="I4479" t="n">
        <v>0</v>
      </c>
      <c r="J4479" t="n">
        <v>0</v>
      </c>
      <c r="K4479" t="n">
        <v>0</v>
      </c>
      <c r="L4479" t="n">
        <v>0</v>
      </c>
      <c r="M4479" t="n">
        <v>0</v>
      </c>
      <c r="N4479" t="n">
        <v>0</v>
      </c>
      <c r="O4479" t="n">
        <v>0</v>
      </c>
      <c r="P4479" t="n">
        <v>0</v>
      </c>
      <c r="Q4479" t="n">
        <v>0</v>
      </c>
      <c r="R4479" s="2" t="inlineStr"/>
    </row>
    <row r="4480" ht="15" customHeight="1">
      <c r="A4480" t="inlineStr">
        <is>
          <t>A 38434-2024</t>
        </is>
      </c>
      <c r="B4480" s="1" t="n">
        <v>45546</v>
      </c>
      <c r="C4480" s="1" t="n">
        <v>45724</v>
      </c>
      <c r="D4480" t="inlineStr">
        <is>
          <t>VÄSTMANLANDS LÄN</t>
        </is>
      </c>
      <c r="E4480" t="inlineStr">
        <is>
          <t>SALA</t>
        </is>
      </c>
      <c r="G4480" t="n">
        <v>2.6</v>
      </c>
      <c r="H4480" t="n">
        <v>0</v>
      </c>
      <c r="I4480" t="n">
        <v>0</v>
      </c>
      <c r="J4480" t="n">
        <v>0</v>
      </c>
      <c r="K4480" t="n">
        <v>0</v>
      </c>
      <c r="L4480" t="n">
        <v>0</v>
      </c>
      <c r="M4480" t="n">
        <v>0</v>
      </c>
      <c r="N4480" t="n">
        <v>0</v>
      </c>
      <c r="O4480" t="n">
        <v>0</v>
      </c>
      <c r="P4480" t="n">
        <v>0</v>
      </c>
      <c r="Q4480" t="n">
        <v>0</v>
      </c>
      <c r="R4480" s="2" t="inlineStr"/>
    </row>
    <row r="4481" ht="15" customHeight="1">
      <c r="A4481" t="inlineStr">
        <is>
          <t>A 38629-2024</t>
        </is>
      </c>
      <c r="B4481" s="1" t="n">
        <v>45546</v>
      </c>
      <c r="C4481" s="1" t="n">
        <v>45724</v>
      </c>
      <c r="D4481" t="inlineStr">
        <is>
          <t>VÄSTMANLANDS LÄN</t>
        </is>
      </c>
      <c r="E4481" t="inlineStr">
        <is>
          <t>KÖPING</t>
        </is>
      </c>
      <c r="G4481" t="n">
        <v>11.7</v>
      </c>
      <c r="H4481" t="n">
        <v>0</v>
      </c>
      <c r="I4481" t="n">
        <v>0</v>
      </c>
      <c r="J4481" t="n">
        <v>0</v>
      </c>
      <c r="K4481" t="n">
        <v>0</v>
      </c>
      <c r="L4481" t="n">
        <v>0</v>
      </c>
      <c r="M4481" t="n">
        <v>0</v>
      </c>
      <c r="N4481" t="n">
        <v>0</v>
      </c>
      <c r="O4481" t="n">
        <v>0</v>
      </c>
      <c r="P4481" t="n">
        <v>0</v>
      </c>
      <c r="Q4481" t="n">
        <v>0</v>
      </c>
      <c r="R4481" s="2" t="inlineStr"/>
    </row>
    <row r="4482" ht="15" customHeight="1">
      <c r="A4482" t="inlineStr">
        <is>
          <t>A 38667-2024</t>
        </is>
      </c>
      <c r="B4482" s="1" t="n">
        <v>45547</v>
      </c>
      <c r="C4482" s="1" t="n">
        <v>45724</v>
      </c>
      <c r="D4482" t="inlineStr">
        <is>
          <t>VÄSTMANLANDS LÄN</t>
        </is>
      </c>
      <c r="E4482" t="inlineStr">
        <is>
          <t>VÄSTERÅS</t>
        </is>
      </c>
      <c r="G4482" t="n">
        <v>4.1</v>
      </c>
      <c r="H4482" t="n">
        <v>0</v>
      </c>
      <c r="I4482" t="n">
        <v>0</v>
      </c>
      <c r="J4482" t="n">
        <v>0</v>
      </c>
      <c r="K4482" t="n">
        <v>0</v>
      </c>
      <c r="L4482" t="n">
        <v>0</v>
      </c>
      <c r="M4482" t="n">
        <v>0</v>
      </c>
      <c r="N4482" t="n">
        <v>0</v>
      </c>
      <c r="O4482" t="n">
        <v>0</v>
      </c>
      <c r="P4482" t="n">
        <v>0</v>
      </c>
      <c r="Q4482" t="n">
        <v>0</v>
      </c>
      <c r="R4482" s="2" t="inlineStr"/>
    </row>
    <row r="4483" ht="15" customHeight="1">
      <c r="A4483" t="inlineStr">
        <is>
          <t>A 38752-2024</t>
        </is>
      </c>
      <c r="B4483" s="1" t="n">
        <v>45547</v>
      </c>
      <c r="C4483" s="1" t="n">
        <v>45724</v>
      </c>
      <c r="D4483" t="inlineStr">
        <is>
          <t>VÄSTMANLANDS LÄN</t>
        </is>
      </c>
      <c r="E4483" t="inlineStr">
        <is>
          <t>VÄSTERÅS</t>
        </is>
      </c>
      <c r="F4483" t="inlineStr">
        <is>
          <t>Kyrkan</t>
        </is>
      </c>
      <c r="G4483" t="n">
        <v>2</v>
      </c>
      <c r="H4483" t="n">
        <v>0</v>
      </c>
      <c r="I4483" t="n">
        <v>0</v>
      </c>
      <c r="J4483" t="n">
        <v>0</v>
      </c>
      <c r="K4483" t="n">
        <v>0</v>
      </c>
      <c r="L4483" t="n">
        <v>0</v>
      </c>
      <c r="M4483" t="n">
        <v>0</v>
      </c>
      <c r="N4483" t="n">
        <v>0</v>
      </c>
      <c r="O4483" t="n">
        <v>0</v>
      </c>
      <c r="P4483" t="n">
        <v>0</v>
      </c>
      <c r="Q4483" t="n">
        <v>0</v>
      </c>
      <c r="R4483" s="2" t="inlineStr"/>
    </row>
    <row r="4484" ht="15" customHeight="1">
      <c r="A4484" t="inlineStr">
        <is>
          <t>A 38785-2024</t>
        </is>
      </c>
      <c r="B4484" s="1" t="n">
        <v>45547</v>
      </c>
      <c r="C4484" s="1" t="n">
        <v>45724</v>
      </c>
      <c r="D4484" t="inlineStr">
        <is>
          <t>VÄSTMANLANDS LÄN</t>
        </is>
      </c>
      <c r="E4484" t="inlineStr">
        <is>
          <t>ARBOGA</t>
        </is>
      </c>
      <c r="F4484" t="inlineStr">
        <is>
          <t>Allmännings- och besparingsskogar</t>
        </is>
      </c>
      <c r="G4484" t="n">
        <v>1.1</v>
      </c>
      <c r="H4484" t="n">
        <v>0</v>
      </c>
      <c r="I4484" t="n">
        <v>0</v>
      </c>
      <c r="J4484" t="n">
        <v>0</v>
      </c>
      <c r="K4484" t="n">
        <v>0</v>
      </c>
      <c r="L4484" t="n">
        <v>0</v>
      </c>
      <c r="M4484" t="n">
        <v>0</v>
      </c>
      <c r="N4484" t="n">
        <v>0</v>
      </c>
      <c r="O4484" t="n">
        <v>0</v>
      </c>
      <c r="P4484" t="n">
        <v>0</v>
      </c>
      <c r="Q4484" t="n">
        <v>0</v>
      </c>
      <c r="R4484" s="2" t="inlineStr"/>
    </row>
    <row r="4485" ht="15" customHeight="1">
      <c r="A4485" t="inlineStr">
        <is>
          <t>A 38784-2024</t>
        </is>
      </c>
      <c r="B4485" s="1" t="n">
        <v>45547</v>
      </c>
      <c r="C4485" s="1" t="n">
        <v>45724</v>
      </c>
      <c r="D4485" t="inlineStr">
        <is>
          <t>VÄSTMANLANDS LÄN</t>
        </is>
      </c>
      <c r="E4485" t="inlineStr">
        <is>
          <t>SKINNSKATTEBERG</t>
        </is>
      </c>
      <c r="F4485" t="inlineStr">
        <is>
          <t>Sveaskog</t>
        </is>
      </c>
      <c r="G4485" t="n">
        <v>3.3</v>
      </c>
      <c r="H4485" t="n">
        <v>0</v>
      </c>
      <c r="I4485" t="n">
        <v>0</v>
      </c>
      <c r="J4485" t="n">
        <v>0</v>
      </c>
      <c r="K4485" t="n">
        <v>0</v>
      </c>
      <c r="L4485" t="n">
        <v>0</v>
      </c>
      <c r="M4485" t="n">
        <v>0</v>
      </c>
      <c r="N4485" t="n">
        <v>0</v>
      </c>
      <c r="O4485" t="n">
        <v>0</v>
      </c>
      <c r="P4485" t="n">
        <v>0</v>
      </c>
      <c r="Q4485" t="n">
        <v>0</v>
      </c>
      <c r="R4485" s="2" t="inlineStr"/>
    </row>
    <row r="4486" ht="15" customHeight="1">
      <c r="A4486" t="inlineStr">
        <is>
          <t>A 38788-2024</t>
        </is>
      </c>
      <c r="B4486" s="1" t="n">
        <v>45547</v>
      </c>
      <c r="C4486" s="1" t="n">
        <v>45724</v>
      </c>
      <c r="D4486" t="inlineStr">
        <is>
          <t>VÄSTMANLANDS LÄN</t>
        </is>
      </c>
      <c r="E4486" t="inlineStr">
        <is>
          <t>ARBOGA</t>
        </is>
      </c>
      <c r="F4486" t="inlineStr">
        <is>
          <t>Allmännings- och besparingsskogar</t>
        </is>
      </c>
      <c r="G4486" t="n">
        <v>1.6</v>
      </c>
      <c r="H4486" t="n">
        <v>0</v>
      </c>
      <c r="I4486" t="n">
        <v>0</v>
      </c>
      <c r="J4486" t="n">
        <v>0</v>
      </c>
      <c r="K4486" t="n">
        <v>0</v>
      </c>
      <c r="L4486" t="n">
        <v>0</v>
      </c>
      <c r="M4486" t="n">
        <v>0</v>
      </c>
      <c r="N4486" t="n">
        <v>0</v>
      </c>
      <c r="O4486" t="n">
        <v>0</v>
      </c>
      <c r="P4486" t="n">
        <v>0</v>
      </c>
      <c r="Q4486" t="n">
        <v>0</v>
      </c>
      <c r="R4486" s="2" t="inlineStr"/>
    </row>
    <row r="4487" ht="15" customHeight="1">
      <c r="A4487" t="inlineStr">
        <is>
          <t>A 38782-2024</t>
        </is>
      </c>
      <c r="B4487" s="1" t="n">
        <v>45547</v>
      </c>
      <c r="C4487" s="1" t="n">
        <v>45724</v>
      </c>
      <c r="D4487" t="inlineStr">
        <is>
          <t>VÄSTMANLANDS LÄN</t>
        </is>
      </c>
      <c r="E4487" t="inlineStr">
        <is>
          <t>SKINNSKATTEBERG</t>
        </is>
      </c>
      <c r="F4487" t="inlineStr">
        <is>
          <t>Sveaskog</t>
        </is>
      </c>
      <c r="G4487" t="n">
        <v>3.8</v>
      </c>
      <c r="H4487" t="n">
        <v>0</v>
      </c>
      <c r="I4487" t="n">
        <v>0</v>
      </c>
      <c r="J4487" t="n">
        <v>0</v>
      </c>
      <c r="K4487" t="n">
        <v>0</v>
      </c>
      <c r="L4487" t="n">
        <v>0</v>
      </c>
      <c r="M4487" t="n">
        <v>0</v>
      </c>
      <c r="N4487" t="n">
        <v>0</v>
      </c>
      <c r="O4487" t="n">
        <v>0</v>
      </c>
      <c r="P4487" t="n">
        <v>0</v>
      </c>
      <c r="Q4487" t="n">
        <v>0</v>
      </c>
      <c r="R4487" s="2" t="inlineStr"/>
    </row>
    <row r="4488" ht="15" customHeight="1">
      <c r="A4488" t="inlineStr">
        <is>
          <t>A 38665-2024</t>
        </is>
      </c>
      <c r="B4488" s="1" t="n">
        <v>45547</v>
      </c>
      <c r="C4488" s="1" t="n">
        <v>45724</v>
      </c>
      <c r="D4488" t="inlineStr">
        <is>
          <t>VÄSTMANLANDS LÄN</t>
        </is>
      </c>
      <c r="E4488" t="inlineStr">
        <is>
          <t>HALLSTAHAMMAR</t>
        </is>
      </c>
      <c r="G4488" t="n">
        <v>2.6</v>
      </c>
      <c r="H4488" t="n">
        <v>0</v>
      </c>
      <c r="I4488" t="n">
        <v>0</v>
      </c>
      <c r="J4488" t="n">
        <v>0</v>
      </c>
      <c r="K4488" t="n">
        <v>0</v>
      </c>
      <c r="L4488" t="n">
        <v>0</v>
      </c>
      <c r="M4488" t="n">
        <v>0</v>
      </c>
      <c r="N4488" t="n">
        <v>0</v>
      </c>
      <c r="O4488" t="n">
        <v>0</v>
      </c>
      <c r="P4488" t="n">
        <v>0</v>
      </c>
      <c r="Q4488" t="n">
        <v>0</v>
      </c>
      <c r="R4488" s="2" t="inlineStr"/>
    </row>
    <row r="4489" ht="15" customHeight="1">
      <c r="A4489" t="inlineStr">
        <is>
          <t>A 38775-2024</t>
        </is>
      </c>
      <c r="B4489" s="1" t="n">
        <v>45547</v>
      </c>
      <c r="C4489" s="1" t="n">
        <v>45724</v>
      </c>
      <c r="D4489" t="inlineStr">
        <is>
          <t>VÄSTMANLANDS LÄN</t>
        </is>
      </c>
      <c r="E4489" t="inlineStr">
        <is>
          <t>ARBOGA</t>
        </is>
      </c>
      <c r="F4489" t="inlineStr">
        <is>
          <t>Allmännings- och besparingsskogar</t>
        </is>
      </c>
      <c r="G4489" t="n">
        <v>4.3</v>
      </c>
      <c r="H4489" t="n">
        <v>0</v>
      </c>
      <c r="I4489" t="n">
        <v>0</v>
      </c>
      <c r="J4489" t="n">
        <v>0</v>
      </c>
      <c r="K4489" t="n">
        <v>0</v>
      </c>
      <c r="L4489" t="n">
        <v>0</v>
      </c>
      <c r="M4489" t="n">
        <v>0</v>
      </c>
      <c r="N4489" t="n">
        <v>0</v>
      </c>
      <c r="O4489" t="n">
        <v>0</v>
      </c>
      <c r="P4489" t="n">
        <v>0</v>
      </c>
      <c r="Q4489" t="n">
        <v>0</v>
      </c>
      <c r="R4489" s="2" t="inlineStr"/>
    </row>
    <row r="4490" ht="15" customHeight="1">
      <c r="A4490" t="inlineStr">
        <is>
          <t>A 38783-2024</t>
        </is>
      </c>
      <c r="B4490" s="1" t="n">
        <v>45547</v>
      </c>
      <c r="C4490" s="1" t="n">
        <v>45724</v>
      </c>
      <c r="D4490" t="inlineStr">
        <is>
          <t>VÄSTMANLANDS LÄN</t>
        </is>
      </c>
      <c r="E4490" t="inlineStr">
        <is>
          <t>SKINNSKATTEBERG</t>
        </is>
      </c>
      <c r="F4490" t="inlineStr">
        <is>
          <t>Sveaskog</t>
        </is>
      </c>
      <c r="G4490" t="n">
        <v>5.2</v>
      </c>
      <c r="H4490" t="n">
        <v>0</v>
      </c>
      <c r="I4490" t="n">
        <v>0</v>
      </c>
      <c r="J4490" t="n">
        <v>0</v>
      </c>
      <c r="K4490" t="n">
        <v>0</v>
      </c>
      <c r="L4490" t="n">
        <v>0</v>
      </c>
      <c r="M4490" t="n">
        <v>0</v>
      </c>
      <c r="N4490" t="n">
        <v>0</v>
      </c>
      <c r="O4490" t="n">
        <v>0</v>
      </c>
      <c r="P4490" t="n">
        <v>0</v>
      </c>
      <c r="Q4490" t="n">
        <v>0</v>
      </c>
      <c r="R4490" s="2" t="inlineStr"/>
    </row>
    <row r="4491" ht="15" customHeight="1">
      <c r="A4491" t="inlineStr">
        <is>
          <t>A 38844-2024</t>
        </is>
      </c>
      <c r="B4491" s="1" t="n">
        <v>45547</v>
      </c>
      <c r="C4491" s="1" t="n">
        <v>45724</v>
      </c>
      <c r="D4491" t="inlineStr">
        <is>
          <t>VÄSTMANLANDS LÄN</t>
        </is>
      </c>
      <c r="E4491" t="inlineStr">
        <is>
          <t>KÖPING</t>
        </is>
      </c>
      <c r="G4491" t="n">
        <v>0.9</v>
      </c>
      <c r="H4491" t="n">
        <v>0</v>
      </c>
      <c r="I4491" t="n">
        <v>0</v>
      </c>
      <c r="J4491" t="n">
        <v>0</v>
      </c>
      <c r="K4491" t="n">
        <v>0</v>
      </c>
      <c r="L4491" t="n">
        <v>0</v>
      </c>
      <c r="M4491" t="n">
        <v>0</v>
      </c>
      <c r="N4491" t="n">
        <v>0</v>
      </c>
      <c r="O4491" t="n">
        <v>0</v>
      </c>
      <c r="P4491" t="n">
        <v>0</v>
      </c>
      <c r="Q4491" t="n">
        <v>0</v>
      </c>
      <c r="R4491" s="2" t="inlineStr"/>
    </row>
    <row r="4492" ht="15" customHeight="1">
      <c r="A4492" t="inlineStr">
        <is>
          <t>A 38857-2024</t>
        </is>
      </c>
      <c r="B4492" s="1" t="n">
        <v>45547</v>
      </c>
      <c r="C4492" s="1" t="n">
        <v>45724</v>
      </c>
      <c r="D4492" t="inlineStr">
        <is>
          <t>VÄSTMANLANDS LÄN</t>
        </is>
      </c>
      <c r="E4492" t="inlineStr">
        <is>
          <t>KÖPING</t>
        </is>
      </c>
      <c r="G4492" t="n">
        <v>3</v>
      </c>
      <c r="H4492" t="n">
        <v>0</v>
      </c>
      <c r="I4492" t="n">
        <v>0</v>
      </c>
      <c r="J4492" t="n">
        <v>0</v>
      </c>
      <c r="K4492" t="n">
        <v>0</v>
      </c>
      <c r="L4492" t="n">
        <v>0</v>
      </c>
      <c r="M4492" t="n">
        <v>0</v>
      </c>
      <c r="N4492" t="n">
        <v>0</v>
      </c>
      <c r="O4492" t="n">
        <v>0</v>
      </c>
      <c r="P4492" t="n">
        <v>0</v>
      </c>
      <c r="Q4492" t="n">
        <v>0</v>
      </c>
      <c r="R4492" s="2" t="inlineStr"/>
    </row>
    <row r="4493" ht="15" customHeight="1">
      <c r="A4493" t="inlineStr">
        <is>
          <t>A 39155-2024</t>
        </is>
      </c>
      <c r="B4493" s="1" t="n">
        <v>45548</v>
      </c>
      <c r="C4493" s="1" t="n">
        <v>45724</v>
      </c>
      <c r="D4493" t="inlineStr">
        <is>
          <t>VÄSTMANLANDS LÄN</t>
        </is>
      </c>
      <c r="E4493" t="inlineStr">
        <is>
          <t>FAGERSTA</t>
        </is>
      </c>
      <c r="G4493" t="n">
        <v>4</v>
      </c>
      <c r="H4493" t="n">
        <v>0</v>
      </c>
      <c r="I4493" t="n">
        <v>0</v>
      </c>
      <c r="J4493" t="n">
        <v>0</v>
      </c>
      <c r="K4493" t="n">
        <v>0</v>
      </c>
      <c r="L4493" t="n">
        <v>0</v>
      </c>
      <c r="M4493" t="n">
        <v>0</v>
      </c>
      <c r="N4493" t="n">
        <v>0</v>
      </c>
      <c r="O4493" t="n">
        <v>0</v>
      </c>
      <c r="P4493" t="n">
        <v>0</v>
      </c>
      <c r="Q4493" t="n">
        <v>0</v>
      </c>
      <c r="R4493" s="2" t="inlineStr"/>
    </row>
    <row r="4494" ht="15" customHeight="1">
      <c r="A4494" t="inlineStr">
        <is>
          <t>A 39157-2024</t>
        </is>
      </c>
      <c r="B4494" s="1" t="n">
        <v>45548</v>
      </c>
      <c r="C4494" s="1" t="n">
        <v>45724</v>
      </c>
      <c r="D4494" t="inlineStr">
        <is>
          <t>VÄSTMANLANDS LÄN</t>
        </is>
      </c>
      <c r="E4494" t="inlineStr">
        <is>
          <t>FAGERSTA</t>
        </is>
      </c>
      <c r="G4494" t="n">
        <v>1.6</v>
      </c>
      <c r="H4494" t="n">
        <v>0</v>
      </c>
      <c r="I4494" t="n">
        <v>0</v>
      </c>
      <c r="J4494" t="n">
        <v>0</v>
      </c>
      <c r="K4494" t="n">
        <v>0</v>
      </c>
      <c r="L4494" t="n">
        <v>0</v>
      </c>
      <c r="M4494" t="n">
        <v>0</v>
      </c>
      <c r="N4494" t="n">
        <v>0</v>
      </c>
      <c r="O4494" t="n">
        <v>0</v>
      </c>
      <c r="P4494" t="n">
        <v>0</v>
      </c>
      <c r="Q4494" t="n">
        <v>0</v>
      </c>
      <c r="R4494" s="2" t="inlineStr"/>
    </row>
    <row r="4495" ht="15" customHeight="1">
      <c r="A4495" t="inlineStr">
        <is>
          <t>A 39261-2024</t>
        </is>
      </c>
      <c r="B4495" s="1" t="n">
        <v>45551</v>
      </c>
      <c r="C4495" s="1" t="n">
        <v>45724</v>
      </c>
      <c r="D4495" t="inlineStr">
        <is>
          <t>VÄSTMANLANDS LÄN</t>
        </is>
      </c>
      <c r="E4495" t="inlineStr">
        <is>
          <t>NORBERG</t>
        </is>
      </c>
      <c r="F4495" t="inlineStr">
        <is>
          <t>Övriga Aktiebolag</t>
        </is>
      </c>
      <c r="G4495" t="n">
        <v>6.5</v>
      </c>
      <c r="H4495" t="n">
        <v>0</v>
      </c>
      <c r="I4495" t="n">
        <v>0</v>
      </c>
      <c r="J4495" t="n">
        <v>0</v>
      </c>
      <c r="K4495" t="n">
        <v>0</v>
      </c>
      <c r="L4495" t="n">
        <v>0</v>
      </c>
      <c r="M4495" t="n">
        <v>0</v>
      </c>
      <c r="N4495" t="n">
        <v>0</v>
      </c>
      <c r="O4495" t="n">
        <v>0</v>
      </c>
      <c r="P4495" t="n">
        <v>0</v>
      </c>
      <c r="Q4495" t="n">
        <v>0</v>
      </c>
      <c r="R4495" s="2" t="inlineStr"/>
    </row>
    <row r="4496" ht="15" customHeight="1">
      <c r="A4496" t="inlineStr">
        <is>
          <t>A 39290-2024</t>
        </is>
      </c>
      <c r="B4496" s="1" t="n">
        <v>45551</v>
      </c>
      <c r="C4496" s="1" t="n">
        <v>45724</v>
      </c>
      <c r="D4496" t="inlineStr">
        <is>
          <t>VÄSTMANLANDS LÄN</t>
        </is>
      </c>
      <c r="E4496" t="inlineStr">
        <is>
          <t>KÖPING</t>
        </is>
      </c>
      <c r="G4496" t="n">
        <v>3.6</v>
      </c>
      <c r="H4496" t="n">
        <v>0</v>
      </c>
      <c r="I4496" t="n">
        <v>0</v>
      </c>
      <c r="J4496" t="n">
        <v>0</v>
      </c>
      <c r="K4496" t="n">
        <v>0</v>
      </c>
      <c r="L4496" t="n">
        <v>0</v>
      </c>
      <c r="M4496" t="n">
        <v>0</v>
      </c>
      <c r="N4496" t="n">
        <v>0</v>
      </c>
      <c r="O4496" t="n">
        <v>0</v>
      </c>
      <c r="P4496" t="n">
        <v>0</v>
      </c>
      <c r="Q4496" t="n">
        <v>0</v>
      </c>
      <c r="R4496" s="2" t="inlineStr"/>
      <c r="U4496">
        <f>HYPERLINK("https://klasma.github.io/Logging_1983/knärot/A 39290-2024 karta knärot.png", "A 39290-2024")</f>
        <v/>
      </c>
      <c r="V4496">
        <f>HYPERLINK("https://klasma.github.io/Logging_1983/klagomål/A 39290-2024 FSC-klagomål.docx", "A 39290-2024")</f>
        <v/>
      </c>
      <c r="W4496">
        <f>HYPERLINK("https://klasma.github.io/Logging_1983/klagomålsmail/A 39290-2024 FSC-klagomål mail.docx", "A 39290-2024")</f>
        <v/>
      </c>
      <c r="X4496">
        <f>HYPERLINK("https://klasma.github.io/Logging_1983/tillsyn/A 39290-2024 tillsynsbegäran.docx", "A 39290-2024")</f>
        <v/>
      </c>
      <c r="Y4496">
        <f>HYPERLINK("https://klasma.github.io/Logging_1983/tillsynsmail/A 39290-2024 tillsynsbegäran mail.docx", "A 39290-2024")</f>
        <v/>
      </c>
    </row>
    <row r="4497" ht="15" customHeight="1">
      <c r="A4497" t="inlineStr">
        <is>
          <t>A 39255-2024</t>
        </is>
      </c>
      <c r="B4497" s="1" t="n">
        <v>45551</v>
      </c>
      <c r="C4497" s="1" t="n">
        <v>45724</v>
      </c>
      <c r="D4497" t="inlineStr">
        <is>
          <t>VÄSTMANLANDS LÄN</t>
        </is>
      </c>
      <c r="E4497" t="inlineStr">
        <is>
          <t>NORBERG</t>
        </is>
      </c>
      <c r="F4497" t="inlineStr">
        <is>
          <t>Bergvik skog väst AB</t>
        </is>
      </c>
      <c r="G4497" t="n">
        <v>2.1</v>
      </c>
      <c r="H4497" t="n">
        <v>0</v>
      </c>
      <c r="I4497" t="n">
        <v>0</v>
      </c>
      <c r="J4497" t="n">
        <v>0</v>
      </c>
      <c r="K4497" t="n">
        <v>0</v>
      </c>
      <c r="L4497" t="n">
        <v>0</v>
      </c>
      <c r="M4497" t="n">
        <v>0</v>
      </c>
      <c r="N4497" t="n">
        <v>0</v>
      </c>
      <c r="O4497" t="n">
        <v>0</v>
      </c>
      <c r="P4497" t="n">
        <v>0</v>
      </c>
      <c r="Q4497" t="n">
        <v>0</v>
      </c>
      <c r="R4497" s="2" t="inlineStr"/>
    </row>
    <row r="4498" ht="15" customHeight="1">
      <c r="A4498" t="inlineStr">
        <is>
          <t>A 39332-2024</t>
        </is>
      </c>
      <c r="B4498" s="1" t="n">
        <v>45551</v>
      </c>
      <c r="C4498" s="1" t="n">
        <v>45724</v>
      </c>
      <c r="D4498" t="inlineStr">
        <is>
          <t>VÄSTMANLANDS LÄN</t>
        </is>
      </c>
      <c r="E4498" t="inlineStr">
        <is>
          <t>KÖPING</t>
        </is>
      </c>
      <c r="G4498" t="n">
        <v>4.4</v>
      </c>
      <c r="H4498" t="n">
        <v>0</v>
      </c>
      <c r="I4498" t="n">
        <v>0</v>
      </c>
      <c r="J4498" t="n">
        <v>0</v>
      </c>
      <c r="K4498" t="n">
        <v>0</v>
      </c>
      <c r="L4498" t="n">
        <v>0</v>
      </c>
      <c r="M4498" t="n">
        <v>0</v>
      </c>
      <c r="N4498" t="n">
        <v>0</v>
      </c>
      <c r="O4498" t="n">
        <v>0</v>
      </c>
      <c r="P4498" t="n">
        <v>0</v>
      </c>
      <c r="Q4498" t="n">
        <v>0</v>
      </c>
      <c r="R4498" s="2" t="inlineStr"/>
    </row>
    <row r="4499" ht="15" customHeight="1">
      <c r="A4499" t="inlineStr">
        <is>
          <t>A 39364-2024</t>
        </is>
      </c>
      <c r="B4499" s="1" t="n">
        <v>45551</v>
      </c>
      <c r="C4499" s="1" t="n">
        <v>45724</v>
      </c>
      <c r="D4499" t="inlineStr">
        <is>
          <t>VÄSTMANLANDS LÄN</t>
        </is>
      </c>
      <c r="E4499" t="inlineStr">
        <is>
          <t>SALA</t>
        </is>
      </c>
      <c r="G4499" t="n">
        <v>2.8</v>
      </c>
      <c r="H4499" t="n">
        <v>0</v>
      </c>
      <c r="I4499" t="n">
        <v>0</v>
      </c>
      <c r="J4499" t="n">
        <v>0</v>
      </c>
      <c r="K4499" t="n">
        <v>0</v>
      </c>
      <c r="L4499" t="n">
        <v>0</v>
      </c>
      <c r="M4499" t="n">
        <v>0</v>
      </c>
      <c r="N4499" t="n">
        <v>0</v>
      </c>
      <c r="O4499" t="n">
        <v>0</v>
      </c>
      <c r="P4499" t="n">
        <v>0</v>
      </c>
      <c r="Q4499" t="n">
        <v>0</v>
      </c>
      <c r="R4499" s="2" t="inlineStr"/>
    </row>
    <row r="4500" ht="15" customHeight="1">
      <c r="A4500" t="inlineStr">
        <is>
          <t>A 39358-2024</t>
        </is>
      </c>
      <c r="B4500" s="1" t="n">
        <v>45551</v>
      </c>
      <c r="C4500" s="1" t="n">
        <v>45724</v>
      </c>
      <c r="D4500" t="inlineStr">
        <is>
          <t>VÄSTMANLANDS LÄN</t>
        </is>
      </c>
      <c r="E4500" t="inlineStr">
        <is>
          <t>KÖPING</t>
        </is>
      </c>
      <c r="G4500" t="n">
        <v>2</v>
      </c>
      <c r="H4500" t="n">
        <v>0</v>
      </c>
      <c r="I4500" t="n">
        <v>0</v>
      </c>
      <c r="J4500" t="n">
        <v>0</v>
      </c>
      <c r="K4500" t="n">
        <v>0</v>
      </c>
      <c r="L4500" t="n">
        <v>0</v>
      </c>
      <c r="M4500" t="n">
        <v>0</v>
      </c>
      <c r="N4500" t="n">
        <v>0</v>
      </c>
      <c r="O4500" t="n">
        <v>0</v>
      </c>
      <c r="P4500" t="n">
        <v>0</v>
      </c>
      <c r="Q4500" t="n">
        <v>0</v>
      </c>
      <c r="R4500" s="2" t="inlineStr"/>
    </row>
    <row r="4501" ht="15" customHeight="1">
      <c r="A4501" t="inlineStr">
        <is>
          <t>A 39414-2024</t>
        </is>
      </c>
      <c r="B4501" s="1" t="n">
        <v>45551</v>
      </c>
      <c r="C4501" s="1" t="n">
        <v>45724</v>
      </c>
      <c r="D4501" t="inlineStr">
        <is>
          <t>VÄSTMANLANDS LÄN</t>
        </is>
      </c>
      <c r="E4501" t="inlineStr">
        <is>
          <t>SKINNSKATTEBERG</t>
        </is>
      </c>
      <c r="G4501" t="n">
        <v>9.800000000000001</v>
      </c>
      <c r="H4501" t="n">
        <v>0</v>
      </c>
      <c r="I4501" t="n">
        <v>0</v>
      </c>
      <c r="J4501" t="n">
        <v>0</v>
      </c>
      <c r="K4501" t="n">
        <v>0</v>
      </c>
      <c r="L4501" t="n">
        <v>0</v>
      </c>
      <c r="M4501" t="n">
        <v>0</v>
      </c>
      <c r="N4501" t="n">
        <v>0</v>
      </c>
      <c r="O4501" t="n">
        <v>0</v>
      </c>
      <c r="P4501" t="n">
        <v>0</v>
      </c>
      <c r="Q4501" t="n">
        <v>0</v>
      </c>
      <c r="R4501" s="2" t="inlineStr"/>
    </row>
    <row r="4502" ht="15" customHeight="1">
      <c r="A4502" t="inlineStr">
        <is>
          <t>A 39673-2024</t>
        </is>
      </c>
      <c r="B4502" s="1" t="n">
        <v>45552</v>
      </c>
      <c r="C4502" s="1" t="n">
        <v>45724</v>
      </c>
      <c r="D4502" t="inlineStr">
        <is>
          <t>VÄSTMANLANDS LÄN</t>
        </is>
      </c>
      <c r="E4502" t="inlineStr">
        <is>
          <t>SKINNSKATTEBERG</t>
        </is>
      </c>
      <c r="F4502" t="inlineStr">
        <is>
          <t>Sveaskog</t>
        </is>
      </c>
      <c r="G4502" t="n">
        <v>1.3</v>
      </c>
      <c r="H4502" t="n">
        <v>0</v>
      </c>
      <c r="I4502" t="n">
        <v>0</v>
      </c>
      <c r="J4502" t="n">
        <v>0</v>
      </c>
      <c r="K4502" t="n">
        <v>0</v>
      </c>
      <c r="L4502" t="n">
        <v>0</v>
      </c>
      <c r="M4502" t="n">
        <v>0</v>
      </c>
      <c r="N4502" t="n">
        <v>0</v>
      </c>
      <c r="O4502" t="n">
        <v>0</v>
      </c>
      <c r="P4502" t="n">
        <v>0</v>
      </c>
      <c r="Q4502" t="n">
        <v>0</v>
      </c>
      <c r="R4502" s="2" t="inlineStr"/>
    </row>
    <row r="4503" ht="15" customHeight="1">
      <c r="A4503" t="inlineStr">
        <is>
          <t>A 39835-2024</t>
        </is>
      </c>
      <c r="B4503" s="1" t="n">
        <v>45553</v>
      </c>
      <c r="C4503" s="1" t="n">
        <v>45724</v>
      </c>
      <c r="D4503" t="inlineStr">
        <is>
          <t>VÄSTMANLANDS LÄN</t>
        </is>
      </c>
      <c r="E4503" t="inlineStr">
        <is>
          <t>NORBERG</t>
        </is>
      </c>
      <c r="F4503" t="inlineStr">
        <is>
          <t>Bergvik skog väst AB</t>
        </is>
      </c>
      <c r="G4503" t="n">
        <v>9.6</v>
      </c>
      <c r="H4503" t="n">
        <v>0</v>
      </c>
      <c r="I4503" t="n">
        <v>0</v>
      </c>
      <c r="J4503" t="n">
        <v>0</v>
      </c>
      <c r="K4503" t="n">
        <v>0</v>
      </c>
      <c r="L4503" t="n">
        <v>0</v>
      </c>
      <c r="M4503" t="n">
        <v>0</v>
      </c>
      <c r="N4503" t="n">
        <v>0</v>
      </c>
      <c r="O4503" t="n">
        <v>0</v>
      </c>
      <c r="P4503" t="n">
        <v>0</v>
      </c>
      <c r="Q4503" t="n">
        <v>0</v>
      </c>
      <c r="R4503" s="2" t="inlineStr"/>
    </row>
    <row r="4504" ht="15" customHeight="1">
      <c r="A4504" t="inlineStr">
        <is>
          <t>A 39837-2024</t>
        </is>
      </c>
      <c r="B4504" s="1" t="n">
        <v>45553</v>
      </c>
      <c r="C4504" s="1" t="n">
        <v>45724</v>
      </c>
      <c r="D4504" t="inlineStr">
        <is>
          <t>VÄSTMANLANDS LÄN</t>
        </is>
      </c>
      <c r="E4504" t="inlineStr">
        <is>
          <t>NORBERG</t>
        </is>
      </c>
      <c r="F4504" t="inlineStr">
        <is>
          <t>Bergvik skog väst AB</t>
        </is>
      </c>
      <c r="G4504" t="n">
        <v>1.2</v>
      </c>
      <c r="H4504" t="n">
        <v>0</v>
      </c>
      <c r="I4504" t="n">
        <v>0</v>
      </c>
      <c r="J4504" t="n">
        <v>0</v>
      </c>
      <c r="K4504" t="n">
        <v>0</v>
      </c>
      <c r="L4504" t="n">
        <v>0</v>
      </c>
      <c r="M4504" t="n">
        <v>0</v>
      </c>
      <c r="N4504" t="n">
        <v>0</v>
      </c>
      <c r="O4504" t="n">
        <v>0</v>
      </c>
      <c r="P4504" t="n">
        <v>0</v>
      </c>
      <c r="Q4504" t="n">
        <v>0</v>
      </c>
      <c r="R4504" s="2" t="inlineStr"/>
    </row>
    <row r="4505" ht="15" customHeight="1">
      <c r="A4505" t="inlineStr">
        <is>
          <t>A 39810-2024</t>
        </is>
      </c>
      <c r="B4505" s="1" t="n">
        <v>45553</v>
      </c>
      <c r="C4505" s="1" t="n">
        <v>45724</v>
      </c>
      <c r="D4505" t="inlineStr">
        <is>
          <t>VÄSTMANLANDS LÄN</t>
        </is>
      </c>
      <c r="E4505" t="inlineStr">
        <is>
          <t>VÄSTERÅS</t>
        </is>
      </c>
      <c r="F4505" t="inlineStr">
        <is>
          <t>Kyrkan</t>
        </is>
      </c>
      <c r="G4505" t="n">
        <v>0.6</v>
      </c>
      <c r="H4505" t="n">
        <v>0</v>
      </c>
      <c r="I4505" t="n">
        <v>0</v>
      </c>
      <c r="J4505" t="n">
        <v>0</v>
      </c>
      <c r="K4505" t="n">
        <v>0</v>
      </c>
      <c r="L4505" t="n">
        <v>0</v>
      </c>
      <c r="M4505" t="n">
        <v>0</v>
      </c>
      <c r="N4505" t="n">
        <v>0</v>
      </c>
      <c r="O4505" t="n">
        <v>0</v>
      </c>
      <c r="P4505" t="n">
        <v>0</v>
      </c>
      <c r="Q4505" t="n">
        <v>0</v>
      </c>
      <c r="R4505" s="2" t="inlineStr"/>
    </row>
    <row r="4506" ht="15" customHeight="1">
      <c r="A4506" t="inlineStr">
        <is>
          <t>A 39868-2024</t>
        </is>
      </c>
      <c r="B4506" s="1" t="n">
        <v>45553</v>
      </c>
      <c r="C4506" s="1" t="n">
        <v>45724</v>
      </c>
      <c r="D4506" t="inlineStr">
        <is>
          <t>VÄSTMANLANDS LÄN</t>
        </is>
      </c>
      <c r="E4506" t="inlineStr">
        <is>
          <t>SKINNSKATTEBERG</t>
        </is>
      </c>
      <c r="F4506" t="inlineStr">
        <is>
          <t>Kyrkan</t>
        </is>
      </c>
      <c r="G4506" t="n">
        <v>2.5</v>
      </c>
      <c r="H4506" t="n">
        <v>0</v>
      </c>
      <c r="I4506" t="n">
        <v>0</v>
      </c>
      <c r="J4506" t="n">
        <v>0</v>
      </c>
      <c r="K4506" t="n">
        <v>0</v>
      </c>
      <c r="L4506" t="n">
        <v>0</v>
      </c>
      <c r="M4506" t="n">
        <v>0</v>
      </c>
      <c r="N4506" t="n">
        <v>0</v>
      </c>
      <c r="O4506" t="n">
        <v>0</v>
      </c>
      <c r="P4506" t="n">
        <v>0</v>
      </c>
      <c r="Q4506" t="n">
        <v>0</v>
      </c>
      <c r="R4506" s="2" t="inlineStr"/>
    </row>
    <row r="4507" ht="15" customHeight="1">
      <c r="A4507" t="inlineStr">
        <is>
          <t>A 39836-2024</t>
        </is>
      </c>
      <c r="B4507" s="1" t="n">
        <v>45553</v>
      </c>
      <c r="C4507" s="1" t="n">
        <v>45724</v>
      </c>
      <c r="D4507" t="inlineStr">
        <is>
          <t>VÄSTMANLANDS LÄN</t>
        </is>
      </c>
      <c r="E4507" t="inlineStr">
        <is>
          <t>KÖPING</t>
        </is>
      </c>
      <c r="G4507" t="n">
        <v>2.4</v>
      </c>
      <c r="H4507" t="n">
        <v>0</v>
      </c>
      <c r="I4507" t="n">
        <v>0</v>
      </c>
      <c r="J4507" t="n">
        <v>0</v>
      </c>
      <c r="K4507" t="n">
        <v>0</v>
      </c>
      <c r="L4507" t="n">
        <v>0</v>
      </c>
      <c r="M4507" t="n">
        <v>0</v>
      </c>
      <c r="N4507" t="n">
        <v>0</v>
      </c>
      <c r="O4507" t="n">
        <v>0</v>
      </c>
      <c r="P4507" t="n">
        <v>0</v>
      </c>
      <c r="Q4507" t="n">
        <v>0</v>
      </c>
      <c r="R4507" s="2" t="inlineStr"/>
    </row>
    <row r="4508" ht="15" customHeight="1">
      <c r="A4508" t="inlineStr">
        <is>
          <t>A 39817-2024</t>
        </is>
      </c>
      <c r="B4508" s="1" t="n">
        <v>45553</v>
      </c>
      <c r="C4508" s="1" t="n">
        <v>45724</v>
      </c>
      <c r="D4508" t="inlineStr">
        <is>
          <t>VÄSTMANLANDS LÄN</t>
        </is>
      </c>
      <c r="E4508" t="inlineStr">
        <is>
          <t>VÄSTERÅS</t>
        </is>
      </c>
      <c r="F4508" t="inlineStr">
        <is>
          <t>Kyrkan</t>
        </is>
      </c>
      <c r="G4508" t="n">
        <v>1.1</v>
      </c>
      <c r="H4508" t="n">
        <v>0</v>
      </c>
      <c r="I4508" t="n">
        <v>0</v>
      </c>
      <c r="J4508" t="n">
        <v>0</v>
      </c>
      <c r="K4508" t="n">
        <v>0</v>
      </c>
      <c r="L4508" t="n">
        <v>0</v>
      </c>
      <c r="M4508" t="n">
        <v>0</v>
      </c>
      <c r="N4508" t="n">
        <v>0</v>
      </c>
      <c r="O4508" t="n">
        <v>0</v>
      </c>
      <c r="P4508" t="n">
        <v>0</v>
      </c>
      <c r="Q4508" t="n">
        <v>0</v>
      </c>
      <c r="R4508" s="2" t="inlineStr"/>
    </row>
    <row r="4509" ht="15" customHeight="1">
      <c r="A4509" t="inlineStr">
        <is>
          <t>A 39855-2024</t>
        </is>
      </c>
      <c r="B4509" s="1" t="n">
        <v>45553</v>
      </c>
      <c r="C4509" s="1" t="n">
        <v>45724</v>
      </c>
      <c r="D4509" t="inlineStr">
        <is>
          <t>VÄSTMANLANDS LÄN</t>
        </is>
      </c>
      <c r="E4509" t="inlineStr">
        <is>
          <t>FAGERSTA</t>
        </is>
      </c>
      <c r="G4509" t="n">
        <v>1.1</v>
      </c>
      <c r="H4509" t="n">
        <v>0</v>
      </c>
      <c r="I4509" t="n">
        <v>0</v>
      </c>
      <c r="J4509" t="n">
        <v>0</v>
      </c>
      <c r="K4509" t="n">
        <v>0</v>
      </c>
      <c r="L4509" t="n">
        <v>0</v>
      </c>
      <c r="M4509" t="n">
        <v>0</v>
      </c>
      <c r="N4509" t="n">
        <v>0</v>
      </c>
      <c r="O4509" t="n">
        <v>0</v>
      </c>
      <c r="P4509" t="n">
        <v>0</v>
      </c>
      <c r="Q4509" t="n">
        <v>0</v>
      </c>
      <c r="R4509" s="2" t="inlineStr"/>
    </row>
    <row r="4510" ht="15" customHeight="1">
      <c r="A4510" t="inlineStr">
        <is>
          <t>A 40029-2024</t>
        </is>
      </c>
      <c r="B4510" s="1" t="n">
        <v>45553</v>
      </c>
      <c r="C4510" s="1" t="n">
        <v>45724</v>
      </c>
      <c r="D4510" t="inlineStr">
        <is>
          <t>VÄSTMANLANDS LÄN</t>
        </is>
      </c>
      <c r="E4510" t="inlineStr">
        <is>
          <t>KÖPING</t>
        </is>
      </c>
      <c r="F4510" t="inlineStr">
        <is>
          <t>Sveaskog</t>
        </is>
      </c>
      <c r="G4510" t="n">
        <v>0.7</v>
      </c>
      <c r="H4510" t="n">
        <v>0</v>
      </c>
      <c r="I4510" t="n">
        <v>0</v>
      </c>
      <c r="J4510" t="n">
        <v>0</v>
      </c>
      <c r="K4510" t="n">
        <v>0</v>
      </c>
      <c r="L4510" t="n">
        <v>0</v>
      </c>
      <c r="M4510" t="n">
        <v>0</v>
      </c>
      <c r="N4510" t="n">
        <v>0</v>
      </c>
      <c r="O4510" t="n">
        <v>0</v>
      </c>
      <c r="P4510" t="n">
        <v>0</v>
      </c>
      <c r="Q4510" t="n">
        <v>0</v>
      </c>
      <c r="R4510" s="2" t="inlineStr"/>
    </row>
    <row r="4511" ht="15" customHeight="1">
      <c r="A4511" t="inlineStr">
        <is>
          <t>A 40176-2024</t>
        </is>
      </c>
      <c r="B4511" s="1" t="n">
        <v>45554</v>
      </c>
      <c r="C4511" s="1" t="n">
        <v>45724</v>
      </c>
      <c r="D4511" t="inlineStr">
        <is>
          <t>VÄSTMANLANDS LÄN</t>
        </is>
      </c>
      <c r="E4511" t="inlineStr">
        <is>
          <t>SKINNSKATTEBERG</t>
        </is>
      </c>
      <c r="F4511" t="inlineStr">
        <is>
          <t>Sveaskog</t>
        </is>
      </c>
      <c r="G4511" t="n">
        <v>0.7</v>
      </c>
      <c r="H4511" t="n">
        <v>0</v>
      </c>
      <c r="I4511" t="n">
        <v>0</v>
      </c>
      <c r="J4511" t="n">
        <v>0</v>
      </c>
      <c r="K4511" t="n">
        <v>0</v>
      </c>
      <c r="L4511" t="n">
        <v>0</v>
      </c>
      <c r="M4511" t="n">
        <v>0</v>
      </c>
      <c r="N4511" t="n">
        <v>0</v>
      </c>
      <c r="O4511" t="n">
        <v>0</v>
      </c>
      <c r="P4511" t="n">
        <v>0</v>
      </c>
      <c r="Q4511" t="n">
        <v>0</v>
      </c>
      <c r="R4511" s="2" t="inlineStr"/>
    </row>
    <row r="4512" ht="15" customHeight="1">
      <c r="A4512" t="inlineStr">
        <is>
          <t>A 40233-2024</t>
        </is>
      </c>
      <c r="B4512" s="1" t="n">
        <v>45554</v>
      </c>
      <c r="C4512" s="1" t="n">
        <v>45724</v>
      </c>
      <c r="D4512" t="inlineStr">
        <is>
          <t>VÄSTMANLANDS LÄN</t>
        </is>
      </c>
      <c r="E4512" t="inlineStr">
        <is>
          <t>SKINNSKATTEBERG</t>
        </is>
      </c>
      <c r="G4512" t="n">
        <v>11.3</v>
      </c>
      <c r="H4512" t="n">
        <v>0</v>
      </c>
      <c r="I4512" t="n">
        <v>0</v>
      </c>
      <c r="J4512" t="n">
        <v>0</v>
      </c>
      <c r="K4512" t="n">
        <v>0</v>
      </c>
      <c r="L4512" t="n">
        <v>0</v>
      </c>
      <c r="M4512" t="n">
        <v>0</v>
      </c>
      <c r="N4512" t="n">
        <v>0</v>
      </c>
      <c r="O4512" t="n">
        <v>0</v>
      </c>
      <c r="P4512" t="n">
        <v>0</v>
      </c>
      <c r="Q4512" t="n">
        <v>0</v>
      </c>
      <c r="R4512" s="2" t="inlineStr"/>
    </row>
    <row r="4513" ht="15" customHeight="1">
      <c r="A4513" t="inlineStr">
        <is>
          <t>A 40158-2024</t>
        </is>
      </c>
      <c r="B4513" s="1" t="n">
        <v>45554</v>
      </c>
      <c r="C4513" s="1" t="n">
        <v>45724</v>
      </c>
      <c r="D4513" t="inlineStr">
        <is>
          <t>VÄSTMANLANDS LÄN</t>
        </is>
      </c>
      <c r="E4513" t="inlineStr">
        <is>
          <t>SKINNSKATTEBERG</t>
        </is>
      </c>
      <c r="F4513" t="inlineStr">
        <is>
          <t>Sveaskog</t>
        </is>
      </c>
      <c r="G4513" t="n">
        <v>1.3</v>
      </c>
      <c r="H4513" t="n">
        <v>0</v>
      </c>
      <c r="I4513" t="n">
        <v>0</v>
      </c>
      <c r="J4513" t="n">
        <v>0</v>
      </c>
      <c r="K4513" t="n">
        <v>0</v>
      </c>
      <c r="L4513" t="n">
        <v>0</v>
      </c>
      <c r="M4513" t="n">
        <v>0</v>
      </c>
      <c r="N4513" t="n">
        <v>0</v>
      </c>
      <c r="O4513" t="n">
        <v>0</v>
      </c>
      <c r="P4513" t="n">
        <v>0</v>
      </c>
      <c r="Q4513" t="n">
        <v>0</v>
      </c>
      <c r="R4513" s="2" t="inlineStr"/>
    </row>
    <row r="4514" ht="15" customHeight="1">
      <c r="A4514" t="inlineStr">
        <is>
          <t>A 40174-2024</t>
        </is>
      </c>
      <c r="B4514" s="1" t="n">
        <v>45554</v>
      </c>
      <c r="C4514" s="1" t="n">
        <v>45724</v>
      </c>
      <c r="D4514" t="inlineStr">
        <is>
          <t>VÄSTMANLANDS LÄN</t>
        </is>
      </c>
      <c r="E4514" t="inlineStr">
        <is>
          <t>SKINNSKATTEBERG</t>
        </is>
      </c>
      <c r="F4514" t="inlineStr">
        <is>
          <t>Sveaskog</t>
        </is>
      </c>
      <c r="G4514" t="n">
        <v>2.9</v>
      </c>
      <c r="H4514" t="n">
        <v>0</v>
      </c>
      <c r="I4514" t="n">
        <v>0</v>
      </c>
      <c r="J4514" t="n">
        <v>0</v>
      </c>
      <c r="K4514" t="n">
        <v>0</v>
      </c>
      <c r="L4514" t="n">
        <v>0</v>
      </c>
      <c r="M4514" t="n">
        <v>0</v>
      </c>
      <c r="N4514" t="n">
        <v>0</v>
      </c>
      <c r="O4514" t="n">
        <v>0</v>
      </c>
      <c r="P4514" t="n">
        <v>0</v>
      </c>
      <c r="Q4514" t="n">
        <v>0</v>
      </c>
      <c r="R4514" s="2" t="inlineStr"/>
    </row>
    <row r="4515" ht="15" customHeight="1">
      <c r="A4515" t="inlineStr">
        <is>
          <t>A 40182-2024</t>
        </is>
      </c>
      <c r="B4515" s="1" t="n">
        <v>45554</v>
      </c>
      <c r="C4515" s="1" t="n">
        <v>45724</v>
      </c>
      <c r="D4515" t="inlineStr">
        <is>
          <t>VÄSTMANLANDS LÄN</t>
        </is>
      </c>
      <c r="E4515" t="inlineStr">
        <is>
          <t>SKINNSKATTEBERG</t>
        </is>
      </c>
      <c r="F4515" t="inlineStr">
        <is>
          <t>Sveaskog</t>
        </is>
      </c>
      <c r="G4515" t="n">
        <v>1.8</v>
      </c>
      <c r="H4515" t="n">
        <v>0</v>
      </c>
      <c r="I4515" t="n">
        <v>0</v>
      </c>
      <c r="J4515" t="n">
        <v>0</v>
      </c>
      <c r="K4515" t="n">
        <v>0</v>
      </c>
      <c r="L4515" t="n">
        <v>0</v>
      </c>
      <c r="M4515" t="n">
        <v>0</v>
      </c>
      <c r="N4515" t="n">
        <v>0</v>
      </c>
      <c r="O4515" t="n">
        <v>0</v>
      </c>
      <c r="P4515" t="n">
        <v>0</v>
      </c>
      <c r="Q4515" t="n">
        <v>0</v>
      </c>
      <c r="R4515" s="2" t="inlineStr"/>
    </row>
    <row r="4516" ht="15" customHeight="1">
      <c r="A4516" t="inlineStr">
        <is>
          <t>A 40272-2024</t>
        </is>
      </c>
      <c r="B4516" s="1" t="n">
        <v>45554</v>
      </c>
      <c r="C4516" s="1" t="n">
        <v>45724</v>
      </c>
      <c r="D4516" t="inlineStr">
        <is>
          <t>VÄSTMANLANDS LÄN</t>
        </is>
      </c>
      <c r="E4516" t="inlineStr">
        <is>
          <t>SALA</t>
        </is>
      </c>
      <c r="F4516" t="inlineStr">
        <is>
          <t>Kommuner</t>
        </is>
      </c>
      <c r="G4516" t="n">
        <v>7.2</v>
      </c>
      <c r="H4516" t="n">
        <v>0</v>
      </c>
      <c r="I4516" t="n">
        <v>0</v>
      </c>
      <c r="J4516" t="n">
        <v>0</v>
      </c>
      <c r="K4516" t="n">
        <v>0</v>
      </c>
      <c r="L4516" t="n">
        <v>0</v>
      </c>
      <c r="M4516" t="n">
        <v>0</v>
      </c>
      <c r="N4516" t="n">
        <v>0</v>
      </c>
      <c r="O4516" t="n">
        <v>0</v>
      </c>
      <c r="P4516" t="n">
        <v>0</v>
      </c>
      <c r="Q4516" t="n">
        <v>0</v>
      </c>
      <c r="R4516" s="2" t="inlineStr"/>
    </row>
    <row r="4517" ht="15" customHeight="1">
      <c r="A4517" t="inlineStr">
        <is>
          <t>A 40085-2024</t>
        </is>
      </c>
      <c r="B4517" s="1" t="n">
        <v>45554</v>
      </c>
      <c r="C4517" s="1" t="n">
        <v>45724</v>
      </c>
      <c r="D4517" t="inlineStr">
        <is>
          <t>VÄSTMANLANDS LÄN</t>
        </is>
      </c>
      <c r="E4517" t="inlineStr">
        <is>
          <t>SALA</t>
        </is>
      </c>
      <c r="G4517" t="n">
        <v>2.8</v>
      </c>
      <c r="H4517" t="n">
        <v>0</v>
      </c>
      <c r="I4517" t="n">
        <v>0</v>
      </c>
      <c r="J4517" t="n">
        <v>0</v>
      </c>
      <c r="K4517" t="n">
        <v>0</v>
      </c>
      <c r="L4517" t="n">
        <v>0</v>
      </c>
      <c r="M4517" t="n">
        <v>0</v>
      </c>
      <c r="N4517" t="n">
        <v>0</v>
      </c>
      <c r="O4517" t="n">
        <v>0</v>
      </c>
      <c r="P4517" t="n">
        <v>0</v>
      </c>
      <c r="Q4517" t="n">
        <v>0</v>
      </c>
      <c r="R4517" s="2" t="inlineStr"/>
    </row>
    <row r="4518" ht="15" customHeight="1">
      <c r="A4518" t="inlineStr">
        <is>
          <t>A 40165-2024</t>
        </is>
      </c>
      <c r="B4518" s="1" t="n">
        <v>45554</v>
      </c>
      <c r="C4518" s="1" t="n">
        <v>45724</v>
      </c>
      <c r="D4518" t="inlineStr">
        <is>
          <t>VÄSTMANLANDS LÄN</t>
        </is>
      </c>
      <c r="E4518" t="inlineStr">
        <is>
          <t>SKINNSKATTEBERG</t>
        </is>
      </c>
      <c r="F4518" t="inlineStr">
        <is>
          <t>Sveaskog</t>
        </is>
      </c>
      <c r="G4518" t="n">
        <v>2.5</v>
      </c>
      <c r="H4518" t="n">
        <v>0</v>
      </c>
      <c r="I4518" t="n">
        <v>0</v>
      </c>
      <c r="J4518" t="n">
        <v>0</v>
      </c>
      <c r="K4518" t="n">
        <v>0</v>
      </c>
      <c r="L4518" t="n">
        <v>0</v>
      </c>
      <c r="M4518" t="n">
        <v>0</v>
      </c>
      <c r="N4518" t="n">
        <v>0</v>
      </c>
      <c r="O4518" t="n">
        <v>0</v>
      </c>
      <c r="P4518" t="n">
        <v>0</v>
      </c>
      <c r="Q4518" t="n">
        <v>0</v>
      </c>
      <c r="R4518" s="2" t="inlineStr"/>
    </row>
    <row r="4519" ht="15" customHeight="1">
      <c r="A4519" t="inlineStr">
        <is>
          <t>A 40169-2024</t>
        </is>
      </c>
      <c r="B4519" s="1" t="n">
        <v>45554</v>
      </c>
      <c r="C4519" s="1" t="n">
        <v>45724</v>
      </c>
      <c r="D4519" t="inlineStr">
        <is>
          <t>VÄSTMANLANDS LÄN</t>
        </is>
      </c>
      <c r="E4519" t="inlineStr">
        <is>
          <t>SKINNSKATTEBERG</t>
        </is>
      </c>
      <c r="F4519" t="inlineStr">
        <is>
          <t>Sveaskog</t>
        </is>
      </c>
      <c r="G4519" t="n">
        <v>3.3</v>
      </c>
      <c r="H4519" t="n">
        <v>0</v>
      </c>
      <c r="I4519" t="n">
        <v>0</v>
      </c>
      <c r="J4519" t="n">
        <v>0</v>
      </c>
      <c r="K4519" t="n">
        <v>0</v>
      </c>
      <c r="L4519" t="n">
        <v>0</v>
      </c>
      <c r="M4519" t="n">
        <v>0</v>
      </c>
      <c r="N4519" t="n">
        <v>0</v>
      </c>
      <c r="O4519" t="n">
        <v>0</v>
      </c>
      <c r="P4519" t="n">
        <v>0</v>
      </c>
      <c r="Q4519" t="n">
        <v>0</v>
      </c>
      <c r="R4519" s="2" t="inlineStr"/>
    </row>
    <row r="4520" ht="15" customHeight="1">
      <c r="A4520" t="inlineStr">
        <is>
          <t>A 40181-2024</t>
        </is>
      </c>
      <c r="B4520" s="1" t="n">
        <v>45554</v>
      </c>
      <c r="C4520" s="1" t="n">
        <v>45724</v>
      </c>
      <c r="D4520" t="inlineStr">
        <is>
          <t>VÄSTMANLANDS LÄN</t>
        </is>
      </c>
      <c r="E4520" t="inlineStr">
        <is>
          <t>SKINNSKATTEBERG</t>
        </is>
      </c>
      <c r="F4520" t="inlineStr">
        <is>
          <t>Sveaskog</t>
        </is>
      </c>
      <c r="G4520" t="n">
        <v>1.5</v>
      </c>
      <c r="H4520" t="n">
        <v>0</v>
      </c>
      <c r="I4520" t="n">
        <v>0</v>
      </c>
      <c r="J4520" t="n">
        <v>0</v>
      </c>
      <c r="K4520" t="n">
        <v>0</v>
      </c>
      <c r="L4520" t="n">
        <v>0</v>
      </c>
      <c r="M4520" t="n">
        <v>0</v>
      </c>
      <c r="N4520" t="n">
        <v>0</v>
      </c>
      <c r="O4520" t="n">
        <v>0</v>
      </c>
      <c r="P4520" t="n">
        <v>0</v>
      </c>
      <c r="Q4520" t="n">
        <v>0</v>
      </c>
      <c r="R4520" s="2" t="inlineStr"/>
    </row>
    <row r="4521" ht="15" customHeight="1">
      <c r="A4521" t="inlineStr">
        <is>
          <t>A 40079-2024</t>
        </is>
      </c>
      <c r="B4521" s="1" t="n">
        <v>45554</v>
      </c>
      <c r="C4521" s="1" t="n">
        <v>45724</v>
      </c>
      <c r="D4521" t="inlineStr">
        <is>
          <t>VÄSTMANLANDS LÄN</t>
        </is>
      </c>
      <c r="E4521" t="inlineStr">
        <is>
          <t>SKINNSKATTEBERG</t>
        </is>
      </c>
      <c r="G4521" t="n">
        <v>12.7</v>
      </c>
      <c r="H4521" t="n">
        <v>0</v>
      </c>
      <c r="I4521" t="n">
        <v>0</v>
      </c>
      <c r="J4521" t="n">
        <v>0</v>
      </c>
      <c r="K4521" t="n">
        <v>0</v>
      </c>
      <c r="L4521" t="n">
        <v>0</v>
      </c>
      <c r="M4521" t="n">
        <v>0</v>
      </c>
      <c r="N4521" t="n">
        <v>0</v>
      </c>
      <c r="O4521" t="n">
        <v>0</v>
      </c>
      <c r="P4521" t="n">
        <v>0</v>
      </c>
      <c r="Q4521" t="n">
        <v>0</v>
      </c>
      <c r="R4521" s="2" t="inlineStr"/>
    </row>
    <row r="4522" ht="15" customHeight="1">
      <c r="A4522" t="inlineStr">
        <is>
          <t>A 40167-2024</t>
        </is>
      </c>
      <c r="B4522" s="1" t="n">
        <v>45554</v>
      </c>
      <c r="C4522" s="1" t="n">
        <v>45724</v>
      </c>
      <c r="D4522" t="inlineStr">
        <is>
          <t>VÄSTMANLANDS LÄN</t>
        </is>
      </c>
      <c r="E4522" t="inlineStr">
        <is>
          <t>SKINNSKATTEBERG</t>
        </is>
      </c>
      <c r="F4522" t="inlineStr">
        <is>
          <t>Sveaskog</t>
        </is>
      </c>
      <c r="G4522" t="n">
        <v>2.5</v>
      </c>
      <c r="H4522" t="n">
        <v>0</v>
      </c>
      <c r="I4522" t="n">
        <v>0</v>
      </c>
      <c r="J4522" t="n">
        <v>0</v>
      </c>
      <c r="K4522" t="n">
        <v>0</v>
      </c>
      <c r="L4522" t="n">
        <v>0</v>
      </c>
      <c r="M4522" t="n">
        <v>0</v>
      </c>
      <c r="N4522" t="n">
        <v>0</v>
      </c>
      <c r="O4522" t="n">
        <v>0</v>
      </c>
      <c r="P4522" t="n">
        <v>0</v>
      </c>
      <c r="Q4522" t="n">
        <v>0</v>
      </c>
      <c r="R4522" s="2" t="inlineStr"/>
    </row>
    <row r="4523" ht="15" customHeight="1">
      <c r="A4523" t="inlineStr">
        <is>
          <t>A 40171-2024</t>
        </is>
      </c>
      <c r="B4523" s="1" t="n">
        <v>45554</v>
      </c>
      <c r="C4523" s="1" t="n">
        <v>45724</v>
      </c>
      <c r="D4523" t="inlineStr">
        <is>
          <t>VÄSTMANLANDS LÄN</t>
        </is>
      </c>
      <c r="E4523" t="inlineStr">
        <is>
          <t>SKINNSKATTEBERG</t>
        </is>
      </c>
      <c r="F4523" t="inlineStr">
        <is>
          <t>Sveaskog</t>
        </is>
      </c>
      <c r="G4523" t="n">
        <v>1.7</v>
      </c>
      <c r="H4523" t="n">
        <v>0</v>
      </c>
      <c r="I4523" t="n">
        <v>0</v>
      </c>
      <c r="J4523" t="n">
        <v>0</v>
      </c>
      <c r="K4523" t="n">
        <v>0</v>
      </c>
      <c r="L4523" t="n">
        <v>0</v>
      </c>
      <c r="M4523" t="n">
        <v>0</v>
      </c>
      <c r="N4523" t="n">
        <v>0</v>
      </c>
      <c r="O4523" t="n">
        <v>0</v>
      </c>
      <c r="P4523" t="n">
        <v>0</v>
      </c>
      <c r="Q4523" t="n">
        <v>0</v>
      </c>
      <c r="R4523" s="2" t="inlineStr"/>
    </row>
    <row r="4524" ht="15" customHeight="1">
      <c r="A4524" t="inlineStr">
        <is>
          <t>A 40179-2024</t>
        </is>
      </c>
      <c r="B4524" s="1" t="n">
        <v>45554</v>
      </c>
      <c r="C4524" s="1" t="n">
        <v>45724</v>
      </c>
      <c r="D4524" t="inlineStr">
        <is>
          <t>VÄSTMANLANDS LÄN</t>
        </is>
      </c>
      <c r="E4524" t="inlineStr">
        <is>
          <t>SKINNSKATTEBERG</t>
        </is>
      </c>
      <c r="F4524" t="inlineStr">
        <is>
          <t>Sveaskog</t>
        </is>
      </c>
      <c r="G4524" t="n">
        <v>0.6</v>
      </c>
      <c r="H4524" t="n">
        <v>0</v>
      </c>
      <c r="I4524" t="n">
        <v>0</v>
      </c>
      <c r="J4524" t="n">
        <v>0</v>
      </c>
      <c r="K4524" t="n">
        <v>0</v>
      </c>
      <c r="L4524" t="n">
        <v>0</v>
      </c>
      <c r="M4524" t="n">
        <v>0</v>
      </c>
      <c r="N4524" t="n">
        <v>0</v>
      </c>
      <c r="O4524" t="n">
        <v>0</v>
      </c>
      <c r="P4524" t="n">
        <v>0</v>
      </c>
      <c r="Q4524" t="n">
        <v>0</v>
      </c>
      <c r="R4524" s="2" t="inlineStr"/>
    </row>
    <row r="4525" ht="15" customHeight="1">
      <c r="A4525" t="inlineStr">
        <is>
          <t>A 40228-2024</t>
        </is>
      </c>
      <c r="B4525" s="1" t="n">
        <v>45554</v>
      </c>
      <c r="C4525" s="1" t="n">
        <v>45724</v>
      </c>
      <c r="D4525" t="inlineStr">
        <is>
          <t>VÄSTMANLANDS LÄN</t>
        </is>
      </c>
      <c r="E4525" t="inlineStr">
        <is>
          <t>NORBERG</t>
        </is>
      </c>
      <c r="G4525" t="n">
        <v>1.7</v>
      </c>
      <c r="H4525" t="n">
        <v>0</v>
      </c>
      <c r="I4525" t="n">
        <v>0</v>
      </c>
      <c r="J4525" t="n">
        <v>0</v>
      </c>
      <c r="K4525" t="n">
        <v>0</v>
      </c>
      <c r="L4525" t="n">
        <v>0</v>
      </c>
      <c r="M4525" t="n">
        <v>0</v>
      </c>
      <c r="N4525" t="n">
        <v>0</v>
      </c>
      <c r="O4525" t="n">
        <v>0</v>
      </c>
      <c r="P4525" t="n">
        <v>0</v>
      </c>
      <c r="Q4525" t="n">
        <v>0</v>
      </c>
      <c r="R4525" s="2" t="inlineStr"/>
    </row>
    <row r="4526" ht="15" customHeight="1">
      <c r="A4526" t="inlineStr">
        <is>
          <t>A 40232-2024</t>
        </is>
      </c>
      <c r="B4526" s="1" t="n">
        <v>45554</v>
      </c>
      <c r="C4526" s="1" t="n">
        <v>45724</v>
      </c>
      <c r="D4526" t="inlineStr">
        <is>
          <t>VÄSTMANLANDS LÄN</t>
        </is>
      </c>
      <c r="E4526" t="inlineStr">
        <is>
          <t>NORBERG</t>
        </is>
      </c>
      <c r="G4526" t="n">
        <v>1</v>
      </c>
      <c r="H4526" t="n">
        <v>0</v>
      </c>
      <c r="I4526" t="n">
        <v>0</v>
      </c>
      <c r="J4526" t="n">
        <v>0</v>
      </c>
      <c r="K4526" t="n">
        <v>0</v>
      </c>
      <c r="L4526" t="n">
        <v>0</v>
      </c>
      <c r="M4526" t="n">
        <v>0</v>
      </c>
      <c r="N4526" t="n">
        <v>0</v>
      </c>
      <c r="O4526" t="n">
        <v>0</v>
      </c>
      <c r="P4526" t="n">
        <v>0</v>
      </c>
      <c r="Q4526" t="n">
        <v>0</v>
      </c>
      <c r="R4526" s="2" t="inlineStr"/>
    </row>
    <row r="4527" ht="15" customHeight="1">
      <c r="A4527" t="inlineStr">
        <is>
          <t>A 40549-2024</t>
        </is>
      </c>
      <c r="B4527" s="1" t="n">
        <v>45555</v>
      </c>
      <c r="C4527" s="1" t="n">
        <v>45724</v>
      </c>
      <c r="D4527" t="inlineStr">
        <is>
          <t>VÄSTMANLANDS LÄN</t>
        </is>
      </c>
      <c r="E4527" t="inlineStr">
        <is>
          <t>SKINNSKATTEBERG</t>
        </is>
      </c>
      <c r="F4527" t="inlineStr">
        <is>
          <t>Sveaskog</t>
        </is>
      </c>
      <c r="G4527" t="n">
        <v>0.7</v>
      </c>
      <c r="H4527" t="n">
        <v>0</v>
      </c>
      <c r="I4527" t="n">
        <v>0</v>
      </c>
      <c r="J4527" t="n">
        <v>0</v>
      </c>
      <c r="K4527" t="n">
        <v>0</v>
      </c>
      <c r="L4527" t="n">
        <v>0</v>
      </c>
      <c r="M4527" t="n">
        <v>0</v>
      </c>
      <c r="N4527" t="n">
        <v>0</v>
      </c>
      <c r="O4527" t="n">
        <v>0</v>
      </c>
      <c r="P4527" t="n">
        <v>0</v>
      </c>
      <c r="Q4527" t="n">
        <v>0</v>
      </c>
      <c r="R4527" s="2" t="inlineStr"/>
    </row>
    <row r="4528" ht="15" customHeight="1">
      <c r="A4528" t="inlineStr">
        <is>
          <t>A 40561-2024</t>
        </is>
      </c>
      <c r="B4528" s="1" t="n">
        <v>45555</v>
      </c>
      <c r="C4528" s="1" t="n">
        <v>45724</v>
      </c>
      <c r="D4528" t="inlineStr">
        <is>
          <t>VÄSTMANLANDS LÄN</t>
        </is>
      </c>
      <c r="E4528" t="inlineStr">
        <is>
          <t>VÄSTERÅS</t>
        </is>
      </c>
      <c r="G4528" t="n">
        <v>5.1</v>
      </c>
      <c r="H4528" t="n">
        <v>0</v>
      </c>
      <c r="I4528" t="n">
        <v>0</v>
      </c>
      <c r="J4528" t="n">
        <v>0</v>
      </c>
      <c r="K4528" t="n">
        <v>0</v>
      </c>
      <c r="L4528" t="n">
        <v>0</v>
      </c>
      <c r="M4528" t="n">
        <v>0</v>
      </c>
      <c r="N4528" t="n">
        <v>0</v>
      </c>
      <c r="O4528" t="n">
        <v>0</v>
      </c>
      <c r="P4528" t="n">
        <v>0</v>
      </c>
      <c r="Q4528" t="n">
        <v>0</v>
      </c>
      <c r="R4528" s="2" t="inlineStr"/>
    </row>
    <row r="4529" ht="15" customHeight="1">
      <c r="A4529" t="inlineStr">
        <is>
          <t>A 40554-2024</t>
        </is>
      </c>
      <c r="B4529" s="1" t="n">
        <v>45555</v>
      </c>
      <c r="C4529" s="1" t="n">
        <v>45724</v>
      </c>
      <c r="D4529" t="inlineStr">
        <is>
          <t>VÄSTMANLANDS LÄN</t>
        </is>
      </c>
      <c r="E4529" t="inlineStr">
        <is>
          <t>SKINNSKATTEBERG</t>
        </is>
      </c>
      <c r="F4529" t="inlineStr">
        <is>
          <t>Sveaskog</t>
        </is>
      </c>
      <c r="G4529" t="n">
        <v>0.8</v>
      </c>
      <c r="H4529" t="n">
        <v>0</v>
      </c>
      <c r="I4529" t="n">
        <v>0</v>
      </c>
      <c r="J4529" t="n">
        <v>0</v>
      </c>
      <c r="K4529" t="n">
        <v>0</v>
      </c>
      <c r="L4529" t="n">
        <v>0</v>
      </c>
      <c r="M4529" t="n">
        <v>0</v>
      </c>
      <c r="N4529" t="n">
        <v>0</v>
      </c>
      <c r="O4529" t="n">
        <v>0</v>
      </c>
      <c r="P4529" t="n">
        <v>0</v>
      </c>
      <c r="Q4529" t="n">
        <v>0</v>
      </c>
      <c r="R4529" s="2" t="inlineStr"/>
    </row>
    <row r="4530" ht="15" customHeight="1">
      <c r="A4530" t="inlineStr">
        <is>
          <t>A 40551-2024</t>
        </is>
      </c>
      <c r="B4530" s="1" t="n">
        <v>45555</v>
      </c>
      <c r="C4530" s="1" t="n">
        <v>45724</v>
      </c>
      <c r="D4530" t="inlineStr">
        <is>
          <t>VÄSTMANLANDS LÄN</t>
        </is>
      </c>
      <c r="E4530" t="inlineStr">
        <is>
          <t>SKINNSKATTEBERG</t>
        </is>
      </c>
      <c r="F4530" t="inlineStr">
        <is>
          <t>Sveaskog</t>
        </is>
      </c>
      <c r="G4530" t="n">
        <v>0.9</v>
      </c>
      <c r="H4530" t="n">
        <v>0</v>
      </c>
      <c r="I4530" t="n">
        <v>0</v>
      </c>
      <c r="J4530" t="n">
        <v>0</v>
      </c>
      <c r="K4530" t="n">
        <v>0</v>
      </c>
      <c r="L4530" t="n">
        <v>0</v>
      </c>
      <c r="M4530" t="n">
        <v>0</v>
      </c>
      <c r="N4530" t="n">
        <v>0</v>
      </c>
      <c r="O4530" t="n">
        <v>0</v>
      </c>
      <c r="P4530" t="n">
        <v>0</v>
      </c>
      <c r="Q4530" t="n">
        <v>0</v>
      </c>
      <c r="R4530" s="2" t="inlineStr"/>
    </row>
    <row r="4531" ht="15" customHeight="1">
      <c r="A4531" t="inlineStr">
        <is>
          <t>A 40606-2024</t>
        </is>
      </c>
      <c r="B4531" s="1" t="n">
        <v>45556</v>
      </c>
      <c r="C4531" s="1" t="n">
        <v>45724</v>
      </c>
      <c r="D4531" t="inlineStr">
        <is>
          <t>VÄSTMANLANDS LÄN</t>
        </is>
      </c>
      <c r="E4531" t="inlineStr">
        <is>
          <t>KUNGSÖR</t>
        </is>
      </c>
      <c r="G4531" t="n">
        <v>5</v>
      </c>
      <c r="H4531" t="n">
        <v>0</v>
      </c>
      <c r="I4531" t="n">
        <v>0</v>
      </c>
      <c r="J4531" t="n">
        <v>0</v>
      </c>
      <c r="K4531" t="n">
        <v>0</v>
      </c>
      <c r="L4531" t="n">
        <v>0</v>
      </c>
      <c r="M4531" t="n">
        <v>0</v>
      </c>
      <c r="N4531" t="n">
        <v>0</v>
      </c>
      <c r="O4531" t="n">
        <v>0</v>
      </c>
      <c r="P4531" t="n">
        <v>0</v>
      </c>
      <c r="Q4531" t="n">
        <v>0</v>
      </c>
      <c r="R4531" s="2" t="inlineStr"/>
    </row>
    <row r="4532" ht="15" customHeight="1">
      <c r="A4532" t="inlineStr">
        <is>
          <t>A 40607-2024</t>
        </is>
      </c>
      <c r="B4532" s="1" t="n">
        <v>45556</v>
      </c>
      <c r="C4532" s="1" t="n">
        <v>45724</v>
      </c>
      <c r="D4532" t="inlineStr">
        <is>
          <t>VÄSTMANLANDS LÄN</t>
        </is>
      </c>
      <c r="E4532" t="inlineStr">
        <is>
          <t>KUNGSÖR</t>
        </is>
      </c>
      <c r="G4532" t="n">
        <v>3.2</v>
      </c>
      <c r="H4532" t="n">
        <v>0</v>
      </c>
      <c r="I4532" t="n">
        <v>0</v>
      </c>
      <c r="J4532" t="n">
        <v>0</v>
      </c>
      <c r="K4532" t="n">
        <v>0</v>
      </c>
      <c r="L4532" t="n">
        <v>0</v>
      </c>
      <c r="M4532" t="n">
        <v>0</v>
      </c>
      <c r="N4532" t="n">
        <v>0</v>
      </c>
      <c r="O4532" t="n">
        <v>0</v>
      </c>
      <c r="P4532" t="n">
        <v>0</v>
      </c>
      <c r="Q4532" t="n">
        <v>0</v>
      </c>
      <c r="R4532" s="2" t="inlineStr"/>
    </row>
    <row r="4533" ht="15" customHeight="1">
      <c r="A4533" t="inlineStr">
        <is>
          <t>A 40605-2024</t>
        </is>
      </c>
      <c r="B4533" s="1" t="n">
        <v>45556</v>
      </c>
      <c r="C4533" s="1" t="n">
        <v>45724</v>
      </c>
      <c r="D4533" t="inlineStr">
        <is>
          <t>VÄSTMANLANDS LÄN</t>
        </is>
      </c>
      <c r="E4533" t="inlineStr">
        <is>
          <t>ARBOGA</t>
        </is>
      </c>
      <c r="G4533" t="n">
        <v>7.9</v>
      </c>
      <c r="H4533" t="n">
        <v>0</v>
      </c>
      <c r="I4533" t="n">
        <v>0</v>
      </c>
      <c r="J4533" t="n">
        <v>0</v>
      </c>
      <c r="K4533" t="n">
        <v>0</v>
      </c>
      <c r="L4533" t="n">
        <v>0</v>
      </c>
      <c r="M4533" t="n">
        <v>0</v>
      </c>
      <c r="N4533" t="n">
        <v>0</v>
      </c>
      <c r="O4533" t="n">
        <v>0</v>
      </c>
      <c r="P4533" t="n">
        <v>0</v>
      </c>
      <c r="Q4533" t="n">
        <v>0</v>
      </c>
      <c r="R4533" s="2" t="inlineStr"/>
    </row>
    <row r="4534" ht="15" customHeight="1">
      <c r="A4534" t="inlineStr">
        <is>
          <t>A 40757-2024</t>
        </is>
      </c>
      <c r="B4534" s="1" t="n">
        <v>45558</v>
      </c>
      <c r="C4534" s="1" t="n">
        <v>45724</v>
      </c>
      <c r="D4534" t="inlineStr">
        <is>
          <t>VÄSTMANLANDS LÄN</t>
        </is>
      </c>
      <c r="E4534" t="inlineStr">
        <is>
          <t>SALA</t>
        </is>
      </c>
      <c r="F4534" t="inlineStr">
        <is>
          <t>Kommuner</t>
        </is>
      </c>
      <c r="G4534" t="n">
        <v>9.300000000000001</v>
      </c>
      <c r="H4534" t="n">
        <v>0</v>
      </c>
      <c r="I4534" t="n">
        <v>0</v>
      </c>
      <c r="J4534" t="n">
        <v>0</v>
      </c>
      <c r="K4534" t="n">
        <v>0</v>
      </c>
      <c r="L4534" t="n">
        <v>0</v>
      </c>
      <c r="M4534" t="n">
        <v>0</v>
      </c>
      <c r="N4534" t="n">
        <v>0</v>
      </c>
      <c r="O4534" t="n">
        <v>0</v>
      </c>
      <c r="P4534" t="n">
        <v>0</v>
      </c>
      <c r="Q4534" t="n">
        <v>0</v>
      </c>
      <c r="R4534" s="2" t="inlineStr"/>
    </row>
    <row r="4535" ht="15" customHeight="1">
      <c r="A4535" t="inlineStr">
        <is>
          <t>A 40823-2024</t>
        </is>
      </c>
      <c r="B4535" s="1" t="n">
        <v>45558</v>
      </c>
      <c r="C4535" s="1" t="n">
        <v>45724</v>
      </c>
      <c r="D4535" t="inlineStr">
        <is>
          <t>VÄSTMANLANDS LÄN</t>
        </is>
      </c>
      <c r="E4535" t="inlineStr">
        <is>
          <t>KÖPING</t>
        </is>
      </c>
      <c r="G4535" t="n">
        <v>3.5</v>
      </c>
      <c r="H4535" t="n">
        <v>0</v>
      </c>
      <c r="I4535" t="n">
        <v>0</v>
      </c>
      <c r="J4535" t="n">
        <v>0</v>
      </c>
      <c r="K4535" t="n">
        <v>0</v>
      </c>
      <c r="L4535" t="n">
        <v>0</v>
      </c>
      <c r="M4535" t="n">
        <v>0</v>
      </c>
      <c r="N4535" t="n">
        <v>0</v>
      </c>
      <c r="O4535" t="n">
        <v>0</v>
      </c>
      <c r="P4535" t="n">
        <v>0</v>
      </c>
      <c r="Q4535" t="n">
        <v>0</v>
      </c>
      <c r="R4535" s="2" t="inlineStr"/>
    </row>
    <row r="4536" ht="15" customHeight="1">
      <c r="A4536" t="inlineStr">
        <is>
          <t>A 40997-2024</t>
        </is>
      </c>
      <c r="B4536" s="1" t="n">
        <v>45558</v>
      </c>
      <c r="C4536" s="1" t="n">
        <v>45724</v>
      </c>
      <c r="D4536" t="inlineStr">
        <is>
          <t>VÄSTMANLANDS LÄN</t>
        </is>
      </c>
      <c r="E4536" t="inlineStr">
        <is>
          <t>SKINNSKATTEBERG</t>
        </is>
      </c>
      <c r="F4536" t="inlineStr">
        <is>
          <t>Sveaskog</t>
        </is>
      </c>
      <c r="G4536" t="n">
        <v>0.8</v>
      </c>
      <c r="H4536" t="n">
        <v>0</v>
      </c>
      <c r="I4536" t="n">
        <v>0</v>
      </c>
      <c r="J4536" t="n">
        <v>0</v>
      </c>
      <c r="K4536" t="n">
        <v>0</v>
      </c>
      <c r="L4536" t="n">
        <v>0</v>
      </c>
      <c r="M4536" t="n">
        <v>0</v>
      </c>
      <c r="N4536" t="n">
        <v>0</v>
      </c>
      <c r="O4536" t="n">
        <v>0</v>
      </c>
      <c r="P4536" t="n">
        <v>0</v>
      </c>
      <c r="Q4536" t="n">
        <v>0</v>
      </c>
      <c r="R4536" s="2" t="inlineStr"/>
    </row>
    <row r="4537" ht="15" customHeight="1">
      <c r="A4537" t="inlineStr">
        <is>
          <t>A 40990-2024</t>
        </is>
      </c>
      <c r="B4537" s="1" t="n">
        <v>45558</v>
      </c>
      <c r="C4537" s="1" t="n">
        <v>45724</v>
      </c>
      <c r="D4537" t="inlineStr">
        <is>
          <t>VÄSTMANLANDS LÄN</t>
        </is>
      </c>
      <c r="E4537" t="inlineStr">
        <is>
          <t>KÖPING</t>
        </is>
      </c>
      <c r="G4537" t="n">
        <v>3.7</v>
      </c>
      <c r="H4537" t="n">
        <v>0</v>
      </c>
      <c r="I4537" t="n">
        <v>0</v>
      </c>
      <c r="J4537" t="n">
        <v>0</v>
      </c>
      <c r="K4537" t="n">
        <v>0</v>
      </c>
      <c r="L4537" t="n">
        <v>0</v>
      </c>
      <c r="M4537" t="n">
        <v>0</v>
      </c>
      <c r="N4537" t="n">
        <v>0</v>
      </c>
      <c r="O4537" t="n">
        <v>0</v>
      </c>
      <c r="P4537" t="n">
        <v>0</v>
      </c>
      <c r="Q4537" t="n">
        <v>0</v>
      </c>
      <c r="R4537" s="2" t="inlineStr"/>
    </row>
    <row r="4538" ht="15" customHeight="1">
      <c r="A4538" t="inlineStr">
        <is>
          <t>A 40998-2024</t>
        </is>
      </c>
      <c r="B4538" s="1" t="n">
        <v>45558</v>
      </c>
      <c r="C4538" s="1" t="n">
        <v>45724</v>
      </c>
      <c r="D4538" t="inlineStr">
        <is>
          <t>VÄSTMANLANDS LÄN</t>
        </is>
      </c>
      <c r="E4538" t="inlineStr">
        <is>
          <t>SKINNSKATTEBERG</t>
        </is>
      </c>
      <c r="F4538" t="inlineStr">
        <is>
          <t>Sveaskog</t>
        </is>
      </c>
      <c r="G4538" t="n">
        <v>0.7</v>
      </c>
      <c r="H4538" t="n">
        <v>0</v>
      </c>
      <c r="I4538" t="n">
        <v>0</v>
      </c>
      <c r="J4538" t="n">
        <v>0</v>
      </c>
      <c r="K4538" t="n">
        <v>0</v>
      </c>
      <c r="L4538" t="n">
        <v>0</v>
      </c>
      <c r="M4538" t="n">
        <v>0</v>
      </c>
      <c r="N4538" t="n">
        <v>0</v>
      </c>
      <c r="O4538" t="n">
        <v>0</v>
      </c>
      <c r="P4538" t="n">
        <v>0</v>
      </c>
      <c r="Q4538" t="n">
        <v>0</v>
      </c>
      <c r="R4538" s="2" t="inlineStr"/>
    </row>
    <row r="4539" ht="15" customHeight="1">
      <c r="A4539" t="inlineStr">
        <is>
          <t>A 41139-2024</t>
        </is>
      </c>
      <c r="B4539" s="1" t="n">
        <v>45559</v>
      </c>
      <c r="C4539" s="1" t="n">
        <v>45724</v>
      </c>
      <c r="D4539" t="inlineStr">
        <is>
          <t>VÄSTMANLANDS LÄN</t>
        </is>
      </c>
      <c r="E4539" t="inlineStr">
        <is>
          <t>KÖPING</t>
        </is>
      </c>
      <c r="G4539" t="n">
        <v>6.6</v>
      </c>
      <c r="H4539" t="n">
        <v>0</v>
      </c>
      <c r="I4539" t="n">
        <v>0</v>
      </c>
      <c r="J4539" t="n">
        <v>0</v>
      </c>
      <c r="K4539" t="n">
        <v>0</v>
      </c>
      <c r="L4539" t="n">
        <v>0</v>
      </c>
      <c r="M4539" t="n">
        <v>0</v>
      </c>
      <c r="N4539" t="n">
        <v>0</v>
      </c>
      <c r="O4539" t="n">
        <v>0</v>
      </c>
      <c r="P4539" t="n">
        <v>0</v>
      </c>
      <c r="Q4539" t="n">
        <v>0</v>
      </c>
      <c r="R4539" s="2" t="inlineStr"/>
    </row>
    <row r="4540" ht="15" customHeight="1">
      <c r="A4540" t="inlineStr">
        <is>
          <t>A 41247-2024</t>
        </is>
      </c>
      <c r="B4540" s="1" t="n">
        <v>45559</v>
      </c>
      <c r="C4540" s="1" t="n">
        <v>45724</v>
      </c>
      <c r="D4540" t="inlineStr">
        <is>
          <t>VÄSTMANLANDS LÄN</t>
        </is>
      </c>
      <c r="E4540" t="inlineStr">
        <is>
          <t>SALA</t>
        </is>
      </c>
      <c r="G4540" t="n">
        <v>1.7</v>
      </c>
      <c r="H4540" t="n">
        <v>0</v>
      </c>
      <c r="I4540" t="n">
        <v>0</v>
      </c>
      <c r="J4540" t="n">
        <v>0</v>
      </c>
      <c r="K4540" t="n">
        <v>0</v>
      </c>
      <c r="L4540" t="n">
        <v>0</v>
      </c>
      <c r="M4540" t="n">
        <v>0</v>
      </c>
      <c r="N4540" t="n">
        <v>0</v>
      </c>
      <c r="O4540" t="n">
        <v>0</v>
      </c>
      <c r="P4540" t="n">
        <v>0</v>
      </c>
      <c r="Q4540" t="n">
        <v>0</v>
      </c>
      <c r="R4540" s="2" t="inlineStr"/>
    </row>
    <row r="4541" ht="15" customHeight="1">
      <c r="A4541" t="inlineStr">
        <is>
          <t>A 41490-2024</t>
        </is>
      </c>
      <c r="B4541" s="1" t="n">
        <v>45560</v>
      </c>
      <c r="C4541" s="1" t="n">
        <v>45724</v>
      </c>
      <c r="D4541" t="inlineStr">
        <is>
          <t>VÄSTMANLANDS LÄN</t>
        </is>
      </c>
      <c r="E4541" t="inlineStr">
        <is>
          <t>ARBOGA</t>
        </is>
      </c>
      <c r="G4541" t="n">
        <v>2.9</v>
      </c>
      <c r="H4541" t="n">
        <v>0</v>
      </c>
      <c r="I4541" t="n">
        <v>0</v>
      </c>
      <c r="J4541" t="n">
        <v>0</v>
      </c>
      <c r="K4541" t="n">
        <v>0</v>
      </c>
      <c r="L4541" t="n">
        <v>0</v>
      </c>
      <c r="M4541" t="n">
        <v>0</v>
      </c>
      <c r="N4541" t="n">
        <v>0</v>
      </c>
      <c r="O4541" t="n">
        <v>0</v>
      </c>
      <c r="P4541" t="n">
        <v>0</v>
      </c>
      <c r="Q4541" t="n">
        <v>0</v>
      </c>
      <c r="R4541" s="2" t="inlineStr"/>
    </row>
    <row r="4542" ht="15" customHeight="1">
      <c r="A4542" t="inlineStr">
        <is>
          <t>A 41472-2024</t>
        </is>
      </c>
      <c r="B4542" s="1" t="n">
        <v>45560</v>
      </c>
      <c r="C4542" s="1" t="n">
        <v>45724</v>
      </c>
      <c r="D4542" t="inlineStr">
        <is>
          <t>VÄSTMANLANDS LÄN</t>
        </is>
      </c>
      <c r="E4542" t="inlineStr">
        <is>
          <t>KÖPING</t>
        </is>
      </c>
      <c r="G4542" t="n">
        <v>3.2</v>
      </c>
      <c r="H4542" t="n">
        <v>0</v>
      </c>
      <c r="I4542" t="n">
        <v>0</v>
      </c>
      <c r="J4542" t="n">
        <v>0</v>
      </c>
      <c r="K4542" t="n">
        <v>0</v>
      </c>
      <c r="L4542" t="n">
        <v>0</v>
      </c>
      <c r="M4542" t="n">
        <v>0</v>
      </c>
      <c r="N4542" t="n">
        <v>0</v>
      </c>
      <c r="O4542" t="n">
        <v>0</v>
      </c>
      <c r="P4542" t="n">
        <v>0</v>
      </c>
      <c r="Q4542" t="n">
        <v>0</v>
      </c>
      <c r="R4542" s="2" t="inlineStr"/>
    </row>
    <row r="4543" ht="15" customHeight="1">
      <c r="A4543" t="inlineStr">
        <is>
          <t>A 41469-2024</t>
        </is>
      </c>
      <c r="B4543" s="1" t="n">
        <v>45560</v>
      </c>
      <c r="C4543" s="1" t="n">
        <v>45724</v>
      </c>
      <c r="D4543" t="inlineStr">
        <is>
          <t>VÄSTMANLANDS LÄN</t>
        </is>
      </c>
      <c r="E4543" t="inlineStr">
        <is>
          <t>VÄSTERÅS</t>
        </is>
      </c>
      <c r="G4543" t="n">
        <v>5.8</v>
      </c>
      <c r="H4543" t="n">
        <v>0</v>
      </c>
      <c r="I4543" t="n">
        <v>0</v>
      </c>
      <c r="J4543" t="n">
        <v>0</v>
      </c>
      <c r="K4543" t="n">
        <v>0</v>
      </c>
      <c r="L4543" t="n">
        <v>0</v>
      </c>
      <c r="M4543" t="n">
        <v>0</v>
      </c>
      <c r="N4543" t="n">
        <v>0</v>
      </c>
      <c r="O4543" t="n">
        <v>0</v>
      </c>
      <c r="P4543" t="n">
        <v>0</v>
      </c>
      <c r="Q4543" t="n">
        <v>0</v>
      </c>
      <c r="R4543" s="2" t="inlineStr"/>
    </row>
    <row r="4544" ht="15" customHeight="1">
      <c r="A4544" t="inlineStr">
        <is>
          <t>A 41448-2024</t>
        </is>
      </c>
      <c r="B4544" s="1" t="n">
        <v>45560</v>
      </c>
      <c r="C4544" s="1" t="n">
        <v>45724</v>
      </c>
      <c r="D4544" t="inlineStr">
        <is>
          <t>VÄSTMANLANDS LÄN</t>
        </is>
      </c>
      <c r="E4544" t="inlineStr">
        <is>
          <t>NORBERG</t>
        </is>
      </c>
      <c r="F4544" t="inlineStr">
        <is>
          <t>Bergvik skog väst AB</t>
        </is>
      </c>
      <c r="G4544" t="n">
        <v>3.5</v>
      </c>
      <c r="H4544" t="n">
        <v>0</v>
      </c>
      <c r="I4544" t="n">
        <v>0</v>
      </c>
      <c r="J4544" t="n">
        <v>0</v>
      </c>
      <c r="K4544" t="n">
        <v>0</v>
      </c>
      <c r="L4544" t="n">
        <v>0</v>
      </c>
      <c r="M4544" t="n">
        <v>0</v>
      </c>
      <c r="N4544" t="n">
        <v>0</v>
      </c>
      <c r="O4544" t="n">
        <v>0</v>
      </c>
      <c r="P4544" t="n">
        <v>0</v>
      </c>
      <c r="Q4544" t="n">
        <v>0</v>
      </c>
      <c r="R4544" s="2" t="inlineStr"/>
    </row>
    <row r="4545" ht="15" customHeight="1">
      <c r="A4545" t="inlineStr">
        <is>
          <t>A 41444-2024</t>
        </is>
      </c>
      <c r="B4545" s="1" t="n">
        <v>45560</v>
      </c>
      <c r="C4545" s="1" t="n">
        <v>45724</v>
      </c>
      <c r="D4545" t="inlineStr">
        <is>
          <t>VÄSTMANLANDS LÄN</t>
        </is>
      </c>
      <c r="E4545" t="inlineStr">
        <is>
          <t>NORBERG</t>
        </is>
      </c>
      <c r="F4545" t="inlineStr">
        <is>
          <t>Övriga Aktiebolag</t>
        </is>
      </c>
      <c r="G4545" t="n">
        <v>1.5</v>
      </c>
      <c r="H4545" t="n">
        <v>0</v>
      </c>
      <c r="I4545" t="n">
        <v>0</v>
      </c>
      <c r="J4545" t="n">
        <v>0</v>
      </c>
      <c r="K4545" t="n">
        <v>0</v>
      </c>
      <c r="L4545" t="n">
        <v>0</v>
      </c>
      <c r="M4545" t="n">
        <v>0</v>
      </c>
      <c r="N4545" t="n">
        <v>0</v>
      </c>
      <c r="O4545" t="n">
        <v>0</v>
      </c>
      <c r="P4545" t="n">
        <v>0</v>
      </c>
      <c r="Q4545" t="n">
        <v>0</v>
      </c>
      <c r="R4545" s="2" t="inlineStr"/>
    </row>
    <row r="4546" ht="15" customHeight="1">
      <c r="A4546" t="inlineStr">
        <is>
          <t>A 41849-2024</t>
        </is>
      </c>
      <c r="B4546" s="1" t="n">
        <v>45561</v>
      </c>
      <c r="C4546" s="1" t="n">
        <v>45724</v>
      </c>
      <c r="D4546" t="inlineStr">
        <is>
          <t>VÄSTMANLANDS LÄN</t>
        </is>
      </c>
      <c r="E4546" t="inlineStr">
        <is>
          <t>VÄSTERÅS</t>
        </is>
      </c>
      <c r="G4546" t="n">
        <v>5.4</v>
      </c>
      <c r="H4546" t="n">
        <v>0</v>
      </c>
      <c r="I4546" t="n">
        <v>0</v>
      </c>
      <c r="J4546" t="n">
        <v>0</v>
      </c>
      <c r="K4546" t="n">
        <v>0</v>
      </c>
      <c r="L4546" t="n">
        <v>0</v>
      </c>
      <c r="M4546" t="n">
        <v>0</v>
      </c>
      <c r="N4546" t="n">
        <v>0</v>
      </c>
      <c r="O4546" t="n">
        <v>0</v>
      </c>
      <c r="P4546" t="n">
        <v>0</v>
      </c>
      <c r="Q4546" t="n">
        <v>0</v>
      </c>
      <c r="R4546" s="2" t="inlineStr"/>
    </row>
    <row r="4547" ht="15" customHeight="1">
      <c r="A4547" t="inlineStr">
        <is>
          <t>A 41748-2024</t>
        </is>
      </c>
      <c r="B4547" s="1" t="n">
        <v>45561</v>
      </c>
      <c r="C4547" s="1" t="n">
        <v>45724</v>
      </c>
      <c r="D4547" t="inlineStr">
        <is>
          <t>VÄSTMANLANDS LÄN</t>
        </is>
      </c>
      <c r="E4547" t="inlineStr">
        <is>
          <t>SALA</t>
        </is>
      </c>
      <c r="G4547" t="n">
        <v>1.6</v>
      </c>
      <c r="H4547" t="n">
        <v>0</v>
      </c>
      <c r="I4547" t="n">
        <v>0</v>
      </c>
      <c r="J4547" t="n">
        <v>0</v>
      </c>
      <c r="K4547" t="n">
        <v>0</v>
      </c>
      <c r="L4547" t="n">
        <v>0</v>
      </c>
      <c r="M4547" t="n">
        <v>0</v>
      </c>
      <c r="N4547" t="n">
        <v>0</v>
      </c>
      <c r="O4547" t="n">
        <v>0</v>
      </c>
      <c r="P4547" t="n">
        <v>0</v>
      </c>
      <c r="Q4547" t="n">
        <v>0</v>
      </c>
      <c r="R4547" s="2" t="inlineStr"/>
    </row>
    <row r="4548" ht="15" customHeight="1">
      <c r="A4548" t="inlineStr">
        <is>
          <t>A 42406-2024</t>
        </is>
      </c>
      <c r="B4548" s="1" t="n">
        <v>45565</v>
      </c>
      <c r="C4548" s="1" t="n">
        <v>45724</v>
      </c>
      <c r="D4548" t="inlineStr">
        <is>
          <t>VÄSTMANLANDS LÄN</t>
        </is>
      </c>
      <c r="E4548" t="inlineStr">
        <is>
          <t>SURAHAMMAR</t>
        </is>
      </c>
      <c r="G4548" t="n">
        <v>8.199999999999999</v>
      </c>
      <c r="H4548" t="n">
        <v>0</v>
      </c>
      <c r="I4548" t="n">
        <v>0</v>
      </c>
      <c r="J4548" t="n">
        <v>0</v>
      </c>
      <c r="K4548" t="n">
        <v>0</v>
      </c>
      <c r="L4548" t="n">
        <v>0</v>
      </c>
      <c r="M4548" t="n">
        <v>0</v>
      </c>
      <c r="N4548" t="n">
        <v>0</v>
      </c>
      <c r="O4548" t="n">
        <v>0</v>
      </c>
      <c r="P4548" t="n">
        <v>0</v>
      </c>
      <c r="Q4548" t="n">
        <v>0</v>
      </c>
      <c r="R4548" s="2" t="inlineStr"/>
    </row>
    <row r="4549" ht="15" customHeight="1">
      <c r="A4549" t="inlineStr">
        <is>
          <t>A 42589-2024</t>
        </is>
      </c>
      <c r="B4549" s="1" t="n">
        <v>45565</v>
      </c>
      <c r="C4549" s="1" t="n">
        <v>45724</v>
      </c>
      <c r="D4549" t="inlineStr">
        <is>
          <t>VÄSTMANLANDS LÄN</t>
        </is>
      </c>
      <c r="E4549" t="inlineStr">
        <is>
          <t>SKINNSKATTEBERG</t>
        </is>
      </c>
      <c r="G4549" t="n">
        <v>1.3</v>
      </c>
      <c r="H4549" t="n">
        <v>0</v>
      </c>
      <c r="I4549" t="n">
        <v>0</v>
      </c>
      <c r="J4549" t="n">
        <v>0</v>
      </c>
      <c r="K4549" t="n">
        <v>0</v>
      </c>
      <c r="L4549" t="n">
        <v>0</v>
      </c>
      <c r="M4549" t="n">
        <v>0</v>
      </c>
      <c r="N4549" t="n">
        <v>0</v>
      </c>
      <c r="O4549" t="n">
        <v>0</v>
      </c>
      <c r="P4549" t="n">
        <v>0</v>
      </c>
      <c r="Q4549" t="n">
        <v>0</v>
      </c>
      <c r="R4549" s="2" t="inlineStr"/>
    </row>
    <row r="4550" ht="15" customHeight="1">
      <c r="A4550" t="inlineStr">
        <is>
          <t>A 42581-2024</t>
        </is>
      </c>
      <c r="B4550" s="1" t="n">
        <v>45565</v>
      </c>
      <c r="C4550" s="1" t="n">
        <v>45724</v>
      </c>
      <c r="D4550" t="inlineStr">
        <is>
          <t>VÄSTMANLANDS LÄN</t>
        </is>
      </c>
      <c r="E4550" t="inlineStr">
        <is>
          <t>SKINNSKATTEBERG</t>
        </is>
      </c>
      <c r="G4550" t="n">
        <v>2.4</v>
      </c>
      <c r="H4550" t="n">
        <v>0</v>
      </c>
      <c r="I4550" t="n">
        <v>0</v>
      </c>
      <c r="J4550" t="n">
        <v>0</v>
      </c>
      <c r="K4550" t="n">
        <v>0</v>
      </c>
      <c r="L4550" t="n">
        <v>0</v>
      </c>
      <c r="M4550" t="n">
        <v>0</v>
      </c>
      <c r="N4550" t="n">
        <v>0</v>
      </c>
      <c r="O4550" t="n">
        <v>0</v>
      </c>
      <c r="P4550" t="n">
        <v>0</v>
      </c>
      <c r="Q4550" t="n">
        <v>0</v>
      </c>
      <c r="R4550" s="2" t="inlineStr"/>
    </row>
    <row r="4551" ht="15" customHeight="1">
      <c r="A4551" t="inlineStr">
        <is>
          <t>A 42683-2024</t>
        </is>
      </c>
      <c r="B4551" s="1" t="n">
        <v>45565</v>
      </c>
      <c r="C4551" s="1" t="n">
        <v>45724</v>
      </c>
      <c r="D4551" t="inlineStr">
        <is>
          <t>VÄSTMANLANDS LÄN</t>
        </is>
      </c>
      <c r="E4551" t="inlineStr">
        <is>
          <t>FAGERSTA</t>
        </is>
      </c>
      <c r="G4551" t="n">
        <v>1.8</v>
      </c>
      <c r="H4551" t="n">
        <v>0</v>
      </c>
      <c r="I4551" t="n">
        <v>0</v>
      </c>
      <c r="J4551" t="n">
        <v>0</v>
      </c>
      <c r="K4551" t="n">
        <v>0</v>
      </c>
      <c r="L4551" t="n">
        <v>0</v>
      </c>
      <c r="M4551" t="n">
        <v>0</v>
      </c>
      <c r="N4551" t="n">
        <v>0</v>
      </c>
      <c r="O4551" t="n">
        <v>0</v>
      </c>
      <c r="P4551" t="n">
        <v>0</v>
      </c>
      <c r="Q4551" t="n">
        <v>0</v>
      </c>
      <c r="R4551" s="2" t="inlineStr"/>
    </row>
    <row r="4552" ht="15" customHeight="1">
      <c r="A4552" t="inlineStr">
        <is>
          <t>A 42617-2024</t>
        </is>
      </c>
      <c r="B4552" s="1" t="n">
        <v>45565</v>
      </c>
      <c r="C4552" s="1" t="n">
        <v>45724</v>
      </c>
      <c r="D4552" t="inlineStr">
        <is>
          <t>VÄSTMANLANDS LÄN</t>
        </is>
      </c>
      <c r="E4552" t="inlineStr">
        <is>
          <t>SALA</t>
        </is>
      </c>
      <c r="G4552" t="n">
        <v>1.6</v>
      </c>
      <c r="H4552" t="n">
        <v>0</v>
      </c>
      <c r="I4552" t="n">
        <v>0</v>
      </c>
      <c r="J4552" t="n">
        <v>0</v>
      </c>
      <c r="K4552" t="n">
        <v>0</v>
      </c>
      <c r="L4552" t="n">
        <v>0</v>
      </c>
      <c r="M4552" t="n">
        <v>0</v>
      </c>
      <c r="N4552" t="n">
        <v>0</v>
      </c>
      <c r="O4552" t="n">
        <v>0</v>
      </c>
      <c r="P4552" t="n">
        <v>0</v>
      </c>
      <c r="Q4552" t="n">
        <v>0</v>
      </c>
      <c r="R4552" s="2" t="inlineStr"/>
    </row>
    <row r="4553" ht="15" customHeight="1">
      <c r="A4553" t="inlineStr">
        <is>
          <t>A 42498-2024</t>
        </is>
      </c>
      <c r="B4553" s="1" t="n">
        <v>45565</v>
      </c>
      <c r="C4553" s="1" t="n">
        <v>45724</v>
      </c>
      <c r="D4553" t="inlineStr">
        <is>
          <t>VÄSTMANLANDS LÄN</t>
        </is>
      </c>
      <c r="E4553" t="inlineStr">
        <is>
          <t>KUNGSÖR</t>
        </is>
      </c>
      <c r="G4553" t="n">
        <v>5.4</v>
      </c>
      <c r="H4553" t="n">
        <v>0</v>
      </c>
      <c r="I4553" t="n">
        <v>0</v>
      </c>
      <c r="J4553" t="n">
        <v>0</v>
      </c>
      <c r="K4553" t="n">
        <v>0</v>
      </c>
      <c r="L4553" t="n">
        <v>0</v>
      </c>
      <c r="M4553" t="n">
        <v>0</v>
      </c>
      <c r="N4553" t="n">
        <v>0</v>
      </c>
      <c r="O4553" t="n">
        <v>0</v>
      </c>
      <c r="P4553" t="n">
        <v>0</v>
      </c>
      <c r="Q4553" t="n">
        <v>0</v>
      </c>
      <c r="R4553" s="2" t="inlineStr"/>
    </row>
    <row r="4554" ht="15" customHeight="1">
      <c r="A4554" t="inlineStr">
        <is>
          <t>A 42684-2024</t>
        </is>
      </c>
      <c r="B4554" s="1" t="n">
        <v>45565</v>
      </c>
      <c r="C4554" s="1" t="n">
        <v>45724</v>
      </c>
      <c r="D4554" t="inlineStr">
        <is>
          <t>VÄSTMANLANDS LÄN</t>
        </is>
      </c>
      <c r="E4554" t="inlineStr">
        <is>
          <t>SALA</t>
        </is>
      </c>
      <c r="G4554" t="n">
        <v>2.8</v>
      </c>
      <c r="H4554" t="n">
        <v>0</v>
      </c>
      <c r="I4554" t="n">
        <v>0</v>
      </c>
      <c r="J4554" t="n">
        <v>0</v>
      </c>
      <c r="K4554" t="n">
        <v>0</v>
      </c>
      <c r="L4554" t="n">
        <v>0</v>
      </c>
      <c r="M4554" t="n">
        <v>0</v>
      </c>
      <c r="N4554" t="n">
        <v>0</v>
      </c>
      <c r="O4554" t="n">
        <v>0</v>
      </c>
      <c r="P4554" t="n">
        <v>0</v>
      </c>
      <c r="Q4554" t="n">
        <v>0</v>
      </c>
      <c r="R4554" s="2" t="inlineStr"/>
    </row>
    <row r="4555" ht="15" customHeight="1">
      <c r="A4555" t="inlineStr">
        <is>
          <t>A 42844-2024</t>
        </is>
      </c>
      <c r="B4555" s="1" t="n">
        <v>45566</v>
      </c>
      <c r="C4555" s="1" t="n">
        <v>45724</v>
      </c>
      <c r="D4555" t="inlineStr">
        <is>
          <t>VÄSTMANLANDS LÄN</t>
        </is>
      </c>
      <c r="E4555" t="inlineStr">
        <is>
          <t>FAGERSTA</t>
        </is>
      </c>
      <c r="G4555" t="n">
        <v>0.9</v>
      </c>
      <c r="H4555" t="n">
        <v>0</v>
      </c>
      <c r="I4555" t="n">
        <v>0</v>
      </c>
      <c r="J4555" t="n">
        <v>0</v>
      </c>
      <c r="K4555" t="n">
        <v>0</v>
      </c>
      <c r="L4555" t="n">
        <v>0</v>
      </c>
      <c r="M4555" t="n">
        <v>0</v>
      </c>
      <c r="N4555" t="n">
        <v>0</v>
      </c>
      <c r="O4555" t="n">
        <v>0</v>
      </c>
      <c r="P4555" t="n">
        <v>0</v>
      </c>
      <c r="Q4555" t="n">
        <v>0</v>
      </c>
      <c r="R4555" s="2" t="inlineStr"/>
    </row>
    <row r="4556" ht="15" customHeight="1">
      <c r="A4556" t="inlineStr">
        <is>
          <t>A 42893-2024</t>
        </is>
      </c>
      <c r="B4556" s="1" t="n">
        <v>45566</v>
      </c>
      <c r="C4556" s="1" t="n">
        <v>45724</v>
      </c>
      <c r="D4556" t="inlineStr">
        <is>
          <t>VÄSTMANLANDS LÄN</t>
        </is>
      </c>
      <c r="E4556" t="inlineStr">
        <is>
          <t>KÖPING</t>
        </is>
      </c>
      <c r="G4556" t="n">
        <v>2.1</v>
      </c>
      <c r="H4556" t="n">
        <v>0</v>
      </c>
      <c r="I4556" t="n">
        <v>0</v>
      </c>
      <c r="J4556" t="n">
        <v>0</v>
      </c>
      <c r="K4556" t="n">
        <v>0</v>
      </c>
      <c r="L4556" t="n">
        <v>0</v>
      </c>
      <c r="M4556" t="n">
        <v>0</v>
      </c>
      <c r="N4556" t="n">
        <v>0</v>
      </c>
      <c r="O4556" t="n">
        <v>0</v>
      </c>
      <c r="P4556" t="n">
        <v>0</v>
      </c>
      <c r="Q4556" t="n">
        <v>0</v>
      </c>
      <c r="R4556" s="2" t="inlineStr"/>
    </row>
    <row r="4557" ht="15" customHeight="1">
      <c r="A4557" t="inlineStr">
        <is>
          <t>A 43103-2024</t>
        </is>
      </c>
      <c r="B4557" s="1" t="n">
        <v>45567</v>
      </c>
      <c r="C4557" s="1" t="n">
        <v>45724</v>
      </c>
      <c r="D4557" t="inlineStr">
        <is>
          <t>VÄSTMANLANDS LÄN</t>
        </is>
      </c>
      <c r="E4557" t="inlineStr">
        <is>
          <t>NORBERG</t>
        </is>
      </c>
      <c r="G4557" t="n">
        <v>0.5</v>
      </c>
      <c r="H4557" t="n">
        <v>0</v>
      </c>
      <c r="I4557" t="n">
        <v>0</v>
      </c>
      <c r="J4557" t="n">
        <v>0</v>
      </c>
      <c r="K4557" t="n">
        <v>0</v>
      </c>
      <c r="L4557" t="n">
        <v>0</v>
      </c>
      <c r="M4557" t="n">
        <v>0</v>
      </c>
      <c r="N4557" t="n">
        <v>0</v>
      </c>
      <c r="O4557" t="n">
        <v>0</v>
      </c>
      <c r="P4557" t="n">
        <v>0</v>
      </c>
      <c r="Q4557" t="n">
        <v>0</v>
      </c>
      <c r="R4557" s="2" t="inlineStr"/>
    </row>
    <row r="4558" ht="15" customHeight="1">
      <c r="A4558" t="inlineStr">
        <is>
          <t>A 43071-2024</t>
        </is>
      </c>
      <c r="B4558" s="1" t="n">
        <v>45567</v>
      </c>
      <c r="C4558" s="1" t="n">
        <v>45724</v>
      </c>
      <c r="D4558" t="inlineStr">
        <is>
          <t>VÄSTMANLANDS LÄN</t>
        </is>
      </c>
      <c r="E4558" t="inlineStr">
        <is>
          <t>FAGERSTA</t>
        </is>
      </c>
      <c r="G4558" t="n">
        <v>6.7</v>
      </c>
      <c r="H4558" t="n">
        <v>0</v>
      </c>
      <c r="I4558" t="n">
        <v>0</v>
      </c>
      <c r="J4558" t="n">
        <v>0</v>
      </c>
      <c r="K4558" t="n">
        <v>0</v>
      </c>
      <c r="L4558" t="n">
        <v>0</v>
      </c>
      <c r="M4558" t="n">
        <v>0</v>
      </c>
      <c r="N4558" t="n">
        <v>0</v>
      </c>
      <c r="O4558" t="n">
        <v>0</v>
      </c>
      <c r="P4558" t="n">
        <v>0</v>
      </c>
      <c r="Q4558" t="n">
        <v>0</v>
      </c>
      <c r="R4558" s="2" t="inlineStr"/>
    </row>
    <row r="4559" ht="15" customHeight="1">
      <c r="A4559" t="inlineStr">
        <is>
          <t>A 43073-2024</t>
        </is>
      </c>
      <c r="B4559" s="1" t="n">
        <v>45567</v>
      </c>
      <c r="C4559" s="1" t="n">
        <v>45724</v>
      </c>
      <c r="D4559" t="inlineStr">
        <is>
          <t>VÄSTMANLANDS LÄN</t>
        </is>
      </c>
      <c r="E4559" t="inlineStr">
        <is>
          <t>NORBERG</t>
        </is>
      </c>
      <c r="G4559" t="n">
        <v>0.5</v>
      </c>
      <c r="H4559" t="n">
        <v>0</v>
      </c>
      <c r="I4559" t="n">
        <v>0</v>
      </c>
      <c r="J4559" t="n">
        <v>0</v>
      </c>
      <c r="K4559" t="n">
        <v>0</v>
      </c>
      <c r="L4559" t="n">
        <v>0</v>
      </c>
      <c r="M4559" t="n">
        <v>0</v>
      </c>
      <c r="N4559" t="n">
        <v>0</v>
      </c>
      <c r="O4559" t="n">
        <v>0</v>
      </c>
      <c r="P4559" t="n">
        <v>0</v>
      </c>
      <c r="Q4559" t="n">
        <v>0</v>
      </c>
      <c r="R4559" s="2" t="inlineStr"/>
    </row>
    <row r="4560" ht="15" customHeight="1">
      <c r="A4560" t="inlineStr">
        <is>
          <t>A 43196-2024</t>
        </is>
      </c>
      <c r="B4560" s="1" t="n">
        <v>45567</v>
      </c>
      <c r="C4560" s="1" t="n">
        <v>45724</v>
      </c>
      <c r="D4560" t="inlineStr">
        <is>
          <t>VÄSTMANLANDS LÄN</t>
        </is>
      </c>
      <c r="E4560" t="inlineStr">
        <is>
          <t>SALA</t>
        </is>
      </c>
      <c r="G4560" t="n">
        <v>4.7</v>
      </c>
      <c r="H4560" t="n">
        <v>0</v>
      </c>
      <c r="I4560" t="n">
        <v>0</v>
      </c>
      <c r="J4560" t="n">
        <v>0</v>
      </c>
      <c r="K4560" t="n">
        <v>0</v>
      </c>
      <c r="L4560" t="n">
        <v>0</v>
      </c>
      <c r="M4560" t="n">
        <v>0</v>
      </c>
      <c r="N4560" t="n">
        <v>0</v>
      </c>
      <c r="O4560" t="n">
        <v>0</v>
      </c>
      <c r="P4560" t="n">
        <v>0</v>
      </c>
      <c r="Q4560" t="n">
        <v>0</v>
      </c>
      <c r="R4560" s="2" t="inlineStr"/>
    </row>
    <row r="4561" ht="15" customHeight="1">
      <c r="A4561" t="inlineStr">
        <is>
          <t>A 43108-2024</t>
        </is>
      </c>
      <c r="B4561" s="1" t="n">
        <v>45567</v>
      </c>
      <c r="C4561" s="1" t="n">
        <v>45724</v>
      </c>
      <c r="D4561" t="inlineStr">
        <is>
          <t>VÄSTMANLANDS LÄN</t>
        </is>
      </c>
      <c r="E4561" t="inlineStr">
        <is>
          <t>SALA</t>
        </is>
      </c>
      <c r="G4561" t="n">
        <v>0.9</v>
      </c>
      <c r="H4561" t="n">
        <v>0</v>
      </c>
      <c r="I4561" t="n">
        <v>0</v>
      </c>
      <c r="J4561" t="n">
        <v>0</v>
      </c>
      <c r="K4561" t="n">
        <v>0</v>
      </c>
      <c r="L4561" t="n">
        <v>0</v>
      </c>
      <c r="M4561" t="n">
        <v>0</v>
      </c>
      <c r="N4561" t="n">
        <v>0</v>
      </c>
      <c r="O4561" t="n">
        <v>0</v>
      </c>
      <c r="P4561" t="n">
        <v>0</v>
      </c>
      <c r="Q4561" t="n">
        <v>0</v>
      </c>
      <c r="R4561" s="2" t="inlineStr"/>
    </row>
    <row r="4562" ht="15" customHeight="1">
      <c r="A4562" t="inlineStr">
        <is>
          <t>A 43455-2024</t>
        </is>
      </c>
      <c r="B4562" s="1" t="n">
        <v>45568</v>
      </c>
      <c r="C4562" s="1" t="n">
        <v>45724</v>
      </c>
      <c r="D4562" t="inlineStr">
        <is>
          <t>VÄSTMANLANDS LÄN</t>
        </is>
      </c>
      <c r="E4562" t="inlineStr">
        <is>
          <t>SURAHAMMAR</t>
        </is>
      </c>
      <c r="F4562" t="inlineStr">
        <is>
          <t>Bergvik skog väst AB</t>
        </is>
      </c>
      <c r="G4562" t="n">
        <v>2.4</v>
      </c>
      <c r="H4562" t="n">
        <v>0</v>
      </c>
      <c r="I4562" t="n">
        <v>0</v>
      </c>
      <c r="J4562" t="n">
        <v>0</v>
      </c>
      <c r="K4562" t="n">
        <v>0</v>
      </c>
      <c r="L4562" t="n">
        <v>0</v>
      </c>
      <c r="M4562" t="n">
        <v>0</v>
      </c>
      <c r="N4562" t="n">
        <v>0</v>
      </c>
      <c r="O4562" t="n">
        <v>0</v>
      </c>
      <c r="P4562" t="n">
        <v>0</v>
      </c>
      <c r="Q4562" t="n">
        <v>0</v>
      </c>
      <c r="R4562" s="2" t="inlineStr"/>
    </row>
    <row r="4563" ht="15" customHeight="1">
      <c r="A4563" t="inlineStr">
        <is>
          <t>A 43411-2024</t>
        </is>
      </c>
      <c r="B4563" s="1" t="n">
        <v>45568</v>
      </c>
      <c r="C4563" s="1" t="n">
        <v>45724</v>
      </c>
      <c r="D4563" t="inlineStr">
        <is>
          <t>VÄSTMANLANDS LÄN</t>
        </is>
      </c>
      <c r="E4563" t="inlineStr">
        <is>
          <t>SKINNSKATTEBERG</t>
        </is>
      </c>
      <c r="F4563" t="inlineStr">
        <is>
          <t>Sveaskog</t>
        </is>
      </c>
      <c r="G4563" t="n">
        <v>6.7</v>
      </c>
      <c r="H4563" t="n">
        <v>0</v>
      </c>
      <c r="I4563" t="n">
        <v>0</v>
      </c>
      <c r="J4563" t="n">
        <v>0</v>
      </c>
      <c r="K4563" t="n">
        <v>0</v>
      </c>
      <c r="L4563" t="n">
        <v>0</v>
      </c>
      <c r="M4563" t="n">
        <v>0</v>
      </c>
      <c r="N4563" t="n">
        <v>0</v>
      </c>
      <c r="O4563" t="n">
        <v>0</v>
      </c>
      <c r="P4563" t="n">
        <v>0</v>
      </c>
      <c r="Q4563" t="n">
        <v>0</v>
      </c>
      <c r="R4563" s="2" t="inlineStr"/>
    </row>
    <row r="4564" ht="15" customHeight="1">
      <c r="A4564" t="inlineStr">
        <is>
          <t>A 43461-2024</t>
        </is>
      </c>
      <c r="B4564" s="1" t="n">
        <v>45568</v>
      </c>
      <c r="C4564" s="1" t="n">
        <v>45724</v>
      </c>
      <c r="D4564" t="inlineStr">
        <is>
          <t>VÄSTMANLANDS LÄN</t>
        </is>
      </c>
      <c r="E4564" t="inlineStr">
        <is>
          <t>SURAHAMMAR</t>
        </is>
      </c>
      <c r="G4564" t="n">
        <v>0.8</v>
      </c>
      <c r="H4564" t="n">
        <v>0</v>
      </c>
      <c r="I4564" t="n">
        <v>0</v>
      </c>
      <c r="J4564" t="n">
        <v>0</v>
      </c>
      <c r="K4564" t="n">
        <v>0</v>
      </c>
      <c r="L4564" t="n">
        <v>0</v>
      </c>
      <c r="M4564" t="n">
        <v>0</v>
      </c>
      <c r="N4564" t="n">
        <v>0</v>
      </c>
      <c r="O4564" t="n">
        <v>0</v>
      </c>
      <c r="P4564" t="n">
        <v>0</v>
      </c>
      <c r="Q4564" t="n">
        <v>0</v>
      </c>
      <c r="R4564" s="2" t="inlineStr"/>
    </row>
    <row r="4565" ht="15" customHeight="1">
      <c r="A4565" t="inlineStr">
        <is>
          <t>A 43359-2024</t>
        </is>
      </c>
      <c r="B4565" s="1" t="n">
        <v>45568</v>
      </c>
      <c r="C4565" s="1" t="n">
        <v>45724</v>
      </c>
      <c r="D4565" t="inlineStr">
        <is>
          <t>VÄSTMANLANDS LÄN</t>
        </is>
      </c>
      <c r="E4565" t="inlineStr">
        <is>
          <t>SALA</t>
        </is>
      </c>
      <c r="G4565" t="n">
        <v>1.6</v>
      </c>
      <c r="H4565" t="n">
        <v>0</v>
      </c>
      <c r="I4565" t="n">
        <v>0</v>
      </c>
      <c r="J4565" t="n">
        <v>0</v>
      </c>
      <c r="K4565" t="n">
        <v>0</v>
      </c>
      <c r="L4565" t="n">
        <v>0</v>
      </c>
      <c r="M4565" t="n">
        <v>0</v>
      </c>
      <c r="N4565" t="n">
        <v>0</v>
      </c>
      <c r="O4565" t="n">
        <v>0</v>
      </c>
      <c r="P4565" t="n">
        <v>0</v>
      </c>
      <c r="Q4565" t="n">
        <v>0</v>
      </c>
      <c r="R4565" s="2" t="inlineStr"/>
    </row>
    <row r="4566" ht="15" customHeight="1">
      <c r="A4566" t="inlineStr">
        <is>
          <t>A 43367-2024</t>
        </is>
      </c>
      <c r="B4566" s="1" t="n">
        <v>45568</v>
      </c>
      <c r="C4566" s="1" t="n">
        <v>45724</v>
      </c>
      <c r="D4566" t="inlineStr">
        <is>
          <t>VÄSTMANLANDS LÄN</t>
        </is>
      </c>
      <c r="E4566" t="inlineStr">
        <is>
          <t>VÄSTERÅS</t>
        </is>
      </c>
      <c r="G4566" t="n">
        <v>9</v>
      </c>
      <c r="H4566" t="n">
        <v>0</v>
      </c>
      <c r="I4566" t="n">
        <v>0</v>
      </c>
      <c r="J4566" t="n">
        <v>0</v>
      </c>
      <c r="K4566" t="n">
        <v>0</v>
      </c>
      <c r="L4566" t="n">
        <v>0</v>
      </c>
      <c r="M4566" t="n">
        <v>0</v>
      </c>
      <c r="N4566" t="n">
        <v>0</v>
      </c>
      <c r="O4566" t="n">
        <v>0</v>
      </c>
      <c r="P4566" t="n">
        <v>0</v>
      </c>
      <c r="Q4566" t="n">
        <v>0</v>
      </c>
      <c r="R4566" s="2" t="inlineStr"/>
    </row>
    <row r="4567" ht="15" customHeight="1">
      <c r="A4567" t="inlineStr">
        <is>
          <t>A 43400-2024</t>
        </is>
      </c>
      <c r="B4567" s="1" t="n">
        <v>45568</v>
      </c>
      <c r="C4567" s="1" t="n">
        <v>45724</v>
      </c>
      <c r="D4567" t="inlineStr">
        <is>
          <t>VÄSTMANLANDS LÄN</t>
        </is>
      </c>
      <c r="E4567" t="inlineStr">
        <is>
          <t>SKINNSKATTEBERG</t>
        </is>
      </c>
      <c r="F4567" t="inlineStr">
        <is>
          <t>Sveaskog</t>
        </is>
      </c>
      <c r="G4567" t="n">
        <v>2.4</v>
      </c>
      <c r="H4567" t="n">
        <v>0</v>
      </c>
      <c r="I4567" t="n">
        <v>0</v>
      </c>
      <c r="J4567" t="n">
        <v>0</v>
      </c>
      <c r="K4567" t="n">
        <v>0</v>
      </c>
      <c r="L4567" t="n">
        <v>0</v>
      </c>
      <c r="M4567" t="n">
        <v>0</v>
      </c>
      <c r="N4567" t="n">
        <v>0</v>
      </c>
      <c r="O4567" t="n">
        <v>0</v>
      </c>
      <c r="P4567" t="n">
        <v>0</v>
      </c>
      <c r="Q4567" t="n">
        <v>0</v>
      </c>
      <c r="R4567" s="2" t="inlineStr"/>
    </row>
    <row r="4568" ht="15" customHeight="1">
      <c r="A4568" t="inlineStr">
        <is>
          <t>A 43374-2024</t>
        </is>
      </c>
      <c r="B4568" s="1" t="n">
        <v>45568</v>
      </c>
      <c r="C4568" s="1" t="n">
        <v>45724</v>
      </c>
      <c r="D4568" t="inlineStr">
        <is>
          <t>VÄSTMANLANDS LÄN</t>
        </is>
      </c>
      <c r="E4568" t="inlineStr">
        <is>
          <t>VÄSTERÅS</t>
        </is>
      </c>
      <c r="G4568" t="n">
        <v>0.7</v>
      </c>
      <c r="H4568" t="n">
        <v>0</v>
      </c>
      <c r="I4568" t="n">
        <v>0</v>
      </c>
      <c r="J4568" t="n">
        <v>0</v>
      </c>
      <c r="K4568" t="n">
        <v>0</v>
      </c>
      <c r="L4568" t="n">
        <v>0</v>
      </c>
      <c r="M4568" t="n">
        <v>0</v>
      </c>
      <c r="N4568" t="n">
        <v>0</v>
      </c>
      <c r="O4568" t="n">
        <v>0</v>
      </c>
      <c r="P4568" t="n">
        <v>0</v>
      </c>
      <c r="Q4568" t="n">
        <v>0</v>
      </c>
      <c r="R4568" s="2" t="inlineStr"/>
    </row>
    <row r="4569" ht="15" customHeight="1">
      <c r="A4569" t="inlineStr">
        <is>
          <t>A 43600-2024</t>
        </is>
      </c>
      <c r="B4569" s="1" t="n">
        <v>45569</v>
      </c>
      <c r="C4569" s="1" t="n">
        <v>45724</v>
      </c>
      <c r="D4569" t="inlineStr">
        <is>
          <t>VÄSTMANLANDS LÄN</t>
        </is>
      </c>
      <c r="E4569" t="inlineStr">
        <is>
          <t>SALA</t>
        </is>
      </c>
      <c r="G4569" t="n">
        <v>0.9</v>
      </c>
      <c r="H4569" t="n">
        <v>0</v>
      </c>
      <c r="I4569" t="n">
        <v>0</v>
      </c>
      <c r="J4569" t="n">
        <v>0</v>
      </c>
      <c r="K4569" t="n">
        <v>0</v>
      </c>
      <c r="L4569" t="n">
        <v>0</v>
      </c>
      <c r="M4569" t="n">
        <v>0</v>
      </c>
      <c r="N4569" t="n">
        <v>0</v>
      </c>
      <c r="O4569" t="n">
        <v>0</v>
      </c>
      <c r="P4569" t="n">
        <v>0</v>
      </c>
      <c r="Q4569" t="n">
        <v>0</v>
      </c>
      <c r="R4569" s="2" t="inlineStr"/>
    </row>
    <row r="4570" ht="15" customHeight="1">
      <c r="A4570" t="inlineStr">
        <is>
          <t>A 43596-2024</t>
        </is>
      </c>
      <c r="B4570" s="1" t="n">
        <v>45569</v>
      </c>
      <c r="C4570" s="1" t="n">
        <v>45724</v>
      </c>
      <c r="D4570" t="inlineStr">
        <is>
          <t>VÄSTMANLANDS LÄN</t>
        </is>
      </c>
      <c r="E4570" t="inlineStr">
        <is>
          <t>SALA</t>
        </is>
      </c>
      <c r="G4570" t="n">
        <v>0.7</v>
      </c>
      <c r="H4570" t="n">
        <v>0</v>
      </c>
      <c r="I4570" t="n">
        <v>0</v>
      </c>
      <c r="J4570" t="n">
        <v>0</v>
      </c>
      <c r="K4570" t="n">
        <v>0</v>
      </c>
      <c r="L4570" t="n">
        <v>0</v>
      </c>
      <c r="M4570" t="n">
        <v>0</v>
      </c>
      <c r="N4570" t="n">
        <v>0</v>
      </c>
      <c r="O4570" t="n">
        <v>0</v>
      </c>
      <c r="P4570" t="n">
        <v>0</v>
      </c>
      <c r="Q4570" t="n">
        <v>0</v>
      </c>
      <c r="R4570" s="2" t="inlineStr"/>
    </row>
    <row r="4571" ht="15" customHeight="1">
      <c r="A4571" t="inlineStr">
        <is>
          <t>A 43807-2024</t>
        </is>
      </c>
      <c r="B4571" s="1" t="n">
        <v>45571</v>
      </c>
      <c r="C4571" s="1" t="n">
        <v>45724</v>
      </c>
      <c r="D4571" t="inlineStr">
        <is>
          <t>VÄSTMANLANDS LÄN</t>
        </is>
      </c>
      <c r="E4571" t="inlineStr">
        <is>
          <t>SKINNSKATTEBERG</t>
        </is>
      </c>
      <c r="F4571" t="inlineStr">
        <is>
          <t>Sveaskog</t>
        </is>
      </c>
      <c r="G4571" t="n">
        <v>1.4</v>
      </c>
      <c r="H4571" t="n">
        <v>0</v>
      </c>
      <c r="I4571" t="n">
        <v>0</v>
      </c>
      <c r="J4571" t="n">
        <v>0</v>
      </c>
      <c r="K4571" t="n">
        <v>0</v>
      </c>
      <c r="L4571" t="n">
        <v>0</v>
      </c>
      <c r="M4571" t="n">
        <v>0</v>
      </c>
      <c r="N4571" t="n">
        <v>0</v>
      </c>
      <c r="O4571" t="n">
        <v>0</v>
      </c>
      <c r="P4571" t="n">
        <v>0</v>
      </c>
      <c r="Q4571" t="n">
        <v>0</v>
      </c>
      <c r="R4571" s="2" t="inlineStr"/>
    </row>
    <row r="4572" ht="15" customHeight="1">
      <c r="A4572" t="inlineStr">
        <is>
          <t>A 43806-2024</t>
        </is>
      </c>
      <c r="B4572" s="1" t="n">
        <v>45571</v>
      </c>
      <c r="C4572" s="1" t="n">
        <v>45724</v>
      </c>
      <c r="D4572" t="inlineStr">
        <is>
          <t>VÄSTMANLANDS LÄN</t>
        </is>
      </c>
      <c r="E4572" t="inlineStr">
        <is>
          <t>SKINNSKATTEBERG</t>
        </is>
      </c>
      <c r="F4572" t="inlineStr">
        <is>
          <t>Sveaskog</t>
        </is>
      </c>
      <c r="G4572" t="n">
        <v>2.2</v>
      </c>
      <c r="H4572" t="n">
        <v>0</v>
      </c>
      <c r="I4572" t="n">
        <v>0</v>
      </c>
      <c r="J4572" t="n">
        <v>0</v>
      </c>
      <c r="K4572" t="n">
        <v>0</v>
      </c>
      <c r="L4572" t="n">
        <v>0</v>
      </c>
      <c r="M4572" t="n">
        <v>0</v>
      </c>
      <c r="N4572" t="n">
        <v>0</v>
      </c>
      <c r="O4572" t="n">
        <v>0</v>
      </c>
      <c r="P4572" t="n">
        <v>0</v>
      </c>
      <c r="Q4572" t="n">
        <v>0</v>
      </c>
      <c r="R4572" s="2" t="inlineStr"/>
    </row>
    <row r="4573" ht="15" customHeight="1">
      <c r="A4573" t="inlineStr">
        <is>
          <t>A 43805-2024</t>
        </is>
      </c>
      <c r="B4573" s="1" t="n">
        <v>45571</v>
      </c>
      <c r="C4573" s="1" t="n">
        <v>45724</v>
      </c>
      <c r="D4573" t="inlineStr">
        <is>
          <t>VÄSTMANLANDS LÄN</t>
        </is>
      </c>
      <c r="E4573" t="inlineStr">
        <is>
          <t>SKINNSKATTEBERG</t>
        </is>
      </c>
      <c r="F4573" t="inlineStr">
        <is>
          <t>Sveaskog</t>
        </is>
      </c>
      <c r="G4573" t="n">
        <v>1.4</v>
      </c>
      <c r="H4573" t="n">
        <v>0</v>
      </c>
      <c r="I4573" t="n">
        <v>0</v>
      </c>
      <c r="J4573" t="n">
        <v>0</v>
      </c>
      <c r="K4573" t="n">
        <v>0</v>
      </c>
      <c r="L4573" t="n">
        <v>0</v>
      </c>
      <c r="M4573" t="n">
        <v>0</v>
      </c>
      <c r="N4573" t="n">
        <v>0</v>
      </c>
      <c r="O4573" t="n">
        <v>0</v>
      </c>
      <c r="P4573" t="n">
        <v>0</v>
      </c>
      <c r="Q4573" t="n">
        <v>0</v>
      </c>
      <c r="R4573" s="2" t="inlineStr"/>
    </row>
    <row r="4574" ht="15" customHeight="1">
      <c r="A4574" t="inlineStr">
        <is>
          <t>A 43804-2024</t>
        </is>
      </c>
      <c r="B4574" s="1" t="n">
        <v>45571</v>
      </c>
      <c r="C4574" s="1" t="n">
        <v>45724</v>
      </c>
      <c r="D4574" t="inlineStr">
        <is>
          <t>VÄSTMANLANDS LÄN</t>
        </is>
      </c>
      <c r="E4574" t="inlineStr">
        <is>
          <t>SKINNSKATTEBERG</t>
        </is>
      </c>
      <c r="F4574" t="inlineStr">
        <is>
          <t>Sveaskog</t>
        </is>
      </c>
      <c r="G4574" t="n">
        <v>2</v>
      </c>
      <c r="H4574" t="n">
        <v>0</v>
      </c>
      <c r="I4574" t="n">
        <v>0</v>
      </c>
      <c r="J4574" t="n">
        <v>0</v>
      </c>
      <c r="K4574" t="n">
        <v>0</v>
      </c>
      <c r="L4574" t="n">
        <v>0</v>
      </c>
      <c r="M4574" t="n">
        <v>0</v>
      </c>
      <c r="N4574" t="n">
        <v>0</v>
      </c>
      <c r="O4574" t="n">
        <v>0</v>
      </c>
      <c r="P4574" t="n">
        <v>0</v>
      </c>
      <c r="Q4574" t="n">
        <v>0</v>
      </c>
      <c r="R4574" s="2" t="inlineStr"/>
    </row>
    <row r="4575" ht="15" customHeight="1">
      <c r="A4575" t="inlineStr">
        <is>
          <t>A 44361-2024</t>
        </is>
      </c>
      <c r="B4575" s="1" t="n">
        <v>45573</v>
      </c>
      <c r="C4575" s="1" t="n">
        <v>45724</v>
      </c>
      <c r="D4575" t="inlineStr">
        <is>
          <t>VÄSTMANLANDS LÄN</t>
        </is>
      </c>
      <c r="E4575" t="inlineStr">
        <is>
          <t>KÖPING</t>
        </is>
      </c>
      <c r="F4575" t="inlineStr">
        <is>
          <t>Sveaskog</t>
        </is>
      </c>
      <c r="G4575" t="n">
        <v>7</v>
      </c>
      <c r="H4575" t="n">
        <v>0</v>
      </c>
      <c r="I4575" t="n">
        <v>0</v>
      </c>
      <c r="J4575" t="n">
        <v>0</v>
      </c>
      <c r="K4575" t="n">
        <v>0</v>
      </c>
      <c r="L4575" t="n">
        <v>0</v>
      </c>
      <c r="M4575" t="n">
        <v>0</v>
      </c>
      <c r="N4575" t="n">
        <v>0</v>
      </c>
      <c r="O4575" t="n">
        <v>0</v>
      </c>
      <c r="P4575" t="n">
        <v>0</v>
      </c>
      <c r="Q4575" t="n">
        <v>0</v>
      </c>
      <c r="R4575" s="2" t="inlineStr"/>
    </row>
    <row r="4576" ht="15" customHeight="1">
      <c r="A4576" t="inlineStr">
        <is>
          <t>A 44357-2024</t>
        </is>
      </c>
      <c r="B4576" s="1" t="n">
        <v>45573</v>
      </c>
      <c r="C4576" s="1" t="n">
        <v>45724</v>
      </c>
      <c r="D4576" t="inlineStr">
        <is>
          <t>VÄSTMANLANDS LÄN</t>
        </is>
      </c>
      <c r="E4576" t="inlineStr">
        <is>
          <t>SURAHAMMAR</t>
        </is>
      </c>
      <c r="F4576" t="inlineStr">
        <is>
          <t>Sveaskog</t>
        </is>
      </c>
      <c r="G4576" t="n">
        <v>1</v>
      </c>
      <c r="H4576" t="n">
        <v>0</v>
      </c>
      <c r="I4576" t="n">
        <v>0</v>
      </c>
      <c r="J4576" t="n">
        <v>0</v>
      </c>
      <c r="K4576" t="n">
        <v>0</v>
      </c>
      <c r="L4576" t="n">
        <v>0</v>
      </c>
      <c r="M4576" t="n">
        <v>0</v>
      </c>
      <c r="N4576" t="n">
        <v>0</v>
      </c>
      <c r="O4576" t="n">
        <v>0</v>
      </c>
      <c r="P4576" t="n">
        <v>0</v>
      </c>
      <c r="Q4576" t="n">
        <v>0</v>
      </c>
      <c r="R4576" s="2" t="inlineStr"/>
    </row>
    <row r="4577" ht="15" customHeight="1">
      <c r="A4577" t="inlineStr">
        <is>
          <t>A 44358-2024</t>
        </is>
      </c>
      <c r="B4577" s="1" t="n">
        <v>45573</v>
      </c>
      <c r="C4577" s="1" t="n">
        <v>45724</v>
      </c>
      <c r="D4577" t="inlineStr">
        <is>
          <t>VÄSTMANLANDS LÄN</t>
        </is>
      </c>
      <c r="E4577" t="inlineStr">
        <is>
          <t>SURAHAMMAR</t>
        </is>
      </c>
      <c r="F4577" t="inlineStr">
        <is>
          <t>Sveaskog</t>
        </is>
      </c>
      <c r="G4577" t="n">
        <v>0.9</v>
      </c>
      <c r="H4577" t="n">
        <v>0</v>
      </c>
      <c r="I4577" t="n">
        <v>0</v>
      </c>
      <c r="J4577" t="n">
        <v>0</v>
      </c>
      <c r="K4577" t="n">
        <v>0</v>
      </c>
      <c r="L4577" t="n">
        <v>0</v>
      </c>
      <c r="M4577" t="n">
        <v>0</v>
      </c>
      <c r="N4577" t="n">
        <v>0</v>
      </c>
      <c r="O4577" t="n">
        <v>0</v>
      </c>
      <c r="P4577" t="n">
        <v>0</v>
      </c>
      <c r="Q4577" t="n">
        <v>0</v>
      </c>
      <c r="R4577" s="2" t="inlineStr"/>
    </row>
    <row r="4578" ht="15" customHeight="1">
      <c r="A4578" t="inlineStr">
        <is>
          <t>A 44353-2024</t>
        </is>
      </c>
      <c r="B4578" s="1" t="n">
        <v>45573</v>
      </c>
      <c r="C4578" s="1" t="n">
        <v>45724</v>
      </c>
      <c r="D4578" t="inlineStr">
        <is>
          <t>VÄSTMANLANDS LÄN</t>
        </is>
      </c>
      <c r="E4578" t="inlineStr">
        <is>
          <t>SURAHAMMAR</t>
        </is>
      </c>
      <c r="F4578" t="inlineStr">
        <is>
          <t>Sveaskog</t>
        </is>
      </c>
      <c r="G4578" t="n">
        <v>1.1</v>
      </c>
      <c r="H4578" t="n">
        <v>0</v>
      </c>
      <c r="I4578" t="n">
        <v>0</v>
      </c>
      <c r="J4578" t="n">
        <v>0</v>
      </c>
      <c r="K4578" t="n">
        <v>0</v>
      </c>
      <c r="L4578" t="n">
        <v>0</v>
      </c>
      <c r="M4578" t="n">
        <v>0</v>
      </c>
      <c r="N4578" t="n">
        <v>0</v>
      </c>
      <c r="O4578" t="n">
        <v>0</v>
      </c>
      <c r="P4578" t="n">
        <v>0</v>
      </c>
      <c r="Q4578" t="n">
        <v>0</v>
      </c>
      <c r="R4578" s="2" t="inlineStr"/>
    </row>
    <row r="4579" ht="15" customHeight="1">
      <c r="A4579" t="inlineStr">
        <is>
          <t>A 44420-2024</t>
        </is>
      </c>
      <c r="B4579" s="1" t="n">
        <v>45573</v>
      </c>
      <c r="C4579" s="1" t="n">
        <v>45724</v>
      </c>
      <c r="D4579" t="inlineStr">
        <is>
          <t>VÄSTMANLANDS LÄN</t>
        </is>
      </c>
      <c r="E4579" t="inlineStr">
        <is>
          <t>FAGERSTA</t>
        </is>
      </c>
      <c r="G4579" t="n">
        <v>4.7</v>
      </c>
      <c r="H4579" t="n">
        <v>0</v>
      </c>
      <c r="I4579" t="n">
        <v>0</v>
      </c>
      <c r="J4579" t="n">
        <v>0</v>
      </c>
      <c r="K4579" t="n">
        <v>0</v>
      </c>
      <c r="L4579" t="n">
        <v>0</v>
      </c>
      <c r="M4579" t="n">
        <v>0</v>
      </c>
      <c r="N4579" t="n">
        <v>0</v>
      </c>
      <c r="O4579" t="n">
        <v>0</v>
      </c>
      <c r="P4579" t="n">
        <v>0</v>
      </c>
      <c r="Q4579" t="n">
        <v>0</v>
      </c>
      <c r="R4579" s="2" t="inlineStr"/>
    </row>
    <row r="4580" ht="15" customHeight="1">
      <c r="A4580" t="inlineStr">
        <is>
          <t>A 44359-2024</t>
        </is>
      </c>
      <c r="B4580" s="1" t="n">
        <v>45573</v>
      </c>
      <c r="C4580" s="1" t="n">
        <v>45724</v>
      </c>
      <c r="D4580" t="inlineStr">
        <is>
          <t>VÄSTMANLANDS LÄN</t>
        </is>
      </c>
      <c r="E4580" t="inlineStr">
        <is>
          <t>SURAHAMMAR</t>
        </is>
      </c>
      <c r="F4580" t="inlineStr">
        <is>
          <t>Sveaskog</t>
        </is>
      </c>
      <c r="G4580" t="n">
        <v>2.7</v>
      </c>
      <c r="H4580" t="n">
        <v>0</v>
      </c>
      <c r="I4580" t="n">
        <v>0</v>
      </c>
      <c r="J4580" t="n">
        <v>0</v>
      </c>
      <c r="K4580" t="n">
        <v>0</v>
      </c>
      <c r="L4580" t="n">
        <v>0</v>
      </c>
      <c r="M4580" t="n">
        <v>0</v>
      </c>
      <c r="N4580" t="n">
        <v>0</v>
      </c>
      <c r="O4580" t="n">
        <v>0</v>
      </c>
      <c r="P4580" t="n">
        <v>0</v>
      </c>
      <c r="Q4580" t="n">
        <v>0</v>
      </c>
      <c r="R4580" s="2" t="inlineStr"/>
    </row>
    <row r="4581" ht="15" customHeight="1">
      <c r="A4581" t="inlineStr">
        <is>
          <t>A 44689-2024</t>
        </is>
      </c>
      <c r="B4581" s="1" t="n">
        <v>45574</v>
      </c>
      <c r="C4581" s="1" t="n">
        <v>45724</v>
      </c>
      <c r="D4581" t="inlineStr">
        <is>
          <t>VÄSTMANLANDS LÄN</t>
        </is>
      </c>
      <c r="E4581" t="inlineStr">
        <is>
          <t>SKINNSKATTEBERG</t>
        </is>
      </c>
      <c r="G4581" t="n">
        <v>4.9</v>
      </c>
      <c r="H4581" t="n">
        <v>0</v>
      </c>
      <c r="I4581" t="n">
        <v>0</v>
      </c>
      <c r="J4581" t="n">
        <v>0</v>
      </c>
      <c r="K4581" t="n">
        <v>0</v>
      </c>
      <c r="L4581" t="n">
        <v>0</v>
      </c>
      <c r="M4581" t="n">
        <v>0</v>
      </c>
      <c r="N4581" t="n">
        <v>0</v>
      </c>
      <c r="O4581" t="n">
        <v>0</v>
      </c>
      <c r="P4581" t="n">
        <v>0</v>
      </c>
      <c r="Q4581" t="n">
        <v>0</v>
      </c>
      <c r="R4581" s="2" t="inlineStr"/>
    </row>
    <row r="4582" ht="15" customHeight="1">
      <c r="A4582" t="inlineStr">
        <is>
          <t>A 44693-2024</t>
        </is>
      </c>
      <c r="B4582" s="1" t="n">
        <v>45574</v>
      </c>
      <c r="C4582" s="1" t="n">
        <v>45724</v>
      </c>
      <c r="D4582" t="inlineStr">
        <is>
          <t>VÄSTMANLANDS LÄN</t>
        </is>
      </c>
      <c r="E4582" t="inlineStr">
        <is>
          <t>SKINNSKATTEBERG</t>
        </is>
      </c>
      <c r="G4582" t="n">
        <v>2.5</v>
      </c>
      <c r="H4582" t="n">
        <v>0</v>
      </c>
      <c r="I4582" t="n">
        <v>0</v>
      </c>
      <c r="J4582" t="n">
        <v>0</v>
      </c>
      <c r="K4582" t="n">
        <v>0</v>
      </c>
      <c r="L4582" t="n">
        <v>0</v>
      </c>
      <c r="M4582" t="n">
        <v>0</v>
      </c>
      <c r="N4582" t="n">
        <v>0</v>
      </c>
      <c r="O4582" t="n">
        <v>0</v>
      </c>
      <c r="P4582" t="n">
        <v>0</v>
      </c>
      <c r="Q4582" t="n">
        <v>0</v>
      </c>
      <c r="R4582" s="2" t="inlineStr"/>
    </row>
    <row r="4583" ht="15" customHeight="1">
      <c r="A4583" t="inlineStr">
        <is>
          <t>A 44694-2024</t>
        </is>
      </c>
      <c r="B4583" s="1" t="n">
        <v>45574</v>
      </c>
      <c r="C4583" s="1" t="n">
        <v>45724</v>
      </c>
      <c r="D4583" t="inlineStr">
        <is>
          <t>VÄSTMANLANDS LÄN</t>
        </is>
      </c>
      <c r="E4583" t="inlineStr">
        <is>
          <t>SKINNSKATTEBERG</t>
        </is>
      </c>
      <c r="G4583" t="n">
        <v>1.3</v>
      </c>
      <c r="H4583" t="n">
        <v>0</v>
      </c>
      <c r="I4583" t="n">
        <v>0</v>
      </c>
      <c r="J4583" t="n">
        <v>0</v>
      </c>
      <c r="K4583" t="n">
        <v>0</v>
      </c>
      <c r="L4583" t="n">
        <v>0</v>
      </c>
      <c r="M4583" t="n">
        <v>0</v>
      </c>
      <c r="N4583" t="n">
        <v>0</v>
      </c>
      <c r="O4583" t="n">
        <v>0</v>
      </c>
      <c r="P4583" t="n">
        <v>0</v>
      </c>
      <c r="Q4583" t="n">
        <v>0</v>
      </c>
      <c r="R4583" s="2" t="inlineStr"/>
    </row>
    <row r="4584" ht="15" customHeight="1">
      <c r="A4584" t="inlineStr">
        <is>
          <t>A 44698-2024</t>
        </is>
      </c>
      <c r="B4584" s="1" t="n">
        <v>45574</v>
      </c>
      <c r="C4584" s="1" t="n">
        <v>45724</v>
      </c>
      <c r="D4584" t="inlineStr">
        <is>
          <t>VÄSTMANLANDS LÄN</t>
        </is>
      </c>
      <c r="E4584" t="inlineStr">
        <is>
          <t>SKINNSKATTEBERG</t>
        </is>
      </c>
      <c r="G4584" t="n">
        <v>1.3</v>
      </c>
      <c r="H4584" t="n">
        <v>0</v>
      </c>
      <c r="I4584" t="n">
        <v>0</v>
      </c>
      <c r="J4584" t="n">
        <v>0</v>
      </c>
      <c r="K4584" t="n">
        <v>0</v>
      </c>
      <c r="L4584" t="n">
        <v>0</v>
      </c>
      <c r="M4584" t="n">
        <v>0</v>
      </c>
      <c r="N4584" t="n">
        <v>0</v>
      </c>
      <c r="O4584" t="n">
        <v>0</v>
      </c>
      <c r="P4584" t="n">
        <v>0</v>
      </c>
      <c r="Q4584" t="n">
        <v>0</v>
      </c>
      <c r="R4584" s="2" t="inlineStr"/>
    </row>
    <row r="4585" ht="15" customHeight="1">
      <c r="A4585" t="inlineStr">
        <is>
          <t>A 44544-2024</t>
        </is>
      </c>
      <c r="B4585" s="1" t="n">
        <v>45574</v>
      </c>
      <c r="C4585" s="1" t="n">
        <v>45724</v>
      </c>
      <c r="D4585" t="inlineStr">
        <is>
          <t>VÄSTMANLANDS LÄN</t>
        </is>
      </c>
      <c r="E4585" t="inlineStr">
        <is>
          <t>SALA</t>
        </is>
      </c>
      <c r="G4585" t="n">
        <v>3.3</v>
      </c>
      <c r="H4585" t="n">
        <v>0</v>
      </c>
      <c r="I4585" t="n">
        <v>0</v>
      </c>
      <c r="J4585" t="n">
        <v>0</v>
      </c>
      <c r="K4585" t="n">
        <v>0</v>
      </c>
      <c r="L4585" t="n">
        <v>0</v>
      </c>
      <c r="M4585" t="n">
        <v>0</v>
      </c>
      <c r="N4585" t="n">
        <v>0</v>
      </c>
      <c r="O4585" t="n">
        <v>0</v>
      </c>
      <c r="P4585" t="n">
        <v>0</v>
      </c>
      <c r="Q4585" t="n">
        <v>0</v>
      </c>
      <c r="R4585" s="2" t="inlineStr"/>
    </row>
    <row r="4586" ht="15" customHeight="1">
      <c r="A4586" t="inlineStr">
        <is>
          <t>A 44746-2024</t>
        </is>
      </c>
      <c r="B4586" s="1" t="n">
        <v>45574</v>
      </c>
      <c r="C4586" s="1" t="n">
        <v>45724</v>
      </c>
      <c r="D4586" t="inlineStr">
        <is>
          <t>VÄSTMANLANDS LÄN</t>
        </is>
      </c>
      <c r="E4586" t="inlineStr">
        <is>
          <t>SALA</t>
        </is>
      </c>
      <c r="G4586" t="n">
        <v>6.7</v>
      </c>
      <c r="H4586" t="n">
        <v>0</v>
      </c>
      <c r="I4586" t="n">
        <v>0</v>
      </c>
      <c r="J4586" t="n">
        <v>0</v>
      </c>
      <c r="K4586" t="n">
        <v>0</v>
      </c>
      <c r="L4586" t="n">
        <v>0</v>
      </c>
      <c r="M4586" t="n">
        <v>0</v>
      </c>
      <c r="N4586" t="n">
        <v>0</v>
      </c>
      <c r="O4586" t="n">
        <v>0</v>
      </c>
      <c r="P4586" t="n">
        <v>0</v>
      </c>
      <c r="Q4586" t="n">
        <v>0</v>
      </c>
      <c r="R4586" s="2" t="inlineStr"/>
    </row>
    <row r="4587" ht="15" customHeight="1">
      <c r="A4587" t="inlineStr">
        <is>
          <t>A 45185-2024</t>
        </is>
      </c>
      <c r="B4587" s="1" t="n">
        <v>45575</v>
      </c>
      <c r="C4587" s="1" t="n">
        <v>45724</v>
      </c>
      <c r="D4587" t="inlineStr">
        <is>
          <t>VÄSTMANLANDS LÄN</t>
        </is>
      </c>
      <c r="E4587" t="inlineStr">
        <is>
          <t>SALA</t>
        </is>
      </c>
      <c r="G4587" t="n">
        <v>4</v>
      </c>
      <c r="H4587" t="n">
        <v>0</v>
      </c>
      <c r="I4587" t="n">
        <v>0</v>
      </c>
      <c r="J4587" t="n">
        <v>0</v>
      </c>
      <c r="K4587" t="n">
        <v>0</v>
      </c>
      <c r="L4587" t="n">
        <v>0</v>
      </c>
      <c r="M4587" t="n">
        <v>0</v>
      </c>
      <c r="N4587" t="n">
        <v>0</v>
      </c>
      <c r="O4587" t="n">
        <v>0</v>
      </c>
      <c r="P4587" t="n">
        <v>0</v>
      </c>
      <c r="Q4587" t="n">
        <v>0</v>
      </c>
      <c r="R4587" s="2" t="inlineStr"/>
    </row>
    <row r="4588" ht="15" customHeight="1">
      <c r="A4588" t="inlineStr">
        <is>
          <t>A 45187-2024</t>
        </is>
      </c>
      <c r="B4588" s="1" t="n">
        <v>45575</v>
      </c>
      <c r="C4588" s="1" t="n">
        <v>45724</v>
      </c>
      <c r="D4588" t="inlineStr">
        <is>
          <t>VÄSTMANLANDS LÄN</t>
        </is>
      </c>
      <c r="E4588" t="inlineStr">
        <is>
          <t>SALA</t>
        </is>
      </c>
      <c r="G4588" t="n">
        <v>0.7</v>
      </c>
      <c r="H4588" t="n">
        <v>0</v>
      </c>
      <c r="I4588" t="n">
        <v>0</v>
      </c>
      <c r="J4588" t="n">
        <v>0</v>
      </c>
      <c r="K4588" t="n">
        <v>0</v>
      </c>
      <c r="L4588" t="n">
        <v>0</v>
      </c>
      <c r="M4588" t="n">
        <v>0</v>
      </c>
      <c r="N4588" t="n">
        <v>0</v>
      </c>
      <c r="O4588" t="n">
        <v>0</v>
      </c>
      <c r="P4588" t="n">
        <v>0</v>
      </c>
      <c r="Q4588" t="n">
        <v>0</v>
      </c>
      <c r="R4588" s="2" t="inlineStr"/>
    </row>
    <row r="4589" ht="15" customHeight="1">
      <c r="A4589" t="inlineStr">
        <is>
          <t>A 45214-2024</t>
        </is>
      </c>
      <c r="B4589" s="1" t="n">
        <v>45575</v>
      </c>
      <c r="C4589" s="1" t="n">
        <v>45724</v>
      </c>
      <c r="D4589" t="inlineStr">
        <is>
          <t>VÄSTMANLANDS LÄN</t>
        </is>
      </c>
      <c r="E4589" t="inlineStr">
        <is>
          <t>KÖPING</t>
        </is>
      </c>
      <c r="G4589" t="n">
        <v>4.2</v>
      </c>
      <c r="H4589" t="n">
        <v>0</v>
      </c>
      <c r="I4589" t="n">
        <v>0</v>
      </c>
      <c r="J4589" t="n">
        <v>0</v>
      </c>
      <c r="K4589" t="n">
        <v>0</v>
      </c>
      <c r="L4589" t="n">
        <v>0</v>
      </c>
      <c r="M4589" t="n">
        <v>0</v>
      </c>
      <c r="N4589" t="n">
        <v>0</v>
      </c>
      <c r="O4589" t="n">
        <v>0</v>
      </c>
      <c r="P4589" t="n">
        <v>0</v>
      </c>
      <c r="Q4589" t="n">
        <v>0</v>
      </c>
      <c r="R4589" s="2" t="inlineStr"/>
    </row>
    <row r="4590" ht="15" customHeight="1">
      <c r="A4590" t="inlineStr">
        <is>
          <t>A 45048-2024</t>
        </is>
      </c>
      <c r="B4590" s="1" t="n">
        <v>45575</v>
      </c>
      <c r="C4590" s="1" t="n">
        <v>45724</v>
      </c>
      <c r="D4590" t="inlineStr">
        <is>
          <t>VÄSTMANLANDS LÄN</t>
        </is>
      </c>
      <c r="E4590" t="inlineStr">
        <is>
          <t>KÖPING</t>
        </is>
      </c>
      <c r="F4590" t="inlineStr">
        <is>
          <t>Sveaskog</t>
        </is>
      </c>
      <c r="G4590" t="n">
        <v>3.4</v>
      </c>
      <c r="H4590" t="n">
        <v>0</v>
      </c>
      <c r="I4590" t="n">
        <v>0</v>
      </c>
      <c r="J4590" t="n">
        <v>0</v>
      </c>
      <c r="K4590" t="n">
        <v>0</v>
      </c>
      <c r="L4590" t="n">
        <v>0</v>
      </c>
      <c r="M4590" t="n">
        <v>0</v>
      </c>
      <c r="N4590" t="n">
        <v>0</v>
      </c>
      <c r="O4590" t="n">
        <v>0</v>
      </c>
      <c r="P4590" t="n">
        <v>0</v>
      </c>
      <c r="Q4590" t="n">
        <v>0</v>
      </c>
      <c r="R4590" s="2" t="inlineStr"/>
    </row>
    <row r="4591" ht="15" customHeight="1">
      <c r="A4591" t="inlineStr">
        <is>
          <t>A 45290-2024</t>
        </is>
      </c>
      <c r="B4591" s="1" t="n">
        <v>45576</v>
      </c>
      <c r="C4591" s="1" t="n">
        <v>45724</v>
      </c>
      <c r="D4591" t="inlineStr">
        <is>
          <t>VÄSTMANLANDS LÄN</t>
        </is>
      </c>
      <c r="E4591" t="inlineStr">
        <is>
          <t>NORBERG</t>
        </is>
      </c>
      <c r="F4591" t="inlineStr">
        <is>
          <t>Övriga Aktiebolag</t>
        </is>
      </c>
      <c r="G4591" t="n">
        <v>9.300000000000001</v>
      </c>
      <c r="H4591" t="n">
        <v>0</v>
      </c>
      <c r="I4591" t="n">
        <v>0</v>
      </c>
      <c r="J4591" t="n">
        <v>0</v>
      </c>
      <c r="K4591" t="n">
        <v>0</v>
      </c>
      <c r="L4591" t="n">
        <v>0</v>
      </c>
      <c r="M4591" t="n">
        <v>0</v>
      </c>
      <c r="N4591" t="n">
        <v>0</v>
      </c>
      <c r="O4591" t="n">
        <v>0</v>
      </c>
      <c r="P4591" t="n">
        <v>0</v>
      </c>
      <c r="Q4591" t="n">
        <v>0</v>
      </c>
      <c r="R4591" s="2" t="inlineStr"/>
    </row>
    <row r="4592" ht="15" customHeight="1">
      <c r="A4592" t="inlineStr">
        <is>
          <t>A 45430-2024</t>
        </is>
      </c>
      <c r="B4592" s="1" t="n">
        <v>45576</v>
      </c>
      <c r="C4592" s="1" t="n">
        <v>45724</v>
      </c>
      <c r="D4592" t="inlineStr">
        <is>
          <t>VÄSTMANLANDS LÄN</t>
        </is>
      </c>
      <c r="E4592" t="inlineStr">
        <is>
          <t>NORBERG</t>
        </is>
      </c>
      <c r="G4592" t="n">
        <v>2.3</v>
      </c>
      <c r="H4592" t="n">
        <v>0</v>
      </c>
      <c r="I4592" t="n">
        <v>0</v>
      </c>
      <c r="J4592" t="n">
        <v>0</v>
      </c>
      <c r="K4592" t="n">
        <v>0</v>
      </c>
      <c r="L4592" t="n">
        <v>0</v>
      </c>
      <c r="M4592" t="n">
        <v>0</v>
      </c>
      <c r="N4592" t="n">
        <v>0</v>
      </c>
      <c r="O4592" t="n">
        <v>0</v>
      </c>
      <c r="P4592" t="n">
        <v>0</v>
      </c>
      <c r="Q4592" t="n">
        <v>0</v>
      </c>
      <c r="R4592" s="2" t="inlineStr"/>
    </row>
    <row r="4593" ht="15" customHeight="1">
      <c r="A4593" t="inlineStr">
        <is>
          <t>A 45313-2024</t>
        </is>
      </c>
      <c r="B4593" s="1" t="n">
        <v>45576</v>
      </c>
      <c r="C4593" s="1" t="n">
        <v>45724</v>
      </c>
      <c r="D4593" t="inlineStr">
        <is>
          <t>VÄSTMANLANDS LÄN</t>
        </is>
      </c>
      <c r="E4593" t="inlineStr">
        <is>
          <t>SALA</t>
        </is>
      </c>
      <c r="G4593" t="n">
        <v>0.7</v>
      </c>
      <c r="H4593" t="n">
        <v>0</v>
      </c>
      <c r="I4593" t="n">
        <v>0</v>
      </c>
      <c r="J4593" t="n">
        <v>0</v>
      </c>
      <c r="K4593" t="n">
        <v>0</v>
      </c>
      <c r="L4593" t="n">
        <v>0</v>
      </c>
      <c r="M4593" t="n">
        <v>0</v>
      </c>
      <c r="N4593" t="n">
        <v>0</v>
      </c>
      <c r="O4593" t="n">
        <v>0</v>
      </c>
      <c r="P4593" t="n">
        <v>0</v>
      </c>
      <c r="Q4593" t="n">
        <v>0</v>
      </c>
      <c r="R4593" s="2" t="inlineStr"/>
    </row>
    <row r="4594" ht="15" customHeight="1">
      <c r="A4594" t="inlineStr">
        <is>
          <t>A 45289-2024</t>
        </is>
      </c>
      <c r="B4594" s="1" t="n">
        <v>45576</v>
      </c>
      <c r="C4594" s="1" t="n">
        <v>45724</v>
      </c>
      <c r="D4594" t="inlineStr">
        <is>
          <t>VÄSTMANLANDS LÄN</t>
        </is>
      </c>
      <c r="E4594" t="inlineStr">
        <is>
          <t>NORBERG</t>
        </is>
      </c>
      <c r="F4594" t="inlineStr">
        <is>
          <t>Övriga Aktiebolag</t>
        </is>
      </c>
      <c r="G4594" t="n">
        <v>9.300000000000001</v>
      </c>
      <c r="H4594" t="n">
        <v>0</v>
      </c>
      <c r="I4594" t="n">
        <v>0</v>
      </c>
      <c r="J4594" t="n">
        <v>0</v>
      </c>
      <c r="K4594" t="n">
        <v>0</v>
      </c>
      <c r="L4594" t="n">
        <v>0</v>
      </c>
      <c r="M4594" t="n">
        <v>0</v>
      </c>
      <c r="N4594" t="n">
        <v>0</v>
      </c>
      <c r="O4594" t="n">
        <v>0</v>
      </c>
      <c r="P4594" t="n">
        <v>0</v>
      </c>
      <c r="Q4594" t="n">
        <v>0</v>
      </c>
      <c r="R4594" s="2" t="inlineStr"/>
    </row>
    <row r="4595" ht="15" customHeight="1">
      <c r="A4595" t="inlineStr">
        <is>
          <t>A 45737-2024</t>
        </is>
      </c>
      <c r="B4595" s="1" t="n">
        <v>45579</v>
      </c>
      <c r="C4595" s="1" t="n">
        <v>45724</v>
      </c>
      <c r="D4595" t="inlineStr">
        <is>
          <t>VÄSTMANLANDS LÄN</t>
        </is>
      </c>
      <c r="E4595" t="inlineStr">
        <is>
          <t>SALA</t>
        </is>
      </c>
      <c r="G4595" t="n">
        <v>4.7</v>
      </c>
      <c r="H4595" t="n">
        <v>0</v>
      </c>
      <c r="I4595" t="n">
        <v>0</v>
      </c>
      <c r="J4595" t="n">
        <v>0</v>
      </c>
      <c r="K4595" t="n">
        <v>0</v>
      </c>
      <c r="L4595" t="n">
        <v>0</v>
      </c>
      <c r="M4595" t="n">
        <v>0</v>
      </c>
      <c r="N4595" t="n">
        <v>0</v>
      </c>
      <c r="O4595" t="n">
        <v>0</v>
      </c>
      <c r="P4595" t="n">
        <v>0</v>
      </c>
      <c r="Q4595" t="n">
        <v>0</v>
      </c>
      <c r="R4595" s="2" t="inlineStr"/>
    </row>
    <row r="4596" ht="15" customHeight="1">
      <c r="A4596" t="inlineStr">
        <is>
          <t>A 45664-2024</t>
        </is>
      </c>
      <c r="B4596" s="1" t="n">
        <v>45579</v>
      </c>
      <c r="C4596" s="1" t="n">
        <v>45724</v>
      </c>
      <c r="D4596" t="inlineStr">
        <is>
          <t>VÄSTMANLANDS LÄN</t>
        </is>
      </c>
      <c r="E4596" t="inlineStr">
        <is>
          <t>KÖPING</t>
        </is>
      </c>
      <c r="G4596" t="n">
        <v>0.3</v>
      </c>
      <c r="H4596" t="n">
        <v>0</v>
      </c>
      <c r="I4596" t="n">
        <v>0</v>
      </c>
      <c r="J4596" t="n">
        <v>0</v>
      </c>
      <c r="K4596" t="n">
        <v>0</v>
      </c>
      <c r="L4596" t="n">
        <v>0</v>
      </c>
      <c r="M4596" t="n">
        <v>0</v>
      </c>
      <c r="N4596" t="n">
        <v>0</v>
      </c>
      <c r="O4596" t="n">
        <v>0</v>
      </c>
      <c r="P4596" t="n">
        <v>0</v>
      </c>
      <c r="Q4596" t="n">
        <v>0</v>
      </c>
      <c r="R4596" s="2" t="inlineStr"/>
    </row>
    <row r="4597" ht="15" customHeight="1">
      <c r="A4597" t="inlineStr">
        <is>
          <t>A 45621-2024</t>
        </is>
      </c>
      <c r="B4597" s="1" t="n">
        <v>45579</v>
      </c>
      <c r="C4597" s="1" t="n">
        <v>45724</v>
      </c>
      <c r="D4597" t="inlineStr">
        <is>
          <t>VÄSTMANLANDS LÄN</t>
        </is>
      </c>
      <c r="E4597" t="inlineStr">
        <is>
          <t>HALLSTAHAMMAR</t>
        </is>
      </c>
      <c r="G4597" t="n">
        <v>9</v>
      </c>
      <c r="H4597" t="n">
        <v>0</v>
      </c>
      <c r="I4597" t="n">
        <v>0</v>
      </c>
      <c r="J4597" t="n">
        <v>0</v>
      </c>
      <c r="K4597" t="n">
        <v>0</v>
      </c>
      <c r="L4597" t="n">
        <v>0</v>
      </c>
      <c r="M4597" t="n">
        <v>0</v>
      </c>
      <c r="N4597" t="n">
        <v>0</v>
      </c>
      <c r="O4597" t="n">
        <v>0</v>
      </c>
      <c r="P4597" t="n">
        <v>0</v>
      </c>
      <c r="Q4597" t="n">
        <v>0</v>
      </c>
      <c r="R4597" s="2" t="inlineStr"/>
    </row>
    <row r="4598" ht="15" customHeight="1">
      <c r="A4598" t="inlineStr">
        <is>
          <t>A 45804-2024</t>
        </is>
      </c>
      <c r="B4598" s="1" t="n">
        <v>45579</v>
      </c>
      <c r="C4598" s="1" t="n">
        <v>45724</v>
      </c>
      <c r="D4598" t="inlineStr">
        <is>
          <t>VÄSTMANLANDS LÄN</t>
        </is>
      </c>
      <c r="E4598" t="inlineStr">
        <is>
          <t>VÄSTERÅS</t>
        </is>
      </c>
      <c r="G4598" t="n">
        <v>2.4</v>
      </c>
      <c r="H4598" t="n">
        <v>0</v>
      </c>
      <c r="I4598" t="n">
        <v>0</v>
      </c>
      <c r="J4598" t="n">
        <v>0</v>
      </c>
      <c r="K4598" t="n">
        <v>0</v>
      </c>
      <c r="L4598" t="n">
        <v>0</v>
      </c>
      <c r="M4598" t="n">
        <v>0</v>
      </c>
      <c r="N4598" t="n">
        <v>0</v>
      </c>
      <c r="O4598" t="n">
        <v>0</v>
      </c>
      <c r="P4598" t="n">
        <v>0</v>
      </c>
      <c r="Q4598" t="n">
        <v>0</v>
      </c>
      <c r="R4598" s="2" t="inlineStr"/>
    </row>
    <row r="4599" ht="15" customHeight="1">
      <c r="A4599" t="inlineStr">
        <is>
          <t>A 45738-2024</t>
        </is>
      </c>
      <c r="B4599" s="1" t="n">
        <v>45579</v>
      </c>
      <c r="C4599" s="1" t="n">
        <v>45724</v>
      </c>
      <c r="D4599" t="inlineStr">
        <is>
          <t>VÄSTMANLANDS LÄN</t>
        </is>
      </c>
      <c r="E4599" t="inlineStr">
        <is>
          <t>SALA</t>
        </is>
      </c>
      <c r="G4599" t="n">
        <v>2.6</v>
      </c>
      <c r="H4599" t="n">
        <v>0</v>
      </c>
      <c r="I4599" t="n">
        <v>0</v>
      </c>
      <c r="J4599" t="n">
        <v>0</v>
      </c>
      <c r="K4599" t="n">
        <v>0</v>
      </c>
      <c r="L4599" t="n">
        <v>0</v>
      </c>
      <c r="M4599" t="n">
        <v>0</v>
      </c>
      <c r="N4599" t="n">
        <v>0</v>
      </c>
      <c r="O4599" t="n">
        <v>0</v>
      </c>
      <c r="P4599" t="n">
        <v>0</v>
      </c>
      <c r="Q4599" t="n">
        <v>0</v>
      </c>
      <c r="R4599" s="2" t="inlineStr"/>
    </row>
    <row r="4600" ht="15" customHeight="1">
      <c r="A4600" t="inlineStr">
        <is>
          <t>A 45765-2024</t>
        </is>
      </c>
      <c r="B4600" s="1" t="n">
        <v>45579</v>
      </c>
      <c r="C4600" s="1" t="n">
        <v>45724</v>
      </c>
      <c r="D4600" t="inlineStr">
        <is>
          <t>VÄSTMANLANDS LÄN</t>
        </is>
      </c>
      <c r="E4600" t="inlineStr">
        <is>
          <t>SALA</t>
        </is>
      </c>
      <c r="G4600" t="n">
        <v>1.1</v>
      </c>
      <c r="H4600" t="n">
        <v>0</v>
      </c>
      <c r="I4600" t="n">
        <v>0</v>
      </c>
      <c r="J4600" t="n">
        <v>0</v>
      </c>
      <c r="K4600" t="n">
        <v>0</v>
      </c>
      <c r="L4600" t="n">
        <v>0</v>
      </c>
      <c r="M4600" t="n">
        <v>0</v>
      </c>
      <c r="N4600" t="n">
        <v>0</v>
      </c>
      <c r="O4600" t="n">
        <v>0</v>
      </c>
      <c r="P4600" t="n">
        <v>0</v>
      </c>
      <c r="Q4600" t="n">
        <v>0</v>
      </c>
      <c r="R4600" s="2" t="inlineStr"/>
    </row>
    <row r="4601" ht="15" customHeight="1">
      <c r="A4601" t="inlineStr">
        <is>
          <t>A 45761-2024</t>
        </is>
      </c>
      <c r="B4601" s="1" t="n">
        <v>45579</v>
      </c>
      <c r="C4601" s="1" t="n">
        <v>45724</v>
      </c>
      <c r="D4601" t="inlineStr">
        <is>
          <t>VÄSTMANLANDS LÄN</t>
        </is>
      </c>
      <c r="E4601" t="inlineStr">
        <is>
          <t>SALA</t>
        </is>
      </c>
      <c r="G4601" t="n">
        <v>10.9</v>
      </c>
      <c r="H4601" t="n">
        <v>0</v>
      </c>
      <c r="I4601" t="n">
        <v>0</v>
      </c>
      <c r="J4601" t="n">
        <v>0</v>
      </c>
      <c r="K4601" t="n">
        <v>0</v>
      </c>
      <c r="L4601" t="n">
        <v>0</v>
      </c>
      <c r="M4601" t="n">
        <v>0</v>
      </c>
      <c r="N4601" t="n">
        <v>0</v>
      </c>
      <c r="O4601" t="n">
        <v>0</v>
      </c>
      <c r="P4601" t="n">
        <v>0</v>
      </c>
      <c r="Q4601" t="n">
        <v>0</v>
      </c>
      <c r="R4601" s="2" t="inlineStr"/>
    </row>
    <row r="4602" ht="15" customHeight="1">
      <c r="A4602" t="inlineStr">
        <is>
          <t>A 45684-2024</t>
        </is>
      </c>
      <c r="B4602" s="1" t="n">
        <v>45579</v>
      </c>
      <c r="C4602" s="1" t="n">
        <v>45724</v>
      </c>
      <c r="D4602" t="inlineStr">
        <is>
          <t>VÄSTMANLANDS LÄN</t>
        </is>
      </c>
      <c r="E4602" t="inlineStr">
        <is>
          <t>KÖPING</t>
        </is>
      </c>
      <c r="G4602" t="n">
        <v>1.8</v>
      </c>
      <c r="H4602" t="n">
        <v>0</v>
      </c>
      <c r="I4602" t="n">
        <v>0</v>
      </c>
      <c r="J4602" t="n">
        <v>0</v>
      </c>
      <c r="K4602" t="n">
        <v>0</v>
      </c>
      <c r="L4602" t="n">
        <v>0</v>
      </c>
      <c r="M4602" t="n">
        <v>0</v>
      </c>
      <c r="N4602" t="n">
        <v>0</v>
      </c>
      <c r="O4602" t="n">
        <v>0</v>
      </c>
      <c r="P4602" t="n">
        <v>0</v>
      </c>
      <c r="Q4602" t="n">
        <v>0</v>
      </c>
      <c r="R4602" s="2" t="inlineStr"/>
    </row>
    <row r="4603" ht="15" customHeight="1">
      <c r="A4603" t="inlineStr">
        <is>
          <t>A 45931-2024</t>
        </is>
      </c>
      <c r="B4603" s="1" t="n">
        <v>45580</v>
      </c>
      <c r="C4603" s="1" t="n">
        <v>45724</v>
      </c>
      <c r="D4603" t="inlineStr">
        <is>
          <t>VÄSTMANLANDS LÄN</t>
        </is>
      </c>
      <c r="E4603" t="inlineStr">
        <is>
          <t>SALA</t>
        </is>
      </c>
      <c r="G4603" t="n">
        <v>2</v>
      </c>
      <c r="H4603" t="n">
        <v>0</v>
      </c>
      <c r="I4603" t="n">
        <v>0</v>
      </c>
      <c r="J4603" t="n">
        <v>0</v>
      </c>
      <c r="K4603" t="n">
        <v>0</v>
      </c>
      <c r="L4603" t="n">
        <v>0</v>
      </c>
      <c r="M4603" t="n">
        <v>0</v>
      </c>
      <c r="N4603" t="n">
        <v>0</v>
      </c>
      <c r="O4603" t="n">
        <v>0</v>
      </c>
      <c r="P4603" t="n">
        <v>0</v>
      </c>
      <c r="Q4603" t="n">
        <v>0</v>
      </c>
      <c r="R4603" s="2" t="inlineStr"/>
    </row>
    <row r="4604" ht="15" customHeight="1">
      <c r="A4604" t="inlineStr">
        <is>
          <t>A 46077-2024</t>
        </is>
      </c>
      <c r="B4604" s="1" t="n">
        <v>45581</v>
      </c>
      <c r="C4604" s="1" t="n">
        <v>45724</v>
      </c>
      <c r="D4604" t="inlineStr">
        <is>
          <t>VÄSTMANLANDS LÄN</t>
        </is>
      </c>
      <c r="E4604" t="inlineStr">
        <is>
          <t>NORBERG</t>
        </is>
      </c>
      <c r="G4604" t="n">
        <v>1.9</v>
      </c>
      <c r="H4604" t="n">
        <v>0</v>
      </c>
      <c r="I4604" t="n">
        <v>0</v>
      </c>
      <c r="J4604" t="n">
        <v>0</v>
      </c>
      <c r="K4604" t="n">
        <v>0</v>
      </c>
      <c r="L4604" t="n">
        <v>0</v>
      </c>
      <c r="M4604" t="n">
        <v>0</v>
      </c>
      <c r="N4604" t="n">
        <v>0</v>
      </c>
      <c r="O4604" t="n">
        <v>0</v>
      </c>
      <c r="P4604" t="n">
        <v>0</v>
      </c>
      <c r="Q4604" t="n">
        <v>0</v>
      </c>
      <c r="R4604" s="2" t="inlineStr"/>
    </row>
    <row r="4605" ht="15" customHeight="1">
      <c r="A4605" t="inlineStr">
        <is>
          <t>A 46655-2024</t>
        </is>
      </c>
      <c r="B4605" s="1" t="n">
        <v>45583</v>
      </c>
      <c r="C4605" s="1" t="n">
        <v>45724</v>
      </c>
      <c r="D4605" t="inlineStr">
        <is>
          <t>VÄSTMANLANDS LÄN</t>
        </is>
      </c>
      <c r="E4605" t="inlineStr">
        <is>
          <t>KÖPING</t>
        </is>
      </c>
      <c r="G4605" t="n">
        <v>3.4</v>
      </c>
      <c r="H4605" t="n">
        <v>0</v>
      </c>
      <c r="I4605" t="n">
        <v>0</v>
      </c>
      <c r="J4605" t="n">
        <v>0</v>
      </c>
      <c r="K4605" t="n">
        <v>0</v>
      </c>
      <c r="L4605" t="n">
        <v>0</v>
      </c>
      <c r="M4605" t="n">
        <v>0</v>
      </c>
      <c r="N4605" t="n">
        <v>0</v>
      </c>
      <c r="O4605" t="n">
        <v>0</v>
      </c>
      <c r="P4605" t="n">
        <v>0</v>
      </c>
      <c r="Q4605" t="n">
        <v>0</v>
      </c>
      <c r="R4605" s="2" t="inlineStr"/>
    </row>
    <row r="4606" ht="15" customHeight="1">
      <c r="A4606" t="inlineStr">
        <is>
          <t>A 46659-2024</t>
        </is>
      </c>
      <c r="B4606" s="1" t="n">
        <v>45583</v>
      </c>
      <c r="C4606" s="1" t="n">
        <v>45724</v>
      </c>
      <c r="D4606" t="inlineStr">
        <is>
          <t>VÄSTMANLANDS LÄN</t>
        </is>
      </c>
      <c r="E4606" t="inlineStr">
        <is>
          <t>KÖPING</t>
        </is>
      </c>
      <c r="G4606" t="n">
        <v>4</v>
      </c>
      <c r="H4606" t="n">
        <v>0</v>
      </c>
      <c r="I4606" t="n">
        <v>0</v>
      </c>
      <c r="J4606" t="n">
        <v>0</v>
      </c>
      <c r="K4606" t="n">
        <v>0</v>
      </c>
      <c r="L4606" t="n">
        <v>0</v>
      </c>
      <c r="M4606" t="n">
        <v>0</v>
      </c>
      <c r="N4606" t="n">
        <v>0</v>
      </c>
      <c r="O4606" t="n">
        <v>0</v>
      </c>
      <c r="P4606" t="n">
        <v>0</v>
      </c>
      <c r="Q4606" t="n">
        <v>0</v>
      </c>
      <c r="R4606" s="2" t="inlineStr"/>
    </row>
    <row r="4607" ht="15" customHeight="1">
      <c r="A4607" t="inlineStr">
        <is>
          <t>A 46688-2024</t>
        </is>
      </c>
      <c r="B4607" s="1" t="n">
        <v>45583</v>
      </c>
      <c r="C4607" s="1" t="n">
        <v>45724</v>
      </c>
      <c r="D4607" t="inlineStr">
        <is>
          <t>VÄSTMANLANDS LÄN</t>
        </is>
      </c>
      <c r="E4607" t="inlineStr">
        <is>
          <t>NORBERG</t>
        </is>
      </c>
      <c r="F4607" t="inlineStr">
        <is>
          <t>Sveaskog</t>
        </is>
      </c>
      <c r="G4607" t="n">
        <v>7.5</v>
      </c>
      <c r="H4607" t="n">
        <v>0</v>
      </c>
      <c r="I4607" t="n">
        <v>0</v>
      </c>
      <c r="J4607" t="n">
        <v>0</v>
      </c>
      <c r="K4607" t="n">
        <v>0</v>
      </c>
      <c r="L4607" t="n">
        <v>0</v>
      </c>
      <c r="M4607" t="n">
        <v>0</v>
      </c>
      <c r="N4607" t="n">
        <v>0</v>
      </c>
      <c r="O4607" t="n">
        <v>0</v>
      </c>
      <c r="P4607" t="n">
        <v>0</v>
      </c>
      <c r="Q4607" t="n">
        <v>0</v>
      </c>
      <c r="R4607" s="2" t="inlineStr"/>
    </row>
    <row r="4608" ht="15" customHeight="1">
      <c r="A4608" t="inlineStr">
        <is>
          <t>A 46874-2024</t>
        </is>
      </c>
      <c r="B4608" s="1" t="n">
        <v>45583</v>
      </c>
      <c r="C4608" s="1" t="n">
        <v>45724</v>
      </c>
      <c r="D4608" t="inlineStr">
        <is>
          <t>VÄSTMANLANDS LÄN</t>
        </is>
      </c>
      <c r="E4608" t="inlineStr">
        <is>
          <t>SKINNSKATTEBERG</t>
        </is>
      </c>
      <c r="F4608" t="inlineStr">
        <is>
          <t>Sveaskog</t>
        </is>
      </c>
      <c r="G4608" t="n">
        <v>2.3</v>
      </c>
      <c r="H4608" t="n">
        <v>0</v>
      </c>
      <c r="I4608" t="n">
        <v>0</v>
      </c>
      <c r="J4608" t="n">
        <v>0</v>
      </c>
      <c r="K4608" t="n">
        <v>0</v>
      </c>
      <c r="L4608" t="n">
        <v>0</v>
      </c>
      <c r="M4608" t="n">
        <v>0</v>
      </c>
      <c r="N4608" t="n">
        <v>0</v>
      </c>
      <c r="O4608" t="n">
        <v>0</v>
      </c>
      <c r="P4608" t="n">
        <v>0</v>
      </c>
      <c r="Q4608" t="n">
        <v>0</v>
      </c>
      <c r="R4608" s="2" t="inlineStr"/>
    </row>
    <row r="4609" ht="15" customHeight="1">
      <c r="A4609" t="inlineStr">
        <is>
          <t>A 46870-2024</t>
        </is>
      </c>
      <c r="B4609" s="1" t="n">
        <v>45583</v>
      </c>
      <c r="C4609" s="1" t="n">
        <v>45724</v>
      </c>
      <c r="D4609" t="inlineStr">
        <is>
          <t>VÄSTMANLANDS LÄN</t>
        </is>
      </c>
      <c r="E4609" t="inlineStr">
        <is>
          <t>SKINNSKATTEBERG</t>
        </is>
      </c>
      <c r="F4609" t="inlineStr">
        <is>
          <t>Sveaskog</t>
        </is>
      </c>
      <c r="G4609" t="n">
        <v>1.7</v>
      </c>
      <c r="H4609" t="n">
        <v>0</v>
      </c>
      <c r="I4609" t="n">
        <v>0</v>
      </c>
      <c r="J4609" t="n">
        <v>0</v>
      </c>
      <c r="K4609" t="n">
        <v>0</v>
      </c>
      <c r="L4609" t="n">
        <v>0</v>
      </c>
      <c r="M4609" t="n">
        <v>0</v>
      </c>
      <c r="N4609" t="n">
        <v>0</v>
      </c>
      <c r="O4609" t="n">
        <v>0</v>
      </c>
      <c r="P4609" t="n">
        <v>0</v>
      </c>
      <c r="Q4609" t="n">
        <v>0</v>
      </c>
      <c r="R4609" s="2" t="inlineStr"/>
    </row>
    <row r="4610" ht="15" customHeight="1">
      <c r="A4610" t="inlineStr">
        <is>
          <t>A 46683-2024</t>
        </is>
      </c>
      <c r="B4610" s="1" t="n">
        <v>45583</v>
      </c>
      <c r="C4610" s="1" t="n">
        <v>45724</v>
      </c>
      <c r="D4610" t="inlineStr">
        <is>
          <t>VÄSTMANLANDS LÄN</t>
        </is>
      </c>
      <c r="E4610" t="inlineStr">
        <is>
          <t>NORBERG</t>
        </is>
      </c>
      <c r="F4610" t="inlineStr">
        <is>
          <t>Sveaskog</t>
        </is>
      </c>
      <c r="G4610" t="n">
        <v>3.7</v>
      </c>
      <c r="H4610" t="n">
        <v>0</v>
      </c>
      <c r="I4610" t="n">
        <v>0</v>
      </c>
      <c r="J4610" t="n">
        <v>0</v>
      </c>
      <c r="K4610" t="n">
        <v>0</v>
      </c>
      <c r="L4610" t="n">
        <v>0</v>
      </c>
      <c r="M4610" t="n">
        <v>0</v>
      </c>
      <c r="N4610" t="n">
        <v>0</v>
      </c>
      <c r="O4610" t="n">
        <v>0</v>
      </c>
      <c r="P4610" t="n">
        <v>0</v>
      </c>
      <c r="Q4610" t="n">
        <v>0</v>
      </c>
      <c r="R4610" s="2" t="inlineStr"/>
    </row>
    <row r="4611" ht="15" customHeight="1">
      <c r="A4611" t="inlineStr">
        <is>
          <t>A 46665-2024</t>
        </is>
      </c>
      <c r="B4611" s="1" t="n">
        <v>45583</v>
      </c>
      <c r="C4611" s="1" t="n">
        <v>45724</v>
      </c>
      <c r="D4611" t="inlineStr">
        <is>
          <t>VÄSTMANLANDS LÄN</t>
        </is>
      </c>
      <c r="E4611" t="inlineStr">
        <is>
          <t>KÖPING</t>
        </is>
      </c>
      <c r="G4611" t="n">
        <v>2.1</v>
      </c>
      <c r="H4611" t="n">
        <v>0</v>
      </c>
      <c r="I4611" t="n">
        <v>0</v>
      </c>
      <c r="J4611" t="n">
        <v>0</v>
      </c>
      <c r="K4611" t="n">
        <v>0</v>
      </c>
      <c r="L4611" t="n">
        <v>0</v>
      </c>
      <c r="M4611" t="n">
        <v>0</v>
      </c>
      <c r="N4611" t="n">
        <v>0</v>
      </c>
      <c r="O4611" t="n">
        <v>0</v>
      </c>
      <c r="P4611" t="n">
        <v>0</v>
      </c>
      <c r="Q4611" t="n">
        <v>0</v>
      </c>
      <c r="R4611" s="2" t="inlineStr"/>
    </row>
    <row r="4612" ht="15" customHeight="1">
      <c r="A4612" t="inlineStr">
        <is>
          <t>A 46875-2024</t>
        </is>
      </c>
      <c r="B4612" s="1" t="n">
        <v>45583</v>
      </c>
      <c r="C4612" s="1" t="n">
        <v>45724</v>
      </c>
      <c r="D4612" t="inlineStr">
        <is>
          <t>VÄSTMANLANDS LÄN</t>
        </is>
      </c>
      <c r="E4612" t="inlineStr">
        <is>
          <t>SKINNSKATTEBERG</t>
        </is>
      </c>
      <c r="F4612" t="inlineStr">
        <is>
          <t>Sveaskog</t>
        </is>
      </c>
      <c r="G4612" t="n">
        <v>2.8</v>
      </c>
      <c r="H4612" t="n">
        <v>0</v>
      </c>
      <c r="I4612" t="n">
        <v>0</v>
      </c>
      <c r="J4612" t="n">
        <v>0</v>
      </c>
      <c r="K4612" t="n">
        <v>0</v>
      </c>
      <c r="L4612" t="n">
        <v>0</v>
      </c>
      <c r="M4612" t="n">
        <v>0</v>
      </c>
      <c r="N4612" t="n">
        <v>0</v>
      </c>
      <c r="O4612" t="n">
        <v>0</v>
      </c>
      <c r="P4612" t="n">
        <v>0</v>
      </c>
      <c r="Q4612" t="n">
        <v>0</v>
      </c>
      <c r="R4612" s="2" t="inlineStr"/>
    </row>
    <row r="4613" ht="15" customHeight="1">
      <c r="A4613" t="inlineStr">
        <is>
          <t>A 46861-2024</t>
        </is>
      </c>
      <c r="B4613" s="1" t="n">
        <v>45583</v>
      </c>
      <c r="C4613" s="1" t="n">
        <v>45724</v>
      </c>
      <c r="D4613" t="inlineStr">
        <is>
          <t>VÄSTMANLANDS LÄN</t>
        </is>
      </c>
      <c r="E4613" t="inlineStr">
        <is>
          <t>SALA</t>
        </is>
      </c>
      <c r="G4613" t="n">
        <v>3.1</v>
      </c>
      <c r="H4613" t="n">
        <v>0</v>
      </c>
      <c r="I4613" t="n">
        <v>0</v>
      </c>
      <c r="J4613" t="n">
        <v>0</v>
      </c>
      <c r="K4613" t="n">
        <v>0</v>
      </c>
      <c r="L4613" t="n">
        <v>0</v>
      </c>
      <c r="M4613" t="n">
        <v>0</v>
      </c>
      <c r="N4613" t="n">
        <v>0</v>
      </c>
      <c r="O4613" t="n">
        <v>0</v>
      </c>
      <c r="P4613" t="n">
        <v>0</v>
      </c>
      <c r="Q4613" t="n">
        <v>0</v>
      </c>
      <c r="R4613" s="2" t="inlineStr"/>
    </row>
    <row r="4614" ht="15" customHeight="1">
      <c r="A4614" t="inlineStr">
        <is>
          <t>A 46877-2024</t>
        </is>
      </c>
      <c r="B4614" s="1" t="n">
        <v>45583</v>
      </c>
      <c r="C4614" s="1" t="n">
        <v>45724</v>
      </c>
      <c r="D4614" t="inlineStr">
        <is>
          <t>VÄSTMANLANDS LÄN</t>
        </is>
      </c>
      <c r="E4614" t="inlineStr">
        <is>
          <t>SKINNSKATTEBERG</t>
        </is>
      </c>
      <c r="F4614" t="inlineStr">
        <is>
          <t>Sveaskog</t>
        </is>
      </c>
      <c r="G4614" t="n">
        <v>4.2</v>
      </c>
      <c r="H4614" t="n">
        <v>0</v>
      </c>
      <c r="I4614" t="n">
        <v>0</v>
      </c>
      <c r="J4614" t="n">
        <v>0</v>
      </c>
      <c r="K4614" t="n">
        <v>0</v>
      </c>
      <c r="L4614" t="n">
        <v>0</v>
      </c>
      <c r="M4614" t="n">
        <v>0</v>
      </c>
      <c r="N4614" t="n">
        <v>0</v>
      </c>
      <c r="O4614" t="n">
        <v>0</v>
      </c>
      <c r="P4614" t="n">
        <v>0</v>
      </c>
      <c r="Q4614" t="n">
        <v>0</v>
      </c>
      <c r="R4614" s="2" t="inlineStr"/>
    </row>
    <row r="4615" ht="15" customHeight="1">
      <c r="A4615" t="inlineStr">
        <is>
          <t>A 46686-2024</t>
        </is>
      </c>
      <c r="B4615" s="1" t="n">
        <v>45583</v>
      </c>
      <c r="C4615" s="1" t="n">
        <v>45724</v>
      </c>
      <c r="D4615" t="inlineStr">
        <is>
          <t>VÄSTMANLANDS LÄN</t>
        </is>
      </c>
      <c r="E4615" t="inlineStr">
        <is>
          <t>NORBERG</t>
        </is>
      </c>
      <c r="F4615" t="inlineStr">
        <is>
          <t>Sveaskog</t>
        </is>
      </c>
      <c r="G4615" t="n">
        <v>5.7</v>
      </c>
      <c r="H4615" t="n">
        <v>0</v>
      </c>
      <c r="I4615" t="n">
        <v>0</v>
      </c>
      <c r="J4615" t="n">
        <v>0</v>
      </c>
      <c r="K4615" t="n">
        <v>0</v>
      </c>
      <c r="L4615" t="n">
        <v>0</v>
      </c>
      <c r="M4615" t="n">
        <v>0</v>
      </c>
      <c r="N4615" t="n">
        <v>0</v>
      </c>
      <c r="O4615" t="n">
        <v>0</v>
      </c>
      <c r="P4615" t="n">
        <v>0</v>
      </c>
      <c r="Q4615" t="n">
        <v>0</v>
      </c>
      <c r="R4615" s="2" t="inlineStr"/>
    </row>
    <row r="4616" ht="15" customHeight="1">
      <c r="A4616" t="inlineStr">
        <is>
          <t>A 46682-2024</t>
        </is>
      </c>
      <c r="B4616" s="1" t="n">
        <v>45583</v>
      </c>
      <c r="C4616" s="1" t="n">
        <v>45724</v>
      </c>
      <c r="D4616" t="inlineStr">
        <is>
          <t>VÄSTMANLANDS LÄN</t>
        </is>
      </c>
      <c r="E4616" t="inlineStr">
        <is>
          <t>SALA</t>
        </is>
      </c>
      <c r="G4616" t="n">
        <v>3.3</v>
      </c>
      <c r="H4616" t="n">
        <v>0</v>
      </c>
      <c r="I4616" t="n">
        <v>0</v>
      </c>
      <c r="J4616" t="n">
        <v>0</v>
      </c>
      <c r="K4616" t="n">
        <v>0</v>
      </c>
      <c r="L4616" t="n">
        <v>0</v>
      </c>
      <c r="M4616" t="n">
        <v>0</v>
      </c>
      <c r="N4616" t="n">
        <v>0</v>
      </c>
      <c r="O4616" t="n">
        <v>0</v>
      </c>
      <c r="P4616" t="n">
        <v>0</v>
      </c>
      <c r="Q4616" t="n">
        <v>0</v>
      </c>
      <c r="R4616" s="2" t="inlineStr"/>
    </row>
    <row r="4617" ht="15" customHeight="1">
      <c r="A4617" t="inlineStr">
        <is>
          <t>A 46650-2024</t>
        </is>
      </c>
      <c r="B4617" s="1" t="n">
        <v>45583</v>
      </c>
      <c r="C4617" s="1" t="n">
        <v>45724</v>
      </c>
      <c r="D4617" t="inlineStr">
        <is>
          <t>VÄSTMANLANDS LÄN</t>
        </is>
      </c>
      <c r="E4617" t="inlineStr">
        <is>
          <t>KÖPING</t>
        </is>
      </c>
      <c r="G4617" t="n">
        <v>2.2</v>
      </c>
      <c r="H4617" t="n">
        <v>0</v>
      </c>
      <c r="I4617" t="n">
        <v>0</v>
      </c>
      <c r="J4617" t="n">
        <v>0</v>
      </c>
      <c r="K4617" t="n">
        <v>0</v>
      </c>
      <c r="L4617" t="n">
        <v>0</v>
      </c>
      <c r="M4617" t="n">
        <v>0</v>
      </c>
      <c r="N4617" t="n">
        <v>0</v>
      </c>
      <c r="O4617" t="n">
        <v>0</v>
      </c>
      <c r="P4617" t="n">
        <v>0</v>
      </c>
      <c r="Q4617" t="n">
        <v>0</v>
      </c>
      <c r="R4617" s="2" t="inlineStr"/>
    </row>
    <row r="4618" ht="15" customHeight="1">
      <c r="A4618" t="inlineStr">
        <is>
          <t>A 47254-2024</t>
        </is>
      </c>
      <c r="B4618" s="1" t="n">
        <v>45586</v>
      </c>
      <c r="C4618" s="1" t="n">
        <v>45724</v>
      </c>
      <c r="D4618" t="inlineStr">
        <is>
          <t>VÄSTMANLANDS LÄN</t>
        </is>
      </c>
      <c r="E4618" t="inlineStr">
        <is>
          <t>SKINNSKATTEBERG</t>
        </is>
      </c>
      <c r="F4618" t="inlineStr">
        <is>
          <t>Sveaskog</t>
        </is>
      </c>
      <c r="G4618" t="n">
        <v>2.8</v>
      </c>
      <c r="H4618" t="n">
        <v>0</v>
      </c>
      <c r="I4618" t="n">
        <v>0</v>
      </c>
      <c r="J4618" t="n">
        <v>0</v>
      </c>
      <c r="K4618" t="n">
        <v>0</v>
      </c>
      <c r="L4618" t="n">
        <v>0</v>
      </c>
      <c r="M4618" t="n">
        <v>0</v>
      </c>
      <c r="N4618" t="n">
        <v>0</v>
      </c>
      <c r="O4618" t="n">
        <v>0</v>
      </c>
      <c r="P4618" t="n">
        <v>0</v>
      </c>
      <c r="Q4618" t="n">
        <v>0</v>
      </c>
      <c r="R4618" s="2" t="inlineStr"/>
    </row>
    <row r="4619" ht="15" customHeight="1">
      <c r="A4619" t="inlineStr">
        <is>
          <t>A 47061-2024</t>
        </is>
      </c>
      <c r="B4619" s="1" t="n">
        <v>45586</v>
      </c>
      <c r="C4619" s="1" t="n">
        <v>45724</v>
      </c>
      <c r="D4619" t="inlineStr">
        <is>
          <t>VÄSTMANLANDS LÄN</t>
        </is>
      </c>
      <c r="E4619" t="inlineStr">
        <is>
          <t>SALA</t>
        </is>
      </c>
      <c r="G4619" t="n">
        <v>3.9</v>
      </c>
      <c r="H4619" t="n">
        <v>0</v>
      </c>
      <c r="I4619" t="n">
        <v>0</v>
      </c>
      <c r="J4619" t="n">
        <v>0</v>
      </c>
      <c r="K4619" t="n">
        <v>0</v>
      </c>
      <c r="L4619" t="n">
        <v>0</v>
      </c>
      <c r="M4619" t="n">
        <v>0</v>
      </c>
      <c r="N4619" t="n">
        <v>0</v>
      </c>
      <c r="O4619" t="n">
        <v>0</v>
      </c>
      <c r="P4619" t="n">
        <v>0</v>
      </c>
      <c r="Q4619" t="n">
        <v>0</v>
      </c>
      <c r="R4619" s="2" t="inlineStr"/>
    </row>
    <row r="4620" ht="15" customHeight="1">
      <c r="A4620" t="inlineStr">
        <is>
          <t>A 47142-2024</t>
        </is>
      </c>
      <c r="B4620" s="1" t="n">
        <v>45586</v>
      </c>
      <c r="C4620" s="1" t="n">
        <v>45724</v>
      </c>
      <c r="D4620" t="inlineStr">
        <is>
          <t>VÄSTMANLANDS LÄN</t>
        </is>
      </c>
      <c r="E4620" t="inlineStr">
        <is>
          <t>NORBERG</t>
        </is>
      </c>
      <c r="F4620" t="inlineStr">
        <is>
          <t>Sveaskog</t>
        </is>
      </c>
      <c r="G4620" t="n">
        <v>2.3</v>
      </c>
      <c r="H4620" t="n">
        <v>0</v>
      </c>
      <c r="I4620" t="n">
        <v>0</v>
      </c>
      <c r="J4620" t="n">
        <v>0</v>
      </c>
      <c r="K4620" t="n">
        <v>0</v>
      </c>
      <c r="L4620" t="n">
        <v>0</v>
      </c>
      <c r="M4620" t="n">
        <v>0</v>
      </c>
      <c r="N4620" t="n">
        <v>0</v>
      </c>
      <c r="O4620" t="n">
        <v>0</v>
      </c>
      <c r="P4620" t="n">
        <v>0</v>
      </c>
      <c r="Q4620" t="n">
        <v>0</v>
      </c>
      <c r="R4620" s="2" t="inlineStr"/>
    </row>
    <row r="4621" ht="15" customHeight="1">
      <c r="A4621" t="inlineStr">
        <is>
          <t>A 47253-2024</t>
        </is>
      </c>
      <c r="B4621" s="1" t="n">
        <v>45586</v>
      </c>
      <c r="C4621" s="1" t="n">
        <v>45724</v>
      </c>
      <c r="D4621" t="inlineStr">
        <is>
          <t>VÄSTMANLANDS LÄN</t>
        </is>
      </c>
      <c r="E4621" t="inlineStr">
        <is>
          <t>SKINNSKATTEBERG</t>
        </is>
      </c>
      <c r="F4621" t="inlineStr">
        <is>
          <t>Sveaskog</t>
        </is>
      </c>
      <c r="G4621" t="n">
        <v>3.4</v>
      </c>
      <c r="H4621" t="n">
        <v>0</v>
      </c>
      <c r="I4621" t="n">
        <v>0</v>
      </c>
      <c r="J4621" t="n">
        <v>0</v>
      </c>
      <c r="K4621" t="n">
        <v>0</v>
      </c>
      <c r="L4621" t="n">
        <v>0</v>
      </c>
      <c r="M4621" t="n">
        <v>0</v>
      </c>
      <c r="N4621" t="n">
        <v>0</v>
      </c>
      <c r="O4621" t="n">
        <v>0</v>
      </c>
      <c r="P4621" t="n">
        <v>0</v>
      </c>
      <c r="Q4621" t="n">
        <v>0</v>
      </c>
      <c r="R4621" s="2" t="inlineStr"/>
    </row>
    <row r="4622" ht="15" customHeight="1">
      <c r="A4622" t="inlineStr">
        <is>
          <t>A 47123-2024</t>
        </is>
      </c>
      <c r="B4622" s="1" t="n">
        <v>45586</v>
      </c>
      <c r="C4622" s="1" t="n">
        <v>45724</v>
      </c>
      <c r="D4622" t="inlineStr">
        <is>
          <t>VÄSTMANLANDS LÄN</t>
        </is>
      </c>
      <c r="E4622" t="inlineStr">
        <is>
          <t>KUNGSÖR</t>
        </is>
      </c>
      <c r="G4622" t="n">
        <v>5.3</v>
      </c>
      <c r="H4622" t="n">
        <v>0</v>
      </c>
      <c r="I4622" t="n">
        <v>0</v>
      </c>
      <c r="J4622" t="n">
        <v>0</v>
      </c>
      <c r="K4622" t="n">
        <v>0</v>
      </c>
      <c r="L4622" t="n">
        <v>0</v>
      </c>
      <c r="M4622" t="n">
        <v>0</v>
      </c>
      <c r="N4622" t="n">
        <v>0</v>
      </c>
      <c r="O4622" t="n">
        <v>0</v>
      </c>
      <c r="P4622" t="n">
        <v>0</v>
      </c>
      <c r="Q4622" t="n">
        <v>0</v>
      </c>
      <c r="R4622" s="2" t="inlineStr"/>
    </row>
    <row r="4623" ht="15" customHeight="1">
      <c r="A4623" t="inlineStr">
        <is>
          <t>A 47029-2024</t>
        </is>
      </c>
      <c r="B4623" s="1" t="n">
        <v>45586</v>
      </c>
      <c r="C4623" s="1" t="n">
        <v>45724</v>
      </c>
      <c r="D4623" t="inlineStr">
        <is>
          <t>VÄSTMANLANDS LÄN</t>
        </is>
      </c>
      <c r="E4623" t="inlineStr">
        <is>
          <t>NORBERG</t>
        </is>
      </c>
      <c r="G4623" t="n">
        <v>3.3</v>
      </c>
      <c r="H4623" t="n">
        <v>0</v>
      </c>
      <c r="I4623" t="n">
        <v>0</v>
      </c>
      <c r="J4623" t="n">
        <v>0</v>
      </c>
      <c r="K4623" t="n">
        <v>0</v>
      </c>
      <c r="L4623" t="n">
        <v>0</v>
      </c>
      <c r="M4623" t="n">
        <v>0</v>
      </c>
      <c r="N4623" t="n">
        <v>0</v>
      </c>
      <c r="O4623" t="n">
        <v>0</v>
      </c>
      <c r="P4623" t="n">
        <v>0</v>
      </c>
      <c r="Q4623" t="n">
        <v>0</v>
      </c>
      <c r="R4623" s="2" t="inlineStr"/>
    </row>
    <row r="4624" ht="15" customHeight="1">
      <c r="A4624" t="inlineStr">
        <is>
          <t>A 47038-2024</t>
        </is>
      </c>
      <c r="B4624" s="1" t="n">
        <v>45586</v>
      </c>
      <c r="C4624" s="1" t="n">
        <v>45724</v>
      </c>
      <c r="D4624" t="inlineStr">
        <is>
          <t>VÄSTMANLANDS LÄN</t>
        </is>
      </c>
      <c r="E4624" t="inlineStr">
        <is>
          <t>SALA</t>
        </is>
      </c>
      <c r="G4624" t="n">
        <v>1.6</v>
      </c>
      <c r="H4624" t="n">
        <v>0</v>
      </c>
      <c r="I4624" t="n">
        <v>0</v>
      </c>
      <c r="J4624" t="n">
        <v>0</v>
      </c>
      <c r="K4624" t="n">
        <v>0</v>
      </c>
      <c r="L4624" t="n">
        <v>0</v>
      </c>
      <c r="M4624" t="n">
        <v>0</v>
      </c>
      <c r="N4624" t="n">
        <v>0</v>
      </c>
      <c r="O4624" t="n">
        <v>0</v>
      </c>
      <c r="P4624" t="n">
        <v>0</v>
      </c>
      <c r="Q4624" t="n">
        <v>0</v>
      </c>
      <c r="R4624" s="2" t="inlineStr"/>
    </row>
    <row r="4625" ht="15" customHeight="1">
      <c r="A4625" t="inlineStr">
        <is>
          <t>A 47133-2024</t>
        </is>
      </c>
      <c r="B4625" s="1" t="n">
        <v>45586</v>
      </c>
      <c r="C4625" s="1" t="n">
        <v>45724</v>
      </c>
      <c r="D4625" t="inlineStr">
        <is>
          <t>VÄSTMANLANDS LÄN</t>
        </is>
      </c>
      <c r="E4625" t="inlineStr">
        <is>
          <t>SKINNSKATTEBERG</t>
        </is>
      </c>
      <c r="F4625" t="inlineStr">
        <is>
          <t>Sveaskog</t>
        </is>
      </c>
      <c r="G4625" t="n">
        <v>3.7</v>
      </c>
      <c r="H4625" t="n">
        <v>0</v>
      </c>
      <c r="I4625" t="n">
        <v>0</v>
      </c>
      <c r="J4625" t="n">
        <v>0</v>
      </c>
      <c r="K4625" t="n">
        <v>0</v>
      </c>
      <c r="L4625" t="n">
        <v>0</v>
      </c>
      <c r="M4625" t="n">
        <v>0</v>
      </c>
      <c r="N4625" t="n">
        <v>0</v>
      </c>
      <c r="O4625" t="n">
        <v>0</v>
      </c>
      <c r="P4625" t="n">
        <v>0</v>
      </c>
      <c r="Q4625" t="n">
        <v>0</v>
      </c>
      <c r="R4625" s="2" t="inlineStr"/>
    </row>
    <row r="4626" ht="15" customHeight="1">
      <c r="A4626" t="inlineStr">
        <is>
          <t>A 47137-2024</t>
        </is>
      </c>
      <c r="B4626" s="1" t="n">
        <v>45586</v>
      </c>
      <c r="C4626" s="1" t="n">
        <v>45724</v>
      </c>
      <c r="D4626" t="inlineStr">
        <is>
          <t>VÄSTMANLANDS LÄN</t>
        </is>
      </c>
      <c r="E4626" t="inlineStr">
        <is>
          <t>SKINNSKATTEBERG</t>
        </is>
      </c>
      <c r="F4626" t="inlineStr">
        <is>
          <t>Sveaskog</t>
        </is>
      </c>
      <c r="G4626" t="n">
        <v>6.1</v>
      </c>
      <c r="H4626" t="n">
        <v>0</v>
      </c>
      <c r="I4626" t="n">
        <v>0</v>
      </c>
      <c r="J4626" t="n">
        <v>0</v>
      </c>
      <c r="K4626" t="n">
        <v>0</v>
      </c>
      <c r="L4626" t="n">
        <v>0</v>
      </c>
      <c r="M4626" t="n">
        <v>0</v>
      </c>
      <c r="N4626" t="n">
        <v>0</v>
      </c>
      <c r="O4626" t="n">
        <v>0</v>
      </c>
      <c r="P4626" t="n">
        <v>0</v>
      </c>
      <c r="Q4626" t="n">
        <v>0</v>
      </c>
      <c r="R4626" s="2" t="inlineStr"/>
    </row>
    <row r="4627" ht="15" customHeight="1">
      <c r="A4627" t="inlineStr">
        <is>
          <t>A 47141-2024</t>
        </is>
      </c>
      <c r="B4627" s="1" t="n">
        <v>45586</v>
      </c>
      <c r="C4627" s="1" t="n">
        <v>45724</v>
      </c>
      <c r="D4627" t="inlineStr">
        <is>
          <t>VÄSTMANLANDS LÄN</t>
        </is>
      </c>
      <c r="E4627" t="inlineStr">
        <is>
          <t>SKINNSKATTEBERG</t>
        </is>
      </c>
      <c r="F4627" t="inlineStr">
        <is>
          <t>Sveaskog</t>
        </is>
      </c>
      <c r="G4627" t="n">
        <v>6.8</v>
      </c>
      <c r="H4627" t="n">
        <v>0</v>
      </c>
      <c r="I4627" t="n">
        <v>0</v>
      </c>
      <c r="J4627" t="n">
        <v>0</v>
      </c>
      <c r="K4627" t="n">
        <v>0</v>
      </c>
      <c r="L4627" t="n">
        <v>0</v>
      </c>
      <c r="M4627" t="n">
        <v>0</v>
      </c>
      <c r="N4627" t="n">
        <v>0</v>
      </c>
      <c r="O4627" t="n">
        <v>0</v>
      </c>
      <c r="P4627" t="n">
        <v>0</v>
      </c>
      <c r="Q4627" t="n">
        <v>0</v>
      </c>
      <c r="R4627" s="2" t="inlineStr"/>
    </row>
    <row r="4628" ht="15" customHeight="1">
      <c r="A4628" t="inlineStr">
        <is>
          <t>A 47546-2024</t>
        </is>
      </c>
      <c r="B4628" s="1" t="n">
        <v>45587</v>
      </c>
      <c r="C4628" s="1" t="n">
        <v>45724</v>
      </c>
      <c r="D4628" t="inlineStr">
        <is>
          <t>VÄSTMANLANDS LÄN</t>
        </is>
      </c>
      <c r="E4628" t="inlineStr">
        <is>
          <t>KUNGSÖR</t>
        </is>
      </c>
      <c r="G4628" t="n">
        <v>1.2</v>
      </c>
      <c r="H4628" t="n">
        <v>0</v>
      </c>
      <c r="I4628" t="n">
        <v>0</v>
      </c>
      <c r="J4628" t="n">
        <v>0</v>
      </c>
      <c r="K4628" t="n">
        <v>0</v>
      </c>
      <c r="L4628" t="n">
        <v>0</v>
      </c>
      <c r="M4628" t="n">
        <v>0</v>
      </c>
      <c r="N4628" t="n">
        <v>0</v>
      </c>
      <c r="O4628" t="n">
        <v>0</v>
      </c>
      <c r="P4628" t="n">
        <v>0</v>
      </c>
      <c r="Q4628" t="n">
        <v>0</v>
      </c>
      <c r="R4628" s="2" t="inlineStr"/>
    </row>
    <row r="4629" ht="15" customHeight="1">
      <c r="A4629" t="inlineStr">
        <is>
          <t>A 47479-2024</t>
        </is>
      </c>
      <c r="B4629" s="1" t="n">
        <v>45587</v>
      </c>
      <c r="C4629" s="1" t="n">
        <v>45724</v>
      </c>
      <c r="D4629" t="inlineStr">
        <is>
          <t>VÄSTMANLANDS LÄN</t>
        </is>
      </c>
      <c r="E4629" t="inlineStr">
        <is>
          <t>SALA</t>
        </is>
      </c>
      <c r="F4629" t="inlineStr">
        <is>
          <t>Kommuner</t>
        </is>
      </c>
      <c r="G4629" t="n">
        <v>0.8</v>
      </c>
      <c r="H4629" t="n">
        <v>0</v>
      </c>
      <c r="I4629" t="n">
        <v>0</v>
      </c>
      <c r="J4629" t="n">
        <v>0</v>
      </c>
      <c r="K4629" t="n">
        <v>0</v>
      </c>
      <c r="L4629" t="n">
        <v>0</v>
      </c>
      <c r="M4629" t="n">
        <v>0</v>
      </c>
      <c r="N4629" t="n">
        <v>0</v>
      </c>
      <c r="O4629" t="n">
        <v>0</v>
      </c>
      <c r="P4629" t="n">
        <v>0</v>
      </c>
      <c r="Q4629" t="n">
        <v>0</v>
      </c>
      <c r="R4629" s="2" t="inlineStr"/>
    </row>
    <row r="4630" ht="15" customHeight="1">
      <c r="A4630" t="inlineStr">
        <is>
          <t>A 47474-2024</t>
        </is>
      </c>
      <c r="B4630" s="1" t="n">
        <v>45587</v>
      </c>
      <c r="C4630" s="1" t="n">
        <v>45724</v>
      </c>
      <c r="D4630" t="inlineStr">
        <is>
          <t>VÄSTMANLANDS LÄN</t>
        </is>
      </c>
      <c r="E4630" t="inlineStr">
        <is>
          <t>SALA</t>
        </is>
      </c>
      <c r="G4630" t="n">
        <v>1.2</v>
      </c>
      <c r="H4630" t="n">
        <v>0</v>
      </c>
      <c r="I4630" t="n">
        <v>0</v>
      </c>
      <c r="J4630" t="n">
        <v>0</v>
      </c>
      <c r="K4630" t="n">
        <v>0</v>
      </c>
      <c r="L4630" t="n">
        <v>0</v>
      </c>
      <c r="M4630" t="n">
        <v>0</v>
      </c>
      <c r="N4630" t="n">
        <v>0</v>
      </c>
      <c r="O4630" t="n">
        <v>0</v>
      </c>
      <c r="P4630" t="n">
        <v>0</v>
      </c>
      <c r="Q4630" t="n">
        <v>0</v>
      </c>
      <c r="R4630" s="2" t="inlineStr"/>
    </row>
    <row r="4631" ht="15" customHeight="1">
      <c r="A4631" t="inlineStr">
        <is>
          <t>A 47294-2024</t>
        </is>
      </c>
      <c r="B4631" s="1" t="n">
        <v>45587</v>
      </c>
      <c r="C4631" s="1" t="n">
        <v>45724</v>
      </c>
      <c r="D4631" t="inlineStr">
        <is>
          <t>VÄSTMANLANDS LÄN</t>
        </is>
      </c>
      <c r="E4631" t="inlineStr">
        <is>
          <t>SALA</t>
        </is>
      </c>
      <c r="G4631" t="n">
        <v>4</v>
      </c>
      <c r="H4631" t="n">
        <v>0</v>
      </c>
      <c r="I4631" t="n">
        <v>0</v>
      </c>
      <c r="J4631" t="n">
        <v>0</v>
      </c>
      <c r="K4631" t="n">
        <v>0</v>
      </c>
      <c r="L4631" t="n">
        <v>0</v>
      </c>
      <c r="M4631" t="n">
        <v>0</v>
      </c>
      <c r="N4631" t="n">
        <v>0</v>
      </c>
      <c r="O4631" t="n">
        <v>0</v>
      </c>
      <c r="P4631" t="n">
        <v>0</v>
      </c>
      <c r="Q4631" t="n">
        <v>0</v>
      </c>
      <c r="R4631" s="2" t="inlineStr"/>
    </row>
    <row r="4632" ht="15" customHeight="1">
      <c r="A4632" t="inlineStr">
        <is>
          <t>A 47453-2024</t>
        </is>
      </c>
      <c r="B4632" s="1" t="n">
        <v>45587</v>
      </c>
      <c r="C4632" s="1" t="n">
        <v>45724</v>
      </c>
      <c r="D4632" t="inlineStr">
        <is>
          <t>VÄSTMANLANDS LÄN</t>
        </is>
      </c>
      <c r="E4632" t="inlineStr">
        <is>
          <t>SURAHAMMAR</t>
        </is>
      </c>
      <c r="G4632" t="n">
        <v>5.1</v>
      </c>
      <c r="H4632" t="n">
        <v>0</v>
      </c>
      <c r="I4632" t="n">
        <v>0</v>
      </c>
      <c r="J4632" t="n">
        <v>0</v>
      </c>
      <c r="K4632" t="n">
        <v>0</v>
      </c>
      <c r="L4632" t="n">
        <v>0</v>
      </c>
      <c r="M4632" t="n">
        <v>0</v>
      </c>
      <c r="N4632" t="n">
        <v>0</v>
      </c>
      <c r="O4632" t="n">
        <v>0</v>
      </c>
      <c r="P4632" t="n">
        <v>0</v>
      </c>
      <c r="Q4632" t="n">
        <v>0</v>
      </c>
      <c r="R4632" s="2" t="inlineStr"/>
    </row>
    <row r="4633" ht="15" customHeight="1">
      <c r="A4633" t="inlineStr">
        <is>
          <t>A 47468-2024</t>
        </is>
      </c>
      <c r="B4633" s="1" t="n">
        <v>45587</v>
      </c>
      <c r="C4633" s="1" t="n">
        <v>45724</v>
      </c>
      <c r="D4633" t="inlineStr">
        <is>
          <t>VÄSTMANLANDS LÄN</t>
        </is>
      </c>
      <c r="E4633" t="inlineStr">
        <is>
          <t>SALA</t>
        </is>
      </c>
      <c r="G4633" t="n">
        <v>2.1</v>
      </c>
      <c r="H4633" t="n">
        <v>0</v>
      </c>
      <c r="I4633" t="n">
        <v>0</v>
      </c>
      <c r="J4633" t="n">
        <v>0</v>
      </c>
      <c r="K4633" t="n">
        <v>0</v>
      </c>
      <c r="L4633" t="n">
        <v>0</v>
      </c>
      <c r="M4633" t="n">
        <v>0</v>
      </c>
      <c r="N4633" t="n">
        <v>0</v>
      </c>
      <c r="O4633" t="n">
        <v>0</v>
      </c>
      <c r="P4633" t="n">
        <v>0</v>
      </c>
      <c r="Q4633" t="n">
        <v>0</v>
      </c>
      <c r="R4633" s="2" t="inlineStr"/>
    </row>
    <row r="4634" ht="15" customHeight="1">
      <c r="A4634" t="inlineStr">
        <is>
          <t>A 47447-2024</t>
        </is>
      </c>
      <c r="B4634" s="1" t="n">
        <v>45587</v>
      </c>
      <c r="C4634" s="1" t="n">
        <v>45724</v>
      </c>
      <c r="D4634" t="inlineStr">
        <is>
          <t>VÄSTMANLANDS LÄN</t>
        </is>
      </c>
      <c r="E4634" t="inlineStr">
        <is>
          <t>SURAHAMMAR</t>
        </is>
      </c>
      <c r="G4634" t="n">
        <v>13.9</v>
      </c>
      <c r="H4634" t="n">
        <v>0</v>
      </c>
      <c r="I4634" t="n">
        <v>0</v>
      </c>
      <c r="J4634" t="n">
        <v>0</v>
      </c>
      <c r="K4634" t="n">
        <v>0</v>
      </c>
      <c r="L4634" t="n">
        <v>0</v>
      </c>
      <c r="M4634" t="n">
        <v>0</v>
      </c>
      <c r="N4634" t="n">
        <v>0</v>
      </c>
      <c r="O4634" t="n">
        <v>0</v>
      </c>
      <c r="P4634" t="n">
        <v>0</v>
      </c>
      <c r="Q4634" t="n">
        <v>0</v>
      </c>
      <c r="R4634" s="2" t="inlineStr"/>
    </row>
    <row r="4635" ht="15" customHeight="1">
      <c r="A4635" t="inlineStr">
        <is>
          <t>A 47351-2024</t>
        </is>
      </c>
      <c r="B4635" s="1" t="n">
        <v>45587</v>
      </c>
      <c r="C4635" s="1" t="n">
        <v>45724</v>
      </c>
      <c r="D4635" t="inlineStr">
        <is>
          <t>VÄSTMANLANDS LÄN</t>
        </is>
      </c>
      <c r="E4635" t="inlineStr">
        <is>
          <t>SALA</t>
        </is>
      </c>
      <c r="G4635" t="n">
        <v>9.699999999999999</v>
      </c>
      <c r="H4635" t="n">
        <v>0</v>
      </c>
      <c r="I4635" t="n">
        <v>0</v>
      </c>
      <c r="J4635" t="n">
        <v>0</v>
      </c>
      <c r="K4635" t="n">
        <v>0</v>
      </c>
      <c r="L4635" t="n">
        <v>0</v>
      </c>
      <c r="M4635" t="n">
        <v>0</v>
      </c>
      <c r="N4635" t="n">
        <v>0</v>
      </c>
      <c r="O4635" t="n">
        <v>0</v>
      </c>
      <c r="P4635" t="n">
        <v>0</v>
      </c>
      <c r="Q4635" t="n">
        <v>0</v>
      </c>
      <c r="R4635" s="2" t="inlineStr"/>
    </row>
    <row r="4636" ht="15" customHeight="1">
      <c r="A4636" t="inlineStr">
        <is>
          <t>A 47562-2024</t>
        </is>
      </c>
      <c r="B4636" s="1" t="n">
        <v>45587</v>
      </c>
      <c r="C4636" s="1" t="n">
        <v>45724</v>
      </c>
      <c r="D4636" t="inlineStr">
        <is>
          <t>VÄSTMANLANDS LÄN</t>
        </is>
      </c>
      <c r="E4636" t="inlineStr">
        <is>
          <t>NORBERG</t>
        </is>
      </c>
      <c r="G4636" t="n">
        <v>2.2</v>
      </c>
      <c r="H4636" t="n">
        <v>0</v>
      </c>
      <c r="I4636" t="n">
        <v>0</v>
      </c>
      <c r="J4636" t="n">
        <v>0</v>
      </c>
      <c r="K4636" t="n">
        <v>0</v>
      </c>
      <c r="L4636" t="n">
        <v>0</v>
      </c>
      <c r="M4636" t="n">
        <v>0</v>
      </c>
      <c r="N4636" t="n">
        <v>0</v>
      </c>
      <c r="O4636" t="n">
        <v>0</v>
      </c>
      <c r="P4636" t="n">
        <v>0</v>
      </c>
      <c r="Q4636" t="n">
        <v>0</v>
      </c>
      <c r="R4636" s="2" t="inlineStr"/>
    </row>
    <row r="4637" ht="15" customHeight="1">
      <c r="A4637" t="inlineStr">
        <is>
          <t>A 47753-2024</t>
        </is>
      </c>
      <c r="B4637" s="1" t="n">
        <v>45588</v>
      </c>
      <c r="C4637" s="1" t="n">
        <v>45724</v>
      </c>
      <c r="D4637" t="inlineStr">
        <is>
          <t>VÄSTMANLANDS LÄN</t>
        </is>
      </c>
      <c r="E4637" t="inlineStr">
        <is>
          <t>NORBERG</t>
        </is>
      </c>
      <c r="G4637" t="n">
        <v>2.9</v>
      </c>
      <c r="H4637" t="n">
        <v>0</v>
      </c>
      <c r="I4637" t="n">
        <v>0</v>
      </c>
      <c r="J4637" t="n">
        <v>0</v>
      </c>
      <c r="K4637" t="n">
        <v>0</v>
      </c>
      <c r="L4637" t="n">
        <v>0</v>
      </c>
      <c r="M4637" t="n">
        <v>0</v>
      </c>
      <c r="N4637" t="n">
        <v>0</v>
      </c>
      <c r="O4637" t="n">
        <v>0</v>
      </c>
      <c r="P4637" t="n">
        <v>0</v>
      </c>
      <c r="Q4637" t="n">
        <v>0</v>
      </c>
      <c r="R4637" s="2" t="inlineStr"/>
    </row>
    <row r="4638" ht="15" customHeight="1">
      <c r="A4638" t="inlineStr">
        <is>
          <t>A 47648-2024</t>
        </is>
      </c>
      <c r="B4638" s="1" t="n">
        <v>45588</v>
      </c>
      <c r="C4638" s="1" t="n">
        <v>45724</v>
      </c>
      <c r="D4638" t="inlineStr">
        <is>
          <t>VÄSTMANLANDS LÄN</t>
        </is>
      </c>
      <c r="E4638" t="inlineStr">
        <is>
          <t>ARBOGA</t>
        </is>
      </c>
      <c r="G4638" t="n">
        <v>1.6</v>
      </c>
      <c r="H4638" t="n">
        <v>0</v>
      </c>
      <c r="I4638" t="n">
        <v>0</v>
      </c>
      <c r="J4638" t="n">
        <v>0</v>
      </c>
      <c r="K4638" t="n">
        <v>0</v>
      </c>
      <c r="L4638" t="n">
        <v>0</v>
      </c>
      <c r="M4638" t="n">
        <v>0</v>
      </c>
      <c r="N4638" t="n">
        <v>0</v>
      </c>
      <c r="O4638" t="n">
        <v>0</v>
      </c>
      <c r="P4638" t="n">
        <v>0</v>
      </c>
      <c r="Q4638" t="n">
        <v>0</v>
      </c>
      <c r="R4638" s="2" t="inlineStr"/>
    </row>
    <row r="4639" ht="15" customHeight="1">
      <c r="A4639" t="inlineStr">
        <is>
          <t>A 47830-2024</t>
        </is>
      </c>
      <c r="B4639" s="1" t="n">
        <v>45588</v>
      </c>
      <c r="C4639" s="1" t="n">
        <v>45724</v>
      </c>
      <c r="D4639" t="inlineStr">
        <is>
          <t>VÄSTMANLANDS LÄN</t>
        </is>
      </c>
      <c r="E4639" t="inlineStr">
        <is>
          <t>SKINNSKATTEBERG</t>
        </is>
      </c>
      <c r="F4639" t="inlineStr">
        <is>
          <t>Sveaskog</t>
        </is>
      </c>
      <c r="G4639" t="n">
        <v>3.5</v>
      </c>
      <c r="H4639" t="n">
        <v>0</v>
      </c>
      <c r="I4639" t="n">
        <v>0</v>
      </c>
      <c r="J4639" t="n">
        <v>0</v>
      </c>
      <c r="K4639" t="n">
        <v>0</v>
      </c>
      <c r="L4639" t="n">
        <v>0</v>
      </c>
      <c r="M4639" t="n">
        <v>0</v>
      </c>
      <c r="N4639" t="n">
        <v>0</v>
      </c>
      <c r="O4639" t="n">
        <v>0</v>
      </c>
      <c r="P4639" t="n">
        <v>0</v>
      </c>
      <c r="Q4639" t="n">
        <v>0</v>
      </c>
      <c r="R4639" s="2" t="inlineStr"/>
    </row>
    <row r="4640" ht="15" customHeight="1">
      <c r="A4640" t="inlineStr">
        <is>
          <t>A 47833-2024</t>
        </is>
      </c>
      <c r="B4640" s="1" t="n">
        <v>45588</v>
      </c>
      <c r="C4640" s="1" t="n">
        <v>45724</v>
      </c>
      <c r="D4640" t="inlineStr">
        <is>
          <t>VÄSTMANLANDS LÄN</t>
        </is>
      </c>
      <c r="E4640" t="inlineStr">
        <is>
          <t>SKINNSKATTEBERG</t>
        </is>
      </c>
      <c r="F4640" t="inlineStr">
        <is>
          <t>Sveaskog</t>
        </is>
      </c>
      <c r="G4640" t="n">
        <v>2.1</v>
      </c>
      <c r="H4640" t="n">
        <v>0</v>
      </c>
      <c r="I4640" t="n">
        <v>0</v>
      </c>
      <c r="J4640" t="n">
        <v>0</v>
      </c>
      <c r="K4640" t="n">
        <v>0</v>
      </c>
      <c r="L4640" t="n">
        <v>0</v>
      </c>
      <c r="M4640" t="n">
        <v>0</v>
      </c>
      <c r="N4640" t="n">
        <v>0</v>
      </c>
      <c r="O4640" t="n">
        <v>0</v>
      </c>
      <c r="P4640" t="n">
        <v>0</v>
      </c>
      <c r="Q4640" t="n">
        <v>0</v>
      </c>
      <c r="R4640" s="2" t="inlineStr"/>
    </row>
    <row r="4641" ht="15" customHeight="1">
      <c r="A4641" t="inlineStr">
        <is>
          <t>A 47846-2024</t>
        </is>
      </c>
      <c r="B4641" s="1" t="n">
        <v>45588</v>
      </c>
      <c r="C4641" s="1" t="n">
        <v>45724</v>
      </c>
      <c r="D4641" t="inlineStr">
        <is>
          <t>VÄSTMANLANDS LÄN</t>
        </is>
      </c>
      <c r="E4641" t="inlineStr">
        <is>
          <t>NORBERG</t>
        </is>
      </c>
      <c r="G4641" t="n">
        <v>0.7</v>
      </c>
      <c r="H4641" t="n">
        <v>0</v>
      </c>
      <c r="I4641" t="n">
        <v>0</v>
      </c>
      <c r="J4641" t="n">
        <v>0</v>
      </c>
      <c r="K4641" t="n">
        <v>0</v>
      </c>
      <c r="L4641" t="n">
        <v>0</v>
      </c>
      <c r="M4641" t="n">
        <v>0</v>
      </c>
      <c r="N4641" t="n">
        <v>0</v>
      </c>
      <c r="O4641" t="n">
        <v>0</v>
      </c>
      <c r="P4641" t="n">
        <v>0</v>
      </c>
      <c r="Q4641" t="n">
        <v>0</v>
      </c>
      <c r="R4641" s="2" t="inlineStr"/>
    </row>
    <row r="4642" ht="15" customHeight="1">
      <c r="A4642" t="inlineStr">
        <is>
          <t>A 47831-2024</t>
        </is>
      </c>
      <c r="B4642" s="1" t="n">
        <v>45588</v>
      </c>
      <c r="C4642" s="1" t="n">
        <v>45724</v>
      </c>
      <c r="D4642" t="inlineStr">
        <is>
          <t>VÄSTMANLANDS LÄN</t>
        </is>
      </c>
      <c r="E4642" t="inlineStr">
        <is>
          <t>SKINNSKATTEBERG</t>
        </is>
      </c>
      <c r="F4642" t="inlineStr">
        <is>
          <t>Sveaskog</t>
        </is>
      </c>
      <c r="G4642" t="n">
        <v>1</v>
      </c>
      <c r="H4642" t="n">
        <v>0</v>
      </c>
      <c r="I4642" t="n">
        <v>0</v>
      </c>
      <c r="J4642" t="n">
        <v>0</v>
      </c>
      <c r="K4642" t="n">
        <v>0</v>
      </c>
      <c r="L4642" t="n">
        <v>0</v>
      </c>
      <c r="M4642" t="n">
        <v>0</v>
      </c>
      <c r="N4642" t="n">
        <v>0</v>
      </c>
      <c r="O4642" t="n">
        <v>0</v>
      </c>
      <c r="P4642" t="n">
        <v>0</v>
      </c>
      <c r="Q4642" t="n">
        <v>0</v>
      </c>
      <c r="R4642" s="2" t="inlineStr"/>
    </row>
    <row r="4643" ht="15" customHeight="1">
      <c r="A4643" t="inlineStr">
        <is>
          <t>A 48114-2024</t>
        </is>
      </c>
      <c r="B4643" s="1" t="n">
        <v>45589</v>
      </c>
      <c r="C4643" s="1" t="n">
        <v>45724</v>
      </c>
      <c r="D4643" t="inlineStr">
        <is>
          <t>VÄSTMANLANDS LÄN</t>
        </is>
      </c>
      <c r="E4643" t="inlineStr">
        <is>
          <t>SALA</t>
        </is>
      </c>
      <c r="G4643" t="n">
        <v>1</v>
      </c>
      <c r="H4643" t="n">
        <v>0</v>
      </c>
      <c r="I4643" t="n">
        <v>0</v>
      </c>
      <c r="J4643" t="n">
        <v>0</v>
      </c>
      <c r="K4643" t="n">
        <v>0</v>
      </c>
      <c r="L4643" t="n">
        <v>0</v>
      </c>
      <c r="M4643" t="n">
        <v>0</v>
      </c>
      <c r="N4643" t="n">
        <v>0</v>
      </c>
      <c r="O4643" t="n">
        <v>0</v>
      </c>
      <c r="P4643" t="n">
        <v>0</v>
      </c>
      <c r="Q4643" t="n">
        <v>0</v>
      </c>
      <c r="R4643" s="2" t="inlineStr"/>
    </row>
    <row r="4644" ht="15" customHeight="1">
      <c r="A4644" t="inlineStr">
        <is>
          <t>A 48117-2024</t>
        </is>
      </c>
      <c r="B4644" s="1" t="n">
        <v>45589</v>
      </c>
      <c r="C4644" s="1" t="n">
        <v>45724</v>
      </c>
      <c r="D4644" t="inlineStr">
        <is>
          <t>VÄSTMANLANDS LÄN</t>
        </is>
      </c>
      <c r="E4644" t="inlineStr">
        <is>
          <t>SALA</t>
        </is>
      </c>
      <c r="G4644" t="n">
        <v>0.5</v>
      </c>
      <c r="H4644" t="n">
        <v>0</v>
      </c>
      <c r="I4644" t="n">
        <v>0</v>
      </c>
      <c r="J4644" t="n">
        <v>0</v>
      </c>
      <c r="K4644" t="n">
        <v>0</v>
      </c>
      <c r="L4644" t="n">
        <v>0</v>
      </c>
      <c r="M4644" t="n">
        <v>0</v>
      </c>
      <c r="N4644" t="n">
        <v>0</v>
      </c>
      <c r="O4644" t="n">
        <v>0</v>
      </c>
      <c r="P4644" t="n">
        <v>0</v>
      </c>
      <c r="Q4644" t="n">
        <v>0</v>
      </c>
      <c r="R4644" s="2" t="inlineStr"/>
    </row>
    <row r="4645" ht="15" customHeight="1">
      <c r="A4645" t="inlineStr">
        <is>
          <t>A 48075-2024</t>
        </is>
      </c>
      <c r="B4645" s="1" t="n">
        <v>45589</v>
      </c>
      <c r="C4645" s="1" t="n">
        <v>45724</v>
      </c>
      <c r="D4645" t="inlineStr">
        <is>
          <t>VÄSTMANLANDS LÄN</t>
        </is>
      </c>
      <c r="E4645" t="inlineStr">
        <is>
          <t>NORBERG</t>
        </is>
      </c>
      <c r="G4645" t="n">
        <v>0.7</v>
      </c>
      <c r="H4645" t="n">
        <v>0</v>
      </c>
      <c r="I4645" t="n">
        <v>0</v>
      </c>
      <c r="J4645" t="n">
        <v>0</v>
      </c>
      <c r="K4645" t="n">
        <v>0</v>
      </c>
      <c r="L4645" t="n">
        <v>0</v>
      </c>
      <c r="M4645" t="n">
        <v>0</v>
      </c>
      <c r="N4645" t="n">
        <v>0</v>
      </c>
      <c r="O4645" t="n">
        <v>0</v>
      </c>
      <c r="P4645" t="n">
        <v>0</v>
      </c>
      <c r="Q4645" t="n">
        <v>0</v>
      </c>
      <c r="R4645" s="2" t="inlineStr"/>
    </row>
    <row r="4646" ht="15" customHeight="1">
      <c r="A4646" t="inlineStr">
        <is>
          <t>A 48104-2024</t>
        </is>
      </c>
      <c r="B4646" s="1" t="n">
        <v>45589</v>
      </c>
      <c r="C4646" s="1" t="n">
        <v>45724</v>
      </c>
      <c r="D4646" t="inlineStr">
        <is>
          <t>VÄSTMANLANDS LÄN</t>
        </is>
      </c>
      <c r="E4646" t="inlineStr">
        <is>
          <t>SALA</t>
        </is>
      </c>
      <c r="G4646" t="n">
        <v>6</v>
      </c>
      <c r="H4646" t="n">
        <v>0</v>
      </c>
      <c r="I4646" t="n">
        <v>0</v>
      </c>
      <c r="J4646" t="n">
        <v>0</v>
      </c>
      <c r="K4646" t="n">
        <v>0</v>
      </c>
      <c r="L4646" t="n">
        <v>0</v>
      </c>
      <c r="M4646" t="n">
        <v>0</v>
      </c>
      <c r="N4646" t="n">
        <v>0</v>
      </c>
      <c r="O4646" t="n">
        <v>0</v>
      </c>
      <c r="P4646" t="n">
        <v>0</v>
      </c>
      <c r="Q4646" t="n">
        <v>0</v>
      </c>
      <c r="R4646" s="2" t="inlineStr"/>
    </row>
    <row r="4647" ht="15" customHeight="1">
      <c r="A4647" t="inlineStr">
        <is>
          <t>A 48124-2024</t>
        </is>
      </c>
      <c r="B4647" s="1" t="n">
        <v>45589</v>
      </c>
      <c r="C4647" s="1" t="n">
        <v>45724</v>
      </c>
      <c r="D4647" t="inlineStr">
        <is>
          <t>VÄSTMANLANDS LÄN</t>
        </is>
      </c>
      <c r="E4647" t="inlineStr">
        <is>
          <t>SALA</t>
        </is>
      </c>
      <c r="G4647" t="n">
        <v>1.9</v>
      </c>
      <c r="H4647" t="n">
        <v>0</v>
      </c>
      <c r="I4647" t="n">
        <v>0</v>
      </c>
      <c r="J4647" t="n">
        <v>0</v>
      </c>
      <c r="K4647" t="n">
        <v>0</v>
      </c>
      <c r="L4647" t="n">
        <v>0</v>
      </c>
      <c r="M4647" t="n">
        <v>0</v>
      </c>
      <c r="N4647" t="n">
        <v>0</v>
      </c>
      <c r="O4647" t="n">
        <v>0</v>
      </c>
      <c r="P4647" t="n">
        <v>0</v>
      </c>
      <c r="Q4647" t="n">
        <v>0</v>
      </c>
      <c r="R4647" s="2" t="inlineStr"/>
    </row>
    <row r="4648" ht="15" customHeight="1">
      <c r="A4648" t="inlineStr">
        <is>
          <t>A 48569-2024</t>
        </is>
      </c>
      <c r="B4648" s="1" t="n">
        <v>45591</v>
      </c>
      <c r="C4648" s="1" t="n">
        <v>45724</v>
      </c>
      <c r="D4648" t="inlineStr">
        <is>
          <t>VÄSTMANLANDS LÄN</t>
        </is>
      </c>
      <c r="E4648" t="inlineStr">
        <is>
          <t>SALA</t>
        </is>
      </c>
      <c r="G4648" t="n">
        <v>4.6</v>
      </c>
      <c r="H4648" t="n">
        <v>0</v>
      </c>
      <c r="I4648" t="n">
        <v>0</v>
      </c>
      <c r="J4648" t="n">
        <v>0</v>
      </c>
      <c r="K4648" t="n">
        <v>0</v>
      </c>
      <c r="L4648" t="n">
        <v>0</v>
      </c>
      <c r="M4648" t="n">
        <v>0</v>
      </c>
      <c r="N4648" t="n">
        <v>0</v>
      </c>
      <c r="O4648" t="n">
        <v>0</v>
      </c>
      <c r="P4648" t="n">
        <v>0</v>
      </c>
      <c r="Q4648" t="n">
        <v>0</v>
      </c>
      <c r="R4648" s="2" t="inlineStr"/>
    </row>
    <row r="4649" ht="15" customHeight="1">
      <c r="A4649" t="inlineStr">
        <is>
          <t>A 48570-2024</t>
        </is>
      </c>
      <c r="B4649" s="1" t="n">
        <v>45591</v>
      </c>
      <c r="C4649" s="1" t="n">
        <v>45724</v>
      </c>
      <c r="D4649" t="inlineStr">
        <is>
          <t>VÄSTMANLANDS LÄN</t>
        </is>
      </c>
      <c r="E4649" t="inlineStr">
        <is>
          <t>SALA</t>
        </is>
      </c>
      <c r="G4649" t="n">
        <v>3</v>
      </c>
      <c r="H4649" t="n">
        <v>0</v>
      </c>
      <c r="I4649" t="n">
        <v>0</v>
      </c>
      <c r="J4649" t="n">
        <v>0</v>
      </c>
      <c r="K4649" t="n">
        <v>0</v>
      </c>
      <c r="L4649" t="n">
        <v>0</v>
      </c>
      <c r="M4649" t="n">
        <v>0</v>
      </c>
      <c r="N4649" t="n">
        <v>0</v>
      </c>
      <c r="O4649" t="n">
        <v>0</v>
      </c>
      <c r="P4649" t="n">
        <v>0</v>
      </c>
      <c r="Q4649" t="n">
        <v>0</v>
      </c>
      <c r="R4649" s="2" t="inlineStr"/>
    </row>
    <row r="4650" ht="15" customHeight="1">
      <c r="A4650" t="inlineStr">
        <is>
          <t>A 49512-2024</t>
        </is>
      </c>
      <c r="B4650" s="1" t="n">
        <v>45591</v>
      </c>
      <c r="C4650" s="1" t="n">
        <v>45724</v>
      </c>
      <c r="D4650" t="inlineStr">
        <is>
          <t>VÄSTMANLANDS LÄN</t>
        </is>
      </c>
      <c r="E4650" t="inlineStr">
        <is>
          <t>SALA</t>
        </is>
      </c>
      <c r="G4650" t="n">
        <v>8.1</v>
      </c>
      <c r="H4650" t="n">
        <v>0</v>
      </c>
      <c r="I4650" t="n">
        <v>0</v>
      </c>
      <c r="J4650" t="n">
        <v>0</v>
      </c>
      <c r="K4650" t="n">
        <v>0</v>
      </c>
      <c r="L4650" t="n">
        <v>0</v>
      </c>
      <c r="M4650" t="n">
        <v>0</v>
      </c>
      <c r="N4650" t="n">
        <v>0</v>
      </c>
      <c r="O4650" t="n">
        <v>0</v>
      </c>
      <c r="P4650" t="n">
        <v>0</v>
      </c>
      <c r="Q4650" t="n">
        <v>0</v>
      </c>
      <c r="R4650" s="2" t="inlineStr"/>
    </row>
    <row r="4651" ht="15" customHeight="1">
      <c r="A4651" t="inlineStr">
        <is>
          <t>A 48571-2024</t>
        </is>
      </c>
      <c r="B4651" s="1" t="n">
        <v>45591</v>
      </c>
      <c r="C4651" s="1" t="n">
        <v>45724</v>
      </c>
      <c r="D4651" t="inlineStr">
        <is>
          <t>VÄSTMANLANDS LÄN</t>
        </is>
      </c>
      <c r="E4651" t="inlineStr">
        <is>
          <t>SALA</t>
        </is>
      </c>
      <c r="G4651" t="n">
        <v>8.199999999999999</v>
      </c>
      <c r="H4651" t="n">
        <v>0</v>
      </c>
      <c r="I4651" t="n">
        <v>0</v>
      </c>
      <c r="J4651" t="n">
        <v>0</v>
      </c>
      <c r="K4651" t="n">
        <v>0</v>
      </c>
      <c r="L4651" t="n">
        <v>0</v>
      </c>
      <c r="M4651" t="n">
        <v>0</v>
      </c>
      <c r="N4651" t="n">
        <v>0</v>
      </c>
      <c r="O4651" t="n">
        <v>0</v>
      </c>
      <c r="P4651" t="n">
        <v>0</v>
      </c>
      <c r="Q4651" t="n">
        <v>0</v>
      </c>
      <c r="R4651" s="2" t="inlineStr"/>
    </row>
    <row r="4652" ht="15" customHeight="1">
      <c r="A4652" t="inlineStr">
        <is>
          <t>A 48492-2024</t>
        </is>
      </c>
      <c r="B4652" s="1" t="n">
        <v>45592</v>
      </c>
      <c r="C4652" s="1" t="n">
        <v>45724</v>
      </c>
      <c r="D4652" t="inlineStr">
        <is>
          <t>VÄSTMANLANDS LÄN</t>
        </is>
      </c>
      <c r="E4652" t="inlineStr">
        <is>
          <t>SKINNSKATTEBERG</t>
        </is>
      </c>
      <c r="F4652" t="inlineStr">
        <is>
          <t>Sveaskog</t>
        </is>
      </c>
      <c r="G4652" t="n">
        <v>4.3</v>
      </c>
      <c r="H4652" t="n">
        <v>0</v>
      </c>
      <c r="I4652" t="n">
        <v>0</v>
      </c>
      <c r="J4652" t="n">
        <v>0</v>
      </c>
      <c r="K4652" t="n">
        <v>0</v>
      </c>
      <c r="L4652" t="n">
        <v>0</v>
      </c>
      <c r="M4652" t="n">
        <v>0</v>
      </c>
      <c r="N4652" t="n">
        <v>0</v>
      </c>
      <c r="O4652" t="n">
        <v>0</v>
      </c>
      <c r="P4652" t="n">
        <v>0</v>
      </c>
      <c r="Q4652" t="n">
        <v>0</v>
      </c>
      <c r="R4652" s="2" t="inlineStr"/>
    </row>
    <row r="4653" ht="15" customHeight="1">
      <c r="A4653" t="inlineStr">
        <is>
          <t>A 48688-2024</t>
        </is>
      </c>
      <c r="B4653" s="1" t="n">
        <v>45593</v>
      </c>
      <c r="C4653" s="1" t="n">
        <v>45724</v>
      </c>
      <c r="D4653" t="inlineStr">
        <is>
          <t>VÄSTMANLANDS LÄN</t>
        </is>
      </c>
      <c r="E4653" t="inlineStr">
        <is>
          <t>SALA</t>
        </is>
      </c>
      <c r="G4653" t="n">
        <v>0.5</v>
      </c>
      <c r="H4653" t="n">
        <v>0</v>
      </c>
      <c r="I4653" t="n">
        <v>0</v>
      </c>
      <c r="J4653" t="n">
        <v>0</v>
      </c>
      <c r="K4653" t="n">
        <v>0</v>
      </c>
      <c r="L4653" t="n">
        <v>0</v>
      </c>
      <c r="M4653" t="n">
        <v>0</v>
      </c>
      <c r="N4653" t="n">
        <v>0</v>
      </c>
      <c r="O4653" t="n">
        <v>0</v>
      </c>
      <c r="P4653" t="n">
        <v>0</v>
      </c>
      <c r="Q4653" t="n">
        <v>0</v>
      </c>
      <c r="R4653" s="2" t="inlineStr"/>
    </row>
    <row r="4654" ht="15" customHeight="1">
      <c r="A4654" t="inlineStr">
        <is>
          <t>A 48813-2024</t>
        </is>
      </c>
      <c r="B4654" s="1" t="n">
        <v>45593</v>
      </c>
      <c r="C4654" s="1" t="n">
        <v>45724</v>
      </c>
      <c r="D4654" t="inlineStr">
        <is>
          <t>VÄSTMANLANDS LÄN</t>
        </is>
      </c>
      <c r="E4654" t="inlineStr">
        <is>
          <t>FAGERSTA</t>
        </is>
      </c>
      <c r="F4654" t="inlineStr">
        <is>
          <t>Sveaskog</t>
        </is>
      </c>
      <c r="G4654" t="n">
        <v>2.2</v>
      </c>
      <c r="H4654" t="n">
        <v>0</v>
      </c>
      <c r="I4654" t="n">
        <v>0</v>
      </c>
      <c r="J4654" t="n">
        <v>0</v>
      </c>
      <c r="K4654" t="n">
        <v>0</v>
      </c>
      <c r="L4654" t="n">
        <v>0</v>
      </c>
      <c r="M4654" t="n">
        <v>0</v>
      </c>
      <c r="N4654" t="n">
        <v>0</v>
      </c>
      <c r="O4654" t="n">
        <v>0</v>
      </c>
      <c r="P4654" t="n">
        <v>0</v>
      </c>
      <c r="Q4654" t="n">
        <v>0</v>
      </c>
      <c r="R4654" s="2" t="inlineStr"/>
    </row>
    <row r="4655" ht="15" customHeight="1">
      <c r="A4655" t="inlineStr">
        <is>
          <t>A 48817-2024</t>
        </is>
      </c>
      <c r="B4655" s="1" t="n">
        <v>45593</v>
      </c>
      <c r="C4655" s="1" t="n">
        <v>45724</v>
      </c>
      <c r="D4655" t="inlineStr">
        <is>
          <t>VÄSTMANLANDS LÄN</t>
        </is>
      </c>
      <c r="E4655" t="inlineStr">
        <is>
          <t>KÖPING</t>
        </is>
      </c>
      <c r="G4655" t="n">
        <v>11.5</v>
      </c>
      <c r="H4655" t="n">
        <v>0</v>
      </c>
      <c r="I4655" t="n">
        <v>0</v>
      </c>
      <c r="J4655" t="n">
        <v>0</v>
      </c>
      <c r="K4655" t="n">
        <v>0</v>
      </c>
      <c r="L4655" t="n">
        <v>0</v>
      </c>
      <c r="M4655" t="n">
        <v>0</v>
      </c>
      <c r="N4655" t="n">
        <v>0</v>
      </c>
      <c r="O4655" t="n">
        <v>0</v>
      </c>
      <c r="P4655" t="n">
        <v>0</v>
      </c>
      <c r="Q4655" t="n">
        <v>0</v>
      </c>
      <c r="R4655" s="2" t="inlineStr"/>
    </row>
    <row r="4656" ht="15" customHeight="1">
      <c r="A4656" t="inlineStr">
        <is>
          <t>A 48816-2024</t>
        </is>
      </c>
      <c r="B4656" s="1" t="n">
        <v>45593</v>
      </c>
      <c r="C4656" s="1" t="n">
        <v>45724</v>
      </c>
      <c r="D4656" t="inlineStr">
        <is>
          <t>VÄSTMANLANDS LÄN</t>
        </is>
      </c>
      <c r="E4656" t="inlineStr">
        <is>
          <t>FAGERSTA</t>
        </is>
      </c>
      <c r="F4656" t="inlineStr">
        <is>
          <t>Sveaskog</t>
        </is>
      </c>
      <c r="G4656" t="n">
        <v>3.8</v>
      </c>
      <c r="H4656" t="n">
        <v>0</v>
      </c>
      <c r="I4656" t="n">
        <v>0</v>
      </c>
      <c r="J4656" t="n">
        <v>0</v>
      </c>
      <c r="K4656" t="n">
        <v>0</v>
      </c>
      <c r="L4656" t="n">
        <v>0</v>
      </c>
      <c r="M4656" t="n">
        <v>0</v>
      </c>
      <c r="N4656" t="n">
        <v>0</v>
      </c>
      <c r="O4656" t="n">
        <v>0</v>
      </c>
      <c r="P4656" t="n">
        <v>0</v>
      </c>
      <c r="Q4656" t="n">
        <v>0</v>
      </c>
      <c r="R4656" s="2" t="inlineStr"/>
    </row>
    <row r="4657" ht="15" customHeight="1">
      <c r="A4657" t="inlineStr">
        <is>
          <t>A 48810-2024</t>
        </is>
      </c>
      <c r="B4657" s="1" t="n">
        <v>45593</v>
      </c>
      <c r="C4657" s="1" t="n">
        <v>45724</v>
      </c>
      <c r="D4657" t="inlineStr">
        <is>
          <t>VÄSTMANLANDS LÄN</t>
        </is>
      </c>
      <c r="E4657" t="inlineStr">
        <is>
          <t>SALA</t>
        </is>
      </c>
      <c r="G4657" t="n">
        <v>4.1</v>
      </c>
      <c r="H4657" t="n">
        <v>0</v>
      </c>
      <c r="I4657" t="n">
        <v>0</v>
      </c>
      <c r="J4657" t="n">
        <v>0</v>
      </c>
      <c r="K4657" t="n">
        <v>0</v>
      </c>
      <c r="L4657" t="n">
        <v>0</v>
      </c>
      <c r="M4657" t="n">
        <v>0</v>
      </c>
      <c r="N4657" t="n">
        <v>0</v>
      </c>
      <c r="O4657" t="n">
        <v>0</v>
      </c>
      <c r="P4657" t="n">
        <v>0</v>
      </c>
      <c r="Q4657" t="n">
        <v>0</v>
      </c>
      <c r="R4657" s="2" t="inlineStr"/>
    </row>
    <row r="4658" ht="15" customHeight="1">
      <c r="A4658" t="inlineStr">
        <is>
          <t>A 48814-2024</t>
        </is>
      </c>
      <c r="B4658" s="1" t="n">
        <v>45593</v>
      </c>
      <c r="C4658" s="1" t="n">
        <v>45724</v>
      </c>
      <c r="D4658" t="inlineStr">
        <is>
          <t>VÄSTMANLANDS LÄN</t>
        </is>
      </c>
      <c r="E4658" t="inlineStr">
        <is>
          <t>FAGERSTA</t>
        </is>
      </c>
      <c r="F4658" t="inlineStr">
        <is>
          <t>Sveaskog</t>
        </is>
      </c>
      <c r="G4658" t="n">
        <v>3.9</v>
      </c>
      <c r="H4658" t="n">
        <v>0</v>
      </c>
      <c r="I4658" t="n">
        <v>0</v>
      </c>
      <c r="J4658" t="n">
        <v>0</v>
      </c>
      <c r="K4658" t="n">
        <v>0</v>
      </c>
      <c r="L4658" t="n">
        <v>0</v>
      </c>
      <c r="M4658" t="n">
        <v>0</v>
      </c>
      <c r="N4658" t="n">
        <v>0</v>
      </c>
      <c r="O4658" t="n">
        <v>0</v>
      </c>
      <c r="P4658" t="n">
        <v>0</v>
      </c>
      <c r="Q4658" t="n">
        <v>0</v>
      </c>
      <c r="R4658" s="2" t="inlineStr"/>
    </row>
    <row r="4659" ht="15" customHeight="1">
      <c r="A4659" t="inlineStr">
        <is>
          <t>A 48710-2024</t>
        </is>
      </c>
      <c r="B4659" s="1" t="n">
        <v>45593</v>
      </c>
      <c r="C4659" s="1" t="n">
        <v>45724</v>
      </c>
      <c r="D4659" t="inlineStr">
        <is>
          <t>VÄSTMANLANDS LÄN</t>
        </is>
      </c>
      <c r="E4659" t="inlineStr">
        <is>
          <t>SALA</t>
        </is>
      </c>
      <c r="G4659" t="n">
        <v>6.5</v>
      </c>
      <c r="H4659" t="n">
        <v>0</v>
      </c>
      <c r="I4659" t="n">
        <v>0</v>
      </c>
      <c r="J4659" t="n">
        <v>0</v>
      </c>
      <c r="K4659" t="n">
        <v>0</v>
      </c>
      <c r="L4659" t="n">
        <v>0</v>
      </c>
      <c r="M4659" t="n">
        <v>0</v>
      </c>
      <c r="N4659" t="n">
        <v>0</v>
      </c>
      <c r="O4659" t="n">
        <v>0</v>
      </c>
      <c r="P4659" t="n">
        <v>0</v>
      </c>
      <c r="Q4659" t="n">
        <v>0</v>
      </c>
      <c r="R4659" s="2" t="inlineStr"/>
    </row>
    <row r="4660" ht="15" customHeight="1">
      <c r="A4660" t="inlineStr">
        <is>
          <t>A 48789-2024</t>
        </is>
      </c>
      <c r="B4660" s="1" t="n">
        <v>45593</v>
      </c>
      <c r="C4660" s="1" t="n">
        <v>45724</v>
      </c>
      <c r="D4660" t="inlineStr">
        <is>
          <t>VÄSTMANLANDS LÄN</t>
        </is>
      </c>
      <c r="E4660" t="inlineStr">
        <is>
          <t>SALA</t>
        </is>
      </c>
      <c r="G4660" t="n">
        <v>1.6</v>
      </c>
      <c r="H4660" t="n">
        <v>0</v>
      </c>
      <c r="I4660" t="n">
        <v>0</v>
      </c>
      <c r="J4660" t="n">
        <v>0</v>
      </c>
      <c r="K4660" t="n">
        <v>0</v>
      </c>
      <c r="L4660" t="n">
        <v>0</v>
      </c>
      <c r="M4660" t="n">
        <v>0</v>
      </c>
      <c r="N4660" t="n">
        <v>0</v>
      </c>
      <c r="O4660" t="n">
        <v>0</v>
      </c>
      <c r="P4660" t="n">
        <v>0</v>
      </c>
      <c r="Q4660" t="n">
        <v>0</v>
      </c>
      <c r="R4660" s="2" t="inlineStr"/>
    </row>
    <row r="4661" ht="15" customHeight="1">
      <c r="A4661" t="inlineStr">
        <is>
          <t>A 48664-2024</t>
        </is>
      </c>
      <c r="B4661" s="1" t="n">
        <v>45593</v>
      </c>
      <c r="C4661" s="1" t="n">
        <v>45724</v>
      </c>
      <c r="D4661" t="inlineStr">
        <is>
          <t>VÄSTMANLANDS LÄN</t>
        </is>
      </c>
      <c r="E4661" t="inlineStr">
        <is>
          <t>ARBOGA</t>
        </is>
      </c>
      <c r="G4661" t="n">
        <v>3.6</v>
      </c>
      <c r="H4661" t="n">
        <v>0</v>
      </c>
      <c r="I4661" t="n">
        <v>0</v>
      </c>
      <c r="J4661" t="n">
        <v>0</v>
      </c>
      <c r="K4661" t="n">
        <v>0</v>
      </c>
      <c r="L4661" t="n">
        <v>0</v>
      </c>
      <c r="M4661" t="n">
        <v>0</v>
      </c>
      <c r="N4661" t="n">
        <v>0</v>
      </c>
      <c r="O4661" t="n">
        <v>0</v>
      </c>
      <c r="P4661" t="n">
        <v>0</v>
      </c>
      <c r="Q4661" t="n">
        <v>0</v>
      </c>
      <c r="R4661" s="2" t="inlineStr"/>
    </row>
    <row r="4662" ht="15" customHeight="1">
      <c r="A4662" t="inlineStr">
        <is>
          <t>A 48853-2024</t>
        </is>
      </c>
      <c r="B4662" s="1" t="n">
        <v>45593</v>
      </c>
      <c r="C4662" s="1" t="n">
        <v>45724</v>
      </c>
      <c r="D4662" t="inlineStr">
        <is>
          <t>VÄSTMANLANDS LÄN</t>
        </is>
      </c>
      <c r="E4662" t="inlineStr">
        <is>
          <t>NORBERG</t>
        </is>
      </c>
      <c r="G4662" t="n">
        <v>2.3</v>
      </c>
      <c r="H4662" t="n">
        <v>0</v>
      </c>
      <c r="I4662" t="n">
        <v>0</v>
      </c>
      <c r="J4662" t="n">
        <v>0</v>
      </c>
      <c r="K4662" t="n">
        <v>0</v>
      </c>
      <c r="L4662" t="n">
        <v>0</v>
      </c>
      <c r="M4662" t="n">
        <v>0</v>
      </c>
      <c r="N4662" t="n">
        <v>0</v>
      </c>
      <c r="O4662" t="n">
        <v>0</v>
      </c>
      <c r="P4662" t="n">
        <v>0</v>
      </c>
      <c r="Q4662" t="n">
        <v>0</v>
      </c>
      <c r="R4662" s="2" t="inlineStr"/>
    </row>
    <row r="4663" ht="15" customHeight="1">
      <c r="A4663" t="inlineStr">
        <is>
          <t>A 48659-2024</t>
        </is>
      </c>
      <c r="B4663" s="1" t="n">
        <v>45593</v>
      </c>
      <c r="C4663" s="1" t="n">
        <v>45724</v>
      </c>
      <c r="D4663" t="inlineStr">
        <is>
          <t>VÄSTMANLANDS LÄN</t>
        </is>
      </c>
      <c r="E4663" t="inlineStr">
        <is>
          <t>ARBOGA</t>
        </is>
      </c>
      <c r="G4663" t="n">
        <v>0.5</v>
      </c>
      <c r="H4663" t="n">
        <v>0</v>
      </c>
      <c r="I4663" t="n">
        <v>0</v>
      </c>
      <c r="J4663" t="n">
        <v>0</v>
      </c>
      <c r="K4663" t="n">
        <v>0</v>
      </c>
      <c r="L4663" t="n">
        <v>0</v>
      </c>
      <c r="M4663" t="n">
        <v>0</v>
      </c>
      <c r="N4663" t="n">
        <v>0</v>
      </c>
      <c r="O4663" t="n">
        <v>0</v>
      </c>
      <c r="P4663" t="n">
        <v>0</v>
      </c>
      <c r="Q4663" t="n">
        <v>0</v>
      </c>
      <c r="R4663" s="2" t="inlineStr"/>
    </row>
    <row r="4664" ht="15" customHeight="1">
      <c r="A4664" t="inlineStr">
        <is>
          <t>A 49060-2024</t>
        </is>
      </c>
      <c r="B4664" s="1" t="n">
        <v>45594</v>
      </c>
      <c r="C4664" s="1" t="n">
        <v>45724</v>
      </c>
      <c r="D4664" t="inlineStr">
        <is>
          <t>VÄSTMANLANDS LÄN</t>
        </is>
      </c>
      <c r="E4664" t="inlineStr">
        <is>
          <t>SURAHAMMAR</t>
        </is>
      </c>
      <c r="F4664" t="inlineStr">
        <is>
          <t>Sveaskog</t>
        </is>
      </c>
      <c r="G4664" t="n">
        <v>4.4</v>
      </c>
      <c r="H4664" t="n">
        <v>0</v>
      </c>
      <c r="I4664" t="n">
        <v>0</v>
      </c>
      <c r="J4664" t="n">
        <v>0</v>
      </c>
      <c r="K4664" t="n">
        <v>0</v>
      </c>
      <c r="L4664" t="n">
        <v>0</v>
      </c>
      <c r="M4664" t="n">
        <v>0</v>
      </c>
      <c r="N4664" t="n">
        <v>0</v>
      </c>
      <c r="O4664" t="n">
        <v>0</v>
      </c>
      <c r="P4664" t="n">
        <v>0</v>
      </c>
      <c r="Q4664" t="n">
        <v>0</v>
      </c>
      <c r="R4664" s="2" t="inlineStr"/>
    </row>
    <row r="4665" ht="15" customHeight="1">
      <c r="A4665" t="inlineStr">
        <is>
          <t>A 49132-2024</t>
        </is>
      </c>
      <c r="B4665" s="1" t="n">
        <v>45594</v>
      </c>
      <c r="C4665" s="1" t="n">
        <v>45724</v>
      </c>
      <c r="D4665" t="inlineStr">
        <is>
          <t>VÄSTMANLANDS LÄN</t>
        </is>
      </c>
      <c r="E4665" t="inlineStr">
        <is>
          <t>NORBERG</t>
        </is>
      </c>
      <c r="G4665" t="n">
        <v>1.5</v>
      </c>
      <c r="H4665" t="n">
        <v>0</v>
      </c>
      <c r="I4665" t="n">
        <v>0</v>
      </c>
      <c r="J4665" t="n">
        <v>0</v>
      </c>
      <c r="K4665" t="n">
        <v>0</v>
      </c>
      <c r="L4665" t="n">
        <v>0</v>
      </c>
      <c r="M4665" t="n">
        <v>0</v>
      </c>
      <c r="N4665" t="n">
        <v>0</v>
      </c>
      <c r="O4665" t="n">
        <v>0</v>
      </c>
      <c r="P4665" t="n">
        <v>0</v>
      </c>
      <c r="Q4665" t="n">
        <v>0</v>
      </c>
      <c r="R4665" s="2" t="inlineStr"/>
    </row>
    <row r="4666" ht="15" customHeight="1">
      <c r="A4666" t="inlineStr">
        <is>
          <t>A 49058-2024</t>
        </is>
      </c>
      <c r="B4666" s="1" t="n">
        <v>45594</v>
      </c>
      <c r="C4666" s="1" t="n">
        <v>45724</v>
      </c>
      <c r="D4666" t="inlineStr">
        <is>
          <t>VÄSTMANLANDS LÄN</t>
        </is>
      </c>
      <c r="E4666" t="inlineStr">
        <is>
          <t>SURAHAMMAR</t>
        </is>
      </c>
      <c r="F4666" t="inlineStr">
        <is>
          <t>Sveaskog</t>
        </is>
      </c>
      <c r="G4666" t="n">
        <v>11.4</v>
      </c>
      <c r="H4666" t="n">
        <v>0</v>
      </c>
      <c r="I4666" t="n">
        <v>0</v>
      </c>
      <c r="J4666" t="n">
        <v>0</v>
      </c>
      <c r="K4666" t="n">
        <v>0</v>
      </c>
      <c r="L4666" t="n">
        <v>0</v>
      </c>
      <c r="M4666" t="n">
        <v>0</v>
      </c>
      <c r="N4666" t="n">
        <v>0</v>
      </c>
      <c r="O4666" t="n">
        <v>0</v>
      </c>
      <c r="P4666" t="n">
        <v>0</v>
      </c>
      <c r="Q4666" t="n">
        <v>0</v>
      </c>
      <c r="R4666" s="2" t="inlineStr"/>
    </row>
    <row r="4667" ht="15" customHeight="1">
      <c r="A4667" t="inlineStr">
        <is>
          <t>A 49234-2024</t>
        </is>
      </c>
      <c r="B4667" s="1" t="n">
        <v>45595</v>
      </c>
      <c r="C4667" s="1" t="n">
        <v>45724</v>
      </c>
      <c r="D4667" t="inlineStr">
        <is>
          <t>VÄSTMANLANDS LÄN</t>
        </is>
      </c>
      <c r="E4667" t="inlineStr">
        <is>
          <t>VÄSTERÅS</t>
        </is>
      </c>
      <c r="F4667" t="inlineStr">
        <is>
          <t>Övriga Aktiebolag</t>
        </is>
      </c>
      <c r="G4667" t="n">
        <v>5.5</v>
      </c>
      <c r="H4667" t="n">
        <v>0</v>
      </c>
      <c r="I4667" t="n">
        <v>0</v>
      </c>
      <c r="J4667" t="n">
        <v>0</v>
      </c>
      <c r="K4667" t="n">
        <v>0</v>
      </c>
      <c r="L4667" t="n">
        <v>0</v>
      </c>
      <c r="M4667" t="n">
        <v>0</v>
      </c>
      <c r="N4667" t="n">
        <v>0</v>
      </c>
      <c r="O4667" t="n">
        <v>0</v>
      </c>
      <c r="P4667" t="n">
        <v>0</v>
      </c>
      <c r="Q4667" t="n">
        <v>0</v>
      </c>
      <c r="R4667" s="2" t="inlineStr"/>
    </row>
    <row r="4668" ht="15" customHeight="1">
      <c r="A4668" t="inlineStr">
        <is>
          <t>A 49232-2024</t>
        </is>
      </c>
      <c r="B4668" s="1" t="n">
        <v>45595</v>
      </c>
      <c r="C4668" s="1" t="n">
        <v>45724</v>
      </c>
      <c r="D4668" t="inlineStr">
        <is>
          <t>VÄSTMANLANDS LÄN</t>
        </is>
      </c>
      <c r="E4668" t="inlineStr">
        <is>
          <t>VÄSTERÅS</t>
        </is>
      </c>
      <c r="F4668" t="inlineStr">
        <is>
          <t>Övriga Aktiebolag</t>
        </is>
      </c>
      <c r="G4668" t="n">
        <v>4</v>
      </c>
      <c r="H4668" t="n">
        <v>0</v>
      </c>
      <c r="I4668" t="n">
        <v>0</v>
      </c>
      <c r="J4668" t="n">
        <v>0</v>
      </c>
      <c r="K4668" t="n">
        <v>0</v>
      </c>
      <c r="L4668" t="n">
        <v>0</v>
      </c>
      <c r="M4668" t="n">
        <v>0</v>
      </c>
      <c r="N4668" t="n">
        <v>0</v>
      </c>
      <c r="O4668" t="n">
        <v>0</v>
      </c>
      <c r="P4668" t="n">
        <v>0</v>
      </c>
      <c r="Q4668" t="n">
        <v>0</v>
      </c>
      <c r="R4668" s="2" t="inlineStr"/>
    </row>
    <row r="4669" ht="15" customHeight="1">
      <c r="A4669" t="inlineStr">
        <is>
          <t>A 49289-2024</t>
        </is>
      </c>
      <c r="B4669" s="1" t="n">
        <v>45595</v>
      </c>
      <c r="C4669" s="1" t="n">
        <v>45724</v>
      </c>
      <c r="D4669" t="inlineStr">
        <is>
          <t>VÄSTMANLANDS LÄN</t>
        </is>
      </c>
      <c r="E4669" t="inlineStr">
        <is>
          <t>KÖPING</t>
        </is>
      </c>
      <c r="G4669" t="n">
        <v>0.5</v>
      </c>
      <c r="H4669" t="n">
        <v>0</v>
      </c>
      <c r="I4669" t="n">
        <v>0</v>
      </c>
      <c r="J4669" t="n">
        <v>0</v>
      </c>
      <c r="K4669" t="n">
        <v>0</v>
      </c>
      <c r="L4669" t="n">
        <v>0</v>
      </c>
      <c r="M4669" t="n">
        <v>0</v>
      </c>
      <c r="N4669" t="n">
        <v>0</v>
      </c>
      <c r="O4669" t="n">
        <v>0</v>
      </c>
      <c r="P4669" t="n">
        <v>0</v>
      </c>
      <c r="Q4669" t="n">
        <v>0</v>
      </c>
      <c r="R4669" s="2" t="inlineStr"/>
    </row>
    <row r="4670" ht="15" customHeight="1">
      <c r="A4670" t="inlineStr">
        <is>
          <t>A 49287-2024</t>
        </is>
      </c>
      <c r="B4670" s="1" t="n">
        <v>45595</v>
      </c>
      <c r="C4670" s="1" t="n">
        <v>45724</v>
      </c>
      <c r="D4670" t="inlineStr">
        <is>
          <t>VÄSTMANLANDS LÄN</t>
        </is>
      </c>
      <c r="E4670" t="inlineStr">
        <is>
          <t>KÖPING</t>
        </is>
      </c>
      <c r="G4670" t="n">
        <v>2.7</v>
      </c>
      <c r="H4670" t="n">
        <v>0</v>
      </c>
      <c r="I4670" t="n">
        <v>0</v>
      </c>
      <c r="J4670" t="n">
        <v>0</v>
      </c>
      <c r="K4670" t="n">
        <v>0</v>
      </c>
      <c r="L4670" t="n">
        <v>0</v>
      </c>
      <c r="M4670" t="n">
        <v>0</v>
      </c>
      <c r="N4670" t="n">
        <v>0</v>
      </c>
      <c r="O4670" t="n">
        <v>0</v>
      </c>
      <c r="P4670" t="n">
        <v>0</v>
      </c>
      <c r="Q4670" t="n">
        <v>0</v>
      </c>
      <c r="R4670" s="2" t="inlineStr"/>
    </row>
    <row r="4671" ht="15" customHeight="1">
      <c r="A4671" t="inlineStr">
        <is>
          <t>A 49316-2024</t>
        </is>
      </c>
      <c r="B4671" s="1" t="n">
        <v>45595</v>
      </c>
      <c r="C4671" s="1" t="n">
        <v>45724</v>
      </c>
      <c r="D4671" t="inlineStr">
        <is>
          <t>VÄSTMANLANDS LÄN</t>
        </is>
      </c>
      <c r="E4671" t="inlineStr">
        <is>
          <t>KÖPING</t>
        </is>
      </c>
      <c r="G4671" t="n">
        <v>1.6</v>
      </c>
      <c r="H4671" t="n">
        <v>0</v>
      </c>
      <c r="I4671" t="n">
        <v>0</v>
      </c>
      <c r="J4671" t="n">
        <v>0</v>
      </c>
      <c r="K4671" t="n">
        <v>0</v>
      </c>
      <c r="L4671" t="n">
        <v>0</v>
      </c>
      <c r="M4671" t="n">
        <v>0</v>
      </c>
      <c r="N4671" t="n">
        <v>0</v>
      </c>
      <c r="O4671" t="n">
        <v>0</v>
      </c>
      <c r="P4671" t="n">
        <v>0</v>
      </c>
      <c r="Q4671" t="n">
        <v>0</v>
      </c>
      <c r="R4671" s="2" t="inlineStr"/>
    </row>
    <row r="4672" ht="15" customHeight="1">
      <c r="A4672" t="inlineStr">
        <is>
          <t>A 49661-2024</t>
        </is>
      </c>
      <c r="B4672" s="1" t="n">
        <v>45596</v>
      </c>
      <c r="C4672" s="1" t="n">
        <v>45724</v>
      </c>
      <c r="D4672" t="inlineStr">
        <is>
          <t>VÄSTMANLANDS LÄN</t>
        </is>
      </c>
      <c r="E4672" t="inlineStr">
        <is>
          <t>SALA</t>
        </is>
      </c>
      <c r="G4672" t="n">
        <v>6.7</v>
      </c>
      <c r="H4672" t="n">
        <v>0</v>
      </c>
      <c r="I4672" t="n">
        <v>0</v>
      </c>
      <c r="J4672" t="n">
        <v>0</v>
      </c>
      <c r="K4672" t="n">
        <v>0</v>
      </c>
      <c r="L4672" t="n">
        <v>0</v>
      </c>
      <c r="M4672" t="n">
        <v>0</v>
      </c>
      <c r="N4672" t="n">
        <v>0</v>
      </c>
      <c r="O4672" t="n">
        <v>0</v>
      </c>
      <c r="P4672" t="n">
        <v>0</v>
      </c>
      <c r="Q4672" t="n">
        <v>0</v>
      </c>
      <c r="R4672" s="2" t="inlineStr"/>
    </row>
    <row r="4673" ht="15" customHeight="1">
      <c r="A4673" t="inlineStr">
        <is>
          <t>A 49619-2024</t>
        </is>
      </c>
      <c r="B4673" s="1" t="n">
        <v>45596</v>
      </c>
      <c r="C4673" s="1" t="n">
        <v>45724</v>
      </c>
      <c r="D4673" t="inlineStr">
        <is>
          <t>VÄSTMANLANDS LÄN</t>
        </is>
      </c>
      <c r="E4673" t="inlineStr">
        <is>
          <t>SALA</t>
        </is>
      </c>
      <c r="G4673" t="n">
        <v>0.6</v>
      </c>
      <c r="H4673" t="n">
        <v>0</v>
      </c>
      <c r="I4673" t="n">
        <v>0</v>
      </c>
      <c r="J4673" t="n">
        <v>0</v>
      </c>
      <c r="K4673" t="n">
        <v>0</v>
      </c>
      <c r="L4673" t="n">
        <v>0</v>
      </c>
      <c r="M4673" t="n">
        <v>0</v>
      </c>
      <c r="N4673" t="n">
        <v>0</v>
      </c>
      <c r="O4673" t="n">
        <v>0</v>
      </c>
      <c r="P4673" t="n">
        <v>0</v>
      </c>
      <c r="Q4673" t="n">
        <v>0</v>
      </c>
      <c r="R4673" s="2" t="inlineStr"/>
    </row>
    <row r="4674" ht="15" customHeight="1">
      <c r="A4674" t="inlineStr">
        <is>
          <t>A 49636-2024</t>
        </is>
      </c>
      <c r="B4674" s="1" t="n">
        <v>45596</v>
      </c>
      <c r="C4674" s="1" t="n">
        <v>45724</v>
      </c>
      <c r="D4674" t="inlineStr">
        <is>
          <t>VÄSTMANLANDS LÄN</t>
        </is>
      </c>
      <c r="E4674" t="inlineStr">
        <is>
          <t>SKINNSKATTEBERG</t>
        </is>
      </c>
      <c r="F4674" t="inlineStr">
        <is>
          <t>Sveaskog</t>
        </is>
      </c>
      <c r="G4674" t="n">
        <v>11.6</v>
      </c>
      <c r="H4674" t="n">
        <v>0</v>
      </c>
      <c r="I4674" t="n">
        <v>0</v>
      </c>
      <c r="J4674" t="n">
        <v>0</v>
      </c>
      <c r="K4674" t="n">
        <v>0</v>
      </c>
      <c r="L4674" t="n">
        <v>0</v>
      </c>
      <c r="M4674" t="n">
        <v>0</v>
      </c>
      <c r="N4674" t="n">
        <v>0</v>
      </c>
      <c r="O4674" t="n">
        <v>0</v>
      </c>
      <c r="P4674" t="n">
        <v>0</v>
      </c>
      <c r="Q4674" t="n">
        <v>0</v>
      </c>
      <c r="R4674" s="2" t="inlineStr"/>
    </row>
    <row r="4675" ht="15" customHeight="1">
      <c r="A4675" t="inlineStr">
        <is>
          <t>A 49745-2024</t>
        </is>
      </c>
      <c r="B4675" s="1" t="n">
        <v>45596</v>
      </c>
      <c r="C4675" s="1" t="n">
        <v>45724</v>
      </c>
      <c r="D4675" t="inlineStr">
        <is>
          <t>VÄSTMANLANDS LÄN</t>
        </is>
      </c>
      <c r="E4675" t="inlineStr">
        <is>
          <t>SALA</t>
        </is>
      </c>
      <c r="G4675" t="n">
        <v>2.8</v>
      </c>
      <c r="H4675" t="n">
        <v>0</v>
      </c>
      <c r="I4675" t="n">
        <v>0</v>
      </c>
      <c r="J4675" t="n">
        <v>0</v>
      </c>
      <c r="K4675" t="n">
        <v>0</v>
      </c>
      <c r="L4675" t="n">
        <v>0</v>
      </c>
      <c r="M4675" t="n">
        <v>0</v>
      </c>
      <c r="N4675" t="n">
        <v>0</v>
      </c>
      <c r="O4675" t="n">
        <v>0</v>
      </c>
      <c r="P4675" t="n">
        <v>0</v>
      </c>
      <c r="Q4675" t="n">
        <v>0</v>
      </c>
      <c r="R4675" s="2" t="inlineStr"/>
    </row>
    <row r="4676" ht="15" customHeight="1">
      <c r="A4676" t="inlineStr">
        <is>
          <t>A 49744-2024</t>
        </is>
      </c>
      <c r="B4676" s="1" t="n">
        <v>45596</v>
      </c>
      <c r="C4676" s="1" t="n">
        <v>45724</v>
      </c>
      <c r="D4676" t="inlineStr">
        <is>
          <t>VÄSTMANLANDS LÄN</t>
        </is>
      </c>
      <c r="E4676" t="inlineStr">
        <is>
          <t>SALA</t>
        </is>
      </c>
      <c r="G4676" t="n">
        <v>1.9</v>
      </c>
      <c r="H4676" t="n">
        <v>0</v>
      </c>
      <c r="I4676" t="n">
        <v>0</v>
      </c>
      <c r="J4676" t="n">
        <v>0</v>
      </c>
      <c r="K4676" t="n">
        <v>0</v>
      </c>
      <c r="L4676" t="n">
        <v>0</v>
      </c>
      <c r="M4676" t="n">
        <v>0</v>
      </c>
      <c r="N4676" t="n">
        <v>0</v>
      </c>
      <c r="O4676" t="n">
        <v>0</v>
      </c>
      <c r="P4676" t="n">
        <v>0</v>
      </c>
      <c r="Q4676" t="n">
        <v>0</v>
      </c>
      <c r="R4676" s="2" t="inlineStr"/>
    </row>
    <row r="4677" ht="15" customHeight="1">
      <c r="A4677" t="inlineStr">
        <is>
          <t>A 49555-2024</t>
        </is>
      </c>
      <c r="B4677" s="1" t="n">
        <v>45596</v>
      </c>
      <c r="C4677" s="1" t="n">
        <v>45724</v>
      </c>
      <c r="D4677" t="inlineStr">
        <is>
          <t>VÄSTMANLANDS LÄN</t>
        </is>
      </c>
      <c r="E4677" t="inlineStr">
        <is>
          <t>SALA</t>
        </is>
      </c>
      <c r="G4677" t="n">
        <v>4.6</v>
      </c>
      <c r="H4677" t="n">
        <v>0</v>
      </c>
      <c r="I4677" t="n">
        <v>0</v>
      </c>
      <c r="J4677" t="n">
        <v>0</v>
      </c>
      <c r="K4677" t="n">
        <v>0</v>
      </c>
      <c r="L4677" t="n">
        <v>0</v>
      </c>
      <c r="M4677" t="n">
        <v>0</v>
      </c>
      <c r="N4677" t="n">
        <v>0</v>
      </c>
      <c r="O4677" t="n">
        <v>0</v>
      </c>
      <c r="P4677" t="n">
        <v>0</v>
      </c>
      <c r="Q4677" t="n">
        <v>0</v>
      </c>
      <c r="R4677" s="2" t="inlineStr"/>
    </row>
    <row r="4678" ht="15" customHeight="1">
      <c r="A4678" t="inlineStr">
        <is>
          <t>A 49854-2024</t>
        </is>
      </c>
      <c r="B4678" s="1" t="n">
        <v>45597</v>
      </c>
      <c r="C4678" s="1" t="n">
        <v>45724</v>
      </c>
      <c r="D4678" t="inlineStr">
        <is>
          <t>VÄSTMANLANDS LÄN</t>
        </is>
      </c>
      <c r="E4678" t="inlineStr">
        <is>
          <t>HALLSTAHAMMAR</t>
        </is>
      </c>
      <c r="G4678" t="n">
        <v>5.9</v>
      </c>
      <c r="H4678" t="n">
        <v>0</v>
      </c>
      <c r="I4678" t="n">
        <v>0</v>
      </c>
      <c r="J4678" t="n">
        <v>0</v>
      </c>
      <c r="K4678" t="n">
        <v>0</v>
      </c>
      <c r="L4678" t="n">
        <v>0</v>
      </c>
      <c r="M4678" t="n">
        <v>0</v>
      </c>
      <c r="N4678" t="n">
        <v>0</v>
      </c>
      <c r="O4678" t="n">
        <v>0</v>
      </c>
      <c r="P4678" t="n">
        <v>0</v>
      </c>
      <c r="Q4678" t="n">
        <v>0</v>
      </c>
      <c r="R4678" s="2" t="inlineStr"/>
    </row>
    <row r="4679" ht="15" customHeight="1">
      <c r="A4679" t="inlineStr">
        <is>
          <t>A 49763-2024</t>
        </is>
      </c>
      <c r="B4679" s="1" t="n">
        <v>45597</v>
      </c>
      <c r="C4679" s="1" t="n">
        <v>45724</v>
      </c>
      <c r="D4679" t="inlineStr">
        <is>
          <t>VÄSTMANLANDS LÄN</t>
        </is>
      </c>
      <c r="E4679" t="inlineStr">
        <is>
          <t>NORBERG</t>
        </is>
      </c>
      <c r="G4679" t="n">
        <v>2.1</v>
      </c>
      <c r="H4679" t="n">
        <v>0</v>
      </c>
      <c r="I4679" t="n">
        <v>0</v>
      </c>
      <c r="J4679" t="n">
        <v>0</v>
      </c>
      <c r="K4679" t="n">
        <v>0</v>
      </c>
      <c r="L4679" t="n">
        <v>0</v>
      </c>
      <c r="M4679" t="n">
        <v>0</v>
      </c>
      <c r="N4679" t="n">
        <v>0</v>
      </c>
      <c r="O4679" t="n">
        <v>0</v>
      </c>
      <c r="P4679" t="n">
        <v>0</v>
      </c>
      <c r="Q4679" t="n">
        <v>0</v>
      </c>
      <c r="R4679" s="2" t="inlineStr"/>
    </row>
    <row r="4680" ht="15" customHeight="1">
      <c r="A4680" t="inlineStr">
        <is>
          <t>A 49884-2024</t>
        </is>
      </c>
      <c r="B4680" s="1" t="n">
        <v>45597</v>
      </c>
      <c r="C4680" s="1" t="n">
        <v>45724</v>
      </c>
      <c r="D4680" t="inlineStr">
        <is>
          <t>VÄSTMANLANDS LÄN</t>
        </is>
      </c>
      <c r="E4680" t="inlineStr">
        <is>
          <t>SKINNSKATTEBERG</t>
        </is>
      </c>
      <c r="F4680" t="inlineStr">
        <is>
          <t>Sveaskog</t>
        </is>
      </c>
      <c r="G4680" t="n">
        <v>8</v>
      </c>
      <c r="H4680" t="n">
        <v>0</v>
      </c>
      <c r="I4680" t="n">
        <v>0</v>
      </c>
      <c r="J4680" t="n">
        <v>0</v>
      </c>
      <c r="K4680" t="n">
        <v>0</v>
      </c>
      <c r="L4680" t="n">
        <v>0</v>
      </c>
      <c r="M4680" t="n">
        <v>0</v>
      </c>
      <c r="N4680" t="n">
        <v>0</v>
      </c>
      <c r="O4680" t="n">
        <v>0</v>
      </c>
      <c r="P4680" t="n">
        <v>0</v>
      </c>
      <c r="Q4680" t="n">
        <v>0</v>
      </c>
      <c r="R4680" s="2" t="inlineStr"/>
    </row>
    <row r="4681" ht="15" customHeight="1">
      <c r="A4681" t="inlineStr">
        <is>
          <t>A 50005-2024</t>
        </is>
      </c>
      <c r="B4681" s="1" t="n">
        <v>45598</v>
      </c>
      <c r="C4681" s="1" t="n">
        <v>45724</v>
      </c>
      <c r="D4681" t="inlineStr">
        <is>
          <t>VÄSTMANLANDS LÄN</t>
        </is>
      </c>
      <c r="E4681" t="inlineStr">
        <is>
          <t>NORBERG</t>
        </is>
      </c>
      <c r="F4681" t="inlineStr">
        <is>
          <t>Sveaskog</t>
        </is>
      </c>
      <c r="G4681" t="n">
        <v>4</v>
      </c>
      <c r="H4681" t="n">
        <v>0</v>
      </c>
      <c r="I4681" t="n">
        <v>0</v>
      </c>
      <c r="J4681" t="n">
        <v>0</v>
      </c>
      <c r="K4681" t="n">
        <v>0</v>
      </c>
      <c r="L4681" t="n">
        <v>0</v>
      </c>
      <c r="M4681" t="n">
        <v>0</v>
      </c>
      <c r="N4681" t="n">
        <v>0</v>
      </c>
      <c r="O4681" t="n">
        <v>0</v>
      </c>
      <c r="P4681" t="n">
        <v>0</v>
      </c>
      <c r="Q4681" t="n">
        <v>0</v>
      </c>
      <c r="R4681" s="2" t="inlineStr"/>
    </row>
    <row r="4682" ht="15" customHeight="1">
      <c r="A4682" t="inlineStr">
        <is>
          <t>A 50004-2024</t>
        </is>
      </c>
      <c r="B4682" s="1" t="n">
        <v>45598</v>
      </c>
      <c r="C4682" s="1" t="n">
        <v>45724</v>
      </c>
      <c r="D4682" t="inlineStr">
        <is>
          <t>VÄSTMANLANDS LÄN</t>
        </is>
      </c>
      <c r="E4682" t="inlineStr">
        <is>
          <t>NORBERG</t>
        </is>
      </c>
      <c r="F4682" t="inlineStr">
        <is>
          <t>Sveaskog</t>
        </is>
      </c>
      <c r="G4682" t="n">
        <v>1.5</v>
      </c>
      <c r="H4682" t="n">
        <v>0</v>
      </c>
      <c r="I4682" t="n">
        <v>0</v>
      </c>
      <c r="J4682" t="n">
        <v>0</v>
      </c>
      <c r="K4682" t="n">
        <v>0</v>
      </c>
      <c r="L4682" t="n">
        <v>0</v>
      </c>
      <c r="M4682" t="n">
        <v>0</v>
      </c>
      <c r="N4682" t="n">
        <v>0</v>
      </c>
      <c r="O4682" t="n">
        <v>0</v>
      </c>
      <c r="P4682" t="n">
        <v>0</v>
      </c>
      <c r="Q4682" t="n">
        <v>0</v>
      </c>
      <c r="R4682" s="2" t="inlineStr"/>
    </row>
    <row r="4683" ht="15" customHeight="1">
      <c r="A4683" t="inlineStr">
        <is>
          <t>A 50105-2024</t>
        </is>
      </c>
      <c r="B4683" s="1" t="n">
        <v>45600</v>
      </c>
      <c r="C4683" s="1" t="n">
        <v>45724</v>
      </c>
      <c r="D4683" t="inlineStr">
        <is>
          <t>VÄSTMANLANDS LÄN</t>
        </is>
      </c>
      <c r="E4683" t="inlineStr">
        <is>
          <t>HALLSTAHAMMAR</t>
        </is>
      </c>
      <c r="G4683" t="n">
        <v>5.3</v>
      </c>
      <c r="H4683" t="n">
        <v>0</v>
      </c>
      <c r="I4683" t="n">
        <v>0</v>
      </c>
      <c r="J4683" t="n">
        <v>0</v>
      </c>
      <c r="K4683" t="n">
        <v>0</v>
      </c>
      <c r="L4683" t="n">
        <v>0</v>
      </c>
      <c r="M4683" t="n">
        <v>0</v>
      </c>
      <c r="N4683" t="n">
        <v>0</v>
      </c>
      <c r="O4683" t="n">
        <v>0</v>
      </c>
      <c r="P4683" t="n">
        <v>0</v>
      </c>
      <c r="Q4683" t="n">
        <v>0</v>
      </c>
      <c r="R4683" s="2" t="inlineStr"/>
    </row>
    <row r="4684" ht="15" customHeight="1">
      <c r="A4684" t="inlineStr">
        <is>
          <t>A 50209-2024</t>
        </is>
      </c>
      <c r="B4684" s="1" t="n">
        <v>45600</v>
      </c>
      <c r="C4684" s="1" t="n">
        <v>45724</v>
      </c>
      <c r="D4684" t="inlineStr">
        <is>
          <t>VÄSTMANLANDS LÄN</t>
        </is>
      </c>
      <c r="E4684" t="inlineStr">
        <is>
          <t>FAGERSTA</t>
        </is>
      </c>
      <c r="F4684" t="inlineStr">
        <is>
          <t>Kommuner</t>
        </is>
      </c>
      <c r="G4684" t="n">
        <v>2.5</v>
      </c>
      <c r="H4684" t="n">
        <v>0</v>
      </c>
      <c r="I4684" t="n">
        <v>0</v>
      </c>
      <c r="J4684" t="n">
        <v>0</v>
      </c>
      <c r="K4684" t="n">
        <v>0</v>
      </c>
      <c r="L4684" t="n">
        <v>0</v>
      </c>
      <c r="M4684" t="n">
        <v>0</v>
      </c>
      <c r="N4684" t="n">
        <v>0</v>
      </c>
      <c r="O4684" t="n">
        <v>0</v>
      </c>
      <c r="P4684" t="n">
        <v>0</v>
      </c>
      <c r="Q4684" t="n">
        <v>0</v>
      </c>
      <c r="R4684" s="2" t="inlineStr"/>
    </row>
    <row r="4685" ht="15" customHeight="1">
      <c r="A4685" t="inlineStr">
        <is>
          <t>A 50333-2024</t>
        </is>
      </c>
      <c r="B4685" s="1" t="n">
        <v>45600</v>
      </c>
      <c r="C4685" s="1" t="n">
        <v>45724</v>
      </c>
      <c r="D4685" t="inlineStr">
        <is>
          <t>VÄSTMANLANDS LÄN</t>
        </is>
      </c>
      <c r="E4685" t="inlineStr">
        <is>
          <t>FAGERSTA</t>
        </is>
      </c>
      <c r="G4685" t="n">
        <v>2.4</v>
      </c>
      <c r="H4685" t="n">
        <v>0</v>
      </c>
      <c r="I4685" t="n">
        <v>0</v>
      </c>
      <c r="J4685" t="n">
        <v>0</v>
      </c>
      <c r="K4685" t="n">
        <v>0</v>
      </c>
      <c r="L4685" t="n">
        <v>0</v>
      </c>
      <c r="M4685" t="n">
        <v>0</v>
      </c>
      <c r="N4685" t="n">
        <v>0</v>
      </c>
      <c r="O4685" t="n">
        <v>0</v>
      </c>
      <c r="P4685" t="n">
        <v>0</v>
      </c>
      <c r="Q4685" t="n">
        <v>0</v>
      </c>
      <c r="R4685" s="2" t="inlineStr"/>
    </row>
    <row r="4686" ht="15" customHeight="1">
      <c r="A4686" t="inlineStr">
        <is>
          <t>A 50230-2024</t>
        </is>
      </c>
      <c r="B4686" s="1" t="n">
        <v>45600</v>
      </c>
      <c r="C4686" s="1" t="n">
        <v>45724</v>
      </c>
      <c r="D4686" t="inlineStr">
        <is>
          <t>VÄSTMANLANDS LÄN</t>
        </is>
      </c>
      <c r="E4686" t="inlineStr">
        <is>
          <t>HALLSTAHAMMAR</t>
        </is>
      </c>
      <c r="G4686" t="n">
        <v>1.7</v>
      </c>
      <c r="H4686" t="n">
        <v>0</v>
      </c>
      <c r="I4686" t="n">
        <v>0</v>
      </c>
      <c r="J4686" t="n">
        <v>0</v>
      </c>
      <c r="K4686" t="n">
        <v>0</v>
      </c>
      <c r="L4686" t="n">
        <v>0</v>
      </c>
      <c r="M4686" t="n">
        <v>0</v>
      </c>
      <c r="N4686" t="n">
        <v>0</v>
      </c>
      <c r="O4686" t="n">
        <v>0</v>
      </c>
      <c r="P4686" t="n">
        <v>0</v>
      </c>
      <c r="Q4686" t="n">
        <v>0</v>
      </c>
      <c r="R4686" s="2" t="inlineStr"/>
    </row>
    <row r="4687" ht="15" customHeight="1">
      <c r="A4687" t="inlineStr">
        <is>
          <t>A 50594-2024</t>
        </is>
      </c>
      <c r="B4687" s="1" t="n">
        <v>45600</v>
      </c>
      <c r="C4687" s="1" t="n">
        <v>45724</v>
      </c>
      <c r="D4687" t="inlineStr">
        <is>
          <t>VÄSTMANLANDS LÄN</t>
        </is>
      </c>
      <c r="E4687" t="inlineStr">
        <is>
          <t>SKINNSKATTEBERG</t>
        </is>
      </c>
      <c r="G4687" t="n">
        <v>6.2</v>
      </c>
      <c r="H4687" t="n">
        <v>0</v>
      </c>
      <c r="I4687" t="n">
        <v>0</v>
      </c>
      <c r="J4687" t="n">
        <v>0</v>
      </c>
      <c r="K4687" t="n">
        <v>0</v>
      </c>
      <c r="L4687" t="n">
        <v>0</v>
      </c>
      <c r="M4687" t="n">
        <v>0</v>
      </c>
      <c r="N4687" t="n">
        <v>0</v>
      </c>
      <c r="O4687" t="n">
        <v>0</v>
      </c>
      <c r="P4687" t="n">
        <v>0</v>
      </c>
      <c r="Q4687" t="n">
        <v>0</v>
      </c>
      <c r="R4687" s="2" t="inlineStr"/>
    </row>
    <row r="4688" ht="15" customHeight="1">
      <c r="A4688" t="inlineStr">
        <is>
          <t>A 50210-2024</t>
        </is>
      </c>
      <c r="B4688" s="1" t="n">
        <v>45600</v>
      </c>
      <c r="C4688" s="1" t="n">
        <v>45724</v>
      </c>
      <c r="D4688" t="inlineStr">
        <is>
          <t>VÄSTMANLANDS LÄN</t>
        </is>
      </c>
      <c r="E4688" t="inlineStr">
        <is>
          <t>HALLSTAHAMMAR</t>
        </is>
      </c>
      <c r="G4688" t="n">
        <v>2.1</v>
      </c>
      <c r="H4688" t="n">
        <v>0</v>
      </c>
      <c r="I4688" t="n">
        <v>0</v>
      </c>
      <c r="J4688" t="n">
        <v>0</v>
      </c>
      <c r="K4688" t="n">
        <v>0</v>
      </c>
      <c r="L4688" t="n">
        <v>0</v>
      </c>
      <c r="M4688" t="n">
        <v>0</v>
      </c>
      <c r="N4688" t="n">
        <v>0</v>
      </c>
      <c r="O4688" t="n">
        <v>0</v>
      </c>
      <c r="P4688" t="n">
        <v>0</v>
      </c>
      <c r="Q4688" t="n">
        <v>0</v>
      </c>
      <c r="R4688" s="2" t="inlineStr"/>
    </row>
    <row r="4689" ht="15" customHeight="1">
      <c r="A4689" t="inlineStr">
        <is>
          <t>A 50487-2024</t>
        </is>
      </c>
      <c r="B4689" s="1" t="n">
        <v>45601</v>
      </c>
      <c r="C4689" s="1" t="n">
        <v>45724</v>
      </c>
      <c r="D4689" t="inlineStr">
        <is>
          <t>VÄSTMANLANDS LÄN</t>
        </is>
      </c>
      <c r="E4689" t="inlineStr">
        <is>
          <t>KÖPING</t>
        </is>
      </c>
      <c r="G4689" t="n">
        <v>7.9</v>
      </c>
      <c r="H4689" t="n">
        <v>0</v>
      </c>
      <c r="I4689" t="n">
        <v>0</v>
      </c>
      <c r="J4689" t="n">
        <v>0</v>
      </c>
      <c r="K4689" t="n">
        <v>0</v>
      </c>
      <c r="L4689" t="n">
        <v>0</v>
      </c>
      <c r="M4689" t="n">
        <v>0</v>
      </c>
      <c r="N4689" t="n">
        <v>0</v>
      </c>
      <c r="O4689" t="n">
        <v>0</v>
      </c>
      <c r="P4689" t="n">
        <v>0</v>
      </c>
      <c r="Q4689" t="n">
        <v>0</v>
      </c>
      <c r="R4689" s="2" t="inlineStr"/>
    </row>
    <row r="4690" ht="15" customHeight="1">
      <c r="A4690" t="inlineStr">
        <is>
          <t>A 50652-2024</t>
        </is>
      </c>
      <c r="B4690" s="1" t="n">
        <v>45601</v>
      </c>
      <c r="C4690" s="1" t="n">
        <v>45724</v>
      </c>
      <c r="D4690" t="inlineStr">
        <is>
          <t>VÄSTMANLANDS LÄN</t>
        </is>
      </c>
      <c r="E4690" t="inlineStr">
        <is>
          <t>SALA</t>
        </is>
      </c>
      <c r="G4690" t="n">
        <v>4.6</v>
      </c>
      <c r="H4690" t="n">
        <v>0</v>
      </c>
      <c r="I4690" t="n">
        <v>0</v>
      </c>
      <c r="J4690" t="n">
        <v>0</v>
      </c>
      <c r="K4690" t="n">
        <v>0</v>
      </c>
      <c r="L4690" t="n">
        <v>0</v>
      </c>
      <c r="M4690" t="n">
        <v>0</v>
      </c>
      <c r="N4690" t="n">
        <v>0</v>
      </c>
      <c r="O4690" t="n">
        <v>0</v>
      </c>
      <c r="P4690" t="n">
        <v>0</v>
      </c>
      <c r="Q4690" t="n">
        <v>0</v>
      </c>
      <c r="R4690" s="2" t="inlineStr"/>
    </row>
    <row r="4691" ht="15" customHeight="1">
      <c r="A4691" t="inlineStr">
        <is>
          <t>A 50409-2024</t>
        </is>
      </c>
      <c r="B4691" s="1" t="n">
        <v>45601</v>
      </c>
      <c r="C4691" s="1" t="n">
        <v>45724</v>
      </c>
      <c r="D4691" t="inlineStr">
        <is>
          <t>VÄSTMANLANDS LÄN</t>
        </is>
      </c>
      <c r="E4691" t="inlineStr">
        <is>
          <t>KÖPING</t>
        </is>
      </c>
      <c r="G4691" t="n">
        <v>5.5</v>
      </c>
      <c r="H4691" t="n">
        <v>0</v>
      </c>
      <c r="I4691" t="n">
        <v>0</v>
      </c>
      <c r="J4691" t="n">
        <v>0</v>
      </c>
      <c r="K4691" t="n">
        <v>0</v>
      </c>
      <c r="L4691" t="n">
        <v>0</v>
      </c>
      <c r="M4691" t="n">
        <v>0</v>
      </c>
      <c r="N4691" t="n">
        <v>0</v>
      </c>
      <c r="O4691" t="n">
        <v>0</v>
      </c>
      <c r="P4691" t="n">
        <v>0</v>
      </c>
      <c r="Q4691" t="n">
        <v>0</v>
      </c>
      <c r="R4691" s="2" t="inlineStr"/>
    </row>
    <row r="4692" ht="15" customHeight="1">
      <c r="A4692" t="inlineStr">
        <is>
          <t>A 50411-2024</t>
        </is>
      </c>
      <c r="B4692" s="1" t="n">
        <v>45601</v>
      </c>
      <c r="C4692" s="1" t="n">
        <v>45724</v>
      </c>
      <c r="D4692" t="inlineStr">
        <is>
          <t>VÄSTMANLANDS LÄN</t>
        </is>
      </c>
      <c r="E4692" t="inlineStr">
        <is>
          <t>KÖPING</t>
        </is>
      </c>
      <c r="G4692" t="n">
        <v>6.1</v>
      </c>
      <c r="H4692" t="n">
        <v>0</v>
      </c>
      <c r="I4692" t="n">
        <v>0</v>
      </c>
      <c r="J4692" t="n">
        <v>0</v>
      </c>
      <c r="K4692" t="n">
        <v>0</v>
      </c>
      <c r="L4692" t="n">
        <v>0</v>
      </c>
      <c r="M4692" t="n">
        <v>0</v>
      </c>
      <c r="N4692" t="n">
        <v>0</v>
      </c>
      <c r="O4692" t="n">
        <v>0</v>
      </c>
      <c r="P4692" t="n">
        <v>0</v>
      </c>
      <c r="Q4692" t="n">
        <v>0</v>
      </c>
      <c r="R4692" s="2" t="inlineStr"/>
    </row>
    <row r="4693" ht="15" customHeight="1">
      <c r="A4693" t="inlineStr">
        <is>
          <t>A 51097-2024</t>
        </is>
      </c>
      <c r="B4693" s="1" t="n">
        <v>45603</v>
      </c>
      <c r="C4693" s="1" t="n">
        <v>45724</v>
      </c>
      <c r="D4693" t="inlineStr">
        <is>
          <t>VÄSTMANLANDS LÄN</t>
        </is>
      </c>
      <c r="E4693" t="inlineStr">
        <is>
          <t>SKINNSKATTEBERG</t>
        </is>
      </c>
      <c r="G4693" t="n">
        <v>1.7</v>
      </c>
      <c r="H4693" t="n">
        <v>0</v>
      </c>
      <c r="I4693" t="n">
        <v>0</v>
      </c>
      <c r="J4693" t="n">
        <v>0</v>
      </c>
      <c r="K4693" t="n">
        <v>0</v>
      </c>
      <c r="L4693" t="n">
        <v>0</v>
      </c>
      <c r="M4693" t="n">
        <v>0</v>
      </c>
      <c r="N4693" t="n">
        <v>0</v>
      </c>
      <c r="O4693" t="n">
        <v>0</v>
      </c>
      <c r="P4693" t="n">
        <v>0</v>
      </c>
      <c r="Q4693" t="n">
        <v>0</v>
      </c>
      <c r="R4693" s="2" t="inlineStr"/>
    </row>
    <row r="4694" ht="15" customHeight="1">
      <c r="A4694" t="inlineStr">
        <is>
          <t>A 51105-2024</t>
        </is>
      </c>
      <c r="B4694" s="1" t="n">
        <v>45603</v>
      </c>
      <c r="C4694" s="1" t="n">
        <v>45724</v>
      </c>
      <c r="D4694" t="inlineStr">
        <is>
          <t>VÄSTMANLANDS LÄN</t>
        </is>
      </c>
      <c r="E4694" t="inlineStr">
        <is>
          <t>KÖPING</t>
        </is>
      </c>
      <c r="G4694" t="n">
        <v>2.3</v>
      </c>
      <c r="H4694" t="n">
        <v>0</v>
      </c>
      <c r="I4694" t="n">
        <v>0</v>
      </c>
      <c r="J4694" t="n">
        <v>0</v>
      </c>
      <c r="K4694" t="n">
        <v>0</v>
      </c>
      <c r="L4694" t="n">
        <v>0</v>
      </c>
      <c r="M4694" t="n">
        <v>0</v>
      </c>
      <c r="N4694" t="n">
        <v>0</v>
      </c>
      <c r="O4694" t="n">
        <v>0</v>
      </c>
      <c r="P4694" t="n">
        <v>0</v>
      </c>
      <c r="Q4694" t="n">
        <v>0</v>
      </c>
      <c r="R4694" s="2" t="inlineStr"/>
    </row>
    <row r="4695" ht="15" customHeight="1">
      <c r="A4695" t="inlineStr">
        <is>
          <t>A 51190-2024</t>
        </is>
      </c>
      <c r="B4695" s="1" t="n">
        <v>45603</v>
      </c>
      <c r="C4695" s="1" t="n">
        <v>45724</v>
      </c>
      <c r="D4695" t="inlineStr">
        <is>
          <t>VÄSTMANLANDS LÄN</t>
        </is>
      </c>
      <c r="E4695" t="inlineStr">
        <is>
          <t>KÖPING</t>
        </is>
      </c>
      <c r="G4695" t="n">
        <v>0.4</v>
      </c>
      <c r="H4695" t="n">
        <v>0</v>
      </c>
      <c r="I4695" t="n">
        <v>0</v>
      </c>
      <c r="J4695" t="n">
        <v>0</v>
      </c>
      <c r="K4695" t="n">
        <v>0</v>
      </c>
      <c r="L4695" t="n">
        <v>0</v>
      </c>
      <c r="M4695" t="n">
        <v>0</v>
      </c>
      <c r="N4695" t="n">
        <v>0</v>
      </c>
      <c r="O4695" t="n">
        <v>0</v>
      </c>
      <c r="P4695" t="n">
        <v>0</v>
      </c>
      <c r="Q4695" t="n">
        <v>0</v>
      </c>
      <c r="R4695" s="2" t="inlineStr"/>
    </row>
    <row r="4696" ht="15" customHeight="1">
      <c r="A4696" t="inlineStr">
        <is>
          <t>A 51004-2024</t>
        </is>
      </c>
      <c r="B4696" s="1" t="n">
        <v>45603</v>
      </c>
      <c r="C4696" s="1" t="n">
        <v>45724</v>
      </c>
      <c r="D4696" t="inlineStr">
        <is>
          <t>VÄSTMANLANDS LÄN</t>
        </is>
      </c>
      <c r="E4696" t="inlineStr">
        <is>
          <t>VÄSTERÅS</t>
        </is>
      </c>
      <c r="G4696" t="n">
        <v>0.6</v>
      </c>
      <c r="H4696" t="n">
        <v>0</v>
      </c>
      <c r="I4696" t="n">
        <v>0</v>
      </c>
      <c r="J4696" t="n">
        <v>0</v>
      </c>
      <c r="K4696" t="n">
        <v>0</v>
      </c>
      <c r="L4696" t="n">
        <v>0</v>
      </c>
      <c r="M4696" t="n">
        <v>0</v>
      </c>
      <c r="N4696" t="n">
        <v>0</v>
      </c>
      <c r="O4696" t="n">
        <v>0</v>
      </c>
      <c r="P4696" t="n">
        <v>0</v>
      </c>
      <c r="Q4696" t="n">
        <v>0</v>
      </c>
      <c r="R4696" s="2" t="inlineStr"/>
    </row>
    <row r="4697" ht="15" customHeight="1">
      <c r="A4697" t="inlineStr">
        <is>
          <t>A 50991-2024</t>
        </is>
      </c>
      <c r="B4697" s="1" t="n">
        <v>45603</v>
      </c>
      <c r="C4697" s="1" t="n">
        <v>45724</v>
      </c>
      <c r="D4697" t="inlineStr">
        <is>
          <t>VÄSTMANLANDS LÄN</t>
        </is>
      </c>
      <c r="E4697" t="inlineStr">
        <is>
          <t>VÄSTERÅS</t>
        </is>
      </c>
      <c r="G4697" t="n">
        <v>1.3</v>
      </c>
      <c r="H4697" t="n">
        <v>0</v>
      </c>
      <c r="I4697" t="n">
        <v>0</v>
      </c>
      <c r="J4697" t="n">
        <v>0</v>
      </c>
      <c r="K4697" t="n">
        <v>0</v>
      </c>
      <c r="L4697" t="n">
        <v>0</v>
      </c>
      <c r="M4697" t="n">
        <v>0</v>
      </c>
      <c r="N4697" t="n">
        <v>0</v>
      </c>
      <c r="O4697" t="n">
        <v>0</v>
      </c>
      <c r="P4697" t="n">
        <v>0</v>
      </c>
      <c r="Q4697" t="n">
        <v>0</v>
      </c>
      <c r="R4697" s="2" t="inlineStr"/>
    </row>
    <row r="4698" ht="15" customHeight="1">
      <c r="A4698" t="inlineStr">
        <is>
          <t>A 51001-2024</t>
        </is>
      </c>
      <c r="B4698" s="1" t="n">
        <v>45603</v>
      </c>
      <c r="C4698" s="1" t="n">
        <v>45724</v>
      </c>
      <c r="D4698" t="inlineStr">
        <is>
          <t>VÄSTMANLANDS LÄN</t>
        </is>
      </c>
      <c r="E4698" t="inlineStr">
        <is>
          <t>VÄSTERÅS</t>
        </is>
      </c>
      <c r="G4698" t="n">
        <v>1.1</v>
      </c>
      <c r="H4698" t="n">
        <v>0</v>
      </c>
      <c r="I4698" t="n">
        <v>0</v>
      </c>
      <c r="J4698" t="n">
        <v>0</v>
      </c>
      <c r="K4698" t="n">
        <v>0</v>
      </c>
      <c r="L4698" t="n">
        <v>0</v>
      </c>
      <c r="M4698" t="n">
        <v>0</v>
      </c>
      <c r="N4698" t="n">
        <v>0</v>
      </c>
      <c r="O4698" t="n">
        <v>0</v>
      </c>
      <c r="P4698" t="n">
        <v>0</v>
      </c>
      <c r="Q4698" t="n">
        <v>0</v>
      </c>
      <c r="R4698" s="2" t="inlineStr"/>
    </row>
    <row r="4699" ht="15" customHeight="1">
      <c r="A4699" t="inlineStr">
        <is>
          <t>A 50996-2024</t>
        </is>
      </c>
      <c r="B4699" s="1" t="n">
        <v>45603</v>
      </c>
      <c r="C4699" s="1" t="n">
        <v>45724</v>
      </c>
      <c r="D4699" t="inlineStr">
        <is>
          <t>VÄSTMANLANDS LÄN</t>
        </is>
      </c>
      <c r="E4699" t="inlineStr">
        <is>
          <t>VÄSTERÅS</t>
        </is>
      </c>
      <c r="G4699" t="n">
        <v>1</v>
      </c>
      <c r="H4699" t="n">
        <v>0</v>
      </c>
      <c r="I4699" t="n">
        <v>0</v>
      </c>
      <c r="J4699" t="n">
        <v>0</v>
      </c>
      <c r="K4699" t="n">
        <v>0</v>
      </c>
      <c r="L4699" t="n">
        <v>0</v>
      </c>
      <c r="M4699" t="n">
        <v>0</v>
      </c>
      <c r="N4699" t="n">
        <v>0</v>
      </c>
      <c r="O4699" t="n">
        <v>0</v>
      </c>
      <c r="P4699" t="n">
        <v>0</v>
      </c>
      <c r="Q4699" t="n">
        <v>0</v>
      </c>
      <c r="R4699" s="2" t="inlineStr"/>
    </row>
    <row r="4700" ht="15" customHeight="1">
      <c r="A4700" t="inlineStr">
        <is>
          <t>A 50984-2024</t>
        </is>
      </c>
      <c r="B4700" s="1" t="n">
        <v>45603</v>
      </c>
      <c r="C4700" s="1" t="n">
        <v>45724</v>
      </c>
      <c r="D4700" t="inlineStr">
        <is>
          <t>VÄSTMANLANDS LÄN</t>
        </is>
      </c>
      <c r="E4700" t="inlineStr">
        <is>
          <t>ARBOGA</t>
        </is>
      </c>
      <c r="G4700" t="n">
        <v>1.3</v>
      </c>
      <c r="H4700" t="n">
        <v>0</v>
      </c>
      <c r="I4700" t="n">
        <v>0</v>
      </c>
      <c r="J4700" t="n">
        <v>0</v>
      </c>
      <c r="K4700" t="n">
        <v>0</v>
      </c>
      <c r="L4700" t="n">
        <v>0</v>
      </c>
      <c r="M4700" t="n">
        <v>0</v>
      </c>
      <c r="N4700" t="n">
        <v>0</v>
      </c>
      <c r="O4700" t="n">
        <v>0</v>
      </c>
      <c r="P4700" t="n">
        <v>0</v>
      </c>
      <c r="Q4700" t="n">
        <v>0</v>
      </c>
      <c r="R4700" s="2" t="inlineStr"/>
    </row>
    <row r="4701" ht="15" customHeight="1">
      <c r="A4701" t="inlineStr">
        <is>
          <t>A 50987-2024</t>
        </is>
      </c>
      <c r="B4701" s="1" t="n">
        <v>45603</v>
      </c>
      <c r="C4701" s="1" t="n">
        <v>45724</v>
      </c>
      <c r="D4701" t="inlineStr">
        <is>
          <t>VÄSTMANLANDS LÄN</t>
        </is>
      </c>
      <c r="E4701" t="inlineStr">
        <is>
          <t>VÄSTERÅS</t>
        </is>
      </c>
      <c r="G4701" t="n">
        <v>0.9</v>
      </c>
      <c r="H4701" t="n">
        <v>0</v>
      </c>
      <c r="I4701" t="n">
        <v>0</v>
      </c>
      <c r="J4701" t="n">
        <v>0</v>
      </c>
      <c r="K4701" t="n">
        <v>0</v>
      </c>
      <c r="L4701" t="n">
        <v>0</v>
      </c>
      <c r="M4701" t="n">
        <v>0</v>
      </c>
      <c r="N4701" t="n">
        <v>0</v>
      </c>
      <c r="O4701" t="n">
        <v>0</v>
      </c>
      <c r="P4701" t="n">
        <v>0</v>
      </c>
      <c r="Q4701" t="n">
        <v>0</v>
      </c>
      <c r="R4701" s="2" t="inlineStr"/>
    </row>
    <row r="4702" ht="15" customHeight="1">
      <c r="A4702" t="inlineStr">
        <is>
          <t>A 51163-2024</t>
        </is>
      </c>
      <c r="B4702" s="1" t="n">
        <v>45603</v>
      </c>
      <c r="C4702" s="1" t="n">
        <v>45724</v>
      </c>
      <c r="D4702" t="inlineStr">
        <is>
          <t>VÄSTMANLANDS LÄN</t>
        </is>
      </c>
      <c r="E4702" t="inlineStr">
        <is>
          <t>KÖPING</t>
        </is>
      </c>
      <c r="G4702" t="n">
        <v>0.5</v>
      </c>
      <c r="H4702" t="n">
        <v>0</v>
      </c>
      <c r="I4702" t="n">
        <v>0</v>
      </c>
      <c r="J4702" t="n">
        <v>0</v>
      </c>
      <c r="K4702" t="n">
        <v>0</v>
      </c>
      <c r="L4702" t="n">
        <v>0</v>
      </c>
      <c r="M4702" t="n">
        <v>0</v>
      </c>
      <c r="N4702" t="n">
        <v>0</v>
      </c>
      <c r="O4702" t="n">
        <v>0</v>
      </c>
      <c r="P4702" t="n">
        <v>0</v>
      </c>
      <c r="Q4702" t="n">
        <v>0</v>
      </c>
      <c r="R4702" s="2" t="inlineStr"/>
    </row>
    <row r="4703" ht="15" customHeight="1">
      <c r="A4703" t="inlineStr">
        <is>
          <t>A 50993-2024</t>
        </is>
      </c>
      <c r="B4703" s="1" t="n">
        <v>45603</v>
      </c>
      <c r="C4703" s="1" t="n">
        <v>45724</v>
      </c>
      <c r="D4703" t="inlineStr">
        <is>
          <t>VÄSTMANLANDS LÄN</t>
        </is>
      </c>
      <c r="E4703" t="inlineStr">
        <is>
          <t>VÄSTERÅS</t>
        </is>
      </c>
      <c r="G4703" t="n">
        <v>1.7</v>
      </c>
      <c r="H4703" t="n">
        <v>0</v>
      </c>
      <c r="I4703" t="n">
        <v>0</v>
      </c>
      <c r="J4703" t="n">
        <v>0</v>
      </c>
      <c r="K4703" t="n">
        <v>0</v>
      </c>
      <c r="L4703" t="n">
        <v>0</v>
      </c>
      <c r="M4703" t="n">
        <v>0</v>
      </c>
      <c r="N4703" t="n">
        <v>0</v>
      </c>
      <c r="O4703" t="n">
        <v>0</v>
      </c>
      <c r="P4703" t="n">
        <v>0</v>
      </c>
      <c r="Q4703" t="n">
        <v>0</v>
      </c>
      <c r="R4703" s="2" t="inlineStr"/>
    </row>
    <row r="4704" ht="15" customHeight="1">
      <c r="A4704" t="inlineStr">
        <is>
          <t>A 51156-2024</t>
        </is>
      </c>
      <c r="B4704" s="1" t="n">
        <v>45603</v>
      </c>
      <c r="C4704" s="1" t="n">
        <v>45724</v>
      </c>
      <c r="D4704" t="inlineStr">
        <is>
          <t>VÄSTMANLANDS LÄN</t>
        </is>
      </c>
      <c r="E4704" t="inlineStr">
        <is>
          <t>KÖPING</t>
        </is>
      </c>
      <c r="G4704" t="n">
        <v>2.5</v>
      </c>
      <c r="H4704" t="n">
        <v>0</v>
      </c>
      <c r="I4704" t="n">
        <v>0</v>
      </c>
      <c r="J4704" t="n">
        <v>0</v>
      </c>
      <c r="K4704" t="n">
        <v>0</v>
      </c>
      <c r="L4704" t="n">
        <v>0</v>
      </c>
      <c r="M4704" t="n">
        <v>0</v>
      </c>
      <c r="N4704" t="n">
        <v>0</v>
      </c>
      <c r="O4704" t="n">
        <v>0</v>
      </c>
      <c r="P4704" t="n">
        <v>0</v>
      </c>
      <c r="Q4704" t="n">
        <v>0</v>
      </c>
      <c r="R4704" s="2" t="inlineStr"/>
    </row>
    <row r="4705" ht="15" customHeight="1">
      <c r="A4705" t="inlineStr">
        <is>
          <t>A 50998-2024</t>
        </is>
      </c>
      <c r="B4705" s="1" t="n">
        <v>45603</v>
      </c>
      <c r="C4705" s="1" t="n">
        <v>45724</v>
      </c>
      <c r="D4705" t="inlineStr">
        <is>
          <t>VÄSTMANLANDS LÄN</t>
        </is>
      </c>
      <c r="E4705" t="inlineStr">
        <is>
          <t>VÄSTERÅS</t>
        </is>
      </c>
      <c r="G4705" t="n">
        <v>3.7</v>
      </c>
      <c r="H4705" t="n">
        <v>0</v>
      </c>
      <c r="I4705" t="n">
        <v>0</v>
      </c>
      <c r="J4705" t="n">
        <v>0</v>
      </c>
      <c r="K4705" t="n">
        <v>0</v>
      </c>
      <c r="L4705" t="n">
        <v>0</v>
      </c>
      <c r="M4705" t="n">
        <v>0</v>
      </c>
      <c r="N4705" t="n">
        <v>0</v>
      </c>
      <c r="O4705" t="n">
        <v>0</v>
      </c>
      <c r="P4705" t="n">
        <v>0</v>
      </c>
      <c r="Q4705" t="n">
        <v>0</v>
      </c>
      <c r="R4705" s="2" t="inlineStr"/>
    </row>
    <row r="4706" ht="15" customHeight="1">
      <c r="A4706" t="inlineStr">
        <is>
          <t>A 51136-2024</t>
        </is>
      </c>
      <c r="B4706" s="1" t="n">
        <v>45603</v>
      </c>
      <c r="C4706" s="1" t="n">
        <v>45724</v>
      </c>
      <c r="D4706" t="inlineStr">
        <is>
          <t>VÄSTMANLANDS LÄN</t>
        </is>
      </c>
      <c r="E4706" t="inlineStr">
        <is>
          <t>KÖPING</t>
        </is>
      </c>
      <c r="G4706" t="n">
        <v>2</v>
      </c>
      <c r="H4706" t="n">
        <v>0</v>
      </c>
      <c r="I4706" t="n">
        <v>0</v>
      </c>
      <c r="J4706" t="n">
        <v>0</v>
      </c>
      <c r="K4706" t="n">
        <v>0</v>
      </c>
      <c r="L4706" t="n">
        <v>0</v>
      </c>
      <c r="M4706" t="n">
        <v>0</v>
      </c>
      <c r="N4706" t="n">
        <v>0</v>
      </c>
      <c r="O4706" t="n">
        <v>0</v>
      </c>
      <c r="P4706" t="n">
        <v>0</v>
      </c>
      <c r="Q4706" t="n">
        <v>0</v>
      </c>
      <c r="R4706" s="2" t="inlineStr"/>
    </row>
    <row r="4707" ht="15" customHeight="1">
      <c r="A4707" t="inlineStr">
        <is>
          <t>A 51120-2024</t>
        </is>
      </c>
      <c r="B4707" s="1" t="n">
        <v>45603</v>
      </c>
      <c r="C4707" s="1" t="n">
        <v>45724</v>
      </c>
      <c r="D4707" t="inlineStr">
        <is>
          <t>VÄSTMANLANDS LÄN</t>
        </is>
      </c>
      <c r="E4707" t="inlineStr">
        <is>
          <t>NORBERG</t>
        </is>
      </c>
      <c r="F4707" t="inlineStr">
        <is>
          <t>Sveaskog</t>
        </is>
      </c>
      <c r="G4707" t="n">
        <v>10.2</v>
      </c>
      <c r="H4707" t="n">
        <v>0</v>
      </c>
      <c r="I4707" t="n">
        <v>0</v>
      </c>
      <c r="J4707" t="n">
        <v>0</v>
      </c>
      <c r="K4707" t="n">
        <v>0</v>
      </c>
      <c r="L4707" t="n">
        <v>0</v>
      </c>
      <c r="M4707" t="n">
        <v>0</v>
      </c>
      <c r="N4707" t="n">
        <v>0</v>
      </c>
      <c r="O4707" t="n">
        <v>0</v>
      </c>
      <c r="P4707" t="n">
        <v>0</v>
      </c>
      <c r="Q4707" t="n">
        <v>0</v>
      </c>
      <c r="R4707" s="2" t="inlineStr"/>
    </row>
    <row r="4708" ht="15" customHeight="1">
      <c r="A4708" t="inlineStr">
        <is>
          <t>A 51113-2024</t>
        </is>
      </c>
      <c r="B4708" s="1" t="n">
        <v>45603</v>
      </c>
      <c r="C4708" s="1" t="n">
        <v>45724</v>
      </c>
      <c r="D4708" t="inlineStr">
        <is>
          <t>VÄSTMANLANDS LÄN</t>
        </is>
      </c>
      <c r="E4708" t="inlineStr">
        <is>
          <t>NORBERG</t>
        </is>
      </c>
      <c r="F4708" t="inlineStr">
        <is>
          <t>Sveaskog</t>
        </is>
      </c>
      <c r="G4708" t="n">
        <v>14.4</v>
      </c>
      <c r="H4708" t="n">
        <v>0</v>
      </c>
      <c r="I4708" t="n">
        <v>0</v>
      </c>
      <c r="J4708" t="n">
        <v>0</v>
      </c>
      <c r="K4708" t="n">
        <v>0</v>
      </c>
      <c r="L4708" t="n">
        <v>0</v>
      </c>
      <c r="M4708" t="n">
        <v>0</v>
      </c>
      <c r="N4708" t="n">
        <v>0</v>
      </c>
      <c r="O4708" t="n">
        <v>0</v>
      </c>
      <c r="P4708" t="n">
        <v>0</v>
      </c>
      <c r="Q4708" t="n">
        <v>0</v>
      </c>
      <c r="R4708" s="2" t="inlineStr"/>
    </row>
    <row r="4709" ht="15" customHeight="1">
      <c r="A4709" t="inlineStr">
        <is>
          <t>A 51096-2024</t>
        </is>
      </c>
      <c r="B4709" s="1" t="n">
        <v>45603</v>
      </c>
      <c r="C4709" s="1" t="n">
        <v>45724</v>
      </c>
      <c r="D4709" t="inlineStr">
        <is>
          <t>VÄSTMANLANDS LÄN</t>
        </is>
      </c>
      <c r="E4709" t="inlineStr">
        <is>
          <t>KUNGSÖR</t>
        </is>
      </c>
      <c r="G4709" t="n">
        <v>1.3</v>
      </c>
      <c r="H4709" t="n">
        <v>0</v>
      </c>
      <c r="I4709" t="n">
        <v>0</v>
      </c>
      <c r="J4709" t="n">
        <v>0</v>
      </c>
      <c r="K4709" t="n">
        <v>0</v>
      </c>
      <c r="L4709" t="n">
        <v>0</v>
      </c>
      <c r="M4709" t="n">
        <v>0</v>
      </c>
      <c r="N4709" t="n">
        <v>0</v>
      </c>
      <c r="O4709" t="n">
        <v>0</v>
      </c>
      <c r="P4709" t="n">
        <v>0</v>
      </c>
      <c r="Q4709" t="n">
        <v>0</v>
      </c>
      <c r="R4709" s="2" t="inlineStr"/>
    </row>
    <row r="4710" ht="15" customHeight="1">
      <c r="A4710" t="inlineStr">
        <is>
          <t>A 51464-2024</t>
        </is>
      </c>
      <c r="B4710" s="1" t="n">
        <v>45604</v>
      </c>
      <c r="C4710" s="1" t="n">
        <v>45724</v>
      </c>
      <c r="D4710" t="inlineStr">
        <is>
          <t>VÄSTMANLANDS LÄN</t>
        </is>
      </c>
      <c r="E4710" t="inlineStr">
        <is>
          <t>SALA</t>
        </is>
      </c>
      <c r="G4710" t="n">
        <v>3.9</v>
      </c>
      <c r="H4710" t="n">
        <v>0</v>
      </c>
      <c r="I4710" t="n">
        <v>0</v>
      </c>
      <c r="J4710" t="n">
        <v>0</v>
      </c>
      <c r="K4710" t="n">
        <v>0</v>
      </c>
      <c r="L4710" t="n">
        <v>0</v>
      </c>
      <c r="M4710" t="n">
        <v>0</v>
      </c>
      <c r="N4710" t="n">
        <v>0</v>
      </c>
      <c r="O4710" t="n">
        <v>0</v>
      </c>
      <c r="P4710" t="n">
        <v>0</v>
      </c>
      <c r="Q4710" t="n">
        <v>0</v>
      </c>
      <c r="R4710" s="2" t="inlineStr"/>
    </row>
    <row r="4711" ht="15" customHeight="1">
      <c r="A4711" t="inlineStr">
        <is>
          <t>A 51472-2024</t>
        </is>
      </c>
      <c r="B4711" s="1" t="n">
        <v>45604</v>
      </c>
      <c r="C4711" s="1" t="n">
        <v>45724</v>
      </c>
      <c r="D4711" t="inlineStr">
        <is>
          <t>VÄSTMANLANDS LÄN</t>
        </is>
      </c>
      <c r="E4711" t="inlineStr">
        <is>
          <t>SKINNSKATTEBERG</t>
        </is>
      </c>
      <c r="F4711" t="inlineStr">
        <is>
          <t>Sveaskog</t>
        </is>
      </c>
      <c r="G4711" t="n">
        <v>1.2</v>
      </c>
      <c r="H4711" t="n">
        <v>0</v>
      </c>
      <c r="I4711" t="n">
        <v>0</v>
      </c>
      <c r="J4711" t="n">
        <v>0</v>
      </c>
      <c r="K4711" t="n">
        <v>0</v>
      </c>
      <c r="L4711" t="n">
        <v>0</v>
      </c>
      <c r="M4711" t="n">
        <v>0</v>
      </c>
      <c r="N4711" t="n">
        <v>0</v>
      </c>
      <c r="O4711" t="n">
        <v>0</v>
      </c>
      <c r="P4711" t="n">
        <v>0</v>
      </c>
      <c r="Q4711" t="n">
        <v>0</v>
      </c>
      <c r="R4711" s="2" t="inlineStr"/>
    </row>
    <row r="4712" ht="15" customHeight="1">
      <c r="A4712" t="inlineStr">
        <is>
          <t>A 51467-2024</t>
        </is>
      </c>
      <c r="B4712" s="1" t="n">
        <v>45604</v>
      </c>
      <c r="C4712" s="1" t="n">
        <v>45724</v>
      </c>
      <c r="D4712" t="inlineStr">
        <is>
          <t>VÄSTMANLANDS LÄN</t>
        </is>
      </c>
      <c r="E4712" t="inlineStr">
        <is>
          <t>FAGERSTA</t>
        </is>
      </c>
      <c r="F4712" t="inlineStr">
        <is>
          <t>Sveaskog</t>
        </is>
      </c>
      <c r="G4712" t="n">
        <v>2</v>
      </c>
      <c r="H4712" t="n">
        <v>0</v>
      </c>
      <c r="I4712" t="n">
        <v>0</v>
      </c>
      <c r="J4712" t="n">
        <v>0</v>
      </c>
      <c r="K4712" t="n">
        <v>0</v>
      </c>
      <c r="L4712" t="n">
        <v>0</v>
      </c>
      <c r="M4712" t="n">
        <v>0</v>
      </c>
      <c r="N4712" t="n">
        <v>0</v>
      </c>
      <c r="O4712" t="n">
        <v>0</v>
      </c>
      <c r="P4712" t="n">
        <v>0</v>
      </c>
      <c r="Q4712" t="n">
        <v>0</v>
      </c>
      <c r="R4712" s="2" t="inlineStr"/>
    </row>
    <row r="4713" ht="15" customHeight="1">
      <c r="A4713" t="inlineStr">
        <is>
          <t>A 51475-2024</t>
        </is>
      </c>
      <c r="B4713" s="1" t="n">
        <v>45604</v>
      </c>
      <c r="C4713" s="1" t="n">
        <v>45724</v>
      </c>
      <c r="D4713" t="inlineStr">
        <is>
          <t>VÄSTMANLANDS LÄN</t>
        </is>
      </c>
      <c r="E4713" t="inlineStr">
        <is>
          <t>SKINNSKATTEBERG</t>
        </is>
      </c>
      <c r="F4713" t="inlineStr">
        <is>
          <t>Sveaskog</t>
        </is>
      </c>
      <c r="G4713" t="n">
        <v>3.3</v>
      </c>
      <c r="H4713" t="n">
        <v>0</v>
      </c>
      <c r="I4713" t="n">
        <v>0</v>
      </c>
      <c r="J4713" t="n">
        <v>0</v>
      </c>
      <c r="K4713" t="n">
        <v>0</v>
      </c>
      <c r="L4713" t="n">
        <v>0</v>
      </c>
      <c r="M4713" t="n">
        <v>0</v>
      </c>
      <c r="N4713" t="n">
        <v>0</v>
      </c>
      <c r="O4713" t="n">
        <v>0</v>
      </c>
      <c r="P4713" t="n">
        <v>0</v>
      </c>
      <c r="Q4713" t="n">
        <v>0</v>
      </c>
      <c r="R4713" s="2" t="inlineStr"/>
    </row>
    <row r="4714" ht="15" customHeight="1">
      <c r="A4714" t="inlineStr">
        <is>
          <t>A 51936-2024</t>
        </is>
      </c>
      <c r="B4714" s="1" t="n">
        <v>45607</v>
      </c>
      <c r="C4714" s="1" t="n">
        <v>45724</v>
      </c>
      <c r="D4714" t="inlineStr">
        <is>
          <t>VÄSTMANLANDS LÄN</t>
        </is>
      </c>
      <c r="E4714" t="inlineStr">
        <is>
          <t>VÄSTERÅS</t>
        </is>
      </c>
      <c r="G4714" t="n">
        <v>8.9</v>
      </c>
      <c r="H4714" t="n">
        <v>0</v>
      </c>
      <c r="I4714" t="n">
        <v>0</v>
      </c>
      <c r="J4714" t="n">
        <v>0</v>
      </c>
      <c r="K4714" t="n">
        <v>0</v>
      </c>
      <c r="L4714" t="n">
        <v>0</v>
      </c>
      <c r="M4714" t="n">
        <v>0</v>
      </c>
      <c r="N4714" t="n">
        <v>0</v>
      </c>
      <c r="O4714" t="n">
        <v>0</v>
      </c>
      <c r="P4714" t="n">
        <v>0</v>
      </c>
      <c r="Q4714" t="n">
        <v>0</v>
      </c>
      <c r="R4714" s="2" t="inlineStr"/>
    </row>
    <row r="4715" ht="15" customHeight="1">
      <c r="A4715" t="inlineStr">
        <is>
          <t>A 51951-2024</t>
        </is>
      </c>
      <c r="B4715" s="1" t="n">
        <v>45607</v>
      </c>
      <c r="C4715" s="1" t="n">
        <v>45724</v>
      </c>
      <c r="D4715" t="inlineStr">
        <is>
          <t>VÄSTMANLANDS LÄN</t>
        </is>
      </c>
      <c r="E4715" t="inlineStr">
        <is>
          <t>ARBOGA</t>
        </is>
      </c>
      <c r="F4715" t="inlineStr">
        <is>
          <t>Sveaskog</t>
        </is>
      </c>
      <c r="G4715" t="n">
        <v>3.1</v>
      </c>
      <c r="H4715" t="n">
        <v>0</v>
      </c>
      <c r="I4715" t="n">
        <v>0</v>
      </c>
      <c r="J4715" t="n">
        <v>0</v>
      </c>
      <c r="K4715" t="n">
        <v>0</v>
      </c>
      <c r="L4715" t="n">
        <v>0</v>
      </c>
      <c r="M4715" t="n">
        <v>0</v>
      </c>
      <c r="N4715" t="n">
        <v>0</v>
      </c>
      <c r="O4715" t="n">
        <v>0</v>
      </c>
      <c r="P4715" t="n">
        <v>0</v>
      </c>
      <c r="Q4715" t="n">
        <v>0</v>
      </c>
      <c r="R4715" s="2" t="inlineStr"/>
    </row>
    <row r="4716" ht="15" customHeight="1">
      <c r="A4716" t="inlineStr">
        <is>
          <t>A 51798-2024</t>
        </is>
      </c>
      <c r="B4716" s="1" t="n">
        <v>45607</v>
      </c>
      <c r="C4716" s="1" t="n">
        <v>45724</v>
      </c>
      <c r="D4716" t="inlineStr">
        <is>
          <t>VÄSTMANLANDS LÄN</t>
        </is>
      </c>
      <c r="E4716" t="inlineStr">
        <is>
          <t>NORBERG</t>
        </is>
      </c>
      <c r="G4716" t="n">
        <v>0.2</v>
      </c>
      <c r="H4716" t="n">
        <v>0</v>
      </c>
      <c r="I4716" t="n">
        <v>0</v>
      </c>
      <c r="J4716" t="n">
        <v>0</v>
      </c>
      <c r="K4716" t="n">
        <v>0</v>
      </c>
      <c r="L4716" t="n">
        <v>0</v>
      </c>
      <c r="M4716" t="n">
        <v>0</v>
      </c>
      <c r="N4716" t="n">
        <v>0</v>
      </c>
      <c r="O4716" t="n">
        <v>0</v>
      </c>
      <c r="P4716" t="n">
        <v>0</v>
      </c>
      <c r="Q4716" t="n">
        <v>0</v>
      </c>
      <c r="R4716" s="2" t="inlineStr"/>
    </row>
    <row r="4717" ht="15" customHeight="1">
      <c r="A4717" t="inlineStr">
        <is>
          <t>A 51950-2024</t>
        </is>
      </c>
      <c r="B4717" s="1" t="n">
        <v>45607</v>
      </c>
      <c r="C4717" s="1" t="n">
        <v>45724</v>
      </c>
      <c r="D4717" t="inlineStr">
        <is>
          <t>VÄSTMANLANDS LÄN</t>
        </is>
      </c>
      <c r="E4717" t="inlineStr">
        <is>
          <t>VÄSTERÅS</t>
        </is>
      </c>
      <c r="G4717" t="n">
        <v>7.4</v>
      </c>
      <c r="H4717" t="n">
        <v>0</v>
      </c>
      <c r="I4717" t="n">
        <v>0</v>
      </c>
      <c r="J4717" t="n">
        <v>0</v>
      </c>
      <c r="K4717" t="n">
        <v>0</v>
      </c>
      <c r="L4717" t="n">
        <v>0</v>
      </c>
      <c r="M4717" t="n">
        <v>0</v>
      </c>
      <c r="N4717" t="n">
        <v>0</v>
      </c>
      <c r="O4717" t="n">
        <v>0</v>
      </c>
      <c r="P4717" t="n">
        <v>0</v>
      </c>
      <c r="Q4717" t="n">
        <v>0</v>
      </c>
      <c r="R4717" s="2" t="inlineStr"/>
    </row>
    <row r="4718" ht="15" customHeight="1">
      <c r="A4718" t="inlineStr">
        <is>
          <t>A 51954-2024</t>
        </is>
      </c>
      <c r="B4718" s="1" t="n">
        <v>45607</v>
      </c>
      <c r="C4718" s="1" t="n">
        <v>45724</v>
      </c>
      <c r="D4718" t="inlineStr">
        <is>
          <t>VÄSTMANLANDS LÄN</t>
        </is>
      </c>
      <c r="E4718" t="inlineStr">
        <is>
          <t>ARBOGA</t>
        </is>
      </c>
      <c r="F4718" t="inlineStr">
        <is>
          <t>Sveaskog</t>
        </is>
      </c>
      <c r="G4718" t="n">
        <v>3.8</v>
      </c>
      <c r="H4718" t="n">
        <v>0</v>
      </c>
      <c r="I4718" t="n">
        <v>0</v>
      </c>
      <c r="J4718" t="n">
        <v>0</v>
      </c>
      <c r="K4718" t="n">
        <v>0</v>
      </c>
      <c r="L4718" t="n">
        <v>0</v>
      </c>
      <c r="M4718" t="n">
        <v>0</v>
      </c>
      <c r="N4718" t="n">
        <v>0</v>
      </c>
      <c r="O4718" t="n">
        <v>0</v>
      </c>
      <c r="P4718" t="n">
        <v>0</v>
      </c>
      <c r="Q4718" t="n">
        <v>0</v>
      </c>
      <c r="R4718" s="2" t="inlineStr"/>
    </row>
    <row r="4719" ht="15" customHeight="1">
      <c r="A4719" t="inlineStr">
        <is>
          <t>A 52015-2024</t>
        </is>
      </c>
      <c r="B4719" s="1" t="n">
        <v>45607</v>
      </c>
      <c r="C4719" s="1" t="n">
        <v>45724</v>
      </c>
      <c r="D4719" t="inlineStr">
        <is>
          <t>VÄSTMANLANDS LÄN</t>
        </is>
      </c>
      <c r="E4719" t="inlineStr">
        <is>
          <t>VÄSTERÅS</t>
        </is>
      </c>
      <c r="G4719" t="n">
        <v>1.4</v>
      </c>
      <c r="H4719" t="n">
        <v>0</v>
      </c>
      <c r="I4719" t="n">
        <v>0</v>
      </c>
      <c r="J4719" t="n">
        <v>0</v>
      </c>
      <c r="K4719" t="n">
        <v>0</v>
      </c>
      <c r="L4719" t="n">
        <v>0</v>
      </c>
      <c r="M4719" t="n">
        <v>0</v>
      </c>
      <c r="N4719" t="n">
        <v>0</v>
      </c>
      <c r="O4719" t="n">
        <v>0</v>
      </c>
      <c r="P4719" t="n">
        <v>0</v>
      </c>
      <c r="Q4719" t="n">
        <v>0</v>
      </c>
      <c r="R4719" s="2" t="inlineStr"/>
    </row>
    <row r="4720" ht="15" customHeight="1">
      <c r="A4720" t="inlineStr">
        <is>
          <t>A 51775-2024</t>
        </is>
      </c>
      <c r="B4720" s="1" t="n">
        <v>45607</v>
      </c>
      <c r="C4720" s="1" t="n">
        <v>45724</v>
      </c>
      <c r="D4720" t="inlineStr">
        <is>
          <t>VÄSTMANLANDS LÄN</t>
        </is>
      </c>
      <c r="E4720" t="inlineStr">
        <is>
          <t>SALA</t>
        </is>
      </c>
      <c r="F4720" t="inlineStr">
        <is>
          <t>Övriga Aktiebolag</t>
        </is>
      </c>
      <c r="G4720" t="n">
        <v>7</v>
      </c>
      <c r="H4720" t="n">
        <v>0</v>
      </c>
      <c r="I4720" t="n">
        <v>0</v>
      </c>
      <c r="J4720" t="n">
        <v>0</v>
      </c>
      <c r="K4720" t="n">
        <v>0</v>
      </c>
      <c r="L4720" t="n">
        <v>0</v>
      </c>
      <c r="M4720" t="n">
        <v>0</v>
      </c>
      <c r="N4720" t="n">
        <v>0</v>
      </c>
      <c r="O4720" t="n">
        <v>0</v>
      </c>
      <c r="P4720" t="n">
        <v>0</v>
      </c>
      <c r="Q4720" t="n">
        <v>0</v>
      </c>
      <c r="R4720" s="2" t="inlineStr"/>
    </row>
    <row r="4721" ht="15" customHeight="1">
      <c r="A4721" t="inlineStr">
        <is>
          <t>A 51791-2024</t>
        </is>
      </c>
      <c r="B4721" s="1" t="n">
        <v>45607</v>
      </c>
      <c r="C4721" s="1" t="n">
        <v>45724</v>
      </c>
      <c r="D4721" t="inlineStr">
        <is>
          <t>VÄSTMANLANDS LÄN</t>
        </is>
      </c>
      <c r="E4721" t="inlineStr">
        <is>
          <t>NORBERG</t>
        </is>
      </c>
      <c r="F4721" t="inlineStr">
        <is>
          <t>Övriga Aktiebolag</t>
        </is>
      </c>
      <c r="G4721" t="n">
        <v>4.2</v>
      </c>
      <c r="H4721" t="n">
        <v>0</v>
      </c>
      <c r="I4721" t="n">
        <v>0</v>
      </c>
      <c r="J4721" t="n">
        <v>0</v>
      </c>
      <c r="K4721" t="n">
        <v>0</v>
      </c>
      <c r="L4721" t="n">
        <v>0</v>
      </c>
      <c r="M4721" t="n">
        <v>0</v>
      </c>
      <c r="N4721" t="n">
        <v>0</v>
      </c>
      <c r="O4721" t="n">
        <v>0</v>
      </c>
      <c r="P4721" t="n">
        <v>0</v>
      </c>
      <c r="Q4721" t="n">
        <v>0</v>
      </c>
      <c r="R4721" s="2" t="inlineStr"/>
    </row>
    <row r="4722" ht="15" customHeight="1">
      <c r="A4722" t="inlineStr">
        <is>
          <t>A 51937-2024</t>
        </is>
      </c>
      <c r="B4722" s="1" t="n">
        <v>45607</v>
      </c>
      <c r="C4722" s="1" t="n">
        <v>45724</v>
      </c>
      <c r="D4722" t="inlineStr">
        <is>
          <t>VÄSTMANLANDS LÄN</t>
        </is>
      </c>
      <c r="E4722" t="inlineStr">
        <is>
          <t>ARBOGA</t>
        </is>
      </c>
      <c r="F4722" t="inlineStr">
        <is>
          <t>Sveaskog</t>
        </is>
      </c>
      <c r="G4722" t="n">
        <v>1.9</v>
      </c>
      <c r="H4722" t="n">
        <v>0</v>
      </c>
      <c r="I4722" t="n">
        <v>0</v>
      </c>
      <c r="J4722" t="n">
        <v>0</v>
      </c>
      <c r="K4722" t="n">
        <v>0</v>
      </c>
      <c r="L4722" t="n">
        <v>0</v>
      </c>
      <c r="M4722" t="n">
        <v>0</v>
      </c>
      <c r="N4722" t="n">
        <v>0</v>
      </c>
      <c r="O4722" t="n">
        <v>0</v>
      </c>
      <c r="P4722" t="n">
        <v>0</v>
      </c>
      <c r="Q4722" t="n">
        <v>0</v>
      </c>
      <c r="R4722" s="2" t="inlineStr"/>
    </row>
    <row r="4723" ht="15" customHeight="1">
      <c r="A4723" t="inlineStr">
        <is>
          <t>A 51969-2024</t>
        </is>
      </c>
      <c r="B4723" s="1" t="n">
        <v>45607</v>
      </c>
      <c r="C4723" s="1" t="n">
        <v>45724</v>
      </c>
      <c r="D4723" t="inlineStr">
        <is>
          <t>VÄSTMANLANDS LÄN</t>
        </is>
      </c>
      <c r="E4723" t="inlineStr">
        <is>
          <t>FAGERSTA</t>
        </is>
      </c>
      <c r="F4723" t="inlineStr">
        <is>
          <t>Sveaskog</t>
        </is>
      </c>
      <c r="G4723" t="n">
        <v>1.5</v>
      </c>
      <c r="H4723" t="n">
        <v>0</v>
      </c>
      <c r="I4723" t="n">
        <v>0</v>
      </c>
      <c r="J4723" t="n">
        <v>0</v>
      </c>
      <c r="K4723" t="n">
        <v>0</v>
      </c>
      <c r="L4723" t="n">
        <v>0</v>
      </c>
      <c r="M4723" t="n">
        <v>0</v>
      </c>
      <c r="N4723" t="n">
        <v>0</v>
      </c>
      <c r="O4723" t="n">
        <v>0</v>
      </c>
      <c r="P4723" t="n">
        <v>0</v>
      </c>
      <c r="Q4723" t="n">
        <v>0</v>
      </c>
      <c r="R4723" s="2" t="inlineStr"/>
    </row>
    <row r="4724" ht="15" customHeight="1">
      <c r="A4724" t="inlineStr">
        <is>
          <t>A 51790-2024</t>
        </is>
      </c>
      <c r="B4724" s="1" t="n">
        <v>45607</v>
      </c>
      <c r="C4724" s="1" t="n">
        <v>45724</v>
      </c>
      <c r="D4724" t="inlineStr">
        <is>
          <t>VÄSTMANLANDS LÄN</t>
        </is>
      </c>
      <c r="E4724" t="inlineStr">
        <is>
          <t>NORBERG</t>
        </is>
      </c>
      <c r="G4724" t="n">
        <v>0.1</v>
      </c>
      <c r="H4724" t="n">
        <v>0</v>
      </c>
      <c r="I4724" t="n">
        <v>0</v>
      </c>
      <c r="J4724" t="n">
        <v>0</v>
      </c>
      <c r="K4724" t="n">
        <v>0</v>
      </c>
      <c r="L4724" t="n">
        <v>0</v>
      </c>
      <c r="M4724" t="n">
        <v>0</v>
      </c>
      <c r="N4724" t="n">
        <v>0</v>
      </c>
      <c r="O4724" t="n">
        <v>0</v>
      </c>
      <c r="P4724" t="n">
        <v>0</v>
      </c>
      <c r="Q4724" t="n">
        <v>0</v>
      </c>
      <c r="R4724" s="2" t="inlineStr"/>
    </row>
    <row r="4725" ht="15" customHeight="1">
      <c r="A4725" t="inlineStr">
        <is>
          <t>A 51793-2024</t>
        </is>
      </c>
      <c r="B4725" s="1" t="n">
        <v>45607</v>
      </c>
      <c r="C4725" s="1" t="n">
        <v>45724</v>
      </c>
      <c r="D4725" t="inlineStr">
        <is>
          <t>VÄSTMANLANDS LÄN</t>
        </is>
      </c>
      <c r="E4725" t="inlineStr">
        <is>
          <t>NORBERG</t>
        </is>
      </c>
      <c r="G4725" t="n">
        <v>0.1</v>
      </c>
      <c r="H4725" t="n">
        <v>0</v>
      </c>
      <c r="I4725" t="n">
        <v>0</v>
      </c>
      <c r="J4725" t="n">
        <v>0</v>
      </c>
      <c r="K4725" t="n">
        <v>0</v>
      </c>
      <c r="L4725" t="n">
        <v>0</v>
      </c>
      <c r="M4725" t="n">
        <v>0</v>
      </c>
      <c r="N4725" t="n">
        <v>0</v>
      </c>
      <c r="O4725" t="n">
        <v>0</v>
      </c>
      <c r="P4725" t="n">
        <v>0</v>
      </c>
      <c r="Q4725" t="n">
        <v>0</v>
      </c>
      <c r="R4725" s="2" t="inlineStr"/>
    </row>
    <row r="4726" ht="15" customHeight="1">
      <c r="A4726" t="inlineStr">
        <is>
          <t>A 51778-2024</t>
        </is>
      </c>
      <c r="B4726" s="1" t="n">
        <v>45607</v>
      </c>
      <c r="C4726" s="1" t="n">
        <v>45724</v>
      </c>
      <c r="D4726" t="inlineStr">
        <is>
          <t>VÄSTMANLANDS LÄN</t>
        </is>
      </c>
      <c r="E4726" t="inlineStr">
        <is>
          <t>NORBERG</t>
        </is>
      </c>
      <c r="G4726" t="n">
        <v>0.8</v>
      </c>
      <c r="H4726" t="n">
        <v>0</v>
      </c>
      <c r="I4726" t="n">
        <v>0</v>
      </c>
      <c r="J4726" t="n">
        <v>0</v>
      </c>
      <c r="K4726" t="n">
        <v>0</v>
      </c>
      <c r="L4726" t="n">
        <v>0</v>
      </c>
      <c r="M4726" t="n">
        <v>0</v>
      </c>
      <c r="N4726" t="n">
        <v>0</v>
      </c>
      <c r="O4726" t="n">
        <v>0</v>
      </c>
      <c r="P4726" t="n">
        <v>0</v>
      </c>
      <c r="Q4726" t="n">
        <v>0</v>
      </c>
      <c r="R4726" s="2" t="inlineStr"/>
    </row>
    <row r="4727" ht="15" customHeight="1">
      <c r="A4727" t="inlineStr">
        <is>
          <t>A 52177-2024</t>
        </is>
      </c>
      <c r="B4727" s="1" t="n">
        <v>45608</v>
      </c>
      <c r="C4727" s="1" t="n">
        <v>45724</v>
      </c>
      <c r="D4727" t="inlineStr">
        <is>
          <t>VÄSTMANLANDS LÄN</t>
        </is>
      </c>
      <c r="E4727" t="inlineStr">
        <is>
          <t>SALA</t>
        </is>
      </c>
      <c r="F4727" t="inlineStr">
        <is>
          <t>Naturvårdsverket</t>
        </is>
      </c>
      <c r="G4727" t="n">
        <v>7.1</v>
      </c>
      <c r="H4727" t="n">
        <v>0</v>
      </c>
      <c r="I4727" t="n">
        <v>0</v>
      </c>
      <c r="J4727" t="n">
        <v>0</v>
      </c>
      <c r="K4727" t="n">
        <v>0</v>
      </c>
      <c r="L4727" t="n">
        <v>0</v>
      </c>
      <c r="M4727" t="n">
        <v>0</v>
      </c>
      <c r="N4727" t="n">
        <v>0</v>
      </c>
      <c r="O4727" t="n">
        <v>0</v>
      </c>
      <c r="P4727" t="n">
        <v>0</v>
      </c>
      <c r="Q4727" t="n">
        <v>0</v>
      </c>
      <c r="R4727" s="2" t="inlineStr"/>
    </row>
    <row r="4728" ht="15" customHeight="1">
      <c r="A4728" t="inlineStr">
        <is>
          <t>A 52433-2024</t>
        </is>
      </c>
      <c r="B4728" s="1" t="n">
        <v>45608</v>
      </c>
      <c r="C4728" s="1" t="n">
        <v>45724</v>
      </c>
      <c r="D4728" t="inlineStr">
        <is>
          <t>VÄSTMANLANDS LÄN</t>
        </is>
      </c>
      <c r="E4728" t="inlineStr">
        <is>
          <t>ARBOGA</t>
        </is>
      </c>
      <c r="G4728" t="n">
        <v>1.4</v>
      </c>
      <c r="H4728" t="n">
        <v>0</v>
      </c>
      <c r="I4728" t="n">
        <v>0</v>
      </c>
      <c r="J4728" t="n">
        <v>0</v>
      </c>
      <c r="K4728" t="n">
        <v>0</v>
      </c>
      <c r="L4728" t="n">
        <v>0</v>
      </c>
      <c r="M4728" t="n">
        <v>0</v>
      </c>
      <c r="N4728" t="n">
        <v>0</v>
      </c>
      <c r="O4728" t="n">
        <v>0</v>
      </c>
      <c r="P4728" t="n">
        <v>0</v>
      </c>
      <c r="Q4728" t="n">
        <v>0</v>
      </c>
      <c r="R4728" s="2" t="inlineStr"/>
    </row>
    <row r="4729" ht="15" customHeight="1">
      <c r="A4729" t="inlineStr">
        <is>
          <t>A 52080-2024</t>
        </is>
      </c>
      <c r="B4729" s="1" t="n">
        <v>45608</v>
      </c>
      <c r="C4729" s="1" t="n">
        <v>45724</v>
      </c>
      <c r="D4729" t="inlineStr">
        <is>
          <t>VÄSTMANLANDS LÄN</t>
        </is>
      </c>
      <c r="E4729" t="inlineStr">
        <is>
          <t>NORBERG</t>
        </is>
      </c>
      <c r="F4729" t="inlineStr">
        <is>
          <t>Övriga Aktiebolag</t>
        </is>
      </c>
      <c r="G4729" t="n">
        <v>4.6</v>
      </c>
      <c r="H4729" t="n">
        <v>0</v>
      </c>
      <c r="I4729" t="n">
        <v>0</v>
      </c>
      <c r="J4729" t="n">
        <v>0</v>
      </c>
      <c r="K4729" t="n">
        <v>0</v>
      </c>
      <c r="L4729" t="n">
        <v>0</v>
      </c>
      <c r="M4729" t="n">
        <v>0</v>
      </c>
      <c r="N4729" t="n">
        <v>0</v>
      </c>
      <c r="O4729" t="n">
        <v>0</v>
      </c>
      <c r="P4729" t="n">
        <v>0</v>
      </c>
      <c r="Q4729" t="n">
        <v>0</v>
      </c>
      <c r="R4729" s="2" t="inlineStr"/>
    </row>
    <row r="4730" ht="15" customHeight="1">
      <c r="A4730" t="inlineStr">
        <is>
          <t>A 52184-2024</t>
        </is>
      </c>
      <c r="B4730" s="1" t="n">
        <v>45608</v>
      </c>
      <c r="C4730" s="1" t="n">
        <v>45724</v>
      </c>
      <c r="D4730" t="inlineStr">
        <is>
          <t>VÄSTMANLANDS LÄN</t>
        </is>
      </c>
      <c r="E4730" t="inlineStr">
        <is>
          <t>SALA</t>
        </is>
      </c>
      <c r="F4730" t="inlineStr">
        <is>
          <t>Naturvårdsverket</t>
        </is>
      </c>
      <c r="G4730" t="n">
        <v>12.4</v>
      </c>
      <c r="H4730" t="n">
        <v>0</v>
      </c>
      <c r="I4730" t="n">
        <v>0</v>
      </c>
      <c r="J4730" t="n">
        <v>0</v>
      </c>
      <c r="K4730" t="n">
        <v>0</v>
      </c>
      <c r="L4730" t="n">
        <v>0</v>
      </c>
      <c r="M4730" t="n">
        <v>0</v>
      </c>
      <c r="N4730" t="n">
        <v>0</v>
      </c>
      <c r="O4730" t="n">
        <v>0</v>
      </c>
      <c r="P4730" t="n">
        <v>0</v>
      </c>
      <c r="Q4730" t="n">
        <v>0</v>
      </c>
      <c r="R4730" s="2" t="inlineStr"/>
    </row>
    <row r="4731" ht="15" customHeight="1">
      <c r="A4731" t="inlineStr">
        <is>
          <t>A 52500-2024</t>
        </is>
      </c>
      <c r="B4731" s="1" t="n">
        <v>45609</v>
      </c>
      <c r="C4731" s="1" t="n">
        <v>45724</v>
      </c>
      <c r="D4731" t="inlineStr">
        <is>
          <t>VÄSTMANLANDS LÄN</t>
        </is>
      </c>
      <c r="E4731" t="inlineStr">
        <is>
          <t>SALA</t>
        </is>
      </c>
      <c r="G4731" t="n">
        <v>1.3</v>
      </c>
      <c r="H4731" t="n">
        <v>0</v>
      </c>
      <c r="I4731" t="n">
        <v>0</v>
      </c>
      <c r="J4731" t="n">
        <v>0</v>
      </c>
      <c r="K4731" t="n">
        <v>0</v>
      </c>
      <c r="L4731" t="n">
        <v>0</v>
      </c>
      <c r="M4731" t="n">
        <v>0</v>
      </c>
      <c r="N4731" t="n">
        <v>0</v>
      </c>
      <c r="O4731" t="n">
        <v>0</v>
      </c>
      <c r="P4731" t="n">
        <v>0</v>
      </c>
      <c r="Q4731" t="n">
        <v>0</v>
      </c>
      <c r="R4731" s="2" t="inlineStr"/>
    </row>
    <row r="4732" ht="15" customHeight="1">
      <c r="A4732" t="inlineStr">
        <is>
          <t>A 52503-2024</t>
        </is>
      </c>
      <c r="B4732" s="1" t="n">
        <v>45609</v>
      </c>
      <c r="C4732" s="1" t="n">
        <v>45724</v>
      </c>
      <c r="D4732" t="inlineStr">
        <is>
          <t>VÄSTMANLANDS LÄN</t>
        </is>
      </c>
      <c r="E4732" t="inlineStr">
        <is>
          <t>SALA</t>
        </is>
      </c>
      <c r="G4732" t="n">
        <v>0.8</v>
      </c>
      <c r="H4732" t="n">
        <v>0</v>
      </c>
      <c r="I4732" t="n">
        <v>0</v>
      </c>
      <c r="J4732" t="n">
        <v>0</v>
      </c>
      <c r="K4732" t="n">
        <v>0</v>
      </c>
      <c r="L4732" t="n">
        <v>0</v>
      </c>
      <c r="M4732" t="n">
        <v>0</v>
      </c>
      <c r="N4732" t="n">
        <v>0</v>
      </c>
      <c r="O4732" t="n">
        <v>0</v>
      </c>
      <c r="P4732" t="n">
        <v>0</v>
      </c>
      <c r="Q4732" t="n">
        <v>0</v>
      </c>
      <c r="R4732" s="2" t="inlineStr"/>
    </row>
    <row r="4733" ht="15" customHeight="1">
      <c r="A4733" t="inlineStr">
        <is>
          <t>A 52553-2024</t>
        </is>
      </c>
      <c r="B4733" s="1" t="n">
        <v>45609</v>
      </c>
      <c r="C4733" s="1" t="n">
        <v>45724</v>
      </c>
      <c r="D4733" t="inlineStr">
        <is>
          <t>VÄSTMANLANDS LÄN</t>
        </is>
      </c>
      <c r="E4733" t="inlineStr">
        <is>
          <t>SKINNSKATTEBERG</t>
        </is>
      </c>
      <c r="F4733" t="inlineStr">
        <is>
          <t>Sveaskog</t>
        </is>
      </c>
      <c r="G4733" t="n">
        <v>2.3</v>
      </c>
      <c r="H4733" t="n">
        <v>0</v>
      </c>
      <c r="I4733" t="n">
        <v>0</v>
      </c>
      <c r="J4733" t="n">
        <v>0</v>
      </c>
      <c r="K4733" t="n">
        <v>0</v>
      </c>
      <c r="L4733" t="n">
        <v>0</v>
      </c>
      <c r="M4733" t="n">
        <v>0</v>
      </c>
      <c r="N4733" t="n">
        <v>0</v>
      </c>
      <c r="O4733" t="n">
        <v>0</v>
      </c>
      <c r="P4733" t="n">
        <v>0</v>
      </c>
      <c r="Q4733" t="n">
        <v>0</v>
      </c>
      <c r="R4733" s="2" t="inlineStr"/>
    </row>
    <row r="4734" ht="15" customHeight="1">
      <c r="A4734" t="inlineStr">
        <is>
          <t>A 52532-2024</t>
        </is>
      </c>
      <c r="B4734" s="1" t="n">
        <v>45609</v>
      </c>
      <c r="C4734" s="1" t="n">
        <v>45724</v>
      </c>
      <c r="D4734" t="inlineStr">
        <is>
          <t>VÄSTMANLANDS LÄN</t>
        </is>
      </c>
      <c r="E4734" t="inlineStr">
        <is>
          <t>SKINNSKATTEBERG</t>
        </is>
      </c>
      <c r="G4734" t="n">
        <v>0.9</v>
      </c>
      <c r="H4734" t="n">
        <v>0</v>
      </c>
      <c r="I4734" t="n">
        <v>0</v>
      </c>
      <c r="J4734" t="n">
        <v>0</v>
      </c>
      <c r="K4734" t="n">
        <v>0</v>
      </c>
      <c r="L4734" t="n">
        <v>0</v>
      </c>
      <c r="M4734" t="n">
        <v>0</v>
      </c>
      <c r="N4734" t="n">
        <v>0</v>
      </c>
      <c r="O4734" t="n">
        <v>0</v>
      </c>
      <c r="P4734" t="n">
        <v>0</v>
      </c>
      <c r="Q4734" t="n">
        <v>0</v>
      </c>
      <c r="R4734" s="2" t="inlineStr"/>
    </row>
    <row r="4735" ht="15" customHeight="1">
      <c r="A4735" t="inlineStr">
        <is>
          <t>A 52337-2024</t>
        </is>
      </c>
      <c r="B4735" s="1" t="n">
        <v>45609</v>
      </c>
      <c r="C4735" s="1" t="n">
        <v>45724</v>
      </c>
      <c r="D4735" t="inlineStr">
        <is>
          <t>VÄSTMANLANDS LÄN</t>
        </is>
      </c>
      <c r="E4735" t="inlineStr">
        <is>
          <t>FAGERSTA</t>
        </is>
      </c>
      <c r="G4735" t="n">
        <v>1.2</v>
      </c>
      <c r="H4735" t="n">
        <v>0</v>
      </c>
      <c r="I4735" t="n">
        <v>0</v>
      </c>
      <c r="J4735" t="n">
        <v>0</v>
      </c>
      <c r="K4735" t="n">
        <v>0</v>
      </c>
      <c r="L4735" t="n">
        <v>0</v>
      </c>
      <c r="M4735" t="n">
        <v>0</v>
      </c>
      <c r="N4735" t="n">
        <v>0</v>
      </c>
      <c r="O4735" t="n">
        <v>0</v>
      </c>
      <c r="P4735" t="n">
        <v>0</v>
      </c>
      <c r="Q4735" t="n">
        <v>0</v>
      </c>
      <c r="R4735" s="2" t="inlineStr"/>
    </row>
    <row r="4736" ht="15" customHeight="1">
      <c r="A4736" t="inlineStr">
        <is>
          <t>A 52556-2024</t>
        </is>
      </c>
      <c r="B4736" s="1" t="n">
        <v>45609</v>
      </c>
      <c r="C4736" s="1" t="n">
        <v>45724</v>
      </c>
      <c r="D4736" t="inlineStr">
        <is>
          <t>VÄSTMANLANDS LÄN</t>
        </is>
      </c>
      <c r="E4736" t="inlineStr">
        <is>
          <t>SKINNSKATTEBERG</t>
        </is>
      </c>
      <c r="F4736" t="inlineStr">
        <is>
          <t>Sveaskog</t>
        </is>
      </c>
      <c r="G4736" t="n">
        <v>1.3</v>
      </c>
      <c r="H4736" t="n">
        <v>0</v>
      </c>
      <c r="I4736" t="n">
        <v>0</v>
      </c>
      <c r="J4736" t="n">
        <v>0</v>
      </c>
      <c r="K4736" t="n">
        <v>0</v>
      </c>
      <c r="L4736" t="n">
        <v>0</v>
      </c>
      <c r="M4736" t="n">
        <v>0</v>
      </c>
      <c r="N4736" t="n">
        <v>0</v>
      </c>
      <c r="O4736" t="n">
        <v>0</v>
      </c>
      <c r="P4736" t="n">
        <v>0</v>
      </c>
      <c r="Q4736" t="n">
        <v>0</v>
      </c>
      <c r="R4736" s="2" t="inlineStr"/>
    </row>
    <row r="4737" ht="15" customHeight="1">
      <c r="A4737" t="inlineStr">
        <is>
          <t>A 52562-2024</t>
        </is>
      </c>
      <c r="B4737" s="1" t="n">
        <v>45609</v>
      </c>
      <c r="C4737" s="1" t="n">
        <v>45724</v>
      </c>
      <c r="D4737" t="inlineStr">
        <is>
          <t>VÄSTMANLANDS LÄN</t>
        </is>
      </c>
      <c r="E4737" t="inlineStr">
        <is>
          <t>SKINNSKATTEBERG</t>
        </is>
      </c>
      <c r="F4737" t="inlineStr">
        <is>
          <t>Sveaskog</t>
        </is>
      </c>
      <c r="G4737" t="n">
        <v>7.3</v>
      </c>
      <c r="H4737" t="n">
        <v>0</v>
      </c>
      <c r="I4737" t="n">
        <v>0</v>
      </c>
      <c r="J4737" t="n">
        <v>0</v>
      </c>
      <c r="K4737" t="n">
        <v>0</v>
      </c>
      <c r="L4737" t="n">
        <v>0</v>
      </c>
      <c r="M4737" t="n">
        <v>0</v>
      </c>
      <c r="N4737" t="n">
        <v>0</v>
      </c>
      <c r="O4737" t="n">
        <v>0</v>
      </c>
      <c r="P4737" t="n">
        <v>0</v>
      </c>
      <c r="Q4737" t="n">
        <v>0</v>
      </c>
      <c r="R4737" s="2" t="inlineStr"/>
    </row>
    <row r="4738" ht="15" customHeight="1">
      <c r="A4738" t="inlineStr">
        <is>
          <t>A 52566-2024</t>
        </is>
      </c>
      <c r="B4738" s="1" t="n">
        <v>45609</v>
      </c>
      <c r="C4738" s="1" t="n">
        <v>45724</v>
      </c>
      <c r="D4738" t="inlineStr">
        <is>
          <t>VÄSTMANLANDS LÄN</t>
        </is>
      </c>
      <c r="E4738" t="inlineStr">
        <is>
          <t>SKINNSKATTEBERG</t>
        </is>
      </c>
      <c r="F4738" t="inlineStr">
        <is>
          <t>Sveaskog</t>
        </is>
      </c>
      <c r="G4738" t="n">
        <v>1.6</v>
      </c>
      <c r="H4738" t="n">
        <v>0</v>
      </c>
      <c r="I4738" t="n">
        <v>0</v>
      </c>
      <c r="J4738" t="n">
        <v>0</v>
      </c>
      <c r="K4738" t="n">
        <v>0</v>
      </c>
      <c r="L4738" t="n">
        <v>0</v>
      </c>
      <c r="M4738" t="n">
        <v>0</v>
      </c>
      <c r="N4738" t="n">
        <v>0</v>
      </c>
      <c r="O4738" t="n">
        <v>0</v>
      </c>
      <c r="P4738" t="n">
        <v>0</v>
      </c>
      <c r="Q4738" t="n">
        <v>0</v>
      </c>
      <c r="R4738" s="2" t="inlineStr"/>
    </row>
    <row r="4739" ht="15" customHeight="1">
      <c r="A4739" t="inlineStr">
        <is>
          <t>A 52570-2024</t>
        </is>
      </c>
      <c r="B4739" s="1" t="n">
        <v>45609</v>
      </c>
      <c r="C4739" s="1" t="n">
        <v>45724</v>
      </c>
      <c r="D4739" t="inlineStr">
        <is>
          <t>VÄSTMANLANDS LÄN</t>
        </is>
      </c>
      <c r="E4739" t="inlineStr">
        <is>
          <t>SKINNSKATTEBERG</t>
        </is>
      </c>
      <c r="F4739" t="inlineStr">
        <is>
          <t>Sveaskog</t>
        </is>
      </c>
      <c r="G4739" t="n">
        <v>1.1</v>
      </c>
      <c r="H4739" t="n">
        <v>0</v>
      </c>
      <c r="I4739" t="n">
        <v>0</v>
      </c>
      <c r="J4739" t="n">
        <v>0</v>
      </c>
      <c r="K4739" t="n">
        <v>0</v>
      </c>
      <c r="L4739" t="n">
        <v>0</v>
      </c>
      <c r="M4739" t="n">
        <v>0</v>
      </c>
      <c r="N4739" t="n">
        <v>0</v>
      </c>
      <c r="O4739" t="n">
        <v>0</v>
      </c>
      <c r="P4739" t="n">
        <v>0</v>
      </c>
      <c r="Q4739" t="n">
        <v>0</v>
      </c>
      <c r="R4739" s="2" t="inlineStr"/>
    </row>
    <row r="4740" ht="15" customHeight="1">
      <c r="A4740" t="inlineStr">
        <is>
          <t>A 52789-2024</t>
        </is>
      </c>
      <c r="B4740" s="1" t="n">
        <v>45610</v>
      </c>
      <c r="C4740" s="1" t="n">
        <v>45724</v>
      </c>
      <c r="D4740" t="inlineStr">
        <is>
          <t>VÄSTMANLANDS LÄN</t>
        </is>
      </c>
      <c r="E4740" t="inlineStr">
        <is>
          <t>KUNGSÖR</t>
        </is>
      </c>
      <c r="G4740" t="n">
        <v>2.4</v>
      </c>
      <c r="H4740" t="n">
        <v>0</v>
      </c>
      <c r="I4740" t="n">
        <v>0</v>
      </c>
      <c r="J4740" t="n">
        <v>0</v>
      </c>
      <c r="K4740" t="n">
        <v>0</v>
      </c>
      <c r="L4740" t="n">
        <v>0</v>
      </c>
      <c r="M4740" t="n">
        <v>0</v>
      </c>
      <c r="N4740" t="n">
        <v>0</v>
      </c>
      <c r="O4740" t="n">
        <v>0</v>
      </c>
      <c r="P4740" t="n">
        <v>0</v>
      </c>
      <c r="Q4740" t="n">
        <v>0</v>
      </c>
      <c r="R4740" s="2" t="inlineStr"/>
    </row>
    <row r="4741" ht="15" customHeight="1">
      <c r="A4741" t="inlineStr">
        <is>
          <t>A 52821-2024</t>
        </is>
      </c>
      <c r="B4741" s="1" t="n">
        <v>45610</v>
      </c>
      <c r="C4741" s="1" t="n">
        <v>45724</v>
      </c>
      <c r="D4741" t="inlineStr">
        <is>
          <t>VÄSTMANLANDS LÄN</t>
        </is>
      </c>
      <c r="E4741" t="inlineStr">
        <is>
          <t>SALA</t>
        </is>
      </c>
      <c r="G4741" t="n">
        <v>0.5</v>
      </c>
      <c r="H4741" t="n">
        <v>0</v>
      </c>
      <c r="I4741" t="n">
        <v>0</v>
      </c>
      <c r="J4741" t="n">
        <v>0</v>
      </c>
      <c r="K4741" t="n">
        <v>0</v>
      </c>
      <c r="L4741" t="n">
        <v>0</v>
      </c>
      <c r="M4741" t="n">
        <v>0</v>
      </c>
      <c r="N4741" t="n">
        <v>0</v>
      </c>
      <c r="O4741" t="n">
        <v>0</v>
      </c>
      <c r="P4741" t="n">
        <v>0</v>
      </c>
      <c r="Q4741" t="n">
        <v>0</v>
      </c>
      <c r="R4741" s="2" t="inlineStr"/>
    </row>
    <row r="4742" ht="15" customHeight="1">
      <c r="A4742" t="inlineStr">
        <is>
          <t>A 52696-2024</t>
        </is>
      </c>
      <c r="B4742" s="1" t="n">
        <v>45610</v>
      </c>
      <c r="C4742" s="1" t="n">
        <v>45724</v>
      </c>
      <c r="D4742" t="inlineStr">
        <is>
          <t>VÄSTMANLANDS LÄN</t>
        </is>
      </c>
      <c r="E4742" t="inlineStr">
        <is>
          <t>SKINNSKATTEBERG</t>
        </is>
      </c>
      <c r="F4742" t="inlineStr">
        <is>
          <t>Sveaskog</t>
        </is>
      </c>
      <c r="G4742" t="n">
        <v>1.4</v>
      </c>
      <c r="H4742" t="n">
        <v>0</v>
      </c>
      <c r="I4742" t="n">
        <v>0</v>
      </c>
      <c r="J4742" t="n">
        <v>0</v>
      </c>
      <c r="K4742" t="n">
        <v>0</v>
      </c>
      <c r="L4742" t="n">
        <v>0</v>
      </c>
      <c r="M4742" t="n">
        <v>0</v>
      </c>
      <c r="N4742" t="n">
        <v>0</v>
      </c>
      <c r="O4742" t="n">
        <v>0</v>
      </c>
      <c r="P4742" t="n">
        <v>0</v>
      </c>
      <c r="Q4742" t="n">
        <v>0</v>
      </c>
      <c r="R4742" s="2" t="inlineStr"/>
    </row>
    <row r="4743" ht="15" customHeight="1">
      <c r="A4743" t="inlineStr">
        <is>
          <t>A 52799-2024</t>
        </is>
      </c>
      <c r="B4743" s="1" t="n">
        <v>45610</v>
      </c>
      <c r="C4743" s="1" t="n">
        <v>45724</v>
      </c>
      <c r="D4743" t="inlineStr">
        <is>
          <t>VÄSTMANLANDS LÄN</t>
        </is>
      </c>
      <c r="E4743" t="inlineStr">
        <is>
          <t>SALA</t>
        </is>
      </c>
      <c r="G4743" t="n">
        <v>2.6</v>
      </c>
      <c r="H4743" t="n">
        <v>0</v>
      </c>
      <c r="I4743" t="n">
        <v>0</v>
      </c>
      <c r="J4743" t="n">
        <v>0</v>
      </c>
      <c r="K4743" t="n">
        <v>0</v>
      </c>
      <c r="L4743" t="n">
        <v>0</v>
      </c>
      <c r="M4743" t="n">
        <v>0</v>
      </c>
      <c r="N4743" t="n">
        <v>0</v>
      </c>
      <c r="O4743" t="n">
        <v>0</v>
      </c>
      <c r="P4743" t="n">
        <v>0</v>
      </c>
      <c r="Q4743" t="n">
        <v>0</v>
      </c>
      <c r="R4743" s="2" t="inlineStr"/>
    </row>
    <row r="4744" ht="15" customHeight="1">
      <c r="A4744" t="inlineStr">
        <is>
          <t>A 52827-2024</t>
        </is>
      </c>
      <c r="B4744" s="1" t="n">
        <v>45610</v>
      </c>
      <c r="C4744" s="1" t="n">
        <v>45724</v>
      </c>
      <c r="D4744" t="inlineStr">
        <is>
          <t>VÄSTMANLANDS LÄN</t>
        </is>
      </c>
      <c r="E4744" t="inlineStr">
        <is>
          <t>SALA</t>
        </is>
      </c>
      <c r="G4744" t="n">
        <v>0.2</v>
      </c>
      <c r="H4744" t="n">
        <v>0</v>
      </c>
      <c r="I4744" t="n">
        <v>0</v>
      </c>
      <c r="J4744" t="n">
        <v>0</v>
      </c>
      <c r="K4744" t="n">
        <v>0</v>
      </c>
      <c r="L4744" t="n">
        <v>0</v>
      </c>
      <c r="M4744" t="n">
        <v>0</v>
      </c>
      <c r="N4744" t="n">
        <v>0</v>
      </c>
      <c r="O4744" t="n">
        <v>0</v>
      </c>
      <c r="P4744" t="n">
        <v>0</v>
      </c>
      <c r="Q4744" t="n">
        <v>0</v>
      </c>
      <c r="R4744" s="2" t="inlineStr"/>
    </row>
    <row r="4745" ht="15" customHeight="1">
      <c r="A4745" t="inlineStr">
        <is>
          <t>A 52842-2024</t>
        </is>
      </c>
      <c r="B4745" s="1" t="n">
        <v>45610</v>
      </c>
      <c r="C4745" s="1" t="n">
        <v>45724</v>
      </c>
      <c r="D4745" t="inlineStr">
        <is>
          <t>VÄSTMANLANDS LÄN</t>
        </is>
      </c>
      <c r="E4745" t="inlineStr">
        <is>
          <t>KUNGSÖR</t>
        </is>
      </c>
      <c r="G4745" t="n">
        <v>4.7</v>
      </c>
      <c r="H4745" t="n">
        <v>0</v>
      </c>
      <c r="I4745" t="n">
        <v>0</v>
      </c>
      <c r="J4745" t="n">
        <v>0</v>
      </c>
      <c r="K4745" t="n">
        <v>0</v>
      </c>
      <c r="L4745" t="n">
        <v>0</v>
      </c>
      <c r="M4745" t="n">
        <v>0</v>
      </c>
      <c r="N4745" t="n">
        <v>0</v>
      </c>
      <c r="O4745" t="n">
        <v>0</v>
      </c>
      <c r="P4745" t="n">
        <v>0</v>
      </c>
      <c r="Q4745" t="n">
        <v>0</v>
      </c>
      <c r="R4745" s="2" t="inlineStr"/>
    </row>
    <row r="4746" ht="15" customHeight="1">
      <c r="A4746" t="inlineStr">
        <is>
          <t>A 53164-2024</t>
        </is>
      </c>
      <c r="B4746" s="1" t="n">
        <v>45611</v>
      </c>
      <c r="C4746" s="1" t="n">
        <v>45724</v>
      </c>
      <c r="D4746" t="inlineStr">
        <is>
          <t>VÄSTMANLANDS LÄN</t>
        </is>
      </c>
      <c r="E4746" t="inlineStr">
        <is>
          <t>SALA</t>
        </is>
      </c>
      <c r="G4746" t="n">
        <v>2.6</v>
      </c>
      <c r="H4746" t="n">
        <v>0</v>
      </c>
      <c r="I4746" t="n">
        <v>0</v>
      </c>
      <c r="J4746" t="n">
        <v>0</v>
      </c>
      <c r="K4746" t="n">
        <v>0</v>
      </c>
      <c r="L4746" t="n">
        <v>0</v>
      </c>
      <c r="M4746" t="n">
        <v>0</v>
      </c>
      <c r="N4746" t="n">
        <v>0</v>
      </c>
      <c r="O4746" t="n">
        <v>0</v>
      </c>
      <c r="P4746" t="n">
        <v>0</v>
      </c>
      <c r="Q4746" t="n">
        <v>0</v>
      </c>
      <c r="R4746" s="2" t="inlineStr"/>
    </row>
    <row r="4747" ht="15" customHeight="1">
      <c r="A4747" t="inlineStr">
        <is>
          <t>A 53166-2024</t>
        </is>
      </c>
      <c r="B4747" s="1" t="n">
        <v>45611</v>
      </c>
      <c r="C4747" s="1" t="n">
        <v>45724</v>
      </c>
      <c r="D4747" t="inlineStr">
        <is>
          <t>VÄSTMANLANDS LÄN</t>
        </is>
      </c>
      <c r="E4747" t="inlineStr">
        <is>
          <t>SALA</t>
        </is>
      </c>
      <c r="G4747" t="n">
        <v>1.5</v>
      </c>
      <c r="H4747" t="n">
        <v>0</v>
      </c>
      <c r="I4747" t="n">
        <v>0</v>
      </c>
      <c r="J4747" t="n">
        <v>0</v>
      </c>
      <c r="K4747" t="n">
        <v>0</v>
      </c>
      <c r="L4747" t="n">
        <v>0</v>
      </c>
      <c r="M4747" t="n">
        <v>0</v>
      </c>
      <c r="N4747" t="n">
        <v>0</v>
      </c>
      <c r="O4747" t="n">
        <v>0</v>
      </c>
      <c r="P4747" t="n">
        <v>0</v>
      </c>
      <c r="Q4747" t="n">
        <v>0</v>
      </c>
      <c r="R4747" s="2" t="inlineStr"/>
    </row>
    <row r="4748" ht="15" customHeight="1">
      <c r="A4748" t="inlineStr">
        <is>
          <t>A 53224-2024</t>
        </is>
      </c>
      <c r="B4748" s="1" t="n">
        <v>45613</v>
      </c>
      <c r="C4748" s="1" t="n">
        <v>45724</v>
      </c>
      <c r="D4748" t="inlineStr">
        <is>
          <t>VÄSTMANLANDS LÄN</t>
        </is>
      </c>
      <c r="E4748" t="inlineStr">
        <is>
          <t>NORBERG</t>
        </is>
      </c>
      <c r="G4748" t="n">
        <v>0.4</v>
      </c>
      <c r="H4748" t="n">
        <v>0</v>
      </c>
      <c r="I4748" t="n">
        <v>0</v>
      </c>
      <c r="J4748" t="n">
        <v>0</v>
      </c>
      <c r="K4748" t="n">
        <v>0</v>
      </c>
      <c r="L4748" t="n">
        <v>0</v>
      </c>
      <c r="M4748" t="n">
        <v>0</v>
      </c>
      <c r="N4748" t="n">
        <v>0</v>
      </c>
      <c r="O4748" t="n">
        <v>0</v>
      </c>
      <c r="P4748" t="n">
        <v>0</v>
      </c>
      <c r="Q4748" t="n">
        <v>0</v>
      </c>
      <c r="R4748" s="2" t="inlineStr"/>
    </row>
    <row r="4749" ht="15" customHeight="1">
      <c r="A4749" t="inlineStr">
        <is>
          <t>A 53225-2024</t>
        </is>
      </c>
      <c r="B4749" s="1" t="n">
        <v>45613</v>
      </c>
      <c r="C4749" s="1" t="n">
        <v>45724</v>
      </c>
      <c r="D4749" t="inlineStr">
        <is>
          <t>VÄSTMANLANDS LÄN</t>
        </is>
      </c>
      <c r="E4749" t="inlineStr">
        <is>
          <t>NORBERG</t>
        </is>
      </c>
      <c r="G4749" t="n">
        <v>2.1</v>
      </c>
      <c r="H4749" t="n">
        <v>0</v>
      </c>
      <c r="I4749" t="n">
        <v>0</v>
      </c>
      <c r="J4749" t="n">
        <v>0</v>
      </c>
      <c r="K4749" t="n">
        <v>0</v>
      </c>
      <c r="L4749" t="n">
        <v>0</v>
      </c>
      <c r="M4749" t="n">
        <v>0</v>
      </c>
      <c r="N4749" t="n">
        <v>0</v>
      </c>
      <c r="O4749" t="n">
        <v>0</v>
      </c>
      <c r="P4749" t="n">
        <v>0</v>
      </c>
      <c r="Q4749" t="n">
        <v>0</v>
      </c>
      <c r="R4749" s="2" t="inlineStr"/>
    </row>
    <row r="4750" ht="15" customHeight="1">
      <c r="A4750" t="inlineStr">
        <is>
          <t>A 53343-2024</t>
        </is>
      </c>
      <c r="B4750" s="1" t="n">
        <v>45614</v>
      </c>
      <c r="C4750" s="1" t="n">
        <v>45724</v>
      </c>
      <c r="D4750" t="inlineStr">
        <is>
          <t>VÄSTMANLANDS LÄN</t>
        </is>
      </c>
      <c r="E4750" t="inlineStr">
        <is>
          <t>HALLSTAHAMMAR</t>
        </is>
      </c>
      <c r="G4750" t="n">
        <v>0.9</v>
      </c>
      <c r="H4750" t="n">
        <v>0</v>
      </c>
      <c r="I4750" t="n">
        <v>0</v>
      </c>
      <c r="J4750" t="n">
        <v>0</v>
      </c>
      <c r="K4750" t="n">
        <v>0</v>
      </c>
      <c r="L4750" t="n">
        <v>0</v>
      </c>
      <c r="M4750" t="n">
        <v>0</v>
      </c>
      <c r="N4750" t="n">
        <v>0</v>
      </c>
      <c r="O4750" t="n">
        <v>0</v>
      </c>
      <c r="P4750" t="n">
        <v>0</v>
      </c>
      <c r="Q4750" t="n">
        <v>0</v>
      </c>
      <c r="R4750" s="2" t="inlineStr"/>
    </row>
    <row r="4751" ht="15" customHeight="1">
      <c r="A4751" t="inlineStr">
        <is>
          <t>A 53290-2024</t>
        </is>
      </c>
      <c r="B4751" s="1" t="n">
        <v>45614</v>
      </c>
      <c r="C4751" s="1" t="n">
        <v>45724</v>
      </c>
      <c r="D4751" t="inlineStr">
        <is>
          <t>VÄSTMANLANDS LÄN</t>
        </is>
      </c>
      <c r="E4751" t="inlineStr">
        <is>
          <t>ARBOGA</t>
        </is>
      </c>
      <c r="F4751" t="inlineStr">
        <is>
          <t>Sveaskog</t>
        </is>
      </c>
      <c r="G4751" t="n">
        <v>0.9</v>
      </c>
      <c r="H4751" t="n">
        <v>0</v>
      </c>
      <c r="I4751" t="n">
        <v>0</v>
      </c>
      <c r="J4751" t="n">
        <v>0</v>
      </c>
      <c r="K4751" t="n">
        <v>0</v>
      </c>
      <c r="L4751" t="n">
        <v>0</v>
      </c>
      <c r="M4751" t="n">
        <v>0</v>
      </c>
      <c r="N4751" t="n">
        <v>0</v>
      </c>
      <c r="O4751" t="n">
        <v>0</v>
      </c>
      <c r="P4751" t="n">
        <v>0</v>
      </c>
      <c r="Q4751" t="n">
        <v>0</v>
      </c>
      <c r="R4751" s="2" t="inlineStr"/>
    </row>
    <row r="4752" ht="15" customHeight="1">
      <c r="A4752" t="inlineStr">
        <is>
          <t>A 53637-2024</t>
        </is>
      </c>
      <c r="B4752" s="1" t="n">
        <v>45614</v>
      </c>
      <c r="C4752" s="1" t="n">
        <v>45724</v>
      </c>
      <c r="D4752" t="inlineStr">
        <is>
          <t>VÄSTMANLANDS LÄN</t>
        </is>
      </c>
      <c r="E4752" t="inlineStr">
        <is>
          <t>VÄSTERÅS</t>
        </is>
      </c>
      <c r="G4752" t="n">
        <v>5.8</v>
      </c>
      <c r="H4752" t="n">
        <v>0</v>
      </c>
      <c r="I4752" t="n">
        <v>0</v>
      </c>
      <c r="J4752" t="n">
        <v>0</v>
      </c>
      <c r="K4752" t="n">
        <v>0</v>
      </c>
      <c r="L4752" t="n">
        <v>0</v>
      </c>
      <c r="M4752" t="n">
        <v>0</v>
      </c>
      <c r="N4752" t="n">
        <v>0</v>
      </c>
      <c r="O4752" t="n">
        <v>0</v>
      </c>
      <c r="P4752" t="n">
        <v>0</v>
      </c>
      <c r="Q4752" t="n">
        <v>0</v>
      </c>
      <c r="R4752" s="2" t="inlineStr"/>
    </row>
    <row r="4753" ht="15" customHeight="1">
      <c r="A4753" t="inlineStr">
        <is>
          <t>A 53284-2024</t>
        </is>
      </c>
      <c r="B4753" s="1" t="n">
        <v>45614</v>
      </c>
      <c r="C4753" s="1" t="n">
        <v>45724</v>
      </c>
      <c r="D4753" t="inlineStr">
        <is>
          <t>VÄSTMANLANDS LÄN</t>
        </is>
      </c>
      <c r="E4753" t="inlineStr">
        <is>
          <t>ARBOGA</t>
        </is>
      </c>
      <c r="F4753" t="inlineStr">
        <is>
          <t>Sveaskog</t>
        </is>
      </c>
      <c r="G4753" t="n">
        <v>1.6</v>
      </c>
      <c r="H4753" t="n">
        <v>0</v>
      </c>
      <c r="I4753" t="n">
        <v>0</v>
      </c>
      <c r="J4753" t="n">
        <v>0</v>
      </c>
      <c r="K4753" t="n">
        <v>0</v>
      </c>
      <c r="L4753" t="n">
        <v>0</v>
      </c>
      <c r="M4753" t="n">
        <v>0</v>
      </c>
      <c r="N4753" t="n">
        <v>0</v>
      </c>
      <c r="O4753" t="n">
        <v>0</v>
      </c>
      <c r="P4753" t="n">
        <v>0</v>
      </c>
      <c r="Q4753" t="n">
        <v>0</v>
      </c>
      <c r="R4753" s="2" t="inlineStr"/>
    </row>
    <row r="4754" ht="15" customHeight="1">
      <c r="A4754" t="inlineStr">
        <is>
          <t>A 53280-2024</t>
        </is>
      </c>
      <c r="B4754" s="1" t="n">
        <v>45614</v>
      </c>
      <c r="C4754" s="1" t="n">
        <v>45724</v>
      </c>
      <c r="D4754" t="inlineStr">
        <is>
          <t>VÄSTMANLANDS LÄN</t>
        </is>
      </c>
      <c r="E4754" t="inlineStr">
        <is>
          <t>ARBOGA</t>
        </is>
      </c>
      <c r="F4754" t="inlineStr">
        <is>
          <t>Sveaskog</t>
        </is>
      </c>
      <c r="G4754" t="n">
        <v>3.1</v>
      </c>
      <c r="H4754" t="n">
        <v>0</v>
      </c>
      <c r="I4754" t="n">
        <v>0</v>
      </c>
      <c r="J4754" t="n">
        <v>0</v>
      </c>
      <c r="K4754" t="n">
        <v>0</v>
      </c>
      <c r="L4754" t="n">
        <v>0</v>
      </c>
      <c r="M4754" t="n">
        <v>0</v>
      </c>
      <c r="N4754" t="n">
        <v>0</v>
      </c>
      <c r="O4754" t="n">
        <v>0</v>
      </c>
      <c r="P4754" t="n">
        <v>0</v>
      </c>
      <c r="Q4754" t="n">
        <v>0</v>
      </c>
      <c r="R4754" s="2" t="inlineStr"/>
    </row>
    <row r="4755" ht="15" customHeight="1">
      <c r="A4755" t="inlineStr">
        <is>
          <t>A 53283-2024</t>
        </is>
      </c>
      <c r="B4755" s="1" t="n">
        <v>45614</v>
      </c>
      <c r="C4755" s="1" t="n">
        <v>45724</v>
      </c>
      <c r="D4755" t="inlineStr">
        <is>
          <t>VÄSTMANLANDS LÄN</t>
        </is>
      </c>
      <c r="E4755" t="inlineStr">
        <is>
          <t>ARBOGA</t>
        </is>
      </c>
      <c r="F4755" t="inlineStr">
        <is>
          <t>Sveaskog</t>
        </is>
      </c>
      <c r="G4755" t="n">
        <v>2.9</v>
      </c>
      <c r="H4755" t="n">
        <v>0</v>
      </c>
      <c r="I4755" t="n">
        <v>0</v>
      </c>
      <c r="J4755" t="n">
        <v>0</v>
      </c>
      <c r="K4755" t="n">
        <v>0</v>
      </c>
      <c r="L4755" t="n">
        <v>0</v>
      </c>
      <c r="M4755" t="n">
        <v>0</v>
      </c>
      <c r="N4755" t="n">
        <v>0</v>
      </c>
      <c r="O4755" t="n">
        <v>0</v>
      </c>
      <c r="P4755" t="n">
        <v>0</v>
      </c>
      <c r="Q4755" t="n">
        <v>0</v>
      </c>
      <c r="R4755" s="2" t="inlineStr"/>
    </row>
    <row r="4756" ht="15" customHeight="1">
      <c r="A4756" t="inlineStr">
        <is>
          <t>A 53812-2024</t>
        </is>
      </c>
      <c r="B4756" s="1" t="n">
        <v>45615</v>
      </c>
      <c r="C4756" s="1" t="n">
        <v>45724</v>
      </c>
      <c r="D4756" t="inlineStr">
        <is>
          <t>VÄSTMANLANDS LÄN</t>
        </is>
      </c>
      <c r="E4756" t="inlineStr">
        <is>
          <t>FAGERSTA</t>
        </is>
      </c>
      <c r="G4756" t="n">
        <v>3.7</v>
      </c>
      <c r="H4756" t="n">
        <v>0</v>
      </c>
      <c r="I4756" t="n">
        <v>0</v>
      </c>
      <c r="J4756" t="n">
        <v>0</v>
      </c>
      <c r="K4756" t="n">
        <v>0</v>
      </c>
      <c r="L4756" t="n">
        <v>0</v>
      </c>
      <c r="M4756" t="n">
        <v>0</v>
      </c>
      <c r="N4756" t="n">
        <v>0</v>
      </c>
      <c r="O4756" t="n">
        <v>0</v>
      </c>
      <c r="P4756" t="n">
        <v>0</v>
      </c>
      <c r="Q4756" t="n">
        <v>0</v>
      </c>
      <c r="R4756" s="2" t="inlineStr"/>
    </row>
    <row r="4757" ht="15" customHeight="1">
      <c r="A4757" t="inlineStr">
        <is>
          <t>A 53655-2024</t>
        </is>
      </c>
      <c r="B4757" s="1" t="n">
        <v>45615</v>
      </c>
      <c r="C4757" s="1" t="n">
        <v>45724</v>
      </c>
      <c r="D4757" t="inlineStr">
        <is>
          <t>VÄSTMANLANDS LÄN</t>
        </is>
      </c>
      <c r="E4757" t="inlineStr">
        <is>
          <t>SKINNSKATTEBERG</t>
        </is>
      </c>
      <c r="G4757" t="n">
        <v>5.7</v>
      </c>
      <c r="H4757" t="n">
        <v>0</v>
      </c>
      <c r="I4757" t="n">
        <v>0</v>
      </c>
      <c r="J4757" t="n">
        <v>0</v>
      </c>
      <c r="K4757" t="n">
        <v>0</v>
      </c>
      <c r="L4757" t="n">
        <v>0</v>
      </c>
      <c r="M4757" t="n">
        <v>0</v>
      </c>
      <c r="N4757" t="n">
        <v>0</v>
      </c>
      <c r="O4757" t="n">
        <v>0</v>
      </c>
      <c r="P4757" t="n">
        <v>0</v>
      </c>
      <c r="Q4757" t="n">
        <v>0</v>
      </c>
      <c r="R4757" s="2" t="inlineStr"/>
    </row>
    <row r="4758" ht="15" customHeight="1">
      <c r="A4758" t="inlineStr">
        <is>
          <t>A 53798-2024</t>
        </is>
      </c>
      <c r="B4758" s="1" t="n">
        <v>45615</v>
      </c>
      <c r="C4758" s="1" t="n">
        <v>45724</v>
      </c>
      <c r="D4758" t="inlineStr">
        <is>
          <t>VÄSTMANLANDS LÄN</t>
        </is>
      </c>
      <c r="E4758" t="inlineStr">
        <is>
          <t>FAGERSTA</t>
        </is>
      </c>
      <c r="G4758" t="n">
        <v>2.6</v>
      </c>
      <c r="H4758" t="n">
        <v>0</v>
      </c>
      <c r="I4758" t="n">
        <v>0</v>
      </c>
      <c r="J4758" t="n">
        <v>0</v>
      </c>
      <c r="K4758" t="n">
        <v>0</v>
      </c>
      <c r="L4758" t="n">
        <v>0</v>
      </c>
      <c r="M4758" t="n">
        <v>0</v>
      </c>
      <c r="N4758" t="n">
        <v>0</v>
      </c>
      <c r="O4758" t="n">
        <v>0</v>
      </c>
      <c r="P4758" t="n">
        <v>0</v>
      </c>
      <c r="Q4758" t="n">
        <v>0</v>
      </c>
      <c r="R4758" s="2" t="inlineStr"/>
    </row>
    <row r="4759" ht="15" customHeight="1">
      <c r="A4759" t="inlineStr">
        <is>
          <t>A 53850-2024</t>
        </is>
      </c>
      <c r="B4759" s="1" t="n">
        <v>45615</v>
      </c>
      <c r="C4759" s="1" t="n">
        <v>45724</v>
      </c>
      <c r="D4759" t="inlineStr">
        <is>
          <t>VÄSTMANLANDS LÄN</t>
        </is>
      </c>
      <c r="E4759" t="inlineStr">
        <is>
          <t>SKINNSKATTEBERG</t>
        </is>
      </c>
      <c r="G4759" t="n">
        <v>7.5</v>
      </c>
      <c r="H4759" t="n">
        <v>0</v>
      </c>
      <c r="I4759" t="n">
        <v>0</v>
      </c>
      <c r="J4759" t="n">
        <v>0</v>
      </c>
      <c r="K4759" t="n">
        <v>0</v>
      </c>
      <c r="L4759" t="n">
        <v>0</v>
      </c>
      <c r="M4759" t="n">
        <v>0</v>
      </c>
      <c r="N4759" t="n">
        <v>0</v>
      </c>
      <c r="O4759" t="n">
        <v>0</v>
      </c>
      <c r="P4759" t="n">
        <v>0</v>
      </c>
      <c r="Q4759" t="n">
        <v>0</v>
      </c>
      <c r="R4759" s="2" t="inlineStr"/>
    </row>
    <row r="4760" ht="15" customHeight="1">
      <c r="A4760" t="inlineStr">
        <is>
          <t>A 53903-2024</t>
        </is>
      </c>
      <c r="B4760" s="1" t="n">
        <v>45615</v>
      </c>
      <c r="C4760" s="1" t="n">
        <v>45724</v>
      </c>
      <c r="D4760" t="inlineStr">
        <is>
          <t>VÄSTMANLANDS LÄN</t>
        </is>
      </c>
      <c r="E4760" t="inlineStr">
        <is>
          <t>ARBOGA</t>
        </is>
      </c>
      <c r="G4760" t="n">
        <v>2.7</v>
      </c>
      <c r="H4760" t="n">
        <v>0</v>
      </c>
      <c r="I4760" t="n">
        <v>0</v>
      </c>
      <c r="J4760" t="n">
        <v>0</v>
      </c>
      <c r="K4760" t="n">
        <v>0</v>
      </c>
      <c r="L4760" t="n">
        <v>0</v>
      </c>
      <c r="M4760" t="n">
        <v>0</v>
      </c>
      <c r="N4760" t="n">
        <v>0</v>
      </c>
      <c r="O4760" t="n">
        <v>0</v>
      </c>
      <c r="P4760" t="n">
        <v>0</v>
      </c>
      <c r="Q4760" t="n">
        <v>0</v>
      </c>
      <c r="R4760" s="2" t="inlineStr"/>
    </row>
    <row r="4761" ht="15" customHeight="1">
      <c r="A4761" t="inlineStr">
        <is>
          <t>A 54054-2024</t>
        </is>
      </c>
      <c r="B4761" s="1" t="n">
        <v>45615</v>
      </c>
      <c r="C4761" s="1" t="n">
        <v>45724</v>
      </c>
      <c r="D4761" t="inlineStr">
        <is>
          <t>VÄSTMANLANDS LÄN</t>
        </is>
      </c>
      <c r="E4761" t="inlineStr">
        <is>
          <t>ARBOGA</t>
        </is>
      </c>
      <c r="G4761" t="n">
        <v>3.2</v>
      </c>
      <c r="H4761" t="n">
        <v>0</v>
      </c>
      <c r="I4761" t="n">
        <v>0</v>
      </c>
      <c r="J4761" t="n">
        <v>0</v>
      </c>
      <c r="K4761" t="n">
        <v>0</v>
      </c>
      <c r="L4761" t="n">
        <v>0</v>
      </c>
      <c r="M4761" t="n">
        <v>0</v>
      </c>
      <c r="N4761" t="n">
        <v>0</v>
      </c>
      <c r="O4761" t="n">
        <v>0</v>
      </c>
      <c r="P4761" t="n">
        <v>0</v>
      </c>
      <c r="Q4761" t="n">
        <v>0</v>
      </c>
      <c r="R4761" s="2" t="inlineStr"/>
    </row>
    <row r="4762" ht="15" customHeight="1">
      <c r="A4762" t="inlineStr">
        <is>
          <t>A 54043-2024</t>
        </is>
      </c>
      <c r="B4762" s="1" t="n">
        <v>45616</v>
      </c>
      <c r="C4762" s="1" t="n">
        <v>45724</v>
      </c>
      <c r="D4762" t="inlineStr">
        <is>
          <t>VÄSTMANLANDS LÄN</t>
        </is>
      </c>
      <c r="E4762" t="inlineStr">
        <is>
          <t>SALA</t>
        </is>
      </c>
      <c r="G4762" t="n">
        <v>3.1</v>
      </c>
      <c r="H4762" t="n">
        <v>0</v>
      </c>
      <c r="I4762" t="n">
        <v>0</v>
      </c>
      <c r="J4762" t="n">
        <v>0</v>
      </c>
      <c r="K4762" t="n">
        <v>0</v>
      </c>
      <c r="L4762" t="n">
        <v>0</v>
      </c>
      <c r="M4762" t="n">
        <v>0</v>
      </c>
      <c r="N4762" t="n">
        <v>0</v>
      </c>
      <c r="O4762" t="n">
        <v>0</v>
      </c>
      <c r="P4762" t="n">
        <v>0</v>
      </c>
      <c r="Q4762" t="n">
        <v>0</v>
      </c>
      <c r="R4762" s="2" t="inlineStr"/>
    </row>
    <row r="4763" ht="15" customHeight="1">
      <c r="A4763" t="inlineStr">
        <is>
          <t>A 54199-2024</t>
        </is>
      </c>
      <c r="B4763" s="1" t="n">
        <v>45616</v>
      </c>
      <c r="C4763" s="1" t="n">
        <v>45724</v>
      </c>
      <c r="D4763" t="inlineStr">
        <is>
          <t>VÄSTMANLANDS LÄN</t>
        </is>
      </c>
      <c r="E4763" t="inlineStr">
        <is>
          <t>SALA</t>
        </is>
      </c>
      <c r="G4763" t="n">
        <v>0.5</v>
      </c>
      <c r="H4763" t="n">
        <v>0</v>
      </c>
      <c r="I4763" t="n">
        <v>0</v>
      </c>
      <c r="J4763" t="n">
        <v>0</v>
      </c>
      <c r="K4763" t="n">
        <v>0</v>
      </c>
      <c r="L4763" t="n">
        <v>0</v>
      </c>
      <c r="M4763" t="n">
        <v>0</v>
      </c>
      <c r="N4763" t="n">
        <v>0</v>
      </c>
      <c r="O4763" t="n">
        <v>0</v>
      </c>
      <c r="P4763" t="n">
        <v>0</v>
      </c>
      <c r="Q4763" t="n">
        <v>0</v>
      </c>
      <c r="R4763" s="2" t="inlineStr"/>
    </row>
    <row r="4764" ht="15" customHeight="1">
      <c r="A4764" t="inlineStr">
        <is>
          <t>A 54329-2024</t>
        </is>
      </c>
      <c r="B4764" s="1" t="n">
        <v>45617</v>
      </c>
      <c r="C4764" s="1" t="n">
        <v>45724</v>
      </c>
      <c r="D4764" t="inlineStr">
        <is>
          <t>VÄSTMANLANDS LÄN</t>
        </is>
      </c>
      <c r="E4764" t="inlineStr">
        <is>
          <t>SALA</t>
        </is>
      </c>
      <c r="G4764" t="n">
        <v>0.6</v>
      </c>
      <c r="H4764" t="n">
        <v>0</v>
      </c>
      <c r="I4764" t="n">
        <v>0</v>
      </c>
      <c r="J4764" t="n">
        <v>0</v>
      </c>
      <c r="K4764" t="n">
        <v>0</v>
      </c>
      <c r="L4764" t="n">
        <v>0</v>
      </c>
      <c r="M4764" t="n">
        <v>0</v>
      </c>
      <c r="N4764" t="n">
        <v>0</v>
      </c>
      <c r="O4764" t="n">
        <v>0</v>
      </c>
      <c r="P4764" t="n">
        <v>0</v>
      </c>
      <c r="Q4764" t="n">
        <v>0</v>
      </c>
      <c r="R4764" s="2" t="inlineStr"/>
    </row>
    <row r="4765" ht="15" customHeight="1">
      <c r="A4765" t="inlineStr">
        <is>
          <t>A 54510-2024</t>
        </is>
      </c>
      <c r="B4765" s="1" t="n">
        <v>45617</v>
      </c>
      <c r="C4765" s="1" t="n">
        <v>45724</v>
      </c>
      <c r="D4765" t="inlineStr">
        <is>
          <t>VÄSTMANLANDS LÄN</t>
        </is>
      </c>
      <c r="E4765" t="inlineStr">
        <is>
          <t>SKINNSKATTEBERG</t>
        </is>
      </c>
      <c r="G4765" t="n">
        <v>0.7</v>
      </c>
      <c r="H4765" t="n">
        <v>0</v>
      </c>
      <c r="I4765" t="n">
        <v>0</v>
      </c>
      <c r="J4765" t="n">
        <v>0</v>
      </c>
      <c r="K4765" t="n">
        <v>0</v>
      </c>
      <c r="L4765" t="n">
        <v>0</v>
      </c>
      <c r="M4765" t="n">
        <v>0</v>
      </c>
      <c r="N4765" t="n">
        <v>0</v>
      </c>
      <c r="O4765" t="n">
        <v>0</v>
      </c>
      <c r="P4765" t="n">
        <v>0</v>
      </c>
      <c r="Q4765" t="n">
        <v>0</v>
      </c>
      <c r="R4765" s="2" t="inlineStr"/>
    </row>
    <row r="4766" ht="15" customHeight="1">
      <c r="A4766" t="inlineStr">
        <is>
          <t>A 54439-2024</t>
        </is>
      </c>
      <c r="B4766" s="1" t="n">
        <v>45617</v>
      </c>
      <c r="C4766" s="1" t="n">
        <v>45724</v>
      </c>
      <c r="D4766" t="inlineStr">
        <is>
          <t>VÄSTMANLANDS LÄN</t>
        </is>
      </c>
      <c r="E4766" t="inlineStr">
        <is>
          <t>SKINNSKATTEBERG</t>
        </is>
      </c>
      <c r="G4766" t="n">
        <v>0.8</v>
      </c>
      <c r="H4766" t="n">
        <v>0</v>
      </c>
      <c r="I4766" t="n">
        <v>0</v>
      </c>
      <c r="J4766" t="n">
        <v>0</v>
      </c>
      <c r="K4766" t="n">
        <v>0</v>
      </c>
      <c r="L4766" t="n">
        <v>0</v>
      </c>
      <c r="M4766" t="n">
        <v>0</v>
      </c>
      <c r="N4766" t="n">
        <v>0</v>
      </c>
      <c r="O4766" t="n">
        <v>0</v>
      </c>
      <c r="P4766" t="n">
        <v>0</v>
      </c>
      <c r="Q4766" t="n">
        <v>0</v>
      </c>
      <c r="R4766" s="2" t="inlineStr"/>
    </row>
    <row r="4767" ht="15" customHeight="1">
      <c r="A4767" t="inlineStr">
        <is>
          <t>A 54483-2024</t>
        </is>
      </c>
      <c r="B4767" s="1" t="n">
        <v>45617</v>
      </c>
      <c r="C4767" s="1" t="n">
        <v>45724</v>
      </c>
      <c r="D4767" t="inlineStr">
        <is>
          <t>VÄSTMANLANDS LÄN</t>
        </is>
      </c>
      <c r="E4767" t="inlineStr">
        <is>
          <t>SKINNSKATTEBERG</t>
        </is>
      </c>
      <c r="G4767" t="n">
        <v>2</v>
      </c>
      <c r="H4767" t="n">
        <v>0</v>
      </c>
      <c r="I4767" t="n">
        <v>0</v>
      </c>
      <c r="J4767" t="n">
        <v>0</v>
      </c>
      <c r="K4767" t="n">
        <v>0</v>
      </c>
      <c r="L4767" t="n">
        <v>0</v>
      </c>
      <c r="M4767" t="n">
        <v>0</v>
      </c>
      <c r="N4767" t="n">
        <v>0</v>
      </c>
      <c r="O4767" t="n">
        <v>0</v>
      </c>
      <c r="P4767" t="n">
        <v>0</v>
      </c>
      <c r="Q4767" t="n">
        <v>0</v>
      </c>
      <c r="R4767" s="2" t="inlineStr"/>
    </row>
    <row r="4768" ht="15" customHeight="1">
      <c r="A4768" t="inlineStr">
        <is>
          <t>A 54534-2024</t>
        </is>
      </c>
      <c r="B4768" s="1" t="n">
        <v>45617</v>
      </c>
      <c r="C4768" s="1" t="n">
        <v>45724</v>
      </c>
      <c r="D4768" t="inlineStr">
        <is>
          <t>VÄSTMANLANDS LÄN</t>
        </is>
      </c>
      <c r="E4768" t="inlineStr">
        <is>
          <t>SKINNSKATTEBERG</t>
        </is>
      </c>
      <c r="G4768" t="n">
        <v>1</v>
      </c>
      <c r="H4768" t="n">
        <v>0</v>
      </c>
      <c r="I4768" t="n">
        <v>0</v>
      </c>
      <c r="J4768" t="n">
        <v>0</v>
      </c>
      <c r="K4768" t="n">
        <v>0</v>
      </c>
      <c r="L4768" t="n">
        <v>0</v>
      </c>
      <c r="M4768" t="n">
        <v>0</v>
      </c>
      <c r="N4768" t="n">
        <v>0</v>
      </c>
      <c r="O4768" t="n">
        <v>0</v>
      </c>
      <c r="P4768" t="n">
        <v>0</v>
      </c>
      <c r="Q4768" t="n">
        <v>0</v>
      </c>
      <c r="R4768" s="2" t="inlineStr"/>
    </row>
    <row r="4769" ht="15" customHeight="1">
      <c r="A4769" t="inlineStr">
        <is>
          <t>A 54542-2024</t>
        </is>
      </c>
      <c r="B4769" s="1" t="n">
        <v>45617</v>
      </c>
      <c r="C4769" s="1" t="n">
        <v>45724</v>
      </c>
      <c r="D4769" t="inlineStr">
        <is>
          <t>VÄSTMANLANDS LÄN</t>
        </is>
      </c>
      <c r="E4769" t="inlineStr">
        <is>
          <t>VÄSTERÅS</t>
        </is>
      </c>
      <c r="F4769" t="inlineStr">
        <is>
          <t>Sveaskog</t>
        </is>
      </c>
      <c r="G4769" t="n">
        <v>3.8</v>
      </c>
      <c r="H4769" t="n">
        <v>0</v>
      </c>
      <c r="I4769" t="n">
        <v>0</v>
      </c>
      <c r="J4769" t="n">
        <v>0</v>
      </c>
      <c r="K4769" t="n">
        <v>0</v>
      </c>
      <c r="L4769" t="n">
        <v>0</v>
      </c>
      <c r="M4769" t="n">
        <v>0</v>
      </c>
      <c r="N4769" t="n">
        <v>0</v>
      </c>
      <c r="O4769" t="n">
        <v>0</v>
      </c>
      <c r="P4769" t="n">
        <v>0</v>
      </c>
      <c r="Q4769" t="n">
        <v>0</v>
      </c>
      <c r="R4769" s="2" t="inlineStr"/>
    </row>
    <row r="4770" ht="15" customHeight="1">
      <c r="A4770" t="inlineStr">
        <is>
          <t>A 54603-2024</t>
        </is>
      </c>
      <c r="B4770" s="1" t="n">
        <v>45617</v>
      </c>
      <c r="C4770" s="1" t="n">
        <v>45724</v>
      </c>
      <c r="D4770" t="inlineStr">
        <is>
          <t>VÄSTMANLANDS LÄN</t>
        </is>
      </c>
      <c r="E4770" t="inlineStr">
        <is>
          <t>SALA</t>
        </is>
      </c>
      <c r="G4770" t="n">
        <v>1</v>
      </c>
      <c r="H4770" t="n">
        <v>0</v>
      </c>
      <c r="I4770" t="n">
        <v>0</v>
      </c>
      <c r="J4770" t="n">
        <v>0</v>
      </c>
      <c r="K4770" t="n">
        <v>0</v>
      </c>
      <c r="L4770" t="n">
        <v>0</v>
      </c>
      <c r="M4770" t="n">
        <v>0</v>
      </c>
      <c r="N4770" t="n">
        <v>0</v>
      </c>
      <c r="O4770" t="n">
        <v>0</v>
      </c>
      <c r="P4770" t="n">
        <v>0</v>
      </c>
      <c r="Q4770" t="n">
        <v>0</v>
      </c>
      <c r="R4770" s="2" t="inlineStr"/>
    </row>
    <row r="4771" ht="15" customHeight="1">
      <c r="A4771" t="inlineStr">
        <is>
          <t>A 54347-2024</t>
        </is>
      </c>
      <c r="B4771" s="1" t="n">
        <v>45617</v>
      </c>
      <c r="C4771" s="1" t="n">
        <v>45724</v>
      </c>
      <c r="D4771" t="inlineStr">
        <is>
          <t>VÄSTMANLANDS LÄN</t>
        </is>
      </c>
      <c r="E4771" t="inlineStr">
        <is>
          <t>SALA</t>
        </is>
      </c>
      <c r="G4771" t="n">
        <v>2</v>
      </c>
      <c r="H4771" t="n">
        <v>0</v>
      </c>
      <c r="I4771" t="n">
        <v>0</v>
      </c>
      <c r="J4771" t="n">
        <v>0</v>
      </c>
      <c r="K4771" t="n">
        <v>0</v>
      </c>
      <c r="L4771" t="n">
        <v>0</v>
      </c>
      <c r="M4771" t="n">
        <v>0</v>
      </c>
      <c r="N4771" t="n">
        <v>0</v>
      </c>
      <c r="O4771" t="n">
        <v>0</v>
      </c>
      <c r="P4771" t="n">
        <v>0</v>
      </c>
      <c r="Q4771" t="n">
        <v>0</v>
      </c>
      <c r="R4771" s="2" t="inlineStr"/>
    </row>
    <row r="4772" ht="15" customHeight="1">
      <c r="A4772" t="inlineStr">
        <is>
          <t>A 54528-2024</t>
        </is>
      </c>
      <c r="B4772" s="1" t="n">
        <v>45617</v>
      </c>
      <c r="C4772" s="1" t="n">
        <v>45724</v>
      </c>
      <c r="D4772" t="inlineStr">
        <is>
          <t>VÄSTMANLANDS LÄN</t>
        </is>
      </c>
      <c r="E4772" t="inlineStr">
        <is>
          <t>VÄSTERÅS</t>
        </is>
      </c>
      <c r="F4772" t="inlineStr">
        <is>
          <t>Sveaskog</t>
        </is>
      </c>
      <c r="G4772" t="n">
        <v>9.4</v>
      </c>
      <c r="H4772" t="n">
        <v>0</v>
      </c>
      <c r="I4772" t="n">
        <v>0</v>
      </c>
      <c r="J4772" t="n">
        <v>0</v>
      </c>
      <c r="K4772" t="n">
        <v>0</v>
      </c>
      <c r="L4772" t="n">
        <v>0</v>
      </c>
      <c r="M4772" t="n">
        <v>0</v>
      </c>
      <c r="N4772" t="n">
        <v>0</v>
      </c>
      <c r="O4772" t="n">
        <v>0</v>
      </c>
      <c r="P4772" t="n">
        <v>0</v>
      </c>
      <c r="Q4772" t="n">
        <v>0</v>
      </c>
      <c r="R4772" s="2" t="inlineStr"/>
    </row>
    <row r="4773" ht="15" customHeight="1">
      <c r="A4773" t="inlineStr">
        <is>
          <t>A 54536-2024</t>
        </is>
      </c>
      <c r="B4773" s="1" t="n">
        <v>45617</v>
      </c>
      <c r="C4773" s="1" t="n">
        <v>45724</v>
      </c>
      <c r="D4773" t="inlineStr">
        <is>
          <t>VÄSTMANLANDS LÄN</t>
        </is>
      </c>
      <c r="E4773" t="inlineStr">
        <is>
          <t>VÄSTERÅS</t>
        </is>
      </c>
      <c r="F4773" t="inlineStr">
        <is>
          <t>Sveaskog</t>
        </is>
      </c>
      <c r="G4773" t="n">
        <v>4</v>
      </c>
      <c r="H4773" t="n">
        <v>0</v>
      </c>
      <c r="I4773" t="n">
        <v>0</v>
      </c>
      <c r="J4773" t="n">
        <v>0</v>
      </c>
      <c r="K4773" t="n">
        <v>0</v>
      </c>
      <c r="L4773" t="n">
        <v>0</v>
      </c>
      <c r="M4773" t="n">
        <v>0</v>
      </c>
      <c r="N4773" t="n">
        <v>0</v>
      </c>
      <c r="O4773" t="n">
        <v>0</v>
      </c>
      <c r="P4773" t="n">
        <v>0</v>
      </c>
      <c r="Q4773" t="n">
        <v>0</v>
      </c>
      <c r="R4773" s="2" t="inlineStr"/>
    </row>
    <row r="4774" ht="15" customHeight="1">
      <c r="A4774" t="inlineStr">
        <is>
          <t>A 54540-2024</t>
        </is>
      </c>
      <c r="B4774" s="1" t="n">
        <v>45617</v>
      </c>
      <c r="C4774" s="1" t="n">
        <v>45724</v>
      </c>
      <c r="D4774" t="inlineStr">
        <is>
          <t>VÄSTMANLANDS LÄN</t>
        </is>
      </c>
      <c r="E4774" t="inlineStr">
        <is>
          <t>VÄSTERÅS</t>
        </is>
      </c>
      <c r="F4774" t="inlineStr">
        <is>
          <t>Sveaskog</t>
        </is>
      </c>
      <c r="G4774" t="n">
        <v>5.2</v>
      </c>
      <c r="H4774" t="n">
        <v>0</v>
      </c>
      <c r="I4774" t="n">
        <v>0</v>
      </c>
      <c r="J4774" t="n">
        <v>0</v>
      </c>
      <c r="K4774" t="n">
        <v>0</v>
      </c>
      <c r="L4774" t="n">
        <v>0</v>
      </c>
      <c r="M4774" t="n">
        <v>0</v>
      </c>
      <c r="N4774" t="n">
        <v>0</v>
      </c>
      <c r="O4774" t="n">
        <v>0</v>
      </c>
      <c r="P4774" t="n">
        <v>0</v>
      </c>
      <c r="Q4774" t="n">
        <v>0</v>
      </c>
      <c r="R4774" s="2" t="inlineStr"/>
    </row>
    <row r="4775" ht="15" customHeight="1">
      <c r="A4775" t="inlineStr">
        <is>
          <t>A 54576-2024</t>
        </is>
      </c>
      <c r="B4775" s="1" t="n">
        <v>45617</v>
      </c>
      <c r="C4775" s="1" t="n">
        <v>45724</v>
      </c>
      <c r="D4775" t="inlineStr">
        <is>
          <t>VÄSTMANLANDS LÄN</t>
        </is>
      </c>
      <c r="E4775" t="inlineStr">
        <is>
          <t>SKINNSKATTEBERG</t>
        </is>
      </c>
      <c r="G4775" t="n">
        <v>1.3</v>
      </c>
      <c r="H4775" t="n">
        <v>0</v>
      </c>
      <c r="I4775" t="n">
        <v>0</v>
      </c>
      <c r="J4775" t="n">
        <v>0</v>
      </c>
      <c r="K4775" t="n">
        <v>0</v>
      </c>
      <c r="L4775" t="n">
        <v>0</v>
      </c>
      <c r="M4775" t="n">
        <v>0</v>
      </c>
      <c r="N4775" t="n">
        <v>0</v>
      </c>
      <c r="O4775" t="n">
        <v>0</v>
      </c>
      <c r="P4775" t="n">
        <v>0</v>
      </c>
      <c r="Q4775" t="n">
        <v>0</v>
      </c>
      <c r="R4775" s="2" t="inlineStr"/>
    </row>
    <row r="4776" ht="15" customHeight="1">
      <c r="A4776" t="inlineStr">
        <is>
          <t>A 54441-2024</t>
        </is>
      </c>
      <c r="B4776" s="1" t="n">
        <v>45617</v>
      </c>
      <c r="C4776" s="1" t="n">
        <v>45724</v>
      </c>
      <c r="D4776" t="inlineStr">
        <is>
          <t>VÄSTMANLANDS LÄN</t>
        </is>
      </c>
      <c r="E4776" t="inlineStr">
        <is>
          <t>SKINNSKATTEBERG</t>
        </is>
      </c>
      <c r="G4776" t="n">
        <v>0.8</v>
      </c>
      <c r="H4776" t="n">
        <v>0</v>
      </c>
      <c r="I4776" t="n">
        <v>0</v>
      </c>
      <c r="J4776" t="n">
        <v>0</v>
      </c>
      <c r="K4776" t="n">
        <v>0</v>
      </c>
      <c r="L4776" t="n">
        <v>0</v>
      </c>
      <c r="M4776" t="n">
        <v>0</v>
      </c>
      <c r="N4776" t="n">
        <v>0</v>
      </c>
      <c r="O4776" t="n">
        <v>0</v>
      </c>
      <c r="P4776" t="n">
        <v>0</v>
      </c>
      <c r="Q4776" t="n">
        <v>0</v>
      </c>
      <c r="R4776" s="2" t="inlineStr"/>
    </row>
    <row r="4777" ht="15" customHeight="1">
      <c r="A4777" t="inlineStr">
        <is>
          <t>A 54501-2024</t>
        </is>
      </c>
      <c r="B4777" s="1" t="n">
        <v>45617</v>
      </c>
      <c r="C4777" s="1" t="n">
        <v>45724</v>
      </c>
      <c r="D4777" t="inlineStr">
        <is>
          <t>VÄSTMANLANDS LÄN</t>
        </is>
      </c>
      <c r="E4777" t="inlineStr">
        <is>
          <t>SKINNSKATTEBERG</t>
        </is>
      </c>
      <c r="G4777" t="n">
        <v>1.4</v>
      </c>
      <c r="H4777" t="n">
        <v>0</v>
      </c>
      <c r="I4777" t="n">
        <v>0</v>
      </c>
      <c r="J4777" t="n">
        <v>0</v>
      </c>
      <c r="K4777" t="n">
        <v>0</v>
      </c>
      <c r="L4777" t="n">
        <v>0</v>
      </c>
      <c r="M4777" t="n">
        <v>0</v>
      </c>
      <c r="N4777" t="n">
        <v>0</v>
      </c>
      <c r="O4777" t="n">
        <v>0</v>
      </c>
      <c r="P4777" t="n">
        <v>0</v>
      </c>
      <c r="Q4777" t="n">
        <v>0</v>
      </c>
      <c r="R4777" s="2" t="inlineStr"/>
    </row>
    <row r="4778" ht="15" customHeight="1">
      <c r="A4778" t="inlineStr">
        <is>
          <t>A 54537-2024</t>
        </is>
      </c>
      <c r="B4778" s="1" t="n">
        <v>45617</v>
      </c>
      <c r="C4778" s="1" t="n">
        <v>45724</v>
      </c>
      <c r="D4778" t="inlineStr">
        <is>
          <t>VÄSTMANLANDS LÄN</t>
        </is>
      </c>
      <c r="E4778" t="inlineStr">
        <is>
          <t>VÄSTERÅS</t>
        </is>
      </c>
      <c r="F4778" t="inlineStr">
        <is>
          <t>Sveaskog</t>
        </is>
      </c>
      <c r="G4778" t="n">
        <v>1.9</v>
      </c>
      <c r="H4778" t="n">
        <v>0</v>
      </c>
      <c r="I4778" t="n">
        <v>0</v>
      </c>
      <c r="J4778" t="n">
        <v>0</v>
      </c>
      <c r="K4778" t="n">
        <v>0</v>
      </c>
      <c r="L4778" t="n">
        <v>0</v>
      </c>
      <c r="M4778" t="n">
        <v>0</v>
      </c>
      <c r="N4778" t="n">
        <v>0</v>
      </c>
      <c r="O4778" t="n">
        <v>0</v>
      </c>
      <c r="P4778" t="n">
        <v>0</v>
      </c>
      <c r="Q4778" t="n">
        <v>0</v>
      </c>
      <c r="R4778" s="2" t="inlineStr"/>
    </row>
    <row r="4779" ht="15" customHeight="1">
      <c r="A4779" t="inlineStr">
        <is>
          <t>A 54589-2024</t>
        </is>
      </c>
      <c r="B4779" s="1" t="n">
        <v>45617</v>
      </c>
      <c r="C4779" s="1" t="n">
        <v>45724</v>
      </c>
      <c r="D4779" t="inlineStr">
        <is>
          <t>VÄSTMANLANDS LÄN</t>
        </is>
      </c>
      <c r="E4779" t="inlineStr">
        <is>
          <t>SKINNSKATTEBERG</t>
        </is>
      </c>
      <c r="G4779" t="n">
        <v>1</v>
      </c>
      <c r="H4779" t="n">
        <v>0</v>
      </c>
      <c r="I4779" t="n">
        <v>0</v>
      </c>
      <c r="J4779" t="n">
        <v>0</v>
      </c>
      <c r="K4779" t="n">
        <v>0</v>
      </c>
      <c r="L4779" t="n">
        <v>0</v>
      </c>
      <c r="M4779" t="n">
        <v>0</v>
      </c>
      <c r="N4779" t="n">
        <v>0</v>
      </c>
      <c r="O4779" t="n">
        <v>0</v>
      </c>
      <c r="P4779" t="n">
        <v>0</v>
      </c>
      <c r="Q4779" t="n">
        <v>0</v>
      </c>
      <c r="R4779" s="2" t="inlineStr"/>
    </row>
    <row r="4780" ht="15" customHeight="1">
      <c r="A4780" t="inlineStr">
        <is>
          <t>A 54867-2024</t>
        </is>
      </c>
      <c r="B4780" s="1" t="n">
        <v>45618</v>
      </c>
      <c r="C4780" s="1" t="n">
        <v>45724</v>
      </c>
      <c r="D4780" t="inlineStr">
        <is>
          <t>VÄSTMANLANDS LÄN</t>
        </is>
      </c>
      <c r="E4780" t="inlineStr">
        <is>
          <t>KÖPING</t>
        </is>
      </c>
      <c r="F4780" t="inlineStr">
        <is>
          <t>Sveaskog</t>
        </is>
      </c>
      <c r="G4780" t="n">
        <v>11.1</v>
      </c>
      <c r="H4780" t="n">
        <v>0</v>
      </c>
      <c r="I4780" t="n">
        <v>0</v>
      </c>
      <c r="J4780" t="n">
        <v>0</v>
      </c>
      <c r="K4780" t="n">
        <v>0</v>
      </c>
      <c r="L4780" t="n">
        <v>0</v>
      </c>
      <c r="M4780" t="n">
        <v>0</v>
      </c>
      <c r="N4780" t="n">
        <v>0</v>
      </c>
      <c r="O4780" t="n">
        <v>0</v>
      </c>
      <c r="P4780" t="n">
        <v>0</v>
      </c>
      <c r="Q4780" t="n">
        <v>0</v>
      </c>
      <c r="R4780" s="2" t="inlineStr"/>
    </row>
    <row r="4781" ht="15" customHeight="1">
      <c r="A4781" t="inlineStr">
        <is>
          <t>A 54721-2024</t>
        </is>
      </c>
      <c r="B4781" s="1" t="n">
        <v>45618</v>
      </c>
      <c r="C4781" s="1" t="n">
        <v>45724</v>
      </c>
      <c r="D4781" t="inlineStr">
        <is>
          <t>VÄSTMANLANDS LÄN</t>
        </is>
      </c>
      <c r="E4781" t="inlineStr">
        <is>
          <t>NORBERG</t>
        </is>
      </c>
      <c r="G4781" t="n">
        <v>5.8</v>
      </c>
      <c r="H4781" t="n">
        <v>0</v>
      </c>
      <c r="I4781" t="n">
        <v>0</v>
      </c>
      <c r="J4781" t="n">
        <v>0</v>
      </c>
      <c r="K4781" t="n">
        <v>0</v>
      </c>
      <c r="L4781" t="n">
        <v>0</v>
      </c>
      <c r="M4781" t="n">
        <v>0</v>
      </c>
      <c r="N4781" t="n">
        <v>0</v>
      </c>
      <c r="O4781" t="n">
        <v>0</v>
      </c>
      <c r="P4781" t="n">
        <v>0</v>
      </c>
      <c r="Q4781" t="n">
        <v>0</v>
      </c>
      <c r="R4781" s="2" t="inlineStr"/>
    </row>
    <row r="4782" ht="15" customHeight="1">
      <c r="A4782" t="inlineStr">
        <is>
          <t>A 54774-2024</t>
        </is>
      </c>
      <c r="B4782" s="1" t="n">
        <v>45618</v>
      </c>
      <c r="C4782" s="1" t="n">
        <v>45724</v>
      </c>
      <c r="D4782" t="inlineStr">
        <is>
          <t>VÄSTMANLANDS LÄN</t>
        </is>
      </c>
      <c r="E4782" t="inlineStr">
        <is>
          <t>SALA</t>
        </is>
      </c>
      <c r="G4782" t="n">
        <v>0.5</v>
      </c>
      <c r="H4782" t="n">
        <v>0</v>
      </c>
      <c r="I4782" t="n">
        <v>0</v>
      </c>
      <c r="J4782" t="n">
        <v>0</v>
      </c>
      <c r="K4782" t="n">
        <v>0</v>
      </c>
      <c r="L4782" t="n">
        <v>0</v>
      </c>
      <c r="M4782" t="n">
        <v>0</v>
      </c>
      <c r="N4782" t="n">
        <v>0</v>
      </c>
      <c r="O4782" t="n">
        <v>0</v>
      </c>
      <c r="P4782" t="n">
        <v>0</v>
      </c>
      <c r="Q4782" t="n">
        <v>0</v>
      </c>
      <c r="R4782" s="2" t="inlineStr"/>
    </row>
    <row r="4783" ht="15" customHeight="1">
      <c r="A4783" t="inlineStr">
        <is>
          <t>A 54782-2024</t>
        </is>
      </c>
      <c r="B4783" s="1" t="n">
        <v>45618</v>
      </c>
      <c r="C4783" s="1" t="n">
        <v>45724</v>
      </c>
      <c r="D4783" t="inlineStr">
        <is>
          <t>VÄSTMANLANDS LÄN</t>
        </is>
      </c>
      <c r="E4783" t="inlineStr">
        <is>
          <t>SALA</t>
        </is>
      </c>
      <c r="G4783" t="n">
        <v>1.6</v>
      </c>
      <c r="H4783" t="n">
        <v>0</v>
      </c>
      <c r="I4783" t="n">
        <v>0</v>
      </c>
      <c r="J4783" t="n">
        <v>0</v>
      </c>
      <c r="K4783" t="n">
        <v>0</v>
      </c>
      <c r="L4783" t="n">
        <v>0</v>
      </c>
      <c r="M4783" t="n">
        <v>0</v>
      </c>
      <c r="N4783" t="n">
        <v>0</v>
      </c>
      <c r="O4783" t="n">
        <v>0</v>
      </c>
      <c r="P4783" t="n">
        <v>0</v>
      </c>
      <c r="Q4783" t="n">
        <v>0</v>
      </c>
      <c r="R4783" s="2" t="inlineStr"/>
    </row>
    <row r="4784" ht="15" customHeight="1">
      <c r="A4784" t="inlineStr">
        <is>
          <t>A 54871-2024</t>
        </is>
      </c>
      <c r="B4784" s="1" t="n">
        <v>45618</v>
      </c>
      <c r="C4784" s="1" t="n">
        <v>45724</v>
      </c>
      <c r="D4784" t="inlineStr">
        <is>
          <t>VÄSTMANLANDS LÄN</t>
        </is>
      </c>
      <c r="E4784" t="inlineStr">
        <is>
          <t>KÖPING</t>
        </is>
      </c>
      <c r="F4784" t="inlineStr">
        <is>
          <t>Sveaskog</t>
        </is>
      </c>
      <c r="G4784" t="n">
        <v>3.1</v>
      </c>
      <c r="H4784" t="n">
        <v>0</v>
      </c>
      <c r="I4784" t="n">
        <v>0</v>
      </c>
      <c r="J4784" t="n">
        <v>0</v>
      </c>
      <c r="K4784" t="n">
        <v>0</v>
      </c>
      <c r="L4784" t="n">
        <v>0</v>
      </c>
      <c r="M4784" t="n">
        <v>0</v>
      </c>
      <c r="N4784" t="n">
        <v>0</v>
      </c>
      <c r="O4784" t="n">
        <v>0</v>
      </c>
      <c r="P4784" t="n">
        <v>0</v>
      </c>
      <c r="Q4784" t="n">
        <v>0</v>
      </c>
      <c r="R4784" s="2" t="inlineStr"/>
    </row>
    <row r="4785" ht="15" customHeight="1">
      <c r="A4785" t="inlineStr">
        <is>
          <t>A 54835-2024</t>
        </is>
      </c>
      <c r="B4785" s="1" t="n">
        <v>45618</v>
      </c>
      <c r="C4785" s="1" t="n">
        <v>45724</v>
      </c>
      <c r="D4785" t="inlineStr">
        <is>
          <t>VÄSTMANLANDS LÄN</t>
        </is>
      </c>
      <c r="E4785" t="inlineStr">
        <is>
          <t>SALA</t>
        </is>
      </c>
      <c r="G4785" t="n">
        <v>2</v>
      </c>
      <c r="H4785" t="n">
        <v>0</v>
      </c>
      <c r="I4785" t="n">
        <v>0</v>
      </c>
      <c r="J4785" t="n">
        <v>0</v>
      </c>
      <c r="K4785" t="n">
        <v>0</v>
      </c>
      <c r="L4785" t="n">
        <v>0</v>
      </c>
      <c r="M4785" t="n">
        <v>0</v>
      </c>
      <c r="N4785" t="n">
        <v>0</v>
      </c>
      <c r="O4785" t="n">
        <v>0</v>
      </c>
      <c r="P4785" t="n">
        <v>0</v>
      </c>
      <c r="Q4785" t="n">
        <v>0</v>
      </c>
      <c r="R4785" s="2" t="inlineStr"/>
    </row>
    <row r="4786" ht="15" customHeight="1">
      <c r="A4786" t="inlineStr">
        <is>
          <t>A 55065-2024</t>
        </is>
      </c>
      <c r="B4786" s="1" t="n">
        <v>45618</v>
      </c>
      <c r="C4786" s="1" t="n">
        <v>45724</v>
      </c>
      <c r="D4786" t="inlineStr">
        <is>
          <t>VÄSTMANLANDS LÄN</t>
        </is>
      </c>
      <c r="E4786" t="inlineStr">
        <is>
          <t>SALA</t>
        </is>
      </c>
      <c r="G4786" t="n">
        <v>3.5</v>
      </c>
      <c r="H4786" t="n">
        <v>0</v>
      </c>
      <c r="I4786" t="n">
        <v>0</v>
      </c>
      <c r="J4786" t="n">
        <v>0</v>
      </c>
      <c r="K4786" t="n">
        <v>0</v>
      </c>
      <c r="L4786" t="n">
        <v>0</v>
      </c>
      <c r="M4786" t="n">
        <v>0</v>
      </c>
      <c r="N4786" t="n">
        <v>0</v>
      </c>
      <c r="O4786" t="n">
        <v>0</v>
      </c>
      <c r="P4786" t="n">
        <v>0</v>
      </c>
      <c r="Q4786" t="n">
        <v>0</v>
      </c>
      <c r="R4786" s="2" t="inlineStr"/>
    </row>
    <row r="4787" ht="15" customHeight="1">
      <c r="A4787" t="inlineStr">
        <is>
          <t>A 54836-2024</t>
        </is>
      </c>
      <c r="B4787" s="1" t="n">
        <v>45618</v>
      </c>
      <c r="C4787" s="1" t="n">
        <v>45724</v>
      </c>
      <c r="D4787" t="inlineStr">
        <is>
          <t>VÄSTMANLANDS LÄN</t>
        </is>
      </c>
      <c r="E4787" t="inlineStr">
        <is>
          <t>SALA</t>
        </is>
      </c>
      <c r="G4787" t="n">
        <v>0.6</v>
      </c>
      <c r="H4787" t="n">
        <v>0</v>
      </c>
      <c r="I4787" t="n">
        <v>0</v>
      </c>
      <c r="J4787" t="n">
        <v>0</v>
      </c>
      <c r="K4787" t="n">
        <v>0</v>
      </c>
      <c r="L4787" t="n">
        <v>0</v>
      </c>
      <c r="M4787" t="n">
        <v>0</v>
      </c>
      <c r="N4787" t="n">
        <v>0</v>
      </c>
      <c r="O4787" t="n">
        <v>0</v>
      </c>
      <c r="P4787" t="n">
        <v>0</v>
      </c>
      <c r="Q4787" t="n">
        <v>0</v>
      </c>
      <c r="R4787" s="2" t="inlineStr"/>
    </row>
    <row r="4788" ht="15" customHeight="1">
      <c r="A4788" t="inlineStr">
        <is>
          <t>A 55101-2024</t>
        </is>
      </c>
      <c r="B4788" s="1" t="n">
        <v>45618</v>
      </c>
      <c r="C4788" s="1" t="n">
        <v>45724</v>
      </c>
      <c r="D4788" t="inlineStr">
        <is>
          <t>VÄSTMANLANDS LÄN</t>
        </is>
      </c>
      <c r="E4788" t="inlineStr">
        <is>
          <t>SALA</t>
        </is>
      </c>
      <c r="G4788" t="n">
        <v>2.1</v>
      </c>
      <c r="H4788" t="n">
        <v>0</v>
      </c>
      <c r="I4788" t="n">
        <v>0</v>
      </c>
      <c r="J4788" t="n">
        <v>0</v>
      </c>
      <c r="K4788" t="n">
        <v>0</v>
      </c>
      <c r="L4788" t="n">
        <v>0</v>
      </c>
      <c r="M4788" t="n">
        <v>0</v>
      </c>
      <c r="N4788" t="n">
        <v>0</v>
      </c>
      <c r="O4788" t="n">
        <v>0</v>
      </c>
      <c r="P4788" t="n">
        <v>0</v>
      </c>
      <c r="Q4788" t="n">
        <v>0</v>
      </c>
      <c r="R4788" s="2" t="inlineStr"/>
    </row>
    <row r="4789" ht="15" customHeight="1">
      <c r="A4789" t="inlineStr">
        <is>
          <t>A 54771-2024</t>
        </is>
      </c>
      <c r="B4789" s="1" t="n">
        <v>45618</v>
      </c>
      <c r="C4789" s="1" t="n">
        <v>45724</v>
      </c>
      <c r="D4789" t="inlineStr">
        <is>
          <t>VÄSTMANLANDS LÄN</t>
        </is>
      </c>
      <c r="E4789" t="inlineStr">
        <is>
          <t>SALA</t>
        </is>
      </c>
      <c r="G4789" t="n">
        <v>2.8</v>
      </c>
      <c r="H4789" t="n">
        <v>0</v>
      </c>
      <c r="I4789" t="n">
        <v>0</v>
      </c>
      <c r="J4789" t="n">
        <v>0</v>
      </c>
      <c r="K4789" t="n">
        <v>0</v>
      </c>
      <c r="L4789" t="n">
        <v>0</v>
      </c>
      <c r="M4789" t="n">
        <v>0</v>
      </c>
      <c r="N4789" t="n">
        <v>0</v>
      </c>
      <c r="O4789" t="n">
        <v>0</v>
      </c>
      <c r="P4789" t="n">
        <v>0</v>
      </c>
      <c r="Q4789" t="n">
        <v>0</v>
      </c>
      <c r="R4789" s="2" t="inlineStr"/>
    </row>
    <row r="4790" ht="15" customHeight="1">
      <c r="A4790" t="inlineStr">
        <is>
          <t>A 55107-2024</t>
        </is>
      </c>
      <c r="B4790" s="1" t="n">
        <v>45618</v>
      </c>
      <c r="C4790" s="1" t="n">
        <v>45724</v>
      </c>
      <c r="D4790" t="inlineStr">
        <is>
          <t>VÄSTMANLANDS LÄN</t>
        </is>
      </c>
      <c r="E4790" t="inlineStr">
        <is>
          <t>SALA</t>
        </is>
      </c>
      <c r="G4790" t="n">
        <v>5.9</v>
      </c>
      <c r="H4790" t="n">
        <v>0</v>
      </c>
      <c r="I4790" t="n">
        <v>0</v>
      </c>
      <c r="J4790" t="n">
        <v>0</v>
      </c>
      <c r="K4790" t="n">
        <v>0</v>
      </c>
      <c r="L4790" t="n">
        <v>0</v>
      </c>
      <c r="M4790" t="n">
        <v>0</v>
      </c>
      <c r="N4790" t="n">
        <v>0</v>
      </c>
      <c r="O4790" t="n">
        <v>0</v>
      </c>
      <c r="P4790" t="n">
        <v>0</v>
      </c>
      <c r="Q4790" t="n">
        <v>0</v>
      </c>
      <c r="R4790" s="2" t="inlineStr"/>
    </row>
    <row r="4791" ht="15" customHeight="1">
      <c r="A4791" t="inlineStr">
        <is>
          <t>A 54869-2024</t>
        </is>
      </c>
      <c r="B4791" s="1" t="n">
        <v>45618</v>
      </c>
      <c r="C4791" s="1" t="n">
        <v>45724</v>
      </c>
      <c r="D4791" t="inlineStr">
        <is>
          <t>VÄSTMANLANDS LÄN</t>
        </is>
      </c>
      <c r="E4791" t="inlineStr">
        <is>
          <t>KÖPING</t>
        </is>
      </c>
      <c r="F4791" t="inlineStr">
        <is>
          <t>Sveaskog</t>
        </is>
      </c>
      <c r="G4791" t="n">
        <v>1.7</v>
      </c>
      <c r="H4791" t="n">
        <v>0</v>
      </c>
      <c r="I4791" t="n">
        <v>0</v>
      </c>
      <c r="J4791" t="n">
        <v>0</v>
      </c>
      <c r="K4791" t="n">
        <v>0</v>
      </c>
      <c r="L4791" t="n">
        <v>0</v>
      </c>
      <c r="M4791" t="n">
        <v>0</v>
      </c>
      <c r="N4791" t="n">
        <v>0</v>
      </c>
      <c r="O4791" t="n">
        <v>0</v>
      </c>
      <c r="P4791" t="n">
        <v>0</v>
      </c>
      <c r="Q4791" t="n">
        <v>0</v>
      </c>
      <c r="R4791" s="2" t="inlineStr"/>
    </row>
    <row r="4792" ht="15" customHeight="1">
      <c r="A4792" t="inlineStr">
        <is>
          <t>A 54768-2024</t>
        </is>
      </c>
      <c r="B4792" s="1" t="n">
        <v>45618</v>
      </c>
      <c r="C4792" s="1" t="n">
        <v>45724</v>
      </c>
      <c r="D4792" t="inlineStr">
        <is>
          <t>VÄSTMANLANDS LÄN</t>
        </is>
      </c>
      <c r="E4792" t="inlineStr">
        <is>
          <t>SALA</t>
        </is>
      </c>
      <c r="G4792" t="n">
        <v>2.4</v>
      </c>
      <c r="H4792" t="n">
        <v>0</v>
      </c>
      <c r="I4792" t="n">
        <v>0</v>
      </c>
      <c r="J4792" t="n">
        <v>0</v>
      </c>
      <c r="K4792" t="n">
        <v>0</v>
      </c>
      <c r="L4792" t="n">
        <v>0</v>
      </c>
      <c r="M4792" t="n">
        <v>0</v>
      </c>
      <c r="N4792" t="n">
        <v>0</v>
      </c>
      <c r="O4792" t="n">
        <v>0</v>
      </c>
      <c r="P4792" t="n">
        <v>0</v>
      </c>
      <c r="Q4792" t="n">
        <v>0</v>
      </c>
      <c r="R4792" s="2" t="inlineStr"/>
    </row>
    <row r="4793" ht="15" customHeight="1">
      <c r="A4793" t="inlineStr">
        <is>
          <t>A 54870-2024</t>
        </is>
      </c>
      <c r="B4793" s="1" t="n">
        <v>45618</v>
      </c>
      <c r="C4793" s="1" t="n">
        <v>45724</v>
      </c>
      <c r="D4793" t="inlineStr">
        <is>
          <t>VÄSTMANLANDS LÄN</t>
        </is>
      </c>
      <c r="E4793" t="inlineStr">
        <is>
          <t>KÖPING</t>
        </is>
      </c>
      <c r="F4793" t="inlineStr">
        <is>
          <t>Sveaskog</t>
        </is>
      </c>
      <c r="G4793" t="n">
        <v>0.6</v>
      </c>
      <c r="H4793" t="n">
        <v>0</v>
      </c>
      <c r="I4793" t="n">
        <v>0</v>
      </c>
      <c r="J4793" t="n">
        <v>0</v>
      </c>
      <c r="K4793" t="n">
        <v>0</v>
      </c>
      <c r="L4793" t="n">
        <v>0</v>
      </c>
      <c r="M4793" t="n">
        <v>0</v>
      </c>
      <c r="N4793" t="n">
        <v>0</v>
      </c>
      <c r="O4793" t="n">
        <v>0</v>
      </c>
      <c r="P4793" t="n">
        <v>0</v>
      </c>
      <c r="Q4793" t="n">
        <v>0</v>
      </c>
      <c r="R4793" s="2" t="inlineStr"/>
    </row>
    <row r="4794" ht="15" customHeight="1">
      <c r="A4794" t="inlineStr">
        <is>
          <t>A 54671-2024</t>
        </is>
      </c>
      <c r="B4794" s="1" t="n">
        <v>45618</v>
      </c>
      <c r="C4794" s="1" t="n">
        <v>45724</v>
      </c>
      <c r="D4794" t="inlineStr">
        <is>
          <t>VÄSTMANLANDS LÄN</t>
        </is>
      </c>
      <c r="E4794" t="inlineStr">
        <is>
          <t>SURAHAMMAR</t>
        </is>
      </c>
      <c r="G4794" t="n">
        <v>1.2</v>
      </c>
      <c r="H4794" t="n">
        <v>0</v>
      </c>
      <c r="I4794" t="n">
        <v>0</v>
      </c>
      <c r="J4794" t="n">
        <v>0</v>
      </c>
      <c r="K4794" t="n">
        <v>0</v>
      </c>
      <c r="L4794" t="n">
        <v>0</v>
      </c>
      <c r="M4794" t="n">
        <v>0</v>
      </c>
      <c r="N4794" t="n">
        <v>0</v>
      </c>
      <c r="O4794" t="n">
        <v>0</v>
      </c>
      <c r="P4794" t="n">
        <v>0</v>
      </c>
      <c r="Q4794" t="n">
        <v>0</v>
      </c>
      <c r="R4794" s="2" t="inlineStr"/>
    </row>
    <row r="4795" ht="15" customHeight="1">
      <c r="A4795" t="inlineStr">
        <is>
          <t>A 54959-2024</t>
        </is>
      </c>
      <c r="B4795" s="1" t="n">
        <v>45619</v>
      </c>
      <c r="C4795" s="1" t="n">
        <v>45724</v>
      </c>
      <c r="D4795" t="inlineStr">
        <is>
          <t>VÄSTMANLANDS LÄN</t>
        </is>
      </c>
      <c r="E4795" t="inlineStr">
        <is>
          <t>SALA</t>
        </is>
      </c>
      <c r="G4795" t="n">
        <v>1.3</v>
      </c>
      <c r="H4795" t="n">
        <v>0</v>
      </c>
      <c r="I4795" t="n">
        <v>0</v>
      </c>
      <c r="J4795" t="n">
        <v>0</v>
      </c>
      <c r="K4795" t="n">
        <v>0</v>
      </c>
      <c r="L4795" t="n">
        <v>0</v>
      </c>
      <c r="M4795" t="n">
        <v>0</v>
      </c>
      <c r="N4795" t="n">
        <v>0</v>
      </c>
      <c r="O4795" t="n">
        <v>0</v>
      </c>
      <c r="P4795" t="n">
        <v>0</v>
      </c>
      <c r="Q4795" t="n">
        <v>0</v>
      </c>
      <c r="R4795" s="2" t="inlineStr"/>
    </row>
    <row r="4796" ht="15" customHeight="1">
      <c r="A4796" t="inlineStr">
        <is>
          <t>A 54960-2024</t>
        </is>
      </c>
      <c r="B4796" s="1" t="n">
        <v>45619</v>
      </c>
      <c r="C4796" s="1" t="n">
        <v>45724</v>
      </c>
      <c r="D4796" t="inlineStr">
        <is>
          <t>VÄSTMANLANDS LÄN</t>
        </is>
      </c>
      <c r="E4796" t="inlineStr">
        <is>
          <t>SALA</t>
        </is>
      </c>
      <c r="G4796" t="n">
        <v>2.6</v>
      </c>
      <c r="H4796" t="n">
        <v>0</v>
      </c>
      <c r="I4796" t="n">
        <v>0</v>
      </c>
      <c r="J4796" t="n">
        <v>0</v>
      </c>
      <c r="K4796" t="n">
        <v>0</v>
      </c>
      <c r="L4796" t="n">
        <v>0</v>
      </c>
      <c r="M4796" t="n">
        <v>0</v>
      </c>
      <c r="N4796" t="n">
        <v>0</v>
      </c>
      <c r="O4796" t="n">
        <v>0</v>
      </c>
      <c r="P4796" t="n">
        <v>0</v>
      </c>
      <c r="Q4796" t="n">
        <v>0</v>
      </c>
      <c r="R4796" s="2" t="inlineStr"/>
    </row>
    <row r="4797" ht="15" customHeight="1">
      <c r="A4797" t="inlineStr">
        <is>
          <t>A 55195-2024</t>
        </is>
      </c>
      <c r="B4797" s="1" t="n">
        <v>45620</v>
      </c>
      <c r="C4797" s="1" t="n">
        <v>45724</v>
      </c>
      <c r="D4797" t="inlineStr">
        <is>
          <t>VÄSTMANLANDS LÄN</t>
        </is>
      </c>
      <c r="E4797" t="inlineStr">
        <is>
          <t>KÖPING</t>
        </is>
      </c>
      <c r="G4797" t="n">
        <v>5.2</v>
      </c>
      <c r="H4797" t="n">
        <v>0</v>
      </c>
      <c r="I4797" t="n">
        <v>0</v>
      </c>
      <c r="J4797" t="n">
        <v>0</v>
      </c>
      <c r="K4797" t="n">
        <v>0</v>
      </c>
      <c r="L4797" t="n">
        <v>0</v>
      </c>
      <c r="M4797" t="n">
        <v>0</v>
      </c>
      <c r="N4797" t="n">
        <v>0</v>
      </c>
      <c r="O4797" t="n">
        <v>0</v>
      </c>
      <c r="P4797" t="n">
        <v>0</v>
      </c>
      <c r="Q4797" t="n">
        <v>0</v>
      </c>
      <c r="R4797" s="2" t="inlineStr"/>
    </row>
    <row r="4798" ht="15" customHeight="1">
      <c r="A4798" t="inlineStr">
        <is>
          <t>A 54998-2024</t>
        </is>
      </c>
      <c r="B4798" s="1" t="n">
        <v>45621</v>
      </c>
      <c r="C4798" s="1" t="n">
        <v>45724</v>
      </c>
      <c r="D4798" t="inlineStr">
        <is>
          <t>VÄSTMANLANDS LÄN</t>
        </is>
      </c>
      <c r="E4798" t="inlineStr">
        <is>
          <t>ARBOGA</t>
        </is>
      </c>
      <c r="F4798" t="inlineStr">
        <is>
          <t>Sveaskog</t>
        </is>
      </c>
      <c r="G4798" t="n">
        <v>2.4</v>
      </c>
      <c r="H4798" t="n">
        <v>0</v>
      </c>
      <c r="I4798" t="n">
        <v>0</v>
      </c>
      <c r="J4798" t="n">
        <v>0</v>
      </c>
      <c r="K4798" t="n">
        <v>0</v>
      </c>
      <c r="L4798" t="n">
        <v>0</v>
      </c>
      <c r="M4798" t="n">
        <v>0</v>
      </c>
      <c r="N4798" t="n">
        <v>0</v>
      </c>
      <c r="O4798" t="n">
        <v>0</v>
      </c>
      <c r="P4798" t="n">
        <v>0</v>
      </c>
      <c r="Q4798" t="n">
        <v>0</v>
      </c>
      <c r="R4798" s="2" t="inlineStr"/>
    </row>
    <row r="4799" ht="15" customHeight="1">
      <c r="A4799" t="inlineStr">
        <is>
          <t>A 54999-2024</t>
        </is>
      </c>
      <c r="B4799" s="1" t="n">
        <v>45621</v>
      </c>
      <c r="C4799" s="1" t="n">
        <v>45724</v>
      </c>
      <c r="D4799" t="inlineStr">
        <is>
          <t>VÄSTMANLANDS LÄN</t>
        </is>
      </c>
      <c r="E4799" t="inlineStr">
        <is>
          <t>ARBOGA</t>
        </is>
      </c>
      <c r="F4799" t="inlineStr">
        <is>
          <t>Sveaskog</t>
        </is>
      </c>
      <c r="G4799" t="n">
        <v>2.8</v>
      </c>
      <c r="H4799" t="n">
        <v>0</v>
      </c>
      <c r="I4799" t="n">
        <v>0</v>
      </c>
      <c r="J4799" t="n">
        <v>0</v>
      </c>
      <c r="K4799" t="n">
        <v>0</v>
      </c>
      <c r="L4799" t="n">
        <v>0</v>
      </c>
      <c r="M4799" t="n">
        <v>0</v>
      </c>
      <c r="N4799" t="n">
        <v>0</v>
      </c>
      <c r="O4799" t="n">
        <v>0</v>
      </c>
      <c r="P4799" t="n">
        <v>0</v>
      </c>
      <c r="Q4799" t="n">
        <v>0</v>
      </c>
      <c r="R4799" s="2" t="inlineStr"/>
    </row>
    <row r="4800" ht="15" customHeight="1">
      <c r="A4800" t="inlineStr">
        <is>
          <t>A 55004-2024</t>
        </is>
      </c>
      <c r="B4800" s="1" t="n">
        <v>45621</v>
      </c>
      <c r="C4800" s="1" t="n">
        <v>45724</v>
      </c>
      <c r="D4800" t="inlineStr">
        <is>
          <t>VÄSTMANLANDS LÄN</t>
        </is>
      </c>
      <c r="E4800" t="inlineStr">
        <is>
          <t>HALLSTAHAMMAR</t>
        </is>
      </c>
      <c r="G4800" t="n">
        <v>1.4</v>
      </c>
      <c r="H4800" t="n">
        <v>0</v>
      </c>
      <c r="I4800" t="n">
        <v>0</v>
      </c>
      <c r="J4800" t="n">
        <v>0</v>
      </c>
      <c r="K4800" t="n">
        <v>0</v>
      </c>
      <c r="L4800" t="n">
        <v>0</v>
      </c>
      <c r="M4800" t="n">
        <v>0</v>
      </c>
      <c r="N4800" t="n">
        <v>0</v>
      </c>
      <c r="O4800" t="n">
        <v>0</v>
      </c>
      <c r="P4800" t="n">
        <v>0</v>
      </c>
      <c r="Q4800" t="n">
        <v>0</v>
      </c>
      <c r="R4800" s="2" t="inlineStr"/>
    </row>
    <row r="4801" ht="15" customHeight="1">
      <c r="A4801" t="inlineStr">
        <is>
          <t>A 55725-2024</t>
        </is>
      </c>
      <c r="B4801" s="1" t="n">
        <v>45622</v>
      </c>
      <c r="C4801" s="1" t="n">
        <v>45724</v>
      </c>
      <c r="D4801" t="inlineStr">
        <is>
          <t>VÄSTMANLANDS LÄN</t>
        </is>
      </c>
      <c r="E4801" t="inlineStr">
        <is>
          <t>SKINNSKATTEBERG</t>
        </is>
      </c>
      <c r="G4801" t="n">
        <v>6.5</v>
      </c>
      <c r="H4801" t="n">
        <v>0</v>
      </c>
      <c r="I4801" t="n">
        <v>0</v>
      </c>
      <c r="J4801" t="n">
        <v>0</v>
      </c>
      <c r="K4801" t="n">
        <v>0</v>
      </c>
      <c r="L4801" t="n">
        <v>0</v>
      </c>
      <c r="M4801" t="n">
        <v>0</v>
      </c>
      <c r="N4801" t="n">
        <v>0</v>
      </c>
      <c r="O4801" t="n">
        <v>0</v>
      </c>
      <c r="P4801" t="n">
        <v>0</v>
      </c>
      <c r="Q4801" t="n">
        <v>0</v>
      </c>
      <c r="R4801" s="2" t="inlineStr"/>
    </row>
    <row r="4802" ht="15" customHeight="1">
      <c r="A4802" t="inlineStr">
        <is>
          <t>A 55753-2024</t>
        </is>
      </c>
      <c r="B4802" s="1" t="n">
        <v>45623</v>
      </c>
      <c r="C4802" s="1" t="n">
        <v>45724</v>
      </c>
      <c r="D4802" t="inlineStr">
        <is>
          <t>VÄSTMANLANDS LÄN</t>
        </is>
      </c>
      <c r="E4802" t="inlineStr">
        <is>
          <t>VÄSTERÅS</t>
        </is>
      </c>
      <c r="G4802" t="n">
        <v>4.5</v>
      </c>
      <c r="H4802" t="n">
        <v>0</v>
      </c>
      <c r="I4802" t="n">
        <v>0</v>
      </c>
      <c r="J4802" t="n">
        <v>0</v>
      </c>
      <c r="K4802" t="n">
        <v>0</v>
      </c>
      <c r="L4802" t="n">
        <v>0</v>
      </c>
      <c r="M4802" t="n">
        <v>0</v>
      </c>
      <c r="N4802" t="n">
        <v>0</v>
      </c>
      <c r="O4802" t="n">
        <v>0</v>
      </c>
      <c r="P4802" t="n">
        <v>0</v>
      </c>
      <c r="Q4802" t="n">
        <v>0</v>
      </c>
      <c r="R4802" s="2" t="inlineStr"/>
    </row>
    <row r="4803" ht="15" customHeight="1">
      <c r="A4803" t="inlineStr">
        <is>
          <t>A 55784-2024</t>
        </is>
      </c>
      <c r="B4803" s="1" t="n">
        <v>45623</v>
      </c>
      <c r="C4803" s="1" t="n">
        <v>45724</v>
      </c>
      <c r="D4803" t="inlineStr">
        <is>
          <t>VÄSTMANLANDS LÄN</t>
        </is>
      </c>
      <c r="E4803" t="inlineStr">
        <is>
          <t>SALA</t>
        </is>
      </c>
      <c r="F4803" t="inlineStr">
        <is>
          <t>Bergvik skog öst AB</t>
        </is>
      </c>
      <c r="G4803" t="n">
        <v>28.4</v>
      </c>
      <c r="H4803" t="n">
        <v>0</v>
      </c>
      <c r="I4803" t="n">
        <v>0</v>
      </c>
      <c r="J4803" t="n">
        <v>0</v>
      </c>
      <c r="K4803" t="n">
        <v>0</v>
      </c>
      <c r="L4803" t="n">
        <v>0</v>
      </c>
      <c r="M4803" t="n">
        <v>0</v>
      </c>
      <c r="N4803" t="n">
        <v>0</v>
      </c>
      <c r="O4803" t="n">
        <v>0</v>
      </c>
      <c r="P4803" t="n">
        <v>0</v>
      </c>
      <c r="Q4803" t="n">
        <v>0</v>
      </c>
      <c r="R4803" s="2" t="inlineStr"/>
    </row>
    <row r="4804" ht="15" customHeight="1">
      <c r="A4804" t="inlineStr">
        <is>
          <t>A 55801-2024</t>
        </is>
      </c>
      <c r="B4804" s="1" t="n">
        <v>45623</v>
      </c>
      <c r="C4804" s="1" t="n">
        <v>45724</v>
      </c>
      <c r="D4804" t="inlineStr">
        <is>
          <t>VÄSTMANLANDS LÄN</t>
        </is>
      </c>
      <c r="E4804" t="inlineStr">
        <is>
          <t>VÄSTERÅS</t>
        </is>
      </c>
      <c r="G4804" t="n">
        <v>7</v>
      </c>
      <c r="H4804" t="n">
        <v>0</v>
      </c>
      <c r="I4804" t="n">
        <v>0</v>
      </c>
      <c r="J4804" t="n">
        <v>0</v>
      </c>
      <c r="K4804" t="n">
        <v>0</v>
      </c>
      <c r="L4804" t="n">
        <v>0</v>
      </c>
      <c r="M4804" t="n">
        <v>0</v>
      </c>
      <c r="N4804" t="n">
        <v>0</v>
      </c>
      <c r="O4804" t="n">
        <v>0</v>
      </c>
      <c r="P4804" t="n">
        <v>0</v>
      </c>
      <c r="Q4804" t="n">
        <v>0</v>
      </c>
      <c r="R4804" s="2" t="inlineStr"/>
    </row>
    <row r="4805" ht="15" customHeight="1">
      <c r="A4805" t="inlineStr">
        <is>
          <t>A 55887-2024</t>
        </is>
      </c>
      <c r="B4805" s="1" t="n">
        <v>45623</v>
      </c>
      <c r="C4805" s="1" t="n">
        <v>45724</v>
      </c>
      <c r="D4805" t="inlineStr">
        <is>
          <t>VÄSTMANLANDS LÄN</t>
        </is>
      </c>
      <c r="E4805" t="inlineStr">
        <is>
          <t>NORBERG</t>
        </is>
      </c>
      <c r="F4805" t="inlineStr">
        <is>
          <t>Övriga Aktiebolag</t>
        </is>
      </c>
      <c r="G4805" t="n">
        <v>19.1</v>
      </c>
      <c r="H4805" t="n">
        <v>0</v>
      </c>
      <c r="I4805" t="n">
        <v>0</v>
      </c>
      <c r="J4805" t="n">
        <v>0</v>
      </c>
      <c r="K4805" t="n">
        <v>0</v>
      </c>
      <c r="L4805" t="n">
        <v>0</v>
      </c>
      <c r="M4805" t="n">
        <v>0</v>
      </c>
      <c r="N4805" t="n">
        <v>0</v>
      </c>
      <c r="O4805" t="n">
        <v>0</v>
      </c>
      <c r="P4805" t="n">
        <v>0</v>
      </c>
      <c r="Q4805" t="n">
        <v>0</v>
      </c>
      <c r="R4805" s="2" t="inlineStr"/>
    </row>
    <row r="4806" ht="15" customHeight="1">
      <c r="A4806" t="inlineStr">
        <is>
          <t>A 55973-2024</t>
        </is>
      </c>
      <c r="B4806" s="1" t="n">
        <v>45623</v>
      </c>
      <c r="C4806" s="1" t="n">
        <v>45724</v>
      </c>
      <c r="D4806" t="inlineStr">
        <is>
          <t>VÄSTMANLANDS LÄN</t>
        </is>
      </c>
      <c r="E4806" t="inlineStr">
        <is>
          <t>VÄSTERÅS</t>
        </is>
      </c>
      <c r="G4806" t="n">
        <v>1.2</v>
      </c>
      <c r="H4806" t="n">
        <v>0</v>
      </c>
      <c r="I4806" t="n">
        <v>0</v>
      </c>
      <c r="J4806" t="n">
        <v>0</v>
      </c>
      <c r="K4806" t="n">
        <v>0</v>
      </c>
      <c r="L4806" t="n">
        <v>0</v>
      </c>
      <c r="M4806" t="n">
        <v>0</v>
      </c>
      <c r="N4806" t="n">
        <v>0</v>
      </c>
      <c r="O4806" t="n">
        <v>0</v>
      </c>
      <c r="P4806" t="n">
        <v>0</v>
      </c>
      <c r="Q4806" t="n">
        <v>0</v>
      </c>
      <c r="R4806" s="2" t="inlineStr"/>
    </row>
    <row r="4807" ht="15" customHeight="1">
      <c r="A4807" t="inlineStr">
        <is>
          <t>A 56159-2024</t>
        </is>
      </c>
      <c r="B4807" s="1" t="n">
        <v>45623</v>
      </c>
      <c r="C4807" s="1" t="n">
        <v>45724</v>
      </c>
      <c r="D4807" t="inlineStr">
        <is>
          <t>VÄSTMANLANDS LÄN</t>
        </is>
      </c>
      <c r="E4807" t="inlineStr">
        <is>
          <t>NORBERG</t>
        </is>
      </c>
      <c r="G4807" t="n">
        <v>2.2</v>
      </c>
      <c r="H4807" t="n">
        <v>0</v>
      </c>
      <c r="I4807" t="n">
        <v>0</v>
      </c>
      <c r="J4807" t="n">
        <v>0</v>
      </c>
      <c r="K4807" t="n">
        <v>0</v>
      </c>
      <c r="L4807" t="n">
        <v>0</v>
      </c>
      <c r="M4807" t="n">
        <v>0</v>
      </c>
      <c r="N4807" t="n">
        <v>0</v>
      </c>
      <c r="O4807" t="n">
        <v>0</v>
      </c>
      <c r="P4807" t="n">
        <v>0</v>
      </c>
      <c r="Q4807" t="n">
        <v>0</v>
      </c>
      <c r="R4807" s="2" t="inlineStr"/>
    </row>
    <row r="4808" ht="15" customHeight="1">
      <c r="A4808" t="inlineStr">
        <is>
          <t>A 56150-2024</t>
        </is>
      </c>
      <c r="B4808" s="1" t="n">
        <v>45624</v>
      </c>
      <c r="C4808" s="1" t="n">
        <v>45724</v>
      </c>
      <c r="D4808" t="inlineStr">
        <is>
          <t>VÄSTMANLANDS LÄN</t>
        </is>
      </c>
      <c r="E4808" t="inlineStr">
        <is>
          <t>SALA</t>
        </is>
      </c>
      <c r="G4808" t="n">
        <v>2.6</v>
      </c>
      <c r="H4808" t="n">
        <v>0</v>
      </c>
      <c r="I4808" t="n">
        <v>0</v>
      </c>
      <c r="J4808" t="n">
        <v>0</v>
      </c>
      <c r="K4808" t="n">
        <v>0</v>
      </c>
      <c r="L4808" t="n">
        <v>0</v>
      </c>
      <c r="M4808" t="n">
        <v>0</v>
      </c>
      <c r="N4808" t="n">
        <v>0</v>
      </c>
      <c r="O4808" t="n">
        <v>0</v>
      </c>
      <c r="P4808" t="n">
        <v>0</v>
      </c>
      <c r="Q4808" t="n">
        <v>0</v>
      </c>
      <c r="R4808" s="2" t="inlineStr"/>
    </row>
    <row r="4809" ht="15" customHeight="1">
      <c r="A4809" t="inlineStr">
        <is>
          <t>A 56463-2024</t>
        </is>
      </c>
      <c r="B4809" s="1" t="n">
        <v>45625</v>
      </c>
      <c r="C4809" s="1" t="n">
        <v>45724</v>
      </c>
      <c r="D4809" t="inlineStr">
        <is>
          <t>VÄSTMANLANDS LÄN</t>
        </is>
      </c>
      <c r="E4809" t="inlineStr">
        <is>
          <t>ARBOGA</t>
        </is>
      </c>
      <c r="F4809" t="inlineStr">
        <is>
          <t>Kommuner</t>
        </is>
      </c>
      <c r="G4809" t="n">
        <v>12.2</v>
      </c>
      <c r="H4809" t="n">
        <v>0</v>
      </c>
      <c r="I4809" t="n">
        <v>0</v>
      </c>
      <c r="J4809" t="n">
        <v>0</v>
      </c>
      <c r="K4809" t="n">
        <v>0</v>
      </c>
      <c r="L4809" t="n">
        <v>0</v>
      </c>
      <c r="M4809" t="n">
        <v>0</v>
      </c>
      <c r="N4809" t="n">
        <v>0</v>
      </c>
      <c r="O4809" t="n">
        <v>0</v>
      </c>
      <c r="P4809" t="n">
        <v>0</v>
      </c>
      <c r="Q4809" t="n">
        <v>0</v>
      </c>
      <c r="R4809" s="2" t="inlineStr"/>
    </row>
    <row r="4810" ht="15" customHeight="1">
      <c r="A4810" t="inlineStr">
        <is>
          <t>A 56540-2024</t>
        </is>
      </c>
      <c r="B4810" s="1" t="n">
        <v>45625</v>
      </c>
      <c r="C4810" s="1" t="n">
        <v>45724</v>
      </c>
      <c r="D4810" t="inlineStr">
        <is>
          <t>VÄSTMANLANDS LÄN</t>
        </is>
      </c>
      <c r="E4810" t="inlineStr">
        <is>
          <t>SALA</t>
        </is>
      </c>
      <c r="G4810" t="n">
        <v>1.8</v>
      </c>
      <c r="H4810" t="n">
        <v>0</v>
      </c>
      <c r="I4810" t="n">
        <v>0</v>
      </c>
      <c r="J4810" t="n">
        <v>0</v>
      </c>
      <c r="K4810" t="n">
        <v>0</v>
      </c>
      <c r="L4810" t="n">
        <v>0</v>
      </c>
      <c r="M4810" t="n">
        <v>0</v>
      </c>
      <c r="N4810" t="n">
        <v>0</v>
      </c>
      <c r="O4810" t="n">
        <v>0</v>
      </c>
      <c r="P4810" t="n">
        <v>0</v>
      </c>
      <c r="Q4810" t="n">
        <v>0</v>
      </c>
      <c r="R4810" s="2" t="inlineStr"/>
    </row>
    <row r="4811" ht="15" customHeight="1">
      <c r="A4811" t="inlineStr">
        <is>
          <t>A 56548-2024</t>
        </is>
      </c>
      <c r="B4811" s="1" t="n">
        <v>45625</v>
      </c>
      <c r="C4811" s="1" t="n">
        <v>45724</v>
      </c>
      <c r="D4811" t="inlineStr">
        <is>
          <t>VÄSTMANLANDS LÄN</t>
        </is>
      </c>
      <c r="E4811" t="inlineStr">
        <is>
          <t>SALA</t>
        </is>
      </c>
      <c r="G4811" t="n">
        <v>0.7</v>
      </c>
      <c r="H4811" t="n">
        <v>0</v>
      </c>
      <c r="I4811" t="n">
        <v>0</v>
      </c>
      <c r="J4811" t="n">
        <v>0</v>
      </c>
      <c r="K4811" t="n">
        <v>0</v>
      </c>
      <c r="L4811" t="n">
        <v>0</v>
      </c>
      <c r="M4811" t="n">
        <v>0</v>
      </c>
      <c r="N4811" t="n">
        <v>0</v>
      </c>
      <c r="O4811" t="n">
        <v>0</v>
      </c>
      <c r="P4811" t="n">
        <v>0</v>
      </c>
      <c r="Q4811" t="n">
        <v>0</v>
      </c>
      <c r="R4811" s="2" t="inlineStr"/>
    </row>
    <row r="4812" ht="15" customHeight="1">
      <c r="A4812" t="inlineStr">
        <is>
          <t>A 56543-2024</t>
        </is>
      </c>
      <c r="B4812" s="1" t="n">
        <v>45625</v>
      </c>
      <c r="C4812" s="1" t="n">
        <v>45724</v>
      </c>
      <c r="D4812" t="inlineStr">
        <is>
          <t>VÄSTMANLANDS LÄN</t>
        </is>
      </c>
      <c r="E4812" t="inlineStr">
        <is>
          <t>SALA</t>
        </is>
      </c>
      <c r="G4812" t="n">
        <v>0.7</v>
      </c>
      <c r="H4812" t="n">
        <v>0</v>
      </c>
      <c r="I4812" t="n">
        <v>0</v>
      </c>
      <c r="J4812" t="n">
        <v>0</v>
      </c>
      <c r="K4812" t="n">
        <v>0</v>
      </c>
      <c r="L4812" t="n">
        <v>0</v>
      </c>
      <c r="M4812" t="n">
        <v>0</v>
      </c>
      <c r="N4812" t="n">
        <v>0</v>
      </c>
      <c r="O4812" t="n">
        <v>0</v>
      </c>
      <c r="P4812" t="n">
        <v>0</v>
      </c>
      <c r="Q4812" t="n">
        <v>0</v>
      </c>
      <c r="R4812" s="2" t="inlineStr"/>
    </row>
    <row r="4813" ht="15" customHeight="1">
      <c r="A4813" t="inlineStr">
        <is>
          <t>A 56694-2024</t>
        </is>
      </c>
      <c r="B4813" s="1" t="n">
        <v>45627</v>
      </c>
      <c r="C4813" s="1" t="n">
        <v>45724</v>
      </c>
      <c r="D4813" t="inlineStr">
        <is>
          <t>VÄSTMANLANDS LÄN</t>
        </is>
      </c>
      <c r="E4813" t="inlineStr">
        <is>
          <t>FAGERSTA</t>
        </is>
      </c>
      <c r="G4813" t="n">
        <v>8</v>
      </c>
      <c r="H4813" t="n">
        <v>0</v>
      </c>
      <c r="I4813" t="n">
        <v>0</v>
      </c>
      <c r="J4813" t="n">
        <v>0</v>
      </c>
      <c r="K4813" t="n">
        <v>0</v>
      </c>
      <c r="L4813" t="n">
        <v>0</v>
      </c>
      <c r="M4813" t="n">
        <v>0</v>
      </c>
      <c r="N4813" t="n">
        <v>0</v>
      </c>
      <c r="O4813" t="n">
        <v>0</v>
      </c>
      <c r="P4813" t="n">
        <v>0</v>
      </c>
      <c r="Q4813" t="n">
        <v>0</v>
      </c>
      <c r="R4813" s="2" t="inlineStr"/>
    </row>
    <row r="4814" ht="15" customHeight="1">
      <c r="A4814" t="inlineStr">
        <is>
          <t>A 56698-2024</t>
        </is>
      </c>
      <c r="B4814" s="1" t="n">
        <v>45627</v>
      </c>
      <c r="C4814" s="1" t="n">
        <v>45724</v>
      </c>
      <c r="D4814" t="inlineStr">
        <is>
          <t>VÄSTMANLANDS LÄN</t>
        </is>
      </c>
      <c r="E4814" t="inlineStr">
        <is>
          <t>FAGERSTA</t>
        </is>
      </c>
      <c r="G4814" t="n">
        <v>3.5</v>
      </c>
      <c r="H4814" t="n">
        <v>0</v>
      </c>
      <c r="I4814" t="n">
        <v>0</v>
      </c>
      <c r="J4814" t="n">
        <v>0</v>
      </c>
      <c r="K4814" t="n">
        <v>0</v>
      </c>
      <c r="L4814" t="n">
        <v>0</v>
      </c>
      <c r="M4814" t="n">
        <v>0</v>
      </c>
      <c r="N4814" t="n">
        <v>0</v>
      </c>
      <c r="O4814" t="n">
        <v>0</v>
      </c>
      <c r="P4814" t="n">
        <v>0</v>
      </c>
      <c r="Q4814" t="n">
        <v>0</v>
      </c>
      <c r="R4814" s="2" t="inlineStr"/>
    </row>
    <row r="4815" ht="15" customHeight="1">
      <c r="A4815" t="inlineStr">
        <is>
          <t>A 56688-2024</t>
        </is>
      </c>
      <c r="B4815" s="1" t="n">
        <v>45627</v>
      </c>
      <c r="C4815" s="1" t="n">
        <v>45724</v>
      </c>
      <c r="D4815" t="inlineStr">
        <is>
          <t>VÄSTMANLANDS LÄN</t>
        </is>
      </c>
      <c r="E4815" t="inlineStr">
        <is>
          <t>SALA</t>
        </is>
      </c>
      <c r="G4815" t="n">
        <v>0.9</v>
      </c>
      <c r="H4815" t="n">
        <v>0</v>
      </c>
      <c r="I4815" t="n">
        <v>0</v>
      </c>
      <c r="J4815" t="n">
        <v>0</v>
      </c>
      <c r="K4815" t="n">
        <v>0</v>
      </c>
      <c r="L4815" t="n">
        <v>0</v>
      </c>
      <c r="M4815" t="n">
        <v>0</v>
      </c>
      <c r="N4815" t="n">
        <v>0</v>
      </c>
      <c r="O4815" t="n">
        <v>0</v>
      </c>
      <c r="P4815" t="n">
        <v>0</v>
      </c>
      <c r="Q4815" t="n">
        <v>0</v>
      </c>
      <c r="R4815" s="2" t="inlineStr"/>
    </row>
    <row r="4816" ht="15" customHeight="1">
      <c r="A4816" t="inlineStr">
        <is>
          <t>A 56696-2024</t>
        </is>
      </c>
      <c r="B4816" s="1" t="n">
        <v>45627</v>
      </c>
      <c r="C4816" s="1" t="n">
        <v>45724</v>
      </c>
      <c r="D4816" t="inlineStr">
        <is>
          <t>VÄSTMANLANDS LÄN</t>
        </is>
      </c>
      <c r="E4816" t="inlineStr">
        <is>
          <t>FAGERSTA</t>
        </is>
      </c>
      <c r="G4816" t="n">
        <v>3.6</v>
      </c>
      <c r="H4816" t="n">
        <v>0</v>
      </c>
      <c r="I4816" t="n">
        <v>0</v>
      </c>
      <c r="J4816" t="n">
        <v>0</v>
      </c>
      <c r="K4816" t="n">
        <v>0</v>
      </c>
      <c r="L4816" t="n">
        <v>0</v>
      </c>
      <c r="M4816" t="n">
        <v>0</v>
      </c>
      <c r="N4816" t="n">
        <v>0</v>
      </c>
      <c r="O4816" t="n">
        <v>0</v>
      </c>
      <c r="P4816" t="n">
        <v>0</v>
      </c>
      <c r="Q4816" t="n">
        <v>0</v>
      </c>
      <c r="R4816" s="2" t="inlineStr"/>
    </row>
    <row r="4817" ht="15" customHeight="1">
      <c r="A4817" t="inlineStr">
        <is>
          <t>A 56704-2024</t>
        </is>
      </c>
      <c r="B4817" s="1" t="n">
        <v>45627</v>
      </c>
      <c r="C4817" s="1" t="n">
        <v>45724</v>
      </c>
      <c r="D4817" t="inlineStr">
        <is>
          <t>VÄSTMANLANDS LÄN</t>
        </is>
      </c>
      <c r="E4817" t="inlineStr">
        <is>
          <t>FAGERSTA</t>
        </is>
      </c>
      <c r="G4817" t="n">
        <v>2.7</v>
      </c>
      <c r="H4817" t="n">
        <v>0</v>
      </c>
      <c r="I4817" t="n">
        <v>0</v>
      </c>
      <c r="J4817" t="n">
        <v>0</v>
      </c>
      <c r="K4817" t="n">
        <v>0</v>
      </c>
      <c r="L4817" t="n">
        <v>0</v>
      </c>
      <c r="M4817" t="n">
        <v>0</v>
      </c>
      <c r="N4817" t="n">
        <v>0</v>
      </c>
      <c r="O4817" t="n">
        <v>0</v>
      </c>
      <c r="P4817" t="n">
        <v>0</v>
      </c>
      <c r="Q4817" t="n">
        <v>0</v>
      </c>
      <c r="R4817" s="2" t="inlineStr"/>
    </row>
    <row r="4818" ht="15" customHeight="1">
      <c r="A4818" t="inlineStr">
        <is>
          <t>A 56687-2024</t>
        </is>
      </c>
      <c r="B4818" s="1" t="n">
        <v>45627</v>
      </c>
      <c r="C4818" s="1" t="n">
        <v>45724</v>
      </c>
      <c r="D4818" t="inlineStr">
        <is>
          <t>VÄSTMANLANDS LÄN</t>
        </is>
      </c>
      <c r="E4818" t="inlineStr">
        <is>
          <t>SALA</t>
        </is>
      </c>
      <c r="G4818" t="n">
        <v>1.2</v>
      </c>
      <c r="H4818" t="n">
        <v>0</v>
      </c>
      <c r="I4818" t="n">
        <v>0</v>
      </c>
      <c r="J4818" t="n">
        <v>0</v>
      </c>
      <c r="K4818" t="n">
        <v>0</v>
      </c>
      <c r="L4818" t="n">
        <v>0</v>
      </c>
      <c r="M4818" t="n">
        <v>0</v>
      </c>
      <c r="N4818" t="n">
        <v>0</v>
      </c>
      <c r="O4818" t="n">
        <v>0</v>
      </c>
      <c r="P4818" t="n">
        <v>0</v>
      </c>
      <c r="Q4818" t="n">
        <v>0</v>
      </c>
      <c r="R4818" s="2" t="inlineStr"/>
    </row>
    <row r="4819" ht="15" customHeight="1">
      <c r="A4819" t="inlineStr">
        <is>
          <t>A 56699-2024</t>
        </is>
      </c>
      <c r="B4819" s="1" t="n">
        <v>45627</v>
      </c>
      <c r="C4819" s="1" t="n">
        <v>45724</v>
      </c>
      <c r="D4819" t="inlineStr">
        <is>
          <t>VÄSTMANLANDS LÄN</t>
        </is>
      </c>
      <c r="E4819" t="inlineStr">
        <is>
          <t>FAGERSTA</t>
        </is>
      </c>
      <c r="G4819" t="n">
        <v>4.6</v>
      </c>
      <c r="H4819" t="n">
        <v>0</v>
      </c>
      <c r="I4819" t="n">
        <v>0</v>
      </c>
      <c r="J4819" t="n">
        <v>0</v>
      </c>
      <c r="K4819" t="n">
        <v>0</v>
      </c>
      <c r="L4819" t="n">
        <v>0</v>
      </c>
      <c r="M4819" t="n">
        <v>0</v>
      </c>
      <c r="N4819" t="n">
        <v>0</v>
      </c>
      <c r="O4819" t="n">
        <v>0</v>
      </c>
      <c r="P4819" t="n">
        <v>0</v>
      </c>
      <c r="Q4819" t="n">
        <v>0</v>
      </c>
      <c r="R4819" s="2" t="inlineStr"/>
    </row>
    <row r="4820" ht="15" customHeight="1">
      <c r="A4820" t="inlineStr">
        <is>
          <t>A 56689-2024</t>
        </is>
      </c>
      <c r="B4820" s="1" t="n">
        <v>45627</v>
      </c>
      <c r="C4820" s="1" t="n">
        <v>45724</v>
      </c>
      <c r="D4820" t="inlineStr">
        <is>
          <t>VÄSTMANLANDS LÄN</t>
        </is>
      </c>
      <c r="E4820" t="inlineStr">
        <is>
          <t>SALA</t>
        </is>
      </c>
      <c r="G4820" t="n">
        <v>13</v>
      </c>
      <c r="H4820" t="n">
        <v>0</v>
      </c>
      <c r="I4820" t="n">
        <v>0</v>
      </c>
      <c r="J4820" t="n">
        <v>0</v>
      </c>
      <c r="K4820" t="n">
        <v>0</v>
      </c>
      <c r="L4820" t="n">
        <v>0</v>
      </c>
      <c r="M4820" t="n">
        <v>0</v>
      </c>
      <c r="N4820" t="n">
        <v>0</v>
      </c>
      <c r="O4820" t="n">
        <v>0</v>
      </c>
      <c r="P4820" t="n">
        <v>0</v>
      </c>
      <c r="Q4820" t="n">
        <v>0</v>
      </c>
      <c r="R4820" s="2" t="inlineStr"/>
    </row>
    <row r="4821" ht="15" customHeight="1">
      <c r="A4821" t="inlineStr">
        <is>
          <t>A 56814-2024</t>
        </is>
      </c>
      <c r="B4821" s="1" t="n">
        <v>45628</v>
      </c>
      <c r="C4821" s="1" t="n">
        <v>45724</v>
      </c>
      <c r="D4821" t="inlineStr">
        <is>
          <t>VÄSTMANLANDS LÄN</t>
        </is>
      </c>
      <c r="E4821" t="inlineStr">
        <is>
          <t>SALA</t>
        </is>
      </c>
      <c r="G4821" t="n">
        <v>0.8</v>
      </c>
      <c r="H4821" t="n">
        <v>0</v>
      </c>
      <c r="I4821" t="n">
        <v>0</v>
      </c>
      <c r="J4821" t="n">
        <v>0</v>
      </c>
      <c r="K4821" t="n">
        <v>0</v>
      </c>
      <c r="L4821" t="n">
        <v>0</v>
      </c>
      <c r="M4821" t="n">
        <v>0</v>
      </c>
      <c r="N4821" t="n">
        <v>0</v>
      </c>
      <c r="O4821" t="n">
        <v>0</v>
      </c>
      <c r="P4821" t="n">
        <v>0</v>
      </c>
      <c r="Q4821" t="n">
        <v>0</v>
      </c>
      <c r="R4821" s="2" t="inlineStr"/>
    </row>
    <row r="4822" ht="15" customHeight="1">
      <c r="A4822" t="inlineStr">
        <is>
          <t>A 56939-2024</t>
        </is>
      </c>
      <c r="B4822" s="1" t="n">
        <v>45628</v>
      </c>
      <c r="C4822" s="1" t="n">
        <v>45724</v>
      </c>
      <c r="D4822" t="inlineStr">
        <is>
          <t>VÄSTMANLANDS LÄN</t>
        </is>
      </c>
      <c r="E4822" t="inlineStr">
        <is>
          <t>VÄSTERÅS</t>
        </is>
      </c>
      <c r="G4822" t="n">
        <v>2.5</v>
      </c>
      <c r="H4822" t="n">
        <v>0</v>
      </c>
      <c r="I4822" t="n">
        <v>0</v>
      </c>
      <c r="J4822" t="n">
        <v>0</v>
      </c>
      <c r="K4822" t="n">
        <v>0</v>
      </c>
      <c r="L4822" t="n">
        <v>0</v>
      </c>
      <c r="M4822" t="n">
        <v>0</v>
      </c>
      <c r="N4822" t="n">
        <v>0</v>
      </c>
      <c r="O4822" t="n">
        <v>0</v>
      </c>
      <c r="P4822" t="n">
        <v>0</v>
      </c>
      <c r="Q4822" t="n">
        <v>0</v>
      </c>
      <c r="R4822" s="2" t="inlineStr"/>
    </row>
    <row r="4823" ht="15" customHeight="1">
      <c r="A4823" t="inlineStr">
        <is>
          <t>A 56945-2024</t>
        </is>
      </c>
      <c r="B4823" s="1" t="n">
        <v>45628</v>
      </c>
      <c r="C4823" s="1" t="n">
        <v>45724</v>
      </c>
      <c r="D4823" t="inlineStr">
        <is>
          <t>VÄSTMANLANDS LÄN</t>
        </is>
      </c>
      <c r="E4823" t="inlineStr">
        <is>
          <t>VÄSTERÅS</t>
        </is>
      </c>
      <c r="G4823" t="n">
        <v>0.4</v>
      </c>
      <c r="H4823" t="n">
        <v>0</v>
      </c>
      <c r="I4823" t="n">
        <v>0</v>
      </c>
      <c r="J4823" t="n">
        <v>0</v>
      </c>
      <c r="K4823" t="n">
        <v>0</v>
      </c>
      <c r="L4823" t="n">
        <v>0</v>
      </c>
      <c r="M4823" t="n">
        <v>0</v>
      </c>
      <c r="N4823" t="n">
        <v>0</v>
      </c>
      <c r="O4823" t="n">
        <v>0</v>
      </c>
      <c r="P4823" t="n">
        <v>0</v>
      </c>
      <c r="Q4823" t="n">
        <v>0</v>
      </c>
      <c r="R4823" s="2" t="inlineStr"/>
    </row>
    <row r="4824" ht="15" customHeight="1">
      <c r="A4824" t="inlineStr">
        <is>
          <t>A 56982-2024</t>
        </is>
      </c>
      <c r="B4824" s="1" t="n">
        <v>45628</v>
      </c>
      <c r="C4824" s="1" t="n">
        <v>45724</v>
      </c>
      <c r="D4824" t="inlineStr">
        <is>
          <t>VÄSTMANLANDS LÄN</t>
        </is>
      </c>
      <c r="E4824" t="inlineStr">
        <is>
          <t>ARBOGA</t>
        </is>
      </c>
      <c r="G4824" t="n">
        <v>2.9</v>
      </c>
      <c r="H4824" t="n">
        <v>0</v>
      </c>
      <c r="I4824" t="n">
        <v>0</v>
      </c>
      <c r="J4824" t="n">
        <v>0</v>
      </c>
      <c r="K4824" t="n">
        <v>0</v>
      </c>
      <c r="L4824" t="n">
        <v>0</v>
      </c>
      <c r="M4824" t="n">
        <v>0</v>
      </c>
      <c r="N4824" t="n">
        <v>0</v>
      </c>
      <c r="O4824" t="n">
        <v>0</v>
      </c>
      <c r="P4824" t="n">
        <v>0</v>
      </c>
      <c r="Q4824" t="n">
        <v>0</v>
      </c>
      <c r="R4824" s="2" t="inlineStr"/>
    </row>
    <row r="4825" ht="15" customHeight="1">
      <c r="A4825" t="inlineStr">
        <is>
          <t>A 56798-2024</t>
        </is>
      </c>
      <c r="B4825" s="1" t="n">
        <v>45628</v>
      </c>
      <c r="C4825" s="1" t="n">
        <v>45724</v>
      </c>
      <c r="D4825" t="inlineStr">
        <is>
          <t>VÄSTMANLANDS LÄN</t>
        </is>
      </c>
      <c r="E4825" t="inlineStr">
        <is>
          <t>KÖPING</t>
        </is>
      </c>
      <c r="G4825" t="n">
        <v>1.5</v>
      </c>
      <c r="H4825" t="n">
        <v>0</v>
      </c>
      <c r="I4825" t="n">
        <v>0</v>
      </c>
      <c r="J4825" t="n">
        <v>0</v>
      </c>
      <c r="K4825" t="n">
        <v>0</v>
      </c>
      <c r="L4825" t="n">
        <v>0</v>
      </c>
      <c r="M4825" t="n">
        <v>0</v>
      </c>
      <c r="N4825" t="n">
        <v>0</v>
      </c>
      <c r="O4825" t="n">
        <v>0</v>
      </c>
      <c r="P4825" t="n">
        <v>0</v>
      </c>
      <c r="Q4825" t="n">
        <v>0</v>
      </c>
      <c r="R4825" s="2" t="inlineStr"/>
    </row>
    <row r="4826" ht="15" customHeight="1">
      <c r="A4826" t="inlineStr">
        <is>
          <t>A 56902-2024</t>
        </is>
      </c>
      <c r="B4826" s="1" t="n">
        <v>45628</v>
      </c>
      <c r="C4826" s="1" t="n">
        <v>45724</v>
      </c>
      <c r="D4826" t="inlineStr">
        <is>
          <t>VÄSTMANLANDS LÄN</t>
        </is>
      </c>
      <c r="E4826" t="inlineStr">
        <is>
          <t>VÄSTERÅS</t>
        </is>
      </c>
      <c r="G4826" t="n">
        <v>3.9</v>
      </c>
      <c r="H4826" t="n">
        <v>0</v>
      </c>
      <c r="I4826" t="n">
        <v>0</v>
      </c>
      <c r="J4826" t="n">
        <v>0</v>
      </c>
      <c r="K4826" t="n">
        <v>0</v>
      </c>
      <c r="L4826" t="n">
        <v>0</v>
      </c>
      <c r="M4826" t="n">
        <v>0</v>
      </c>
      <c r="N4826" t="n">
        <v>0</v>
      </c>
      <c r="O4826" t="n">
        <v>0</v>
      </c>
      <c r="P4826" t="n">
        <v>0</v>
      </c>
      <c r="Q4826" t="n">
        <v>0</v>
      </c>
      <c r="R4826" s="2" t="inlineStr"/>
    </row>
    <row r="4827" ht="15" customHeight="1">
      <c r="A4827" t="inlineStr">
        <is>
          <t>A 56931-2024</t>
        </is>
      </c>
      <c r="B4827" s="1" t="n">
        <v>45628</v>
      </c>
      <c r="C4827" s="1" t="n">
        <v>45724</v>
      </c>
      <c r="D4827" t="inlineStr">
        <is>
          <t>VÄSTMANLANDS LÄN</t>
        </is>
      </c>
      <c r="E4827" t="inlineStr">
        <is>
          <t>SKINNSKATTEBERG</t>
        </is>
      </c>
      <c r="G4827" t="n">
        <v>1.5</v>
      </c>
      <c r="H4827" t="n">
        <v>0</v>
      </c>
      <c r="I4827" t="n">
        <v>0</v>
      </c>
      <c r="J4827" t="n">
        <v>0</v>
      </c>
      <c r="K4827" t="n">
        <v>0</v>
      </c>
      <c r="L4827" t="n">
        <v>0</v>
      </c>
      <c r="M4827" t="n">
        <v>0</v>
      </c>
      <c r="N4827" t="n">
        <v>0</v>
      </c>
      <c r="O4827" t="n">
        <v>0</v>
      </c>
      <c r="P4827" t="n">
        <v>0</v>
      </c>
      <c r="Q4827" t="n">
        <v>0</v>
      </c>
      <c r="R4827" s="2" t="inlineStr"/>
    </row>
    <row r="4828" ht="15" customHeight="1">
      <c r="A4828" t="inlineStr">
        <is>
          <t>A 56948-2024</t>
        </is>
      </c>
      <c r="B4828" s="1" t="n">
        <v>45628</v>
      </c>
      <c r="C4828" s="1" t="n">
        <v>45724</v>
      </c>
      <c r="D4828" t="inlineStr">
        <is>
          <t>VÄSTMANLANDS LÄN</t>
        </is>
      </c>
      <c r="E4828" t="inlineStr">
        <is>
          <t>VÄSTERÅS</t>
        </is>
      </c>
      <c r="G4828" t="n">
        <v>0.5</v>
      </c>
      <c r="H4828" t="n">
        <v>0</v>
      </c>
      <c r="I4828" t="n">
        <v>0</v>
      </c>
      <c r="J4828" t="n">
        <v>0</v>
      </c>
      <c r="K4828" t="n">
        <v>0</v>
      </c>
      <c r="L4828" t="n">
        <v>0</v>
      </c>
      <c r="M4828" t="n">
        <v>0</v>
      </c>
      <c r="N4828" t="n">
        <v>0</v>
      </c>
      <c r="O4828" t="n">
        <v>0</v>
      </c>
      <c r="P4828" t="n">
        <v>0</v>
      </c>
      <c r="Q4828" t="n">
        <v>0</v>
      </c>
      <c r="R4828" s="2" t="inlineStr"/>
    </row>
    <row r="4829" ht="15" customHeight="1">
      <c r="A4829" t="inlineStr">
        <is>
          <t>A 56977-2024</t>
        </is>
      </c>
      <c r="B4829" s="1" t="n">
        <v>45628</v>
      </c>
      <c r="C4829" s="1" t="n">
        <v>45724</v>
      </c>
      <c r="D4829" t="inlineStr">
        <is>
          <t>VÄSTMANLANDS LÄN</t>
        </is>
      </c>
      <c r="E4829" t="inlineStr">
        <is>
          <t>ARBOGA</t>
        </is>
      </c>
      <c r="G4829" t="n">
        <v>6.2</v>
      </c>
      <c r="H4829" t="n">
        <v>0</v>
      </c>
      <c r="I4829" t="n">
        <v>0</v>
      </c>
      <c r="J4829" t="n">
        <v>0</v>
      </c>
      <c r="K4829" t="n">
        <v>0</v>
      </c>
      <c r="L4829" t="n">
        <v>0</v>
      </c>
      <c r="M4829" t="n">
        <v>0</v>
      </c>
      <c r="N4829" t="n">
        <v>0</v>
      </c>
      <c r="O4829" t="n">
        <v>0</v>
      </c>
      <c r="P4829" t="n">
        <v>0</v>
      </c>
      <c r="Q4829" t="n">
        <v>0</v>
      </c>
      <c r="R4829" s="2" t="inlineStr"/>
    </row>
    <row r="4830" ht="15" customHeight="1">
      <c r="A4830" t="inlineStr">
        <is>
          <t>A 57160-2024</t>
        </is>
      </c>
      <c r="B4830" s="1" t="n">
        <v>45629</v>
      </c>
      <c r="C4830" s="1" t="n">
        <v>45724</v>
      </c>
      <c r="D4830" t="inlineStr">
        <is>
          <t>VÄSTMANLANDS LÄN</t>
        </is>
      </c>
      <c r="E4830" t="inlineStr">
        <is>
          <t>HALLSTAHAMMAR</t>
        </is>
      </c>
      <c r="G4830" t="n">
        <v>2.3</v>
      </c>
      <c r="H4830" t="n">
        <v>0</v>
      </c>
      <c r="I4830" t="n">
        <v>0</v>
      </c>
      <c r="J4830" t="n">
        <v>0</v>
      </c>
      <c r="K4830" t="n">
        <v>0</v>
      </c>
      <c r="L4830" t="n">
        <v>0</v>
      </c>
      <c r="M4830" t="n">
        <v>0</v>
      </c>
      <c r="N4830" t="n">
        <v>0</v>
      </c>
      <c r="O4830" t="n">
        <v>0</v>
      </c>
      <c r="P4830" t="n">
        <v>0</v>
      </c>
      <c r="Q4830" t="n">
        <v>0</v>
      </c>
      <c r="R4830" s="2" t="inlineStr"/>
    </row>
    <row r="4831" ht="15" customHeight="1">
      <c r="A4831" t="inlineStr">
        <is>
          <t>A 57044-2024</t>
        </is>
      </c>
      <c r="B4831" s="1" t="n">
        <v>45629</v>
      </c>
      <c r="C4831" s="1" t="n">
        <v>45724</v>
      </c>
      <c r="D4831" t="inlineStr">
        <is>
          <t>VÄSTMANLANDS LÄN</t>
        </is>
      </c>
      <c r="E4831" t="inlineStr">
        <is>
          <t>ARBOGA</t>
        </is>
      </c>
      <c r="G4831" t="n">
        <v>6.2</v>
      </c>
      <c r="H4831" t="n">
        <v>0</v>
      </c>
      <c r="I4831" t="n">
        <v>0</v>
      </c>
      <c r="J4831" t="n">
        <v>0</v>
      </c>
      <c r="K4831" t="n">
        <v>0</v>
      </c>
      <c r="L4831" t="n">
        <v>0</v>
      </c>
      <c r="M4831" t="n">
        <v>0</v>
      </c>
      <c r="N4831" t="n">
        <v>0</v>
      </c>
      <c r="O4831" t="n">
        <v>0</v>
      </c>
      <c r="P4831" t="n">
        <v>0</v>
      </c>
      <c r="Q4831" t="n">
        <v>0</v>
      </c>
      <c r="R4831" s="2" t="inlineStr"/>
    </row>
    <row r="4832" ht="15" customHeight="1">
      <c r="A4832" t="inlineStr">
        <is>
          <t>A 57039-2024</t>
        </is>
      </c>
      <c r="B4832" s="1" t="n">
        <v>45629</v>
      </c>
      <c r="C4832" s="1" t="n">
        <v>45724</v>
      </c>
      <c r="D4832" t="inlineStr">
        <is>
          <t>VÄSTMANLANDS LÄN</t>
        </is>
      </c>
      <c r="E4832" t="inlineStr">
        <is>
          <t>ARBOGA</t>
        </is>
      </c>
      <c r="G4832" t="n">
        <v>6.3</v>
      </c>
      <c r="H4832" t="n">
        <v>0</v>
      </c>
      <c r="I4832" t="n">
        <v>0</v>
      </c>
      <c r="J4832" t="n">
        <v>0</v>
      </c>
      <c r="K4832" t="n">
        <v>0</v>
      </c>
      <c r="L4832" t="n">
        <v>0</v>
      </c>
      <c r="M4832" t="n">
        <v>0</v>
      </c>
      <c r="N4832" t="n">
        <v>0</v>
      </c>
      <c r="O4832" t="n">
        <v>0</v>
      </c>
      <c r="P4832" t="n">
        <v>0</v>
      </c>
      <c r="Q4832" t="n">
        <v>0</v>
      </c>
      <c r="R4832" s="2" t="inlineStr"/>
    </row>
    <row r="4833" ht="15" customHeight="1">
      <c r="A4833" t="inlineStr">
        <is>
          <t>A 57256-2024</t>
        </is>
      </c>
      <c r="B4833" s="1" t="n">
        <v>45629</v>
      </c>
      <c r="C4833" s="1" t="n">
        <v>45724</v>
      </c>
      <c r="D4833" t="inlineStr">
        <is>
          <t>VÄSTMANLANDS LÄN</t>
        </is>
      </c>
      <c r="E4833" t="inlineStr">
        <is>
          <t>ARBOGA</t>
        </is>
      </c>
      <c r="G4833" t="n">
        <v>1.8</v>
      </c>
      <c r="H4833" t="n">
        <v>0</v>
      </c>
      <c r="I4833" t="n">
        <v>0</v>
      </c>
      <c r="J4833" t="n">
        <v>0</v>
      </c>
      <c r="K4833" t="n">
        <v>0</v>
      </c>
      <c r="L4833" t="n">
        <v>0</v>
      </c>
      <c r="M4833" t="n">
        <v>0</v>
      </c>
      <c r="N4833" t="n">
        <v>0</v>
      </c>
      <c r="O4833" t="n">
        <v>0</v>
      </c>
      <c r="P4833" t="n">
        <v>0</v>
      </c>
      <c r="Q4833" t="n">
        <v>0</v>
      </c>
      <c r="R4833" s="2" t="inlineStr"/>
    </row>
    <row r="4834" ht="15" customHeight="1">
      <c r="A4834" t="inlineStr">
        <is>
          <t>A 57262-2024</t>
        </is>
      </c>
      <c r="B4834" s="1" t="n">
        <v>45629</v>
      </c>
      <c r="C4834" s="1" t="n">
        <v>45724</v>
      </c>
      <c r="D4834" t="inlineStr">
        <is>
          <t>VÄSTMANLANDS LÄN</t>
        </is>
      </c>
      <c r="E4834" t="inlineStr">
        <is>
          <t>ARBOGA</t>
        </is>
      </c>
      <c r="G4834" t="n">
        <v>8.9</v>
      </c>
      <c r="H4834" t="n">
        <v>0</v>
      </c>
      <c r="I4834" t="n">
        <v>0</v>
      </c>
      <c r="J4834" t="n">
        <v>0</v>
      </c>
      <c r="K4834" t="n">
        <v>0</v>
      </c>
      <c r="L4834" t="n">
        <v>0</v>
      </c>
      <c r="M4834" t="n">
        <v>0</v>
      </c>
      <c r="N4834" t="n">
        <v>0</v>
      </c>
      <c r="O4834" t="n">
        <v>0</v>
      </c>
      <c r="P4834" t="n">
        <v>0</v>
      </c>
      <c r="Q4834" t="n">
        <v>0</v>
      </c>
      <c r="R4834" s="2" t="inlineStr"/>
    </row>
    <row r="4835" ht="15" customHeight="1">
      <c r="A4835" t="inlineStr">
        <is>
          <t>A 57297-2024</t>
        </is>
      </c>
      <c r="B4835" s="1" t="n">
        <v>45629</v>
      </c>
      <c r="C4835" s="1" t="n">
        <v>45724</v>
      </c>
      <c r="D4835" t="inlineStr">
        <is>
          <t>VÄSTMANLANDS LÄN</t>
        </is>
      </c>
      <c r="E4835" t="inlineStr">
        <is>
          <t>KÖPING</t>
        </is>
      </c>
      <c r="G4835" t="n">
        <v>1.5</v>
      </c>
      <c r="H4835" t="n">
        <v>0</v>
      </c>
      <c r="I4835" t="n">
        <v>0</v>
      </c>
      <c r="J4835" t="n">
        <v>0</v>
      </c>
      <c r="K4835" t="n">
        <v>0</v>
      </c>
      <c r="L4835" t="n">
        <v>0</v>
      </c>
      <c r="M4835" t="n">
        <v>0</v>
      </c>
      <c r="N4835" t="n">
        <v>0</v>
      </c>
      <c r="O4835" t="n">
        <v>0</v>
      </c>
      <c r="P4835" t="n">
        <v>0</v>
      </c>
      <c r="Q4835" t="n">
        <v>0</v>
      </c>
      <c r="R4835" s="2" t="inlineStr"/>
    </row>
    <row r="4836" ht="15" customHeight="1">
      <c r="A4836" t="inlineStr">
        <is>
          <t>A 57404-2024</t>
        </is>
      </c>
      <c r="B4836" s="1" t="n">
        <v>45629</v>
      </c>
      <c r="C4836" s="1" t="n">
        <v>45724</v>
      </c>
      <c r="D4836" t="inlineStr">
        <is>
          <t>VÄSTMANLANDS LÄN</t>
        </is>
      </c>
      <c r="E4836" t="inlineStr">
        <is>
          <t>SALA</t>
        </is>
      </c>
      <c r="G4836" t="n">
        <v>0.3</v>
      </c>
      <c r="H4836" t="n">
        <v>0</v>
      </c>
      <c r="I4836" t="n">
        <v>0</v>
      </c>
      <c r="J4836" t="n">
        <v>0</v>
      </c>
      <c r="K4836" t="n">
        <v>0</v>
      </c>
      <c r="L4836" t="n">
        <v>0</v>
      </c>
      <c r="M4836" t="n">
        <v>0</v>
      </c>
      <c r="N4836" t="n">
        <v>0</v>
      </c>
      <c r="O4836" t="n">
        <v>0</v>
      </c>
      <c r="P4836" t="n">
        <v>0</v>
      </c>
      <c r="Q4836" t="n">
        <v>0</v>
      </c>
      <c r="R4836" s="2" t="inlineStr"/>
    </row>
    <row r="4837" ht="15" customHeight="1">
      <c r="A4837" t="inlineStr">
        <is>
          <t>A 57496-2024</t>
        </is>
      </c>
      <c r="B4837" s="1" t="n">
        <v>45630</v>
      </c>
      <c r="C4837" s="1" t="n">
        <v>45724</v>
      </c>
      <c r="D4837" t="inlineStr">
        <is>
          <t>VÄSTMANLANDS LÄN</t>
        </is>
      </c>
      <c r="E4837" t="inlineStr">
        <is>
          <t>KÖPING</t>
        </is>
      </c>
      <c r="G4837" t="n">
        <v>2.5</v>
      </c>
      <c r="H4837" t="n">
        <v>0</v>
      </c>
      <c r="I4837" t="n">
        <v>0</v>
      </c>
      <c r="J4837" t="n">
        <v>0</v>
      </c>
      <c r="K4837" t="n">
        <v>0</v>
      </c>
      <c r="L4837" t="n">
        <v>0</v>
      </c>
      <c r="M4837" t="n">
        <v>0</v>
      </c>
      <c r="N4837" t="n">
        <v>0</v>
      </c>
      <c r="O4837" t="n">
        <v>0</v>
      </c>
      <c r="P4837" t="n">
        <v>0</v>
      </c>
      <c r="Q4837" t="n">
        <v>0</v>
      </c>
      <c r="R4837" s="2" t="inlineStr"/>
    </row>
    <row r="4838" ht="15" customHeight="1">
      <c r="A4838" t="inlineStr">
        <is>
          <t>A 57597-2024</t>
        </is>
      </c>
      <c r="B4838" s="1" t="n">
        <v>45630</v>
      </c>
      <c r="C4838" s="1" t="n">
        <v>45724</v>
      </c>
      <c r="D4838" t="inlineStr">
        <is>
          <t>VÄSTMANLANDS LÄN</t>
        </is>
      </c>
      <c r="E4838" t="inlineStr">
        <is>
          <t>ARBOGA</t>
        </is>
      </c>
      <c r="G4838" t="n">
        <v>2.7</v>
      </c>
      <c r="H4838" t="n">
        <v>0</v>
      </c>
      <c r="I4838" t="n">
        <v>0</v>
      </c>
      <c r="J4838" t="n">
        <v>0</v>
      </c>
      <c r="K4838" t="n">
        <v>0</v>
      </c>
      <c r="L4838" t="n">
        <v>0</v>
      </c>
      <c r="M4838" t="n">
        <v>0</v>
      </c>
      <c r="N4838" t="n">
        <v>0</v>
      </c>
      <c r="O4838" t="n">
        <v>0</v>
      </c>
      <c r="P4838" t="n">
        <v>0</v>
      </c>
      <c r="Q4838" t="n">
        <v>0</v>
      </c>
      <c r="R4838" s="2" t="inlineStr"/>
    </row>
    <row r="4839" ht="15" customHeight="1">
      <c r="A4839" t="inlineStr">
        <is>
          <t>A 57596-2024</t>
        </is>
      </c>
      <c r="B4839" s="1" t="n">
        <v>45630</v>
      </c>
      <c r="C4839" s="1" t="n">
        <v>45724</v>
      </c>
      <c r="D4839" t="inlineStr">
        <is>
          <t>VÄSTMANLANDS LÄN</t>
        </is>
      </c>
      <c r="E4839" t="inlineStr">
        <is>
          <t>ARBOGA</t>
        </is>
      </c>
      <c r="G4839" t="n">
        <v>0.8</v>
      </c>
      <c r="H4839" t="n">
        <v>0</v>
      </c>
      <c r="I4839" t="n">
        <v>0</v>
      </c>
      <c r="J4839" t="n">
        <v>0</v>
      </c>
      <c r="K4839" t="n">
        <v>0</v>
      </c>
      <c r="L4839" t="n">
        <v>0</v>
      </c>
      <c r="M4839" t="n">
        <v>0</v>
      </c>
      <c r="N4839" t="n">
        <v>0</v>
      </c>
      <c r="O4839" t="n">
        <v>0</v>
      </c>
      <c r="P4839" t="n">
        <v>0</v>
      </c>
      <c r="Q4839" t="n">
        <v>0</v>
      </c>
      <c r="R4839" s="2" t="inlineStr"/>
    </row>
    <row r="4840" ht="15" customHeight="1">
      <c r="A4840" t="inlineStr">
        <is>
          <t>A 57650-2024</t>
        </is>
      </c>
      <c r="B4840" s="1" t="n">
        <v>45630</v>
      </c>
      <c r="C4840" s="1" t="n">
        <v>45724</v>
      </c>
      <c r="D4840" t="inlineStr">
        <is>
          <t>VÄSTMANLANDS LÄN</t>
        </is>
      </c>
      <c r="E4840" t="inlineStr">
        <is>
          <t>SALA</t>
        </is>
      </c>
      <c r="G4840" t="n">
        <v>0.6</v>
      </c>
      <c r="H4840" t="n">
        <v>0</v>
      </c>
      <c r="I4840" t="n">
        <v>0</v>
      </c>
      <c r="J4840" t="n">
        <v>0</v>
      </c>
      <c r="K4840" t="n">
        <v>0</v>
      </c>
      <c r="L4840" t="n">
        <v>0</v>
      </c>
      <c r="M4840" t="n">
        <v>0</v>
      </c>
      <c r="N4840" t="n">
        <v>0</v>
      </c>
      <c r="O4840" t="n">
        <v>0</v>
      </c>
      <c r="P4840" t="n">
        <v>0</v>
      </c>
      <c r="Q4840" t="n">
        <v>0</v>
      </c>
      <c r="R4840" s="2" t="inlineStr"/>
    </row>
    <row r="4841" ht="15" customHeight="1">
      <c r="A4841" t="inlineStr">
        <is>
          <t>A 57636-2024</t>
        </is>
      </c>
      <c r="B4841" s="1" t="n">
        <v>45630</v>
      </c>
      <c r="C4841" s="1" t="n">
        <v>45724</v>
      </c>
      <c r="D4841" t="inlineStr">
        <is>
          <t>VÄSTMANLANDS LÄN</t>
        </is>
      </c>
      <c r="E4841" t="inlineStr">
        <is>
          <t>VÄSTERÅS</t>
        </is>
      </c>
      <c r="G4841" t="n">
        <v>2.4</v>
      </c>
      <c r="H4841" t="n">
        <v>0</v>
      </c>
      <c r="I4841" t="n">
        <v>0</v>
      </c>
      <c r="J4841" t="n">
        <v>0</v>
      </c>
      <c r="K4841" t="n">
        <v>0</v>
      </c>
      <c r="L4841" t="n">
        <v>0</v>
      </c>
      <c r="M4841" t="n">
        <v>0</v>
      </c>
      <c r="N4841" t="n">
        <v>0</v>
      </c>
      <c r="O4841" t="n">
        <v>0</v>
      </c>
      <c r="P4841" t="n">
        <v>0</v>
      </c>
      <c r="Q4841" t="n">
        <v>0</v>
      </c>
      <c r="R4841" s="2" t="inlineStr"/>
    </row>
    <row r="4842" ht="15" customHeight="1">
      <c r="A4842" t="inlineStr">
        <is>
          <t>A 57883-2024</t>
        </is>
      </c>
      <c r="B4842" s="1" t="n">
        <v>45630</v>
      </c>
      <c r="C4842" s="1" t="n">
        <v>45724</v>
      </c>
      <c r="D4842" t="inlineStr">
        <is>
          <t>VÄSTMANLANDS LÄN</t>
        </is>
      </c>
      <c r="E4842" t="inlineStr">
        <is>
          <t>SALA</t>
        </is>
      </c>
      <c r="G4842" t="n">
        <v>5.4</v>
      </c>
      <c r="H4842" t="n">
        <v>0</v>
      </c>
      <c r="I4842" t="n">
        <v>0</v>
      </c>
      <c r="J4842" t="n">
        <v>0</v>
      </c>
      <c r="K4842" t="n">
        <v>0</v>
      </c>
      <c r="L4842" t="n">
        <v>0</v>
      </c>
      <c r="M4842" t="n">
        <v>0</v>
      </c>
      <c r="N4842" t="n">
        <v>0</v>
      </c>
      <c r="O4842" t="n">
        <v>0</v>
      </c>
      <c r="P4842" t="n">
        <v>0</v>
      </c>
      <c r="Q4842" t="n">
        <v>0</v>
      </c>
      <c r="R4842" s="2" t="inlineStr"/>
    </row>
    <row r="4843" ht="15" customHeight="1">
      <c r="A4843" t="inlineStr">
        <is>
          <t>A 57813-2024</t>
        </is>
      </c>
      <c r="B4843" s="1" t="n">
        <v>45631</v>
      </c>
      <c r="C4843" s="1" t="n">
        <v>45724</v>
      </c>
      <c r="D4843" t="inlineStr">
        <is>
          <t>VÄSTMANLANDS LÄN</t>
        </is>
      </c>
      <c r="E4843" t="inlineStr">
        <is>
          <t>KÖPING</t>
        </is>
      </c>
      <c r="G4843" t="n">
        <v>2.2</v>
      </c>
      <c r="H4843" t="n">
        <v>0</v>
      </c>
      <c r="I4843" t="n">
        <v>0</v>
      </c>
      <c r="J4843" t="n">
        <v>0</v>
      </c>
      <c r="K4843" t="n">
        <v>0</v>
      </c>
      <c r="L4843" t="n">
        <v>0</v>
      </c>
      <c r="M4843" t="n">
        <v>0</v>
      </c>
      <c r="N4843" t="n">
        <v>0</v>
      </c>
      <c r="O4843" t="n">
        <v>0</v>
      </c>
      <c r="P4843" t="n">
        <v>0</v>
      </c>
      <c r="Q4843" t="n">
        <v>0</v>
      </c>
      <c r="R4843" s="2" t="inlineStr"/>
    </row>
    <row r="4844" ht="15" customHeight="1">
      <c r="A4844" t="inlineStr">
        <is>
          <t>A 57823-2024</t>
        </is>
      </c>
      <c r="B4844" s="1" t="n">
        <v>45631</v>
      </c>
      <c r="C4844" s="1" t="n">
        <v>45724</v>
      </c>
      <c r="D4844" t="inlineStr">
        <is>
          <t>VÄSTMANLANDS LÄN</t>
        </is>
      </c>
      <c r="E4844" t="inlineStr">
        <is>
          <t>KÖPING</t>
        </is>
      </c>
      <c r="G4844" t="n">
        <v>1</v>
      </c>
      <c r="H4844" t="n">
        <v>0</v>
      </c>
      <c r="I4844" t="n">
        <v>0</v>
      </c>
      <c r="J4844" t="n">
        <v>0</v>
      </c>
      <c r="K4844" t="n">
        <v>0</v>
      </c>
      <c r="L4844" t="n">
        <v>0</v>
      </c>
      <c r="M4844" t="n">
        <v>0</v>
      </c>
      <c r="N4844" t="n">
        <v>0</v>
      </c>
      <c r="O4844" t="n">
        <v>0</v>
      </c>
      <c r="P4844" t="n">
        <v>0</v>
      </c>
      <c r="Q4844" t="n">
        <v>0</v>
      </c>
      <c r="R4844" s="2" t="inlineStr"/>
    </row>
    <row r="4845" ht="15" customHeight="1">
      <c r="A4845" t="inlineStr">
        <is>
          <t>A 57884-2024</t>
        </is>
      </c>
      <c r="B4845" s="1" t="n">
        <v>45631</v>
      </c>
      <c r="C4845" s="1" t="n">
        <v>45724</v>
      </c>
      <c r="D4845" t="inlineStr">
        <is>
          <t>VÄSTMANLANDS LÄN</t>
        </is>
      </c>
      <c r="E4845" t="inlineStr">
        <is>
          <t>ARBOGA</t>
        </is>
      </c>
      <c r="F4845" t="inlineStr">
        <is>
          <t>Sveaskog</t>
        </is>
      </c>
      <c r="G4845" t="n">
        <v>2.8</v>
      </c>
      <c r="H4845" t="n">
        <v>0</v>
      </c>
      <c r="I4845" t="n">
        <v>0</v>
      </c>
      <c r="J4845" t="n">
        <v>0</v>
      </c>
      <c r="K4845" t="n">
        <v>0</v>
      </c>
      <c r="L4845" t="n">
        <v>0</v>
      </c>
      <c r="M4845" t="n">
        <v>0</v>
      </c>
      <c r="N4845" t="n">
        <v>0</v>
      </c>
      <c r="O4845" t="n">
        <v>0</v>
      </c>
      <c r="P4845" t="n">
        <v>0</v>
      </c>
      <c r="Q4845" t="n">
        <v>0</v>
      </c>
      <c r="R4845" s="2" t="inlineStr"/>
    </row>
    <row r="4846" ht="15" customHeight="1">
      <c r="A4846" t="inlineStr">
        <is>
          <t>A 57993-2024</t>
        </is>
      </c>
      <c r="B4846" s="1" t="n">
        <v>45631</v>
      </c>
      <c r="C4846" s="1" t="n">
        <v>45724</v>
      </c>
      <c r="D4846" t="inlineStr">
        <is>
          <t>VÄSTMANLANDS LÄN</t>
        </is>
      </c>
      <c r="E4846" t="inlineStr">
        <is>
          <t>NORBERG</t>
        </is>
      </c>
      <c r="G4846" t="n">
        <v>2.7</v>
      </c>
      <c r="H4846" t="n">
        <v>0</v>
      </c>
      <c r="I4846" t="n">
        <v>0</v>
      </c>
      <c r="J4846" t="n">
        <v>0</v>
      </c>
      <c r="K4846" t="n">
        <v>0</v>
      </c>
      <c r="L4846" t="n">
        <v>0</v>
      </c>
      <c r="M4846" t="n">
        <v>0</v>
      </c>
      <c r="N4846" t="n">
        <v>0</v>
      </c>
      <c r="O4846" t="n">
        <v>0</v>
      </c>
      <c r="P4846" t="n">
        <v>0</v>
      </c>
      <c r="Q4846" t="n">
        <v>0</v>
      </c>
      <c r="R4846" s="2" t="inlineStr"/>
    </row>
    <row r="4847" ht="15" customHeight="1">
      <c r="A4847" t="inlineStr">
        <is>
          <t>A 57895-2024</t>
        </is>
      </c>
      <c r="B4847" s="1" t="n">
        <v>45631</v>
      </c>
      <c r="C4847" s="1" t="n">
        <v>45724</v>
      </c>
      <c r="D4847" t="inlineStr">
        <is>
          <t>VÄSTMANLANDS LÄN</t>
        </is>
      </c>
      <c r="E4847" t="inlineStr">
        <is>
          <t>SALA</t>
        </is>
      </c>
      <c r="G4847" t="n">
        <v>1</v>
      </c>
      <c r="H4847" t="n">
        <v>0</v>
      </c>
      <c r="I4847" t="n">
        <v>0</v>
      </c>
      <c r="J4847" t="n">
        <v>0</v>
      </c>
      <c r="K4847" t="n">
        <v>0</v>
      </c>
      <c r="L4847" t="n">
        <v>0</v>
      </c>
      <c r="M4847" t="n">
        <v>0</v>
      </c>
      <c r="N4847" t="n">
        <v>0</v>
      </c>
      <c r="O4847" t="n">
        <v>0</v>
      </c>
      <c r="P4847" t="n">
        <v>0</v>
      </c>
      <c r="Q4847" t="n">
        <v>0</v>
      </c>
      <c r="R4847" s="2" t="inlineStr"/>
    </row>
    <row r="4848" ht="15" customHeight="1">
      <c r="A4848" t="inlineStr">
        <is>
          <t>A 57872-2024</t>
        </is>
      </c>
      <c r="B4848" s="1" t="n">
        <v>45631</v>
      </c>
      <c r="C4848" s="1" t="n">
        <v>45724</v>
      </c>
      <c r="D4848" t="inlineStr">
        <is>
          <t>VÄSTMANLANDS LÄN</t>
        </is>
      </c>
      <c r="E4848" t="inlineStr">
        <is>
          <t>ARBOGA</t>
        </is>
      </c>
      <c r="F4848" t="inlineStr">
        <is>
          <t>Sveaskog</t>
        </is>
      </c>
      <c r="G4848" t="n">
        <v>4.1</v>
      </c>
      <c r="H4848" t="n">
        <v>0</v>
      </c>
      <c r="I4848" t="n">
        <v>0</v>
      </c>
      <c r="J4848" t="n">
        <v>0</v>
      </c>
      <c r="K4848" t="n">
        <v>0</v>
      </c>
      <c r="L4848" t="n">
        <v>0</v>
      </c>
      <c r="M4848" t="n">
        <v>0</v>
      </c>
      <c r="N4848" t="n">
        <v>0</v>
      </c>
      <c r="O4848" t="n">
        <v>0</v>
      </c>
      <c r="P4848" t="n">
        <v>0</v>
      </c>
      <c r="Q4848" t="n">
        <v>0</v>
      </c>
      <c r="R4848" s="2" t="inlineStr"/>
    </row>
    <row r="4849" ht="15" customHeight="1">
      <c r="A4849" t="inlineStr">
        <is>
          <t>A 57890-2024</t>
        </is>
      </c>
      <c r="B4849" s="1" t="n">
        <v>45631</v>
      </c>
      <c r="C4849" s="1" t="n">
        <v>45724</v>
      </c>
      <c r="D4849" t="inlineStr">
        <is>
          <t>VÄSTMANLANDS LÄN</t>
        </is>
      </c>
      <c r="E4849" t="inlineStr">
        <is>
          <t>ARBOGA</t>
        </is>
      </c>
      <c r="F4849" t="inlineStr">
        <is>
          <t>Sveaskog</t>
        </is>
      </c>
      <c r="G4849" t="n">
        <v>2.4</v>
      </c>
      <c r="H4849" t="n">
        <v>0</v>
      </c>
      <c r="I4849" t="n">
        <v>0</v>
      </c>
      <c r="J4849" t="n">
        <v>0</v>
      </c>
      <c r="K4849" t="n">
        <v>0</v>
      </c>
      <c r="L4849" t="n">
        <v>0</v>
      </c>
      <c r="M4849" t="n">
        <v>0</v>
      </c>
      <c r="N4849" t="n">
        <v>0</v>
      </c>
      <c r="O4849" t="n">
        <v>0</v>
      </c>
      <c r="P4849" t="n">
        <v>0</v>
      </c>
      <c r="Q4849" t="n">
        <v>0</v>
      </c>
      <c r="R4849" s="2" t="inlineStr"/>
    </row>
    <row r="4850" ht="15" customHeight="1">
      <c r="A4850" t="inlineStr">
        <is>
          <t>A 57948-2024</t>
        </is>
      </c>
      <c r="B4850" s="1" t="n">
        <v>45631</v>
      </c>
      <c r="C4850" s="1" t="n">
        <v>45724</v>
      </c>
      <c r="D4850" t="inlineStr">
        <is>
          <t>VÄSTMANLANDS LÄN</t>
        </is>
      </c>
      <c r="E4850" t="inlineStr">
        <is>
          <t>SALA</t>
        </is>
      </c>
      <c r="G4850" t="n">
        <v>1.6</v>
      </c>
      <c r="H4850" t="n">
        <v>0</v>
      </c>
      <c r="I4850" t="n">
        <v>0</v>
      </c>
      <c r="J4850" t="n">
        <v>0</v>
      </c>
      <c r="K4850" t="n">
        <v>0</v>
      </c>
      <c r="L4850" t="n">
        <v>0</v>
      </c>
      <c r="M4850" t="n">
        <v>0</v>
      </c>
      <c r="N4850" t="n">
        <v>0</v>
      </c>
      <c r="O4850" t="n">
        <v>0</v>
      </c>
      <c r="P4850" t="n">
        <v>0</v>
      </c>
      <c r="Q4850" t="n">
        <v>0</v>
      </c>
      <c r="R4850" s="2" t="inlineStr"/>
    </row>
    <row r="4851" ht="15" customHeight="1">
      <c r="A4851" t="inlineStr">
        <is>
          <t>A 57975-2024</t>
        </is>
      </c>
      <c r="B4851" s="1" t="n">
        <v>45631</v>
      </c>
      <c r="C4851" s="1" t="n">
        <v>45724</v>
      </c>
      <c r="D4851" t="inlineStr">
        <is>
          <t>VÄSTMANLANDS LÄN</t>
        </is>
      </c>
      <c r="E4851" t="inlineStr">
        <is>
          <t>VÄSTERÅS</t>
        </is>
      </c>
      <c r="G4851" t="n">
        <v>6.2</v>
      </c>
      <c r="H4851" t="n">
        <v>0</v>
      </c>
      <c r="I4851" t="n">
        <v>0</v>
      </c>
      <c r="J4851" t="n">
        <v>0</v>
      </c>
      <c r="K4851" t="n">
        <v>0</v>
      </c>
      <c r="L4851" t="n">
        <v>0</v>
      </c>
      <c r="M4851" t="n">
        <v>0</v>
      </c>
      <c r="N4851" t="n">
        <v>0</v>
      </c>
      <c r="O4851" t="n">
        <v>0</v>
      </c>
      <c r="P4851" t="n">
        <v>0</v>
      </c>
      <c r="Q4851" t="n">
        <v>0</v>
      </c>
      <c r="R4851" s="2" t="inlineStr"/>
    </row>
    <row r="4852" ht="15" customHeight="1">
      <c r="A4852" t="inlineStr">
        <is>
          <t>A 57990-2024</t>
        </is>
      </c>
      <c r="B4852" s="1" t="n">
        <v>45631</v>
      </c>
      <c r="C4852" s="1" t="n">
        <v>45724</v>
      </c>
      <c r="D4852" t="inlineStr">
        <is>
          <t>VÄSTMANLANDS LÄN</t>
        </is>
      </c>
      <c r="E4852" t="inlineStr">
        <is>
          <t>NORBERG</t>
        </is>
      </c>
      <c r="G4852" t="n">
        <v>0.7</v>
      </c>
      <c r="H4852" t="n">
        <v>0</v>
      </c>
      <c r="I4852" t="n">
        <v>0</v>
      </c>
      <c r="J4852" t="n">
        <v>0</v>
      </c>
      <c r="K4852" t="n">
        <v>0</v>
      </c>
      <c r="L4852" t="n">
        <v>0</v>
      </c>
      <c r="M4852" t="n">
        <v>0</v>
      </c>
      <c r="N4852" t="n">
        <v>0</v>
      </c>
      <c r="O4852" t="n">
        <v>0</v>
      </c>
      <c r="P4852" t="n">
        <v>0</v>
      </c>
      <c r="Q4852" t="n">
        <v>0</v>
      </c>
      <c r="R4852" s="2" t="inlineStr"/>
    </row>
    <row r="4853" ht="15" customHeight="1">
      <c r="A4853" t="inlineStr">
        <is>
          <t>A 58028-2024</t>
        </is>
      </c>
      <c r="B4853" s="1" t="n">
        <v>45631</v>
      </c>
      <c r="C4853" s="1" t="n">
        <v>45724</v>
      </c>
      <c r="D4853" t="inlineStr">
        <is>
          <t>VÄSTMANLANDS LÄN</t>
        </is>
      </c>
      <c r="E4853" t="inlineStr">
        <is>
          <t>VÄSTERÅS</t>
        </is>
      </c>
      <c r="G4853" t="n">
        <v>1.2</v>
      </c>
      <c r="H4853" t="n">
        <v>0</v>
      </c>
      <c r="I4853" t="n">
        <v>0</v>
      </c>
      <c r="J4853" t="n">
        <v>0</v>
      </c>
      <c r="K4853" t="n">
        <v>0</v>
      </c>
      <c r="L4853" t="n">
        <v>0</v>
      </c>
      <c r="M4853" t="n">
        <v>0</v>
      </c>
      <c r="N4853" t="n">
        <v>0</v>
      </c>
      <c r="O4853" t="n">
        <v>0</v>
      </c>
      <c r="P4853" t="n">
        <v>0</v>
      </c>
      <c r="Q4853" t="n">
        <v>0</v>
      </c>
      <c r="R4853" s="2" t="inlineStr"/>
    </row>
    <row r="4854" ht="15" customHeight="1">
      <c r="A4854" t="inlineStr">
        <is>
          <t>A 58126-2024</t>
        </is>
      </c>
      <c r="B4854" s="1" t="n">
        <v>45632</v>
      </c>
      <c r="C4854" s="1" t="n">
        <v>45724</v>
      </c>
      <c r="D4854" t="inlineStr">
        <is>
          <t>VÄSTMANLANDS LÄN</t>
        </is>
      </c>
      <c r="E4854" t="inlineStr">
        <is>
          <t>SALA</t>
        </is>
      </c>
      <c r="G4854" t="n">
        <v>1.2</v>
      </c>
      <c r="H4854" t="n">
        <v>0</v>
      </c>
      <c r="I4854" t="n">
        <v>0</v>
      </c>
      <c r="J4854" t="n">
        <v>0</v>
      </c>
      <c r="K4854" t="n">
        <v>0</v>
      </c>
      <c r="L4854" t="n">
        <v>0</v>
      </c>
      <c r="M4854" t="n">
        <v>0</v>
      </c>
      <c r="N4854" t="n">
        <v>0</v>
      </c>
      <c r="O4854" t="n">
        <v>0</v>
      </c>
      <c r="P4854" t="n">
        <v>0</v>
      </c>
      <c r="Q4854" t="n">
        <v>0</v>
      </c>
      <c r="R4854" s="2" t="inlineStr"/>
    </row>
    <row r="4855" ht="15" customHeight="1">
      <c r="A4855" t="inlineStr">
        <is>
          <t>A 58241-2024</t>
        </is>
      </c>
      <c r="B4855" s="1" t="n">
        <v>45632</v>
      </c>
      <c r="C4855" s="1" t="n">
        <v>45724</v>
      </c>
      <c r="D4855" t="inlineStr">
        <is>
          <t>VÄSTMANLANDS LÄN</t>
        </is>
      </c>
      <c r="E4855" t="inlineStr">
        <is>
          <t>ARBOGA</t>
        </is>
      </c>
      <c r="G4855" t="n">
        <v>3.8</v>
      </c>
      <c r="H4855" t="n">
        <v>0</v>
      </c>
      <c r="I4855" t="n">
        <v>0</v>
      </c>
      <c r="J4855" t="n">
        <v>0</v>
      </c>
      <c r="K4855" t="n">
        <v>0</v>
      </c>
      <c r="L4855" t="n">
        <v>0</v>
      </c>
      <c r="M4855" t="n">
        <v>0</v>
      </c>
      <c r="N4855" t="n">
        <v>0</v>
      </c>
      <c r="O4855" t="n">
        <v>0</v>
      </c>
      <c r="P4855" t="n">
        <v>0</v>
      </c>
      <c r="Q4855" t="n">
        <v>0</v>
      </c>
      <c r="R4855" s="2" t="inlineStr"/>
    </row>
    <row r="4856" ht="15" customHeight="1">
      <c r="A4856" t="inlineStr">
        <is>
          <t>A 58310-2024</t>
        </is>
      </c>
      <c r="B4856" s="1" t="n">
        <v>45632</v>
      </c>
      <c r="C4856" s="1" t="n">
        <v>45724</v>
      </c>
      <c r="D4856" t="inlineStr">
        <is>
          <t>VÄSTMANLANDS LÄN</t>
        </is>
      </c>
      <c r="E4856" t="inlineStr">
        <is>
          <t>FAGERSTA</t>
        </is>
      </c>
      <c r="G4856" t="n">
        <v>1.5</v>
      </c>
      <c r="H4856" t="n">
        <v>0</v>
      </c>
      <c r="I4856" t="n">
        <v>0</v>
      </c>
      <c r="J4856" t="n">
        <v>0</v>
      </c>
      <c r="K4856" t="n">
        <v>0</v>
      </c>
      <c r="L4856" t="n">
        <v>0</v>
      </c>
      <c r="M4856" t="n">
        <v>0</v>
      </c>
      <c r="N4856" t="n">
        <v>0</v>
      </c>
      <c r="O4856" t="n">
        <v>0</v>
      </c>
      <c r="P4856" t="n">
        <v>0</v>
      </c>
      <c r="Q4856" t="n">
        <v>0</v>
      </c>
      <c r="R4856" s="2" t="inlineStr"/>
    </row>
    <row r="4857" ht="15" customHeight="1">
      <c r="A4857" t="inlineStr">
        <is>
          <t>A 58262-2024</t>
        </is>
      </c>
      <c r="B4857" s="1" t="n">
        <v>45632</v>
      </c>
      <c r="C4857" s="1" t="n">
        <v>45724</v>
      </c>
      <c r="D4857" t="inlineStr">
        <is>
          <t>VÄSTMANLANDS LÄN</t>
        </is>
      </c>
      <c r="E4857" t="inlineStr">
        <is>
          <t>ARBOGA</t>
        </is>
      </c>
      <c r="G4857" t="n">
        <v>4.5</v>
      </c>
      <c r="H4857" t="n">
        <v>0</v>
      </c>
      <c r="I4857" t="n">
        <v>0</v>
      </c>
      <c r="J4857" t="n">
        <v>0</v>
      </c>
      <c r="K4857" t="n">
        <v>0</v>
      </c>
      <c r="L4857" t="n">
        <v>0</v>
      </c>
      <c r="M4857" t="n">
        <v>0</v>
      </c>
      <c r="N4857" t="n">
        <v>0</v>
      </c>
      <c r="O4857" t="n">
        <v>0</v>
      </c>
      <c r="P4857" t="n">
        <v>0</v>
      </c>
      <c r="Q4857" t="n">
        <v>0</v>
      </c>
      <c r="R4857" s="2" t="inlineStr"/>
    </row>
    <row r="4858" ht="15" customHeight="1">
      <c r="A4858" t="inlineStr">
        <is>
          <t>A 58305-2024</t>
        </is>
      </c>
      <c r="B4858" s="1" t="n">
        <v>45632</v>
      </c>
      <c r="C4858" s="1" t="n">
        <v>45724</v>
      </c>
      <c r="D4858" t="inlineStr">
        <is>
          <t>VÄSTMANLANDS LÄN</t>
        </is>
      </c>
      <c r="E4858" t="inlineStr">
        <is>
          <t>FAGERSTA</t>
        </is>
      </c>
      <c r="G4858" t="n">
        <v>0.9</v>
      </c>
      <c r="H4858" t="n">
        <v>0</v>
      </c>
      <c r="I4858" t="n">
        <v>0</v>
      </c>
      <c r="J4858" t="n">
        <v>0</v>
      </c>
      <c r="K4858" t="n">
        <v>0</v>
      </c>
      <c r="L4858" t="n">
        <v>0</v>
      </c>
      <c r="M4858" t="n">
        <v>0</v>
      </c>
      <c r="N4858" t="n">
        <v>0</v>
      </c>
      <c r="O4858" t="n">
        <v>0</v>
      </c>
      <c r="P4858" t="n">
        <v>0</v>
      </c>
      <c r="Q4858" t="n">
        <v>0</v>
      </c>
      <c r="R4858" s="2" t="inlineStr"/>
    </row>
    <row r="4859" ht="15" customHeight="1">
      <c r="A4859" t="inlineStr">
        <is>
          <t>A 58616-2024</t>
        </is>
      </c>
      <c r="B4859" s="1" t="n">
        <v>45632</v>
      </c>
      <c r="C4859" s="1" t="n">
        <v>45724</v>
      </c>
      <c r="D4859" t="inlineStr">
        <is>
          <t>VÄSTMANLANDS LÄN</t>
        </is>
      </c>
      <c r="E4859" t="inlineStr">
        <is>
          <t>NORBERG</t>
        </is>
      </c>
      <c r="F4859" t="inlineStr">
        <is>
          <t>Bergvik skog väst AB</t>
        </is>
      </c>
      <c r="G4859" t="n">
        <v>4.7</v>
      </c>
      <c r="H4859" t="n">
        <v>0</v>
      </c>
      <c r="I4859" t="n">
        <v>0</v>
      </c>
      <c r="J4859" t="n">
        <v>0</v>
      </c>
      <c r="K4859" t="n">
        <v>0</v>
      </c>
      <c r="L4859" t="n">
        <v>0</v>
      </c>
      <c r="M4859" t="n">
        <v>0</v>
      </c>
      <c r="N4859" t="n">
        <v>0</v>
      </c>
      <c r="O4859" t="n">
        <v>0</v>
      </c>
      <c r="P4859" t="n">
        <v>0</v>
      </c>
      <c r="Q4859" t="n">
        <v>0</v>
      </c>
      <c r="R4859" s="2" t="inlineStr"/>
    </row>
    <row r="4860" ht="15" customHeight="1">
      <c r="A4860" t="inlineStr">
        <is>
          <t>A 58460-2024</t>
        </is>
      </c>
      <c r="B4860" s="1" t="n">
        <v>45635</v>
      </c>
      <c r="C4860" s="1" t="n">
        <v>45724</v>
      </c>
      <c r="D4860" t="inlineStr">
        <is>
          <t>VÄSTMANLANDS LÄN</t>
        </is>
      </c>
      <c r="E4860" t="inlineStr">
        <is>
          <t>FAGERSTA</t>
        </is>
      </c>
      <c r="G4860" t="n">
        <v>1.3</v>
      </c>
      <c r="H4860" t="n">
        <v>0</v>
      </c>
      <c r="I4860" t="n">
        <v>0</v>
      </c>
      <c r="J4860" t="n">
        <v>0</v>
      </c>
      <c r="K4860" t="n">
        <v>0</v>
      </c>
      <c r="L4860" t="n">
        <v>0</v>
      </c>
      <c r="M4860" t="n">
        <v>0</v>
      </c>
      <c r="N4860" t="n">
        <v>0</v>
      </c>
      <c r="O4860" t="n">
        <v>0</v>
      </c>
      <c r="P4860" t="n">
        <v>0</v>
      </c>
      <c r="Q4860" t="n">
        <v>0</v>
      </c>
      <c r="R4860" s="2" t="inlineStr"/>
    </row>
    <row r="4861" ht="15" customHeight="1">
      <c r="A4861" t="inlineStr">
        <is>
          <t>A 58464-2024</t>
        </is>
      </c>
      <c r="B4861" s="1" t="n">
        <v>45635</v>
      </c>
      <c r="C4861" s="1" t="n">
        <v>45724</v>
      </c>
      <c r="D4861" t="inlineStr">
        <is>
          <t>VÄSTMANLANDS LÄN</t>
        </is>
      </c>
      <c r="E4861" t="inlineStr">
        <is>
          <t>FAGERSTA</t>
        </is>
      </c>
      <c r="G4861" t="n">
        <v>0.7</v>
      </c>
      <c r="H4861" t="n">
        <v>0</v>
      </c>
      <c r="I4861" t="n">
        <v>0</v>
      </c>
      <c r="J4861" t="n">
        <v>0</v>
      </c>
      <c r="K4861" t="n">
        <v>0</v>
      </c>
      <c r="L4861" t="n">
        <v>0</v>
      </c>
      <c r="M4861" t="n">
        <v>0</v>
      </c>
      <c r="N4861" t="n">
        <v>0</v>
      </c>
      <c r="O4861" t="n">
        <v>0</v>
      </c>
      <c r="P4861" t="n">
        <v>0</v>
      </c>
      <c r="Q4861" t="n">
        <v>0</v>
      </c>
      <c r="R4861" s="2" t="inlineStr"/>
    </row>
    <row r="4862" ht="15" customHeight="1">
      <c r="A4862" t="inlineStr">
        <is>
          <t>A 58468-2024</t>
        </is>
      </c>
      <c r="B4862" s="1" t="n">
        <v>45635</v>
      </c>
      <c r="C4862" s="1" t="n">
        <v>45724</v>
      </c>
      <c r="D4862" t="inlineStr">
        <is>
          <t>VÄSTMANLANDS LÄN</t>
        </is>
      </c>
      <c r="E4862" t="inlineStr">
        <is>
          <t>FAGERSTA</t>
        </is>
      </c>
      <c r="G4862" t="n">
        <v>1</v>
      </c>
      <c r="H4862" t="n">
        <v>0</v>
      </c>
      <c r="I4862" t="n">
        <v>0</v>
      </c>
      <c r="J4862" t="n">
        <v>0</v>
      </c>
      <c r="K4862" t="n">
        <v>0</v>
      </c>
      <c r="L4862" t="n">
        <v>0</v>
      </c>
      <c r="M4862" t="n">
        <v>0</v>
      </c>
      <c r="N4862" t="n">
        <v>0</v>
      </c>
      <c r="O4862" t="n">
        <v>0</v>
      </c>
      <c r="P4862" t="n">
        <v>0</v>
      </c>
      <c r="Q4862" t="n">
        <v>0</v>
      </c>
      <c r="R4862" s="2" t="inlineStr"/>
    </row>
    <row r="4863" ht="15" customHeight="1">
      <c r="A4863" t="inlineStr">
        <is>
          <t>A 58594-2024</t>
        </is>
      </c>
      <c r="B4863" s="1" t="n">
        <v>45635</v>
      </c>
      <c r="C4863" s="1" t="n">
        <v>45724</v>
      </c>
      <c r="D4863" t="inlineStr">
        <is>
          <t>VÄSTMANLANDS LÄN</t>
        </is>
      </c>
      <c r="E4863" t="inlineStr">
        <is>
          <t>FAGERSTA</t>
        </is>
      </c>
      <c r="G4863" t="n">
        <v>2.1</v>
      </c>
      <c r="H4863" t="n">
        <v>0</v>
      </c>
      <c r="I4863" t="n">
        <v>0</v>
      </c>
      <c r="J4863" t="n">
        <v>0</v>
      </c>
      <c r="K4863" t="n">
        <v>0</v>
      </c>
      <c r="L4863" t="n">
        <v>0</v>
      </c>
      <c r="M4863" t="n">
        <v>0</v>
      </c>
      <c r="N4863" t="n">
        <v>0</v>
      </c>
      <c r="O4863" t="n">
        <v>0</v>
      </c>
      <c r="P4863" t="n">
        <v>0</v>
      </c>
      <c r="Q4863" t="n">
        <v>0</v>
      </c>
      <c r="R4863" s="2" t="inlineStr"/>
    </row>
    <row r="4864" ht="15" customHeight="1">
      <c r="A4864" t="inlineStr">
        <is>
          <t>A 58651-2024</t>
        </is>
      </c>
      <c r="B4864" s="1" t="n">
        <v>45635</v>
      </c>
      <c r="C4864" s="1" t="n">
        <v>45724</v>
      </c>
      <c r="D4864" t="inlineStr">
        <is>
          <t>VÄSTMANLANDS LÄN</t>
        </is>
      </c>
      <c r="E4864" t="inlineStr">
        <is>
          <t>SALA</t>
        </is>
      </c>
      <c r="G4864" t="n">
        <v>1.5</v>
      </c>
      <c r="H4864" t="n">
        <v>0</v>
      </c>
      <c r="I4864" t="n">
        <v>0</v>
      </c>
      <c r="J4864" t="n">
        <v>0</v>
      </c>
      <c r="K4864" t="n">
        <v>0</v>
      </c>
      <c r="L4864" t="n">
        <v>0</v>
      </c>
      <c r="M4864" t="n">
        <v>0</v>
      </c>
      <c r="N4864" t="n">
        <v>0</v>
      </c>
      <c r="O4864" t="n">
        <v>0</v>
      </c>
      <c r="P4864" t="n">
        <v>0</v>
      </c>
      <c r="Q4864" t="n">
        <v>0</v>
      </c>
      <c r="R4864" s="2" t="inlineStr"/>
    </row>
    <row r="4865" ht="15" customHeight="1">
      <c r="A4865" t="inlineStr">
        <is>
          <t>A 58655-2024</t>
        </is>
      </c>
      <c r="B4865" s="1" t="n">
        <v>45635</v>
      </c>
      <c r="C4865" s="1" t="n">
        <v>45724</v>
      </c>
      <c r="D4865" t="inlineStr">
        <is>
          <t>VÄSTMANLANDS LÄN</t>
        </is>
      </c>
      <c r="E4865" t="inlineStr">
        <is>
          <t>SALA</t>
        </is>
      </c>
      <c r="G4865" t="n">
        <v>1.4</v>
      </c>
      <c r="H4865" t="n">
        <v>0</v>
      </c>
      <c r="I4865" t="n">
        <v>0</v>
      </c>
      <c r="J4865" t="n">
        <v>0</v>
      </c>
      <c r="K4865" t="n">
        <v>0</v>
      </c>
      <c r="L4865" t="n">
        <v>0</v>
      </c>
      <c r="M4865" t="n">
        <v>0</v>
      </c>
      <c r="N4865" t="n">
        <v>0</v>
      </c>
      <c r="O4865" t="n">
        <v>0</v>
      </c>
      <c r="P4865" t="n">
        <v>0</v>
      </c>
      <c r="Q4865" t="n">
        <v>0</v>
      </c>
      <c r="R4865" s="2" t="inlineStr"/>
    </row>
    <row r="4866" ht="15" customHeight="1">
      <c r="A4866" t="inlineStr">
        <is>
          <t>A 58770-2024</t>
        </is>
      </c>
      <c r="B4866" s="1" t="n">
        <v>45635</v>
      </c>
      <c r="C4866" s="1" t="n">
        <v>45724</v>
      </c>
      <c r="D4866" t="inlineStr">
        <is>
          <t>VÄSTMANLANDS LÄN</t>
        </is>
      </c>
      <c r="E4866" t="inlineStr">
        <is>
          <t>FAGERSTA</t>
        </is>
      </c>
      <c r="G4866" t="n">
        <v>2.5</v>
      </c>
      <c r="H4866" t="n">
        <v>0</v>
      </c>
      <c r="I4866" t="n">
        <v>0</v>
      </c>
      <c r="J4866" t="n">
        <v>0</v>
      </c>
      <c r="K4866" t="n">
        <v>0</v>
      </c>
      <c r="L4866" t="n">
        <v>0</v>
      </c>
      <c r="M4866" t="n">
        <v>0</v>
      </c>
      <c r="N4866" t="n">
        <v>0</v>
      </c>
      <c r="O4866" t="n">
        <v>0</v>
      </c>
      <c r="P4866" t="n">
        <v>0</v>
      </c>
      <c r="Q4866" t="n">
        <v>0</v>
      </c>
      <c r="R4866" s="2" t="inlineStr"/>
    </row>
    <row r="4867" ht="15" customHeight="1">
      <c r="A4867" t="inlineStr">
        <is>
          <t>A 58861-2024</t>
        </is>
      </c>
      <c r="B4867" s="1" t="n">
        <v>45636</v>
      </c>
      <c r="C4867" s="1" t="n">
        <v>45724</v>
      </c>
      <c r="D4867" t="inlineStr">
        <is>
          <t>VÄSTMANLANDS LÄN</t>
        </is>
      </c>
      <c r="E4867" t="inlineStr">
        <is>
          <t>VÄSTERÅS</t>
        </is>
      </c>
      <c r="G4867" t="n">
        <v>0.6</v>
      </c>
      <c r="H4867" t="n">
        <v>0</v>
      </c>
      <c r="I4867" t="n">
        <v>0</v>
      </c>
      <c r="J4867" t="n">
        <v>0</v>
      </c>
      <c r="K4867" t="n">
        <v>0</v>
      </c>
      <c r="L4867" t="n">
        <v>0</v>
      </c>
      <c r="M4867" t="n">
        <v>0</v>
      </c>
      <c r="N4867" t="n">
        <v>0</v>
      </c>
      <c r="O4867" t="n">
        <v>0</v>
      </c>
      <c r="P4867" t="n">
        <v>0</v>
      </c>
      <c r="Q4867" t="n">
        <v>0</v>
      </c>
      <c r="R4867" s="2" t="inlineStr"/>
    </row>
    <row r="4868" ht="15" customHeight="1">
      <c r="A4868" t="inlineStr">
        <is>
          <t>A 58957-2024</t>
        </is>
      </c>
      <c r="B4868" s="1" t="n">
        <v>45636</v>
      </c>
      <c r="C4868" s="1" t="n">
        <v>45724</v>
      </c>
      <c r="D4868" t="inlineStr">
        <is>
          <t>VÄSTMANLANDS LÄN</t>
        </is>
      </c>
      <c r="E4868" t="inlineStr">
        <is>
          <t>VÄSTERÅS</t>
        </is>
      </c>
      <c r="G4868" t="n">
        <v>1.2</v>
      </c>
      <c r="H4868" t="n">
        <v>0</v>
      </c>
      <c r="I4868" t="n">
        <v>0</v>
      </c>
      <c r="J4868" t="n">
        <v>0</v>
      </c>
      <c r="K4868" t="n">
        <v>0</v>
      </c>
      <c r="L4868" t="n">
        <v>0</v>
      </c>
      <c r="M4868" t="n">
        <v>0</v>
      </c>
      <c r="N4868" t="n">
        <v>0</v>
      </c>
      <c r="O4868" t="n">
        <v>0</v>
      </c>
      <c r="P4868" t="n">
        <v>0</v>
      </c>
      <c r="Q4868" t="n">
        <v>0</v>
      </c>
      <c r="R4868" s="2" t="inlineStr"/>
    </row>
    <row r="4869" ht="15" customHeight="1">
      <c r="A4869" t="inlineStr">
        <is>
          <t>A 59578-2024</t>
        </is>
      </c>
      <c r="B4869" s="1" t="n">
        <v>45637</v>
      </c>
      <c r="C4869" s="1" t="n">
        <v>45724</v>
      </c>
      <c r="D4869" t="inlineStr">
        <is>
          <t>VÄSTMANLANDS LÄN</t>
        </is>
      </c>
      <c r="E4869" t="inlineStr">
        <is>
          <t>SKINNSKATTEBERG</t>
        </is>
      </c>
      <c r="G4869" t="n">
        <v>0.8</v>
      </c>
      <c r="H4869" t="n">
        <v>0</v>
      </c>
      <c r="I4869" t="n">
        <v>0</v>
      </c>
      <c r="J4869" t="n">
        <v>0</v>
      </c>
      <c r="K4869" t="n">
        <v>0</v>
      </c>
      <c r="L4869" t="n">
        <v>0</v>
      </c>
      <c r="M4869" t="n">
        <v>0</v>
      </c>
      <c r="N4869" t="n">
        <v>0</v>
      </c>
      <c r="O4869" t="n">
        <v>0</v>
      </c>
      <c r="P4869" t="n">
        <v>0</v>
      </c>
      <c r="Q4869" t="n">
        <v>0</v>
      </c>
      <c r="R4869" s="2" t="inlineStr"/>
    </row>
    <row r="4870" ht="15" customHeight="1">
      <c r="A4870" t="inlineStr">
        <is>
          <t>A 59536-2024</t>
        </is>
      </c>
      <c r="B4870" s="1" t="n">
        <v>45638</v>
      </c>
      <c r="C4870" s="1" t="n">
        <v>45724</v>
      </c>
      <c r="D4870" t="inlineStr">
        <is>
          <t>VÄSTMANLANDS LÄN</t>
        </is>
      </c>
      <c r="E4870" t="inlineStr">
        <is>
          <t>VÄSTERÅS</t>
        </is>
      </c>
      <c r="G4870" t="n">
        <v>3</v>
      </c>
      <c r="H4870" t="n">
        <v>0</v>
      </c>
      <c r="I4870" t="n">
        <v>0</v>
      </c>
      <c r="J4870" t="n">
        <v>0</v>
      </c>
      <c r="K4870" t="n">
        <v>0</v>
      </c>
      <c r="L4870" t="n">
        <v>0</v>
      </c>
      <c r="M4870" t="n">
        <v>0</v>
      </c>
      <c r="N4870" t="n">
        <v>0</v>
      </c>
      <c r="O4870" t="n">
        <v>0</v>
      </c>
      <c r="P4870" t="n">
        <v>0</v>
      </c>
      <c r="Q4870" t="n">
        <v>0</v>
      </c>
      <c r="R4870" s="2" t="inlineStr"/>
    </row>
    <row r="4871" ht="15" customHeight="1">
      <c r="A4871" t="inlineStr">
        <is>
          <t>A 59520-2024</t>
        </is>
      </c>
      <c r="B4871" s="1" t="n">
        <v>45638</v>
      </c>
      <c r="C4871" s="1" t="n">
        <v>45724</v>
      </c>
      <c r="D4871" t="inlineStr">
        <is>
          <t>VÄSTMANLANDS LÄN</t>
        </is>
      </c>
      <c r="E4871" t="inlineStr">
        <is>
          <t>VÄSTERÅS</t>
        </is>
      </c>
      <c r="G4871" t="n">
        <v>4</v>
      </c>
      <c r="H4871" t="n">
        <v>0</v>
      </c>
      <c r="I4871" t="n">
        <v>0</v>
      </c>
      <c r="J4871" t="n">
        <v>0</v>
      </c>
      <c r="K4871" t="n">
        <v>0</v>
      </c>
      <c r="L4871" t="n">
        <v>0</v>
      </c>
      <c r="M4871" t="n">
        <v>0</v>
      </c>
      <c r="N4871" t="n">
        <v>0</v>
      </c>
      <c r="O4871" t="n">
        <v>0</v>
      </c>
      <c r="P4871" t="n">
        <v>0</v>
      </c>
      <c r="Q4871" t="n">
        <v>0</v>
      </c>
      <c r="R4871" s="2" t="inlineStr"/>
    </row>
    <row r="4872" ht="15" customHeight="1">
      <c r="A4872" t="inlineStr">
        <is>
          <t>A 59860-2024</t>
        </is>
      </c>
      <c r="B4872" s="1" t="n">
        <v>45638</v>
      </c>
      <c r="C4872" s="1" t="n">
        <v>45724</v>
      </c>
      <c r="D4872" t="inlineStr">
        <is>
          <t>VÄSTMANLANDS LÄN</t>
        </is>
      </c>
      <c r="E4872" t="inlineStr">
        <is>
          <t>SALA</t>
        </is>
      </c>
      <c r="G4872" t="n">
        <v>11.2</v>
      </c>
      <c r="H4872" t="n">
        <v>0</v>
      </c>
      <c r="I4872" t="n">
        <v>0</v>
      </c>
      <c r="J4872" t="n">
        <v>0</v>
      </c>
      <c r="K4872" t="n">
        <v>0</v>
      </c>
      <c r="L4872" t="n">
        <v>0</v>
      </c>
      <c r="M4872" t="n">
        <v>0</v>
      </c>
      <c r="N4872" t="n">
        <v>0</v>
      </c>
      <c r="O4872" t="n">
        <v>0</v>
      </c>
      <c r="P4872" t="n">
        <v>0</v>
      </c>
      <c r="Q4872" t="n">
        <v>0</v>
      </c>
      <c r="R4872" s="2" t="inlineStr"/>
    </row>
    <row r="4873" ht="15" customHeight="1">
      <c r="A4873" t="inlineStr">
        <is>
          <t>A 59805-2024</t>
        </is>
      </c>
      <c r="B4873" s="1" t="n">
        <v>45639</v>
      </c>
      <c r="C4873" s="1" t="n">
        <v>45724</v>
      </c>
      <c r="D4873" t="inlineStr">
        <is>
          <t>VÄSTMANLANDS LÄN</t>
        </is>
      </c>
      <c r="E4873" t="inlineStr">
        <is>
          <t>KUNGSÖR</t>
        </is>
      </c>
      <c r="G4873" t="n">
        <v>3</v>
      </c>
      <c r="H4873" t="n">
        <v>0</v>
      </c>
      <c r="I4873" t="n">
        <v>0</v>
      </c>
      <c r="J4873" t="n">
        <v>0</v>
      </c>
      <c r="K4873" t="n">
        <v>0</v>
      </c>
      <c r="L4873" t="n">
        <v>0</v>
      </c>
      <c r="M4873" t="n">
        <v>0</v>
      </c>
      <c r="N4873" t="n">
        <v>0</v>
      </c>
      <c r="O4873" t="n">
        <v>0</v>
      </c>
      <c r="P4873" t="n">
        <v>0</v>
      </c>
      <c r="Q4873" t="n">
        <v>0</v>
      </c>
      <c r="R4873" s="2" t="inlineStr"/>
    </row>
    <row r="4874" ht="15" customHeight="1">
      <c r="A4874" t="inlineStr">
        <is>
          <t>A 59705-2024</t>
        </is>
      </c>
      <c r="B4874" s="1" t="n">
        <v>45639</v>
      </c>
      <c r="C4874" s="1" t="n">
        <v>45724</v>
      </c>
      <c r="D4874" t="inlineStr">
        <is>
          <t>VÄSTMANLANDS LÄN</t>
        </is>
      </c>
      <c r="E4874" t="inlineStr">
        <is>
          <t>NORBERG</t>
        </is>
      </c>
      <c r="G4874" t="n">
        <v>2.6</v>
      </c>
      <c r="H4874" t="n">
        <v>0</v>
      </c>
      <c r="I4874" t="n">
        <v>0</v>
      </c>
      <c r="J4874" t="n">
        <v>0</v>
      </c>
      <c r="K4874" t="n">
        <v>0</v>
      </c>
      <c r="L4874" t="n">
        <v>0</v>
      </c>
      <c r="M4874" t="n">
        <v>0</v>
      </c>
      <c r="N4874" t="n">
        <v>0</v>
      </c>
      <c r="O4874" t="n">
        <v>0</v>
      </c>
      <c r="P4874" t="n">
        <v>0</v>
      </c>
      <c r="Q4874" t="n">
        <v>0</v>
      </c>
      <c r="R4874" s="2" t="inlineStr"/>
    </row>
    <row r="4875" ht="15" customHeight="1">
      <c r="A4875" t="inlineStr">
        <is>
          <t>A 59747-2024</t>
        </is>
      </c>
      <c r="B4875" s="1" t="n">
        <v>45639</v>
      </c>
      <c r="C4875" s="1" t="n">
        <v>45724</v>
      </c>
      <c r="D4875" t="inlineStr">
        <is>
          <t>VÄSTMANLANDS LÄN</t>
        </is>
      </c>
      <c r="E4875" t="inlineStr">
        <is>
          <t>VÄSTERÅS</t>
        </is>
      </c>
      <c r="G4875" t="n">
        <v>0.7</v>
      </c>
      <c r="H4875" t="n">
        <v>0</v>
      </c>
      <c r="I4875" t="n">
        <v>0</v>
      </c>
      <c r="J4875" t="n">
        <v>0</v>
      </c>
      <c r="K4875" t="n">
        <v>0</v>
      </c>
      <c r="L4875" t="n">
        <v>0</v>
      </c>
      <c r="M4875" t="n">
        <v>0</v>
      </c>
      <c r="N4875" t="n">
        <v>0</v>
      </c>
      <c r="O4875" t="n">
        <v>0</v>
      </c>
      <c r="P4875" t="n">
        <v>0</v>
      </c>
      <c r="Q4875" t="n">
        <v>0</v>
      </c>
      <c r="R4875" s="2" t="inlineStr"/>
    </row>
    <row r="4876" ht="15" customHeight="1">
      <c r="A4876" t="inlineStr">
        <is>
          <t>A 59741-2024</t>
        </is>
      </c>
      <c r="B4876" s="1" t="n">
        <v>45639</v>
      </c>
      <c r="C4876" s="1" t="n">
        <v>45724</v>
      </c>
      <c r="D4876" t="inlineStr">
        <is>
          <t>VÄSTMANLANDS LÄN</t>
        </is>
      </c>
      <c r="E4876" t="inlineStr">
        <is>
          <t>VÄSTERÅS</t>
        </is>
      </c>
      <c r="G4876" t="n">
        <v>2.4</v>
      </c>
      <c r="H4876" t="n">
        <v>0</v>
      </c>
      <c r="I4876" t="n">
        <v>0</v>
      </c>
      <c r="J4876" t="n">
        <v>0</v>
      </c>
      <c r="K4876" t="n">
        <v>0</v>
      </c>
      <c r="L4876" t="n">
        <v>0</v>
      </c>
      <c r="M4876" t="n">
        <v>0</v>
      </c>
      <c r="N4876" t="n">
        <v>0</v>
      </c>
      <c r="O4876" t="n">
        <v>0</v>
      </c>
      <c r="P4876" t="n">
        <v>0</v>
      </c>
      <c r="Q4876" t="n">
        <v>0</v>
      </c>
      <c r="R4876" s="2" t="inlineStr"/>
    </row>
    <row r="4877" ht="15" customHeight="1">
      <c r="A4877" t="inlineStr">
        <is>
          <t>A 59740-2024</t>
        </is>
      </c>
      <c r="B4877" s="1" t="n">
        <v>45639</v>
      </c>
      <c r="C4877" s="1" t="n">
        <v>45724</v>
      </c>
      <c r="D4877" t="inlineStr">
        <is>
          <t>VÄSTMANLANDS LÄN</t>
        </is>
      </c>
      <c r="E4877" t="inlineStr">
        <is>
          <t>VÄSTERÅS</t>
        </is>
      </c>
      <c r="G4877" t="n">
        <v>0.5</v>
      </c>
      <c r="H4877" t="n">
        <v>0</v>
      </c>
      <c r="I4877" t="n">
        <v>0</v>
      </c>
      <c r="J4877" t="n">
        <v>0</v>
      </c>
      <c r="K4877" t="n">
        <v>0</v>
      </c>
      <c r="L4877" t="n">
        <v>0</v>
      </c>
      <c r="M4877" t="n">
        <v>0</v>
      </c>
      <c r="N4877" t="n">
        <v>0</v>
      </c>
      <c r="O4877" t="n">
        <v>0</v>
      </c>
      <c r="P4877" t="n">
        <v>0</v>
      </c>
      <c r="Q4877" t="n">
        <v>0</v>
      </c>
      <c r="R4877" s="2" t="inlineStr"/>
    </row>
    <row r="4878" ht="15" customHeight="1">
      <c r="A4878" t="inlineStr">
        <is>
          <t>A 59909-2024</t>
        </is>
      </c>
      <c r="B4878" s="1" t="n">
        <v>45641</v>
      </c>
      <c r="C4878" s="1" t="n">
        <v>45724</v>
      </c>
      <c r="D4878" t="inlineStr">
        <is>
          <t>VÄSTMANLANDS LÄN</t>
        </is>
      </c>
      <c r="E4878" t="inlineStr">
        <is>
          <t>SALA</t>
        </is>
      </c>
      <c r="G4878" t="n">
        <v>2.1</v>
      </c>
      <c r="H4878" t="n">
        <v>0</v>
      </c>
      <c r="I4878" t="n">
        <v>0</v>
      </c>
      <c r="J4878" t="n">
        <v>0</v>
      </c>
      <c r="K4878" t="n">
        <v>0</v>
      </c>
      <c r="L4878" t="n">
        <v>0</v>
      </c>
      <c r="M4878" t="n">
        <v>0</v>
      </c>
      <c r="N4878" t="n">
        <v>0</v>
      </c>
      <c r="O4878" t="n">
        <v>0</v>
      </c>
      <c r="P4878" t="n">
        <v>0</v>
      </c>
      <c r="Q4878" t="n">
        <v>0</v>
      </c>
      <c r="R4878" s="2" t="inlineStr"/>
    </row>
    <row r="4879" ht="15" customHeight="1">
      <c r="A4879" t="inlineStr">
        <is>
          <t>A 60036-2024</t>
        </is>
      </c>
      <c r="B4879" s="1" t="n">
        <v>45642</v>
      </c>
      <c r="C4879" s="1" t="n">
        <v>45724</v>
      </c>
      <c r="D4879" t="inlineStr">
        <is>
          <t>VÄSTMANLANDS LÄN</t>
        </is>
      </c>
      <c r="E4879" t="inlineStr">
        <is>
          <t>SALA</t>
        </is>
      </c>
      <c r="G4879" t="n">
        <v>2.5</v>
      </c>
      <c r="H4879" t="n">
        <v>0</v>
      </c>
      <c r="I4879" t="n">
        <v>0</v>
      </c>
      <c r="J4879" t="n">
        <v>0</v>
      </c>
      <c r="K4879" t="n">
        <v>0</v>
      </c>
      <c r="L4879" t="n">
        <v>0</v>
      </c>
      <c r="M4879" t="n">
        <v>0</v>
      </c>
      <c r="N4879" t="n">
        <v>0</v>
      </c>
      <c r="O4879" t="n">
        <v>0</v>
      </c>
      <c r="P4879" t="n">
        <v>0</v>
      </c>
      <c r="Q4879" t="n">
        <v>0</v>
      </c>
      <c r="R4879" s="2" t="inlineStr"/>
    </row>
    <row r="4880" ht="15" customHeight="1">
      <c r="A4880" t="inlineStr">
        <is>
          <t>A 60034-2024</t>
        </is>
      </c>
      <c r="B4880" s="1" t="n">
        <v>45642</v>
      </c>
      <c r="C4880" s="1" t="n">
        <v>45724</v>
      </c>
      <c r="D4880" t="inlineStr">
        <is>
          <t>VÄSTMANLANDS LÄN</t>
        </is>
      </c>
      <c r="E4880" t="inlineStr">
        <is>
          <t>SALA</t>
        </is>
      </c>
      <c r="G4880" t="n">
        <v>8.800000000000001</v>
      </c>
      <c r="H4880" t="n">
        <v>0</v>
      </c>
      <c r="I4880" t="n">
        <v>0</v>
      </c>
      <c r="J4880" t="n">
        <v>0</v>
      </c>
      <c r="K4880" t="n">
        <v>0</v>
      </c>
      <c r="L4880" t="n">
        <v>0</v>
      </c>
      <c r="M4880" t="n">
        <v>0</v>
      </c>
      <c r="N4880" t="n">
        <v>0</v>
      </c>
      <c r="O4880" t="n">
        <v>0</v>
      </c>
      <c r="P4880" t="n">
        <v>0</v>
      </c>
      <c r="Q4880" t="n">
        <v>0</v>
      </c>
      <c r="R4880" s="2" t="inlineStr"/>
    </row>
    <row r="4881" ht="15" customHeight="1">
      <c r="A4881" t="inlineStr">
        <is>
          <t>A 60030-2024</t>
        </is>
      </c>
      <c r="B4881" s="1" t="n">
        <v>45642</v>
      </c>
      <c r="C4881" s="1" t="n">
        <v>45724</v>
      </c>
      <c r="D4881" t="inlineStr">
        <is>
          <t>VÄSTMANLANDS LÄN</t>
        </is>
      </c>
      <c r="E4881" t="inlineStr">
        <is>
          <t>SURAHAMMAR</t>
        </is>
      </c>
      <c r="G4881" t="n">
        <v>3.1</v>
      </c>
      <c r="H4881" t="n">
        <v>0</v>
      </c>
      <c r="I4881" t="n">
        <v>0</v>
      </c>
      <c r="J4881" t="n">
        <v>0</v>
      </c>
      <c r="K4881" t="n">
        <v>0</v>
      </c>
      <c r="L4881" t="n">
        <v>0</v>
      </c>
      <c r="M4881" t="n">
        <v>0</v>
      </c>
      <c r="N4881" t="n">
        <v>0</v>
      </c>
      <c r="O4881" t="n">
        <v>0</v>
      </c>
      <c r="P4881" t="n">
        <v>0</v>
      </c>
      <c r="Q4881" t="n">
        <v>0</v>
      </c>
      <c r="R4881" s="2" t="inlineStr"/>
    </row>
    <row r="4882" ht="15" customHeight="1">
      <c r="A4882" t="inlineStr">
        <is>
          <t>A 60328-2024</t>
        </is>
      </c>
      <c r="B4882" s="1" t="n">
        <v>45643</v>
      </c>
      <c r="C4882" s="1" t="n">
        <v>45724</v>
      </c>
      <c r="D4882" t="inlineStr">
        <is>
          <t>VÄSTMANLANDS LÄN</t>
        </is>
      </c>
      <c r="E4882" t="inlineStr">
        <is>
          <t>SALA</t>
        </is>
      </c>
      <c r="G4882" t="n">
        <v>0.5</v>
      </c>
      <c r="H4882" t="n">
        <v>0</v>
      </c>
      <c r="I4882" t="n">
        <v>0</v>
      </c>
      <c r="J4882" t="n">
        <v>0</v>
      </c>
      <c r="K4882" t="n">
        <v>0</v>
      </c>
      <c r="L4882" t="n">
        <v>0</v>
      </c>
      <c r="M4882" t="n">
        <v>0</v>
      </c>
      <c r="N4882" t="n">
        <v>0</v>
      </c>
      <c r="O4882" t="n">
        <v>0</v>
      </c>
      <c r="P4882" t="n">
        <v>0</v>
      </c>
      <c r="Q4882" t="n">
        <v>0</v>
      </c>
      <c r="R4882" s="2" t="inlineStr"/>
    </row>
    <row r="4883" ht="15" customHeight="1">
      <c r="A4883" t="inlineStr">
        <is>
          <t>A 60355-2024</t>
        </is>
      </c>
      <c r="B4883" s="1" t="n">
        <v>45643</v>
      </c>
      <c r="C4883" s="1" t="n">
        <v>45724</v>
      </c>
      <c r="D4883" t="inlineStr">
        <is>
          <t>VÄSTMANLANDS LÄN</t>
        </is>
      </c>
      <c r="E4883" t="inlineStr">
        <is>
          <t>SKINNSKATTEBERG</t>
        </is>
      </c>
      <c r="G4883" t="n">
        <v>0.9</v>
      </c>
      <c r="H4883" t="n">
        <v>0</v>
      </c>
      <c r="I4883" t="n">
        <v>0</v>
      </c>
      <c r="J4883" t="n">
        <v>0</v>
      </c>
      <c r="K4883" t="n">
        <v>0</v>
      </c>
      <c r="L4883" t="n">
        <v>0</v>
      </c>
      <c r="M4883" t="n">
        <v>0</v>
      </c>
      <c r="N4883" t="n">
        <v>0</v>
      </c>
      <c r="O4883" t="n">
        <v>0</v>
      </c>
      <c r="P4883" t="n">
        <v>0</v>
      </c>
      <c r="Q4883" t="n">
        <v>0</v>
      </c>
      <c r="R4883" s="2" t="inlineStr"/>
    </row>
    <row r="4884" ht="15" customHeight="1">
      <c r="A4884" t="inlineStr">
        <is>
          <t>A 60550-2024</t>
        </is>
      </c>
      <c r="B4884" s="1" t="n">
        <v>45643</v>
      </c>
      <c r="C4884" s="1" t="n">
        <v>45724</v>
      </c>
      <c r="D4884" t="inlineStr">
        <is>
          <t>VÄSTMANLANDS LÄN</t>
        </is>
      </c>
      <c r="E4884" t="inlineStr">
        <is>
          <t>SALA</t>
        </is>
      </c>
      <c r="G4884" t="n">
        <v>0.6</v>
      </c>
      <c r="H4884" t="n">
        <v>0</v>
      </c>
      <c r="I4884" t="n">
        <v>0</v>
      </c>
      <c r="J4884" t="n">
        <v>0</v>
      </c>
      <c r="K4884" t="n">
        <v>0</v>
      </c>
      <c r="L4884" t="n">
        <v>0</v>
      </c>
      <c r="M4884" t="n">
        <v>0</v>
      </c>
      <c r="N4884" t="n">
        <v>0</v>
      </c>
      <c r="O4884" t="n">
        <v>0</v>
      </c>
      <c r="P4884" t="n">
        <v>0</v>
      </c>
      <c r="Q4884" t="n">
        <v>0</v>
      </c>
      <c r="R4884" s="2" t="inlineStr"/>
    </row>
    <row r="4885" ht="15" customHeight="1">
      <c r="A4885" t="inlineStr">
        <is>
          <t>A 60548-2024</t>
        </is>
      </c>
      <c r="B4885" s="1" t="n">
        <v>45643</v>
      </c>
      <c r="C4885" s="1" t="n">
        <v>45724</v>
      </c>
      <c r="D4885" t="inlineStr">
        <is>
          <t>VÄSTMANLANDS LÄN</t>
        </is>
      </c>
      <c r="E4885" t="inlineStr">
        <is>
          <t>SALA</t>
        </is>
      </c>
      <c r="G4885" t="n">
        <v>1.6</v>
      </c>
      <c r="H4885" t="n">
        <v>0</v>
      </c>
      <c r="I4885" t="n">
        <v>0</v>
      </c>
      <c r="J4885" t="n">
        <v>0</v>
      </c>
      <c r="K4885" t="n">
        <v>0</v>
      </c>
      <c r="L4885" t="n">
        <v>0</v>
      </c>
      <c r="M4885" t="n">
        <v>0</v>
      </c>
      <c r="N4885" t="n">
        <v>0</v>
      </c>
      <c r="O4885" t="n">
        <v>0</v>
      </c>
      <c r="P4885" t="n">
        <v>0</v>
      </c>
      <c r="Q4885" t="n">
        <v>0</v>
      </c>
      <c r="R4885" s="2" t="inlineStr"/>
    </row>
    <row r="4886" ht="15" customHeight="1">
      <c r="A4886" t="inlineStr">
        <is>
          <t>A 60547-2024</t>
        </is>
      </c>
      <c r="B4886" s="1" t="n">
        <v>45643</v>
      </c>
      <c r="C4886" s="1" t="n">
        <v>45724</v>
      </c>
      <c r="D4886" t="inlineStr">
        <is>
          <t>VÄSTMANLANDS LÄN</t>
        </is>
      </c>
      <c r="E4886" t="inlineStr">
        <is>
          <t>SALA</t>
        </is>
      </c>
      <c r="G4886" t="n">
        <v>0.6</v>
      </c>
      <c r="H4886" t="n">
        <v>0</v>
      </c>
      <c r="I4886" t="n">
        <v>0</v>
      </c>
      <c r="J4886" t="n">
        <v>0</v>
      </c>
      <c r="K4886" t="n">
        <v>0</v>
      </c>
      <c r="L4886" t="n">
        <v>0</v>
      </c>
      <c r="M4886" t="n">
        <v>0</v>
      </c>
      <c r="N4886" t="n">
        <v>0</v>
      </c>
      <c r="O4886" t="n">
        <v>0</v>
      </c>
      <c r="P4886" t="n">
        <v>0</v>
      </c>
      <c r="Q4886" t="n">
        <v>0</v>
      </c>
      <c r="R4886" s="2" t="inlineStr"/>
    </row>
    <row r="4887" ht="15" customHeight="1">
      <c r="A4887" t="inlineStr">
        <is>
          <t>A 60541-2024</t>
        </is>
      </c>
      <c r="B4887" s="1" t="n">
        <v>45643</v>
      </c>
      <c r="C4887" s="1" t="n">
        <v>45724</v>
      </c>
      <c r="D4887" t="inlineStr">
        <is>
          <t>VÄSTMANLANDS LÄN</t>
        </is>
      </c>
      <c r="E4887" t="inlineStr">
        <is>
          <t>SALA</t>
        </is>
      </c>
      <c r="G4887" t="n">
        <v>10.6</v>
      </c>
      <c r="H4887" t="n">
        <v>0</v>
      </c>
      <c r="I4887" t="n">
        <v>0</v>
      </c>
      <c r="J4887" t="n">
        <v>0</v>
      </c>
      <c r="K4887" t="n">
        <v>0</v>
      </c>
      <c r="L4887" t="n">
        <v>0</v>
      </c>
      <c r="M4887" t="n">
        <v>0</v>
      </c>
      <c r="N4887" t="n">
        <v>0</v>
      </c>
      <c r="O4887" t="n">
        <v>0</v>
      </c>
      <c r="P4887" t="n">
        <v>0</v>
      </c>
      <c r="Q4887" t="n">
        <v>0</v>
      </c>
      <c r="R4887" s="2" t="inlineStr"/>
    </row>
    <row r="4888" ht="15" customHeight="1">
      <c r="A4888" t="inlineStr">
        <is>
          <t>A 60545-2024</t>
        </is>
      </c>
      <c r="B4888" s="1" t="n">
        <v>45643</v>
      </c>
      <c r="C4888" s="1" t="n">
        <v>45724</v>
      </c>
      <c r="D4888" t="inlineStr">
        <is>
          <t>VÄSTMANLANDS LÄN</t>
        </is>
      </c>
      <c r="E4888" t="inlineStr">
        <is>
          <t>SALA</t>
        </is>
      </c>
      <c r="G4888" t="n">
        <v>3.3</v>
      </c>
      <c r="H4888" t="n">
        <v>0</v>
      </c>
      <c r="I4888" t="n">
        <v>0</v>
      </c>
      <c r="J4888" t="n">
        <v>0</v>
      </c>
      <c r="K4888" t="n">
        <v>0</v>
      </c>
      <c r="L4888" t="n">
        <v>0</v>
      </c>
      <c r="M4888" t="n">
        <v>0</v>
      </c>
      <c r="N4888" t="n">
        <v>0</v>
      </c>
      <c r="O4888" t="n">
        <v>0</v>
      </c>
      <c r="P4888" t="n">
        <v>0</v>
      </c>
      <c r="Q4888" t="n">
        <v>0</v>
      </c>
      <c r="R4888" s="2" t="inlineStr"/>
    </row>
    <row r="4889" ht="15" customHeight="1">
      <c r="A4889" t="inlineStr">
        <is>
          <t>A 60764-2024</t>
        </is>
      </c>
      <c r="B4889" s="1" t="n">
        <v>45644</v>
      </c>
      <c r="C4889" s="1" t="n">
        <v>45724</v>
      </c>
      <c r="D4889" t="inlineStr">
        <is>
          <t>VÄSTMANLANDS LÄN</t>
        </is>
      </c>
      <c r="E4889" t="inlineStr">
        <is>
          <t>KUNGSÖR</t>
        </is>
      </c>
      <c r="G4889" t="n">
        <v>0.6</v>
      </c>
      <c r="H4889" t="n">
        <v>0</v>
      </c>
      <c r="I4889" t="n">
        <v>0</v>
      </c>
      <c r="J4889" t="n">
        <v>0</v>
      </c>
      <c r="K4889" t="n">
        <v>0</v>
      </c>
      <c r="L4889" t="n">
        <v>0</v>
      </c>
      <c r="M4889" t="n">
        <v>0</v>
      </c>
      <c r="N4889" t="n">
        <v>0</v>
      </c>
      <c r="O4889" t="n">
        <v>0</v>
      </c>
      <c r="P4889" t="n">
        <v>0</v>
      </c>
      <c r="Q4889" t="n">
        <v>0</v>
      </c>
      <c r="R4889" s="2" t="inlineStr"/>
    </row>
    <row r="4890" ht="15" customHeight="1">
      <c r="A4890" t="inlineStr">
        <is>
          <t>A 60818-2024</t>
        </is>
      </c>
      <c r="B4890" s="1" t="n">
        <v>45644</v>
      </c>
      <c r="C4890" s="1" t="n">
        <v>45724</v>
      </c>
      <c r="D4890" t="inlineStr">
        <is>
          <t>VÄSTMANLANDS LÄN</t>
        </is>
      </c>
      <c r="E4890" t="inlineStr">
        <is>
          <t>SALA</t>
        </is>
      </c>
      <c r="G4890" t="n">
        <v>2.1</v>
      </c>
      <c r="H4890" t="n">
        <v>0</v>
      </c>
      <c r="I4890" t="n">
        <v>0</v>
      </c>
      <c r="J4890" t="n">
        <v>0</v>
      </c>
      <c r="K4890" t="n">
        <v>0</v>
      </c>
      <c r="L4890" t="n">
        <v>0</v>
      </c>
      <c r="M4890" t="n">
        <v>0</v>
      </c>
      <c r="N4890" t="n">
        <v>0</v>
      </c>
      <c r="O4890" t="n">
        <v>0</v>
      </c>
      <c r="P4890" t="n">
        <v>0</v>
      </c>
      <c r="Q4890" t="n">
        <v>0</v>
      </c>
      <c r="R4890" s="2" t="inlineStr"/>
    </row>
    <row r="4891" ht="15" customHeight="1">
      <c r="A4891" t="inlineStr">
        <is>
          <t>A 60736-2024</t>
        </is>
      </c>
      <c r="B4891" s="1" t="n">
        <v>45644</v>
      </c>
      <c r="C4891" s="1" t="n">
        <v>45724</v>
      </c>
      <c r="D4891" t="inlineStr">
        <is>
          <t>VÄSTMANLANDS LÄN</t>
        </is>
      </c>
      <c r="E4891" t="inlineStr">
        <is>
          <t>KUNGSÖR</t>
        </is>
      </c>
      <c r="G4891" t="n">
        <v>4</v>
      </c>
      <c r="H4891" t="n">
        <v>0</v>
      </c>
      <c r="I4891" t="n">
        <v>0</v>
      </c>
      <c r="J4891" t="n">
        <v>0</v>
      </c>
      <c r="K4891" t="n">
        <v>0</v>
      </c>
      <c r="L4891" t="n">
        <v>0</v>
      </c>
      <c r="M4891" t="n">
        <v>0</v>
      </c>
      <c r="N4891" t="n">
        <v>0</v>
      </c>
      <c r="O4891" t="n">
        <v>0</v>
      </c>
      <c r="P4891" t="n">
        <v>0</v>
      </c>
      <c r="Q4891" t="n">
        <v>0</v>
      </c>
      <c r="R4891" s="2" t="inlineStr"/>
    </row>
    <row r="4892" ht="15" customHeight="1">
      <c r="A4892" t="inlineStr">
        <is>
          <t>A 60754-2024</t>
        </is>
      </c>
      <c r="B4892" s="1" t="n">
        <v>45644</v>
      </c>
      <c r="C4892" s="1" t="n">
        <v>45724</v>
      </c>
      <c r="D4892" t="inlineStr">
        <is>
          <t>VÄSTMANLANDS LÄN</t>
        </is>
      </c>
      <c r="E4892" t="inlineStr">
        <is>
          <t>KUNGSÖR</t>
        </is>
      </c>
      <c r="G4892" t="n">
        <v>2.4</v>
      </c>
      <c r="H4892" t="n">
        <v>0</v>
      </c>
      <c r="I4892" t="n">
        <v>0</v>
      </c>
      <c r="J4892" t="n">
        <v>0</v>
      </c>
      <c r="K4892" t="n">
        <v>0</v>
      </c>
      <c r="L4892" t="n">
        <v>0</v>
      </c>
      <c r="M4892" t="n">
        <v>0</v>
      </c>
      <c r="N4892" t="n">
        <v>0</v>
      </c>
      <c r="O4892" t="n">
        <v>0</v>
      </c>
      <c r="P4892" t="n">
        <v>0</v>
      </c>
      <c r="Q4892" t="n">
        <v>0</v>
      </c>
      <c r="R4892" s="2" t="inlineStr"/>
    </row>
    <row r="4893" ht="15" customHeight="1">
      <c r="A4893" t="inlineStr">
        <is>
          <t>A 60823-2024</t>
        </is>
      </c>
      <c r="B4893" s="1" t="n">
        <v>45644</v>
      </c>
      <c r="C4893" s="1" t="n">
        <v>45724</v>
      </c>
      <c r="D4893" t="inlineStr">
        <is>
          <t>VÄSTMANLANDS LÄN</t>
        </is>
      </c>
      <c r="E4893" t="inlineStr">
        <is>
          <t>SALA</t>
        </is>
      </c>
      <c r="G4893" t="n">
        <v>0.6</v>
      </c>
      <c r="H4893" t="n">
        <v>0</v>
      </c>
      <c r="I4893" t="n">
        <v>0</v>
      </c>
      <c r="J4893" t="n">
        <v>0</v>
      </c>
      <c r="K4893" t="n">
        <v>0</v>
      </c>
      <c r="L4893" t="n">
        <v>0</v>
      </c>
      <c r="M4893" t="n">
        <v>0</v>
      </c>
      <c r="N4893" t="n">
        <v>0</v>
      </c>
      <c r="O4893" t="n">
        <v>0</v>
      </c>
      <c r="P4893" t="n">
        <v>0</v>
      </c>
      <c r="Q4893" t="n">
        <v>0</v>
      </c>
      <c r="R4893" s="2" t="inlineStr"/>
    </row>
    <row r="4894" ht="15" customHeight="1">
      <c r="A4894" t="inlineStr">
        <is>
          <t>A 60852-2024</t>
        </is>
      </c>
      <c r="B4894" s="1" t="n">
        <v>45644</v>
      </c>
      <c r="C4894" s="1" t="n">
        <v>45724</v>
      </c>
      <c r="D4894" t="inlineStr">
        <is>
          <t>VÄSTMANLANDS LÄN</t>
        </is>
      </c>
      <c r="E4894" t="inlineStr">
        <is>
          <t>SALA</t>
        </is>
      </c>
      <c r="G4894" t="n">
        <v>7.6</v>
      </c>
      <c r="H4894" t="n">
        <v>0</v>
      </c>
      <c r="I4894" t="n">
        <v>0</v>
      </c>
      <c r="J4894" t="n">
        <v>0</v>
      </c>
      <c r="K4894" t="n">
        <v>0</v>
      </c>
      <c r="L4894" t="n">
        <v>0</v>
      </c>
      <c r="M4894" t="n">
        <v>0</v>
      </c>
      <c r="N4894" t="n">
        <v>0</v>
      </c>
      <c r="O4894" t="n">
        <v>0</v>
      </c>
      <c r="P4894" t="n">
        <v>0</v>
      </c>
      <c r="Q4894" t="n">
        <v>0</v>
      </c>
      <c r="R4894" s="2" t="inlineStr"/>
    </row>
    <row r="4895" ht="15" customHeight="1">
      <c r="A4895" t="inlineStr">
        <is>
          <t>A 61006-2024</t>
        </is>
      </c>
      <c r="B4895" s="1" t="n">
        <v>45645</v>
      </c>
      <c r="C4895" s="1" t="n">
        <v>45724</v>
      </c>
      <c r="D4895" t="inlineStr">
        <is>
          <t>VÄSTMANLANDS LÄN</t>
        </is>
      </c>
      <c r="E4895" t="inlineStr">
        <is>
          <t>ARBOGA</t>
        </is>
      </c>
      <c r="F4895" t="inlineStr">
        <is>
          <t>Sveaskog</t>
        </is>
      </c>
      <c r="G4895" t="n">
        <v>4.1</v>
      </c>
      <c r="H4895" t="n">
        <v>0</v>
      </c>
      <c r="I4895" t="n">
        <v>0</v>
      </c>
      <c r="J4895" t="n">
        <v>0</v>
      </c>
      <c r="K4895" t="n">
        <v>0</v>
      </c>
      <c r="L4895" t="n">
        <v>0</v>
      </c>
      <c r="M4895" t="n">
        <v>0</v>
      </c>
      <c r="N4895" t="n">
        <v>0</v>
      </c>
      <c r="O4895" t="n">
        <v>0</v>
      </c>
      <c r="P4895" t="n">
        <v>0</v>
      </c>
      <c r="Q4895" t="n">
        <v>0</v>
      </c>
      <c r="R4895" s="2" t="inlineStr"/>
    </row>
    <row r="4896" ht="15" customHeight="1">
      <c r="A4896" t="inlineStr">
        <is>
          <t>A 61029-2024</t>
        </is>
      </c>
      <c r="B4896" s="1" t="n">
        <v>45645</v>
      </c>
      <c r="C4896" s="1" t="n">
        <v>45724</v>
      </c>
      <c r="D4896" t="inlineStr">
        <is>
          <t>VÄSTMANLANDS LÄN</t>
        </is>
      </c>
      <c r="E4896" t="inlineStr">
        <is>
          <t>VÄSTERÅS</t>
        </is>
      </c>
      <c r="G4896" t="n">
        <v>7.8</v>
      </c>
      <c r="H4896" t="n">
        <v>0</v>
      </c>
      <c r="I4896" t="n">
        <v>0</v>
      </c>
      <c r="J4896" t="n">
        <v>0</v>
      </c>
      <c r="K4896" t="n">
        <v>0</v>
      </c>
      <c r="L4896" t="n">
        <v>0</v>
      </c>
      <c r="M4896" t="n">
        <v>0</v>
      </c>
      <c r="N4896" t="n">
        <v>0</v>
      </c>
      <c r="O4896" t="n">
        <v>0</v>
      </c>
      <c r="P4896" t="n">
        <v>0</v>
      </c>
      <c r="Q4896" t="n">
        <v>0</v>
      </c>
      <c r="R4896" s="2" t="inlineStr"/>
    </row>
    <row r="4897" ht="15" customHeight="1">
      <c r="A4897" t="inlineStr">
        <is>
          <t>A 61059-2024</t>
        </is>
      </c>
      <c r="B4897" s="1" t="n">
        <v>45645</v>
      </c>
      <c r="C4897" s="1" t="n">
        <v>45724</v>
      </c>
      <c r="D4897" t="inlineStr">
        <is>
          <t>VÄSTMANLANDS LÄN</t>
        </is>
      </c>
      <c r="E4897" t="inlineStr">
        <is>
          <t>VÄSTERÅS</t>
        </is>
      </c>
      <c r="G4897" t="n">
        <v>4.7</v>
      </c>
      <c r="H4897" t="n">
        <v>0</v>
      </c>
      <c r="I4897" t="n">
        <v>0</v>
      </c>
      <c r="J4897" t="n">
        <v>0</v>
      </c>
      <c r="K4897" t="n">
        <v>0</v>
      </c>
      <c r="L4897" t="n">
        <v>0</v>
      </c>
      <c r="M4897" t="n">
        <v>0</v>
      </c>
      <c r="N4897" t="n">
        <v>0</v>
      </c>
      <c r="O4897" t="n">
        <v>0</v>
      </c>
      <c r="P4897" t="n">
        <v>0</v>
      </c>
      <c r="Q4897" t="n">
        <v>0</v>
      </c>
      <c r="R4897" s="2" t="inlineStr"/>
    </row>
    <row r="4898" ht="15" customHeight="1">
      <c r="A4898" t="inlineStr">
        <is>
          <t>A 61026-2024</t>
        </is>
      </c>
      <c r="B4898" s="1" t="n">
        <v>45645</v>
      </c>
      <c r="C4898" s="1" t="n">
        <v>45724</v>
      </c>
      <c r="D4898" t="inlineStr">
        <is>
          <t>VÄSTMANLANDS LÄN</t>
        </is>
      </c>
      <c r="E4898" t="inlineStr">
        <is>
          <t>ARBOGA</t>
        </is>
      </c>
      <c r="F4898" t="inlineStr">
        <is>
          <t>Sveaskog</t>
        </is>
      </c>
      <c r="G4898" t="n">
        <v>1.9</v>
      </c>
      <c r="H4898" t="n">
        <v>0</v>
      </c>
      <c r="I4898" t="n">
        <v>0</v>
      </c>
      <c r="J4898" t="n">
        <v>0</v>
      </c>
      <c r="K4898" t="n">
        <v>0</v>
      </c>
      <c r="L4898" t="n">
        <v>0</v>
      </c>
      <c r="M4898" t="n">
        <v>0</v>
      </c>
      <c r="N4898" t="n">
        <v>0</v>
      </c>
      <c r="O4898" t="n">
        <v>0</v>
      </c>
      <c r="P4898" t="n">
        <v>0</v>
      </c>
      <c r="Q4898" t="n">
        <v>0</v>
      </c>
      <c r="R4898" s="2" t="inlineStr"/>
    </row>
    <row r="4899" ht="15" customHeight="1">
      <c r="A4899" t="inlineStr">
        <is>
          <t>A 61223-2024</t>
        </is>
      </c>
      <c r="B4899" s="1" t="n">
        <v>45645</v>
      </c>
      <c r="C4899" s="1" t="n">
        <v>45724</v>
      </c>
      <c r="D4899" t="inlineStr">
        <is>
          <t>VÄSTMANLANDS LÄN</t>
        </is>
      </c>
      <c r="E4899" t="inlineStr">
        <is>
          <t>KUNGSÖR</t>
        </is>
      </c>
      <c r="G4899" t="n">
        <v>2.1</v>
      </c>
      <c r="H4899" t="n">
        <v>0</v>
      </c>
      <c r="I4899" t="n">
        <v>0</v>
      </c>
      <c r="J4899" t="n">
        <v>0</v>
      </c>
      <c r="K4899" t="n">
        <v>0</v>
      </c>
      <c r="L4899" t="n">
        <v>0</v>
      </c>
      <c r="M4899" t="n">
        <v>0</v>
      </c>
      <c r="N4899" t="n">
        <v>0</v>
      </c>
      <c r="O4899" t="n">
        <v>0</v>
      </c>
      <c r="P4899" t="n">
        <v>0</v>
      </c>
      <c r="Q4899" t="n">
        <v>0</v>
      </c>
      <c r="R4899" s="2" t="inlineStr"/>
    </row>
    <row r="4900" ht="15" customHeight="1">
      <c r="A4900" t="inlineStr">
        <is>
          <t>A 61262-2024</t>
        </is>
      </c>
      <c r="B4900" s="1" t="n">
        <v>45645</v>
      </c>
      <c r="C4900" s="1" t="n">
        <v>45724</v>
      </c>
      <c r="D4900" t="inlineStr">
        <is>
          <t>VÄSTMANLANDS LÄN</t>
        </is>
      </c>
      <c r="E4900" t="inlineStr">
        <is>
          <t>KUNGSÖR</t>
        </is>
      </c>
      <c r="G4900" t="n">
        <v>2.4</v>
      </c>
      <c r="H4900" t="n">
        <v>0</v>
      </c>
      <c r="I4900" t="n">
        <v>0</v>
      </c>
      <c r="J4900" t="n">
        <v>0</v>
      </c>
      <c r="K4900" t="n">
        <v>0</v>
      </c>
      <c r="L4900" t="n">
        <v>0</v>
      </c>
      <c r="M4900" t="n">
        <v>0</v>
      </c>
      <c r="N4900" t="n">
        <v>0</v>
      </c>
      <c r="O4900" t="n">
        <v>0</v>
      </c>
      <c r="P4900" t="n">
        <v>0</v>
      </c>
      <c r="Q4900" t="n">
        <v>0</v>
      </c>
      <c r="R4900" s="2" t="inlineStr"/>
    </row>
    <row r="4901" ht="15" customHeight="1">
      <c r="A4901" t="inlineStr">
        <is>
          <t>A 61001-2024</t>
        </is>
      </c>
      <c r="B4901" s="1" t="n">
        <v>45645</v>
      </c>
      <c r="C4901" s="1" t="n">
        <v>45724</v>
      </c>
      <c r="D4901" t="inlineStr">
        <is>
          <t>VÄSTMANLANDS LÄN</t>
        </is>
      </c>
      <c r="E4901" t="inlineStr">
        <is>
          <t>VÄSTERÅS</t>
        </is>
      </c>
      <c r="G4901" t="n">
        <v>0.9</v>
      </c>
      <c r="H4901" t="n">
        <v>0</v>
      </c>
      <c r="I4901" t="n">
        <v>0</v>
      </c>
      <c r="J4901" t="n">
        <v>0</v>
      </c>
      <c r="K4901" t="n">
        <v>0</v>
      </c>
      <c r="L4901" t="n">
        <v>0</v>
      </c>
      <c r="M4901" t="n">
        <v>0</v>
      </c>
      <c r="N4901" t="n">
        <v>0</v>
      </c>
      <c r="O4901" t="n">
        <v>0</v>
      </c>
      <c r="P4901" t="n">
        <v>0</v>
      </c>
      <c r="Q4901" t="n">
        <v>0</v>
      </c>
      <c r="R4901" s="2" t="inlineStr"/>
    </row>
    <row r="4902" ht="15" customHeight="1">
      <c r="A4902" t="inlineStr">
        <is>
          <t>A 61018-2024</t>
        </is>
      </c>
      <c r="B4902" s="1" t="n">
        <v>45645</v>
      </c>
      <c r="C4902" s="1" t="n">
        <v>45724</v>
      </c>
      <c r="D4902" t="inlineStr">
        <is>
          <t>VÄSTMANLANDS LÄN</t>
        </is>
      </c>
      <c r="E4902" t="inlineStr">
        <is>
          <t>ARBOGA</t>
        </is>
      </c>
      <c r="F4902" t="inlineStr">
        <is>
          <t>Sveaskog</t>
        </is>
      </c>
      <c r="G4902" t="n">
        <v>1.5</v>
      </c>
      <c r="H4902" t="n">
        <v>0</v>
      </c>
      <c r="I4902" t="n">
        <v>0</v>
      </c>
      <c r="J4902" t="n">
        <v>0</v>
      </c>
      <c r="K4902" t="n">
        <v>0</v>
      </c>
      <c r="L4902" t="n">
        <v>0</v>
      </c>
      <c r="M4902" t="n">
        <v>0</v>
      </c>
      <c r="N4902" t="n">
        <v>0</v>
      </c>
      <c r="O4902" t="n">
        <v>0</v>
      </c>
      <c r="P4902" t="n">
        <v>0</v>
      </c>
      <c r="Q4902" t="n">
        <v>0</v>
      </c>
      <c r="R4902" s="2" t="inlineStr"/>
    </row>
    <row r="4903" ht="15" customHeight="1">
      <c r="A4903" t="inlineStr">
        <is>
          <t>A 61264-2024</t>
        </is>
      </c>
      <c r="B4903" s="1" t="n">
        <v>45645</v>
      </c>
      <c r="C4903" s="1" t="n">
        <v>45724</v>
      </c>
      <c r="D4903" t="inlineStr">
        <is>
          <t>VÄSTMANLANDS LÄN</t>
        </is>
      </c>
      <c r="E4903" t="inlineStr">
        <is>
          <t>KUNGSÖR</t>
        </is>
      </c>
      <c r="G4903" t="n">
        <v>0.9</v>
      </c>
      <c r="H4903" t="n">
        <v>0</v>
      </c>
      <c r="I4903" t="n">
        <v>0</v>
      </c>
      <c r="J4903" t="n">
        <v>0</v>
      </c>
      <c r="K4903" t="n">
        <v>0</v>
      </c>
      <c r="L4903" t="n">
        <v>0</v>
      </c>
      <c r="M4903" t="n">
        <v>0</v>
      </c>
      <c r="N4903" t="n">
        <v>0</v>
      </c>
      <c r="O4903" t="n">
        <v>0</v>
      </c>
      <c r="P4903" t="n">
        <v>0</v>
      </c>
      <c r="Q4903" t="n">
        <v>0</v>
      </c>
      <c r="R4903" s="2" t="inlineStr"/>
    </row>
    <row r="4904" ht="15" customHeight="1">
      <c r="A4904" t="inlineStr">
        <is>
          <t>A 61517-2024</t>
        </is>
      </c>
      <c r="B4904" s="1" t="n">
        <v>45645</v>
      </c>
      <c r="C4904" s="1" t="n">
        <v>45724</v>
      </c>
      <c r="D4904" t="inlineStr">
        <is>
          <t>VÄSTMANLANDS LÄN</t>
        </is>
      </c>
      <c r="E4904" t="inlineStr">
        <is>
          <t>SALA</t>
        </is>
      </c>
      <c r="G4904" t="n">
        <v>0.6</v>
      </c>
      <c r="H4904" t="n">
        <v>0</v>
      </c>
      <c r="I4904" t="n">
        <v>0</v>
      </c>
      <c r="J4904" t="n">
        <v>0</v>
      </c>
      <c r="K4904" t="n">
        <v>0</v>
      </c>
      <c r="L4904" t="n">
        <v>0</v>
      </c>
      <c r="M4904" t="n">
        <v>0</v>
      </c>
      <c r="N4904" t="n">
        <v>0</v>
      </c>
      <c r="O4904" t="n">
        <v>0</v>
      </c>
      <c r="P4904" t="n">
        <v>0</v>
      </c>
      <c r="Q4904" t="n">
        <v>0</v>
      </c>
      <c r="R4904" s="2" t="inlineStr"/>
    </row>
    <row r="4905" ht="15" customHeight="1">
      <c r="A4905" t="inlineStr">
        <is>
          <t>A 61618-2024</t>
        </is>
      </c>
      <c r="B4905" s="1" t="n">
        <v>45646</v>
      </c>
      <c r="C4905" s="1" t="n">
        <v>45724</v>
      </c>
      <c r="D4905" t="inlineStr">
        <is>
          <t>VÄSTMANLANDS LÄN</t>
        </is>
      </c>
      <c r="E4905" t="inlineStr">
        <is>
          <t>KÖPING</t>
        </is>
      </c>
      <c r="G4905" t="n">
        <v>3.7</v>
      </c>
      <c r="H4905" t="n">
        <v>0</v>
      </c>
      <c r="I4905" t="n">
        <v>0</v>
      </c>
      <c r="J4905" t="n">
        <v>0</v>
      </c>
      <c r="K4905" t="n">
        <v>0</v>
      </c>
      <c r="L4905" t="n">
        <v>0</v>
      </c>
      <c r="M4905" t="n">
        <v>0</v>
      </c>
      <c r="N4905" t="n">
        <v>0</v>
      </c>
      <c r="O4905" t="n">
        <v>0</v>
      </c>
      <c r="P4905" t="n">
        <v>0</v>
      </c>
      <c r="Q4905" t="n">
        <v>0</v>
      </c>
      <c r="R4905" s="2" t="inlineStr"/>
    </row>
    <row r="4906" ht="15" customHeight="1">
      <c r="A4906" t="inlineStr">
        <is>
          <t>A 61444-2024</t>
        </is>
      </c>
      <c r="B4906" s="1" t="n">
        <v>45646</v>
      </c>
      <c r="C4906" s="1" t="n">
        <v>45724</v>
      </c>
      <c r="D4906" t="inlineStr">
        <is>
          <t>VÄSTMANLANDS LÄN</t>
        </is>
      </c>
      <c r="E4906" t="inlineStr">
        <is>
          <t>SALA</t>
        </is>
      </c>
      <c r="G4906" t="n">
        <v>3</v>
      </c>
      <c r="H4906" t="n">
        <v>0</v>
      </c>
      <c r="I4906" t="n">
        <v>0</v>
      </c>
      <c r="J4906" t="n">
        <v>0</v>
      </c>
      <c r="K4906" t="n">
        <v>0</v>
      </c>
      <c r="L4906" t="n">
        <v>0</v>
      </c>
      <c r="M4906" t="n">
        <v>0</v>
      </c>
      <c r="N4906" t="n">
        <v>0</v>
      </c>
      <c r="O4906" t="n">
        <v>0</v>
      </c>
      <c r="P4906" t="n">
        <v>0</v>
      </c>
      <c r="Q4906" t="n">
        <v>0</v>
      </c>
      <c r="R4906" s="2" t="inlineStr"/>
    </row>
    <row r="4907" ht="15" customHeight="1">
      <c r="A4907" t="inlineStr">
        <is>
          <t>A 61342-2024</t>
        </is>
      </c>
      <c r="B4907" s="1" t="n">
        <v>45646</v>
      </c>
      <c r="C4907" s="1" t="n">
        <v>45724</v>
      </c>
      <c r="D4907" t="inlineStr">
        <is>
          <t>VÄSTMANLANDS LÄN</t>
        </is>
      </c>
      <c r="E4907" t="inlineStr">
        <is>
          <t>KÖPING</t>
        </is>
      </c>
      <c r="G4907" t="n">
        <v>4.4</v>
      </c>
      <c r="H4907" t="n">
        <v>0</v>
      </c>
      <c r="I4907" t="n">
        <v>0</v>
      </c>
      <c r="J4907" t="n">
        <v>0</v>
      </c>
      <c r="K4907" t="n">
        <v>0</v>
      </c>
      <c r="L4907" t="n">
        <v>0</v>
      </c>
      <c r="M4907" t="n">
        <v>0</v>
      </c>
      <c r="N4907" t="n">
        <v>0</v>
      </c>
      <c r="O4907" t="n">
        <v>0</v>
      </c>
      <c r="P4907" t="n">
        <v>0</v>
      </c>
      <c r="Q4907" t="n">
        <v>0</v>
      </c>
      <c r="R4907" s="2" t="inlineStr"/>
    </row>
    <row r="4908" ht="15" customHeight="1">
      <c r="A4908" t="inlineStr">
        <is>
          <t>A 61681-2024</t>
        </is>
      </c>
      <c r="B4908" s="1" t="n">
        <v>45647</v>
      </c>
      <c r="C4908" s="1" t="n">
        <v>45724</v>
      </c>
      <c r="D4908" t="inlineStr">
        <is>
          <t>VÄSTMANLANDS LÄN</t>
        </is>
      </c>
      <c r="E4908" t="inlineStr">
        <is>
          <t>SALA</t>
        </is>
      </c>
      <c r="F4908" t="inlineStr">
        <is>
          <t>Kommuner</t>
        </is>
      </c>
      <c r="G4908" t="n">
        <v>1</v>
      </c>
      <c r="H4908" t="n">
        <v>0</v>
      </c>
      <c r="I4908" t="n">
        <v>0</v>
      </c>
      <c r="J4908" t="n">
        <v>0</v>
      </c>
      <c r="K4908" t="n">
        <v>0</v>
      </c>
      <c r="L4908" t="n">
        <v>0</v>
      </c>
      <c r="M4908" t="n">
        <v>0</v>
      </c>
      <c r="N4908" t="n">
        <v>0</v>
      </c>
      <c r="O4908" t="n">
        <v>0</v>
      </c>
      <c r="P4908" t="n">
        <v>0</v>
      </c>
      <c r="Q4908" t="n">
        <v>0</v>
      </c>
      <c r="R4908" s="2" t="inlineStr"/>
    </row>
    <row r="4909" ht="15" customHeight="1">
      <c r="A4909" t="inlineStr">
        <is>
          <t>A 61683-2024</t>
        </is>
      </c>
      <c r="B4909" s="1" t="n">
        <v>45647</v>
      </c>
      <c r="C4909" s="1" t="n">
        <v>45724</v>
      </c>
      <c r="D4909" t="inlineStr">
        <is>
          <t>VÄSTMANLANDS LÄN</t>
        </is>
      </c>
      <c r="E4909" t="inlineStr">
        <is>
          <t>SALA</t>
        </is>
      </c>
      <c r="F4909" t="inlineStr">
        <is>
          <t>Kommuner</t>
        </is>
      </c>
      <c r="G4909" t="n">
        <v>1.6</v>
      </c>
      <c r="H4909" t="n">
        <v>0</v>
      </c>
      <c r="I4909" t="n">
        <v>0</v>
      </c>
      <c r="J4909" t="n">
        <v>0</v>
      </c>
      <c r="K4909" t="n">
        <v>0</v>
      </c>
      <c r="L4909" t="n">
        <v>0</v>
      </c>
      <c r="M4909" t="n">
        <v>0</v>
      </c>
      <c r="N4909" t="n">
        <v>0</v>
      </c>
      <c r="O4909" t="n">
        <v>0</v>
      </c>
      <c r="P4909" t="n">
        <v>0</v>
      </c>
      <c r="Q4909" t="n">
        <v>0</v>
      </c>
      <c r="R4909" s="2" t="inlineStr"/>
    </row>
    <row r="4910" ht="15" customHeight="1">
      <c r="A4910" t="inlineStr">
        <is>
          <t>A 61715-2024</t>
        </is>
      </c>
      <c r="B4910" s="1" t="n">
        <v>45648</v>
      </c>
      <c r="C4910" s="1" t="n">
        <v>45724</v>
      </c>
      <c r="D4910" t="inlineStr">
        <is>
          <t>VÄSTMANLANDS LÄN</t>
        </is>
      </c>
      <c r="E4910" t="inlineStr">
        <is>
          <t>SALA</t>
        </is>
      </c>
      <c r="G4910" t="n">
        <v>2.5</v>
      </c>
      <c r="H4910" t="n">
        <v>0</v>
      </c>
      <c r="I4910" t="n">
        <v>0</v>
      </c>
      <c r="J4910" t="n">
        <v>0</v>
      </c>
      <c r="K4910" t="n">
        <v>0</v>
      </c>
      <c r="L4910" t="n">
        <v>0</v>
      </c>
      <c r="M4910" t="n">
        <v>0</v>
      </c>
      <c r="N4910" t="n">
        <v>0</v>
      </c>
      <c r="O4910" t="n">
        <v>0</v>
      </c>
      <c r="P4910" t="n">
        <v>0</v>
      </c>
      <c r="Q4910" t="n">
        <v>0</v>
      </c>
      <c r="R4910" s="2" t="inlineStr"/>
    </row>
    <row r="4911" ht="15" customHeight="1">
      <c r="A4911" t="inlineStr">
        <is>
          <t>A 61717-2024</t>
        </is>
      </c>
      <c r="B4911" s="1" t="n">
        <v>45648</v>
      </c>
      <c r="C4911" s="1" t="n">
        <v>45724</v>
      </c>
      <c r="D4911" t="inlineStr">
        <is>
          <t>VÄSTMANLANDS LÄN</t>
        </is>
      </c>
      <c r="E4911" t="inlineStr">
        <is>
          <t>SALA</t>
        </is>
      </c>
      <c r="G4911" t="n">
        <v>3.7</v>
      </c>
      <c r="H4911" t="n">
        <v>0</v>
      </c>
      <c r="I4911" t="n">
        <v>0</v>
      </c>
      <c r="J4911" t="n">
        <v>0</v>
      </c>
      <c r="K4911" t="n">
        <v>0</v>
      </c>
      <c r="L4911" t="n">
        <v>0</v>
      </c>
      <c r="M4911" t="n">
        <v>0</v>
      </c>
      <c r="N4911" t="n">
        <v>0</v>
      </c>
      <c r="O4911" t="n">
        <v>0</v>
      </c>
      <c r="P4911" t="n">
        <v>0</v>
      </c>
      <c r="Q4911" t="n">
        <v>0</v>
      </c>
      <c r="R4911" s="2" t="inlineStr"/>
    </row>
    <row r="4912" ht="15" customHeight="1">
      <c r="A4912" t="inlineStr">
        <is>
          <t>A 191-2025</t>
        </is>
      </c>
      <c r="B4912" s="1" t="n">
        <v>45649</v>
      </c>
      <c r="C4912" s="1" t="n">
        <v>45724</v>
      </c>
      <c r="D4912" t="inlineStr">
        <is>
          <t>VÄSTMANLANDS LÄN</t>
        </is>
      </c>
      <c r="E4912" t="inlineStr">
        <is>
          <t>SALA</t>
        </is>
      </c>
      <c r="G4912" t="n">
        <v>0.8</v>
      </c>
      <c r="H4912" t="n">
        <v>0</v>
      </c>
      <c r="I4912" t="n">
        <v>0</v>
      </c>
      <c r="J4912" t="n">
        <v>0</v>
      </c>
      <c r="K4912" t="n">
        <v>0</v>
      </c>
      <c r="L4912" t="n">
        <v>0</v>
      </c>
      <c r="M4912" t="n">
        <v>0</v>
      </c>
      <c r="N4912" t="n">
        <v>0</v>
      </c>
      <c r="O4912" t="n">
        <v>0</v>
      </c>
      <c r="P4912" t="n">
        <v>0</v>
      </c>
      <c r="Q4912" t="n">
        <v>0</v>
      </c>
      <c r="R4912" s="2" t="inlineStr"/>
    </row>
    <row r="4913" ht="15" customHeight="1">
      <c r="A4913" t="inlineStr">
        <is>
          <t>A 61734-2024</t>
        </is>
      </c>
      <c r="B4913" s="1" t="n">
        <v>45649</v>
      </c>
      <c r="C4913" s="1" t="n">
        <v>45724</v>
      </c>
      <c r="D4913" t="inlineStr">
        <is>
          <t>VÄSTMANLANDS LÄN</t>
        </is>
      </c>
      <c r="E4913" t="inlineStr">
        <is>
          <t>ARBOGA</t>
        </is>
      </c>
      <c r="F4913" t="inlineStr">
        <is>
          <t>Sveaskog</t>
        </is>
      </c>
      <c r="G4913" t="n">
        <v>1</v>
      </c>
      <c r="H4913" t="n">
        <v>0</v>
      </c>
      <c r="I4913" t="n">
        <v>0</v>
      </c>
      <c r="J4913" t="n">
        <v>0</v>
      </c>
      <c r="K4913" t="n">
        <v>0</v>
      </c>
      <c r="L4913" t="n">
        <v>0</v>
      </c>
      <c r="M4913" t="n">
        <v>0</v>
      </c>
      <c r="N4913" t="n">
        <v>0</v>
      </c>
      <c r="O4913" t="n">
        <v>0</v>
      </c>
      <c r="P4913" t="n">
        <v>0</v>
      </c>
      <c r="Q4913" t="n">
        <v>0</v>
      </c>
      <c r="R4913" s="2" t="inlineStr"/>
    </row>
    <row r="4914" ht="15" customHeight="1">
      <c r="A4914" t="inlineStr">
        <is>
          <t>A 61994-2024</t>
        </is>
      </c>
      <c r="B4914" s="1" t="n">
        <v>45653</v>
      </c>
      <c r="C4914" s="1" t="n">
        <v>45724</v>
      </c>
      <c r="D4914" t="inlineStr">
        <is>
          <t>VÄSTMANLANDS LÄN</t>
        </is>
      </c>
      <c r="E4914" t="inlineStr">
        <is>
          <t>ARBOGA</t>
        </is>
      </c>
      <c r="F4914" t="inlineStr">
        <is>
          <t>Sveaskog</t>
        </is>
      </c>
      <c r="G4914" t="n">
        <v>1.3</v>
      </c>
      <c r="H4914" t="n">
        <v>0</v>
      </c>
      <c r="I4914" t="n">
        <v>0</v>
      </c>
      <c r="J4914" t="n">
        <v>0</v>
      </c>
      <c r="K4914" t="n">
        <v>0</v>
      </c>
      <c r="L4914" t="n">
        <v>0</v>
      </c>
      <c r="M4914" t="n">
        <v>0</v>
      </c>
      <c r="N4914" t="n">
        <v>0</v>
      </c>
      <c r="O4914" t="n">
        <v>0</v>
      </c>
      <c r="P4914" t="n">
        <v>0</v>
      </c>
      <c r="Q4914" t="n">
        <v>0</v>
      </c>
      <c r="R4914" s="2" t="inlineStr"/>
    </row>
    <row r="4915" ht="15" customHeight="1">
      <c r="A4915" t="inlineStr">
        <is>
          <t>A 62004-2024</t>
        </is>
      </c>
      <c r="B4915" s="1" t="n">
        <v>45655</v>
      </c>
      <c r="C4915" s="1" t="n">
        <v>45724</v>
      </c>
      <c r="D4915" t="inlineStr">
        <is>
          <t>VÄSTMANLANDS LÄN</t>
        </is>
      </c>
      <c r="E4915" t="inlineStr">
        <is>
          <t>KÖPING</t>
        </is>
      </c>
      <c r="G4915" t="n">
        <v>2</v>
      </c>
      <c r="H4915" t="n">
        <v>0</v>
      </c>
      <c r="I4915" t="n">
        <v>0</v>
      </c>
      <c r="J4915" t="n">
        <v>0</v>
      </c>
      <c r="K4915" t="n">
        <v>0</v>
      </c>
      <c r="L4915" t="n">
        <v>0</v>
      </c>
      <c r="M4915" t="n">
        <v>0</v>
      </c>
      <c r="N4915" t="n">
        <v>0</v>
      </c>
      <c r="O4915" t="n">
        <v>0</v>
      </c>
      <c r="P4915" t="n">
        <v>0</v>
      </c>
      <c r="Q4915" t="n">
        <v>0</v>
      </c>
      <c r="R4915" s="2" t="inlineStr"/>
    </row>
    <row r="4916" ht="15" customHeight="1">
      <c r="A4916" t="inlineStr">
        <is>
          <t>A 62057-2024</t>
        </is>
      </c>
      <c r="B4916" s="1" t="n">
        <v>45656</v>
      </c>
      <c r="C4916" s="1" t="n">
        <v>45724</v>
      </c>
      <c r="D4916" t="inlineStr">
        <is>
          <t>VÄSTMANLANDS LÄN</t>
        </is>
      </c>
      <c r="E4916" t="inlineStr">
        <is>
          <t>KÖPING</t>
        </is>
      </c>
      <c r="G4916" t="n">
        <v>0.8</v>
      </c>
      <c r="H4916" t="n">
        <v>0</v>
      </c>
      <c r="I4916" t="n">
        <v>0</v>
      </c>
      <c r="J4916" t="n">
        <v>0</v>
      </c>
      <c r="K4916" t="n">
        <v>0</v>
      </c>
      <c r="L4916" t="n">
        <v>0</v>
      </c>
      <c r="M4916" t="n">
        <v>0</v>
      </c>
      <c r="N4916" t="n">
        <v>0</v>
      </c>
      <c r="O4916" t="n">
        <v>0</v>
      </c>
      <c r="P4916" t="n">
        <v>0</v>
      </c>
      <c r="Q4916" t="n">
        <v>0</v>
      </c>
      <c r="R4916" s="2" t="inlineStr"/>
    </row>
    <row r="4917" ht="15" customHeight="1">
      <c r="A4917" t="inlineStr">
        <is>
          <t>A 322-2025</t>
        </is>
      </c>
      <c r="B4917" s="1" t="n">
        <v>45656</v>
      </c>
      <c r="C4917" s="1" t="n">
        <v>45724</v>
      </c>
      <c r="D4917" t="inlineStr">
        <is>
          <t>VÄSTMANLANDS LÄN</t>
        </is>
      </c>
      <c r="E4917" t="inlineStr">
        <is>
          <t>SKINNSKATTEBERG</t>
        </is>
      </c>
      <c r="G4917" t="n">
        <v>1.2</v>
      </c>
      <c r="H4917" t="n">
        <v>0</v>
      </c>
      <c r="I4917" t="n">
        <v>0</v>
      </c>
      <c r="J4917" t="n">
        <v>0</v>
      </c>
      <c r="K4917" t="n">
        <v>0</v>
      </c>
      <c r="L4917" t="n">
        <v>0</v>
      </c>
      <c r="M4917" t="n">
        <v>0</v>
      </c>
      <c r="N4917" t="n">
        <v>0</v>
      </c>
      <c r="O4917" t="n">
        <v>0</v>
      </c>
      <c r="P4917" t="n">
        <v>0</v>
      </c>
      <c r="Q4917" t="n">
        <v>0</v>
      </c>
      <c r="R4917" s="2" t="inlineStr"/>
    </row>
    <row r="4918" ht="15" customHeight="1">
      <c r="A4918" t="inlineStr">
        <is>
          <t>A 327-2025</t>
        </is>
      </c>
      <c r="B4918" s="1" t="n">
        <v>45657</v>
      </c>
      <c r="C4918" s="1" t="n">
        <v>45724</v>
      </c>
      <c r="D4918" t="inlineStr">
        <is>
          <t>VÄSTMANLANDS LÄN</t>
        </is>
      </c>
      <c r="E4918" t="inlineStr">
        <is>
          <t>SALA</t>
        </is>
      </c>
      <c r="G4918" t="n">
        <v>1.9</v>
      </c>
      <c r="H4918" t="n">
        <v>0</v>
      </c>
      <c r="I4918" t="n">
        <v>0</v>
      </c>
      <c r="J4918" t="n">
        <v>0</v>
      </c>
      <c r="K4918" t="n">
        <v>0</v>
      </c>
      <c r="L4918" t="n">
        <v>0</v>
      </c>
      <c r="M4918" t="n">
        <v>0</v>
      </c>
      <c r="N4918" t="n">
        <v>0</v>
      </c>
      <c r="O4918" t="n">
        <v>0</v>
      </c>
      <c r="P4918" t="n">
        <v>0</v>
      </c>
      <c r="Q4918" t="n">
        <v>0</v>
      </c>
      <c r="R4918" s="2" t="inlineStr"/>
    </row>
    <row r="4919" ht="15" customHeight="1">
      <c r="A4919" t="inlineStr">
        <is>
          <t>A 199-2025</t>
        </is>
      </c>
      <c r="B4919" s="1" t="n">
        <v>45659</v>
      </c>
      <c r="C4919" s="1" t="n">
        <v>45724</v>
      </c>
      <c r="D4919" t="inlineStr">
        <is>
          <t>VÄSTMANLANDS LÄN</t>
        </is>
      </c>
      <c r="E4919" t="inlineStr">
        <is>
          <t>KÖPING</t>
        </is>
      </c>
      <c r="G4919" t="n">
        <v>2.7</v>
      </c>
      <c r="H4919" t="n">
        <v>0</v>
      </c>
      <c r="I4919" t="n">
        <v>0</v>
      </c>
      <c r="J4919" t="n">
        <v>0</v>
      </c>
      <c r="K4919" t="n">
        <v>0</v>
      </c>
      <c r="L4919" t="n">
        <v>0</v>
      </c>
      <c r="M4919" t="n">
        <v>0</v>
      </c>
      <c r="N4919" t="n">
        <v>0</v>
      </c>
      <c r="O4919" t="n">
        <v>0</v>
      </c>
      <c r="P4919" t="n">
        <v>0</v>
      </c>
      <c r="Q4919" t="n">
        <v>0</v>
      </c>
      <c r="R4919" s="2" t="inlineStr"/>
    </row>
    <row r="4920" ht="15" customHeight="1">
      <c r="A4920" t="inlineStr">
        <is>
          <t>A 194-2025</t>
        </is>
      </c>
      <c r="B4920" s="1" t="n">
        <v>45659</v>
      </c>
      <c r="C4920" s="1" t="n">
        <v>45724</v>
      </c>
      <c r="D4920" t="inlineStr">
        <is>
          <t>VÄSTMANLANDS LÄN</t>
        </is>
      </c>
      <c r="E4920" t="inlineStr">
        <is>
          <t>FAGERSTA</t>
        </is>
      </c>
      <c r="G4920" t="n">
        <v>2.3</v>
      </c>
      <c r="H4920" t="n">
        <v>0</v>
      </c>
      <c r="I4920" t="n">
        <v>0</v>
      </c>
      <c r="J4920" t="n">
        <v>0</v>
      </c>
      <c r="K4920" t="n">
        <v>0</v>
      </c>
      <c r="L4920" t="n">
        <v>0</v>
      </c>
      <c r="M4920" t="n">
        <v>0</v>
      </c>
      <c r="N4920" t="n">
        <v>0</v>
      </c>
      <c r="O4920" t="n">
        <v>0</v>
      </c>
      <c r="P4920" t="n">
        <v>0</v>
      </c>
      <c r="Q4920" t="n">
        <v>0</v>
      </c>
      <c r="R4920" s="2" t="inlineStr"/>
    </row>
    <row r="4921" ht="15" customHeight="1">
      <c r="A4921" t="inlineStr">
        <is>
          <t>A 508-2025</t>
        </is>
      </c>
      <c r="B4921" s="1" t="n">
        <v>45660</v>
      </c>
      <c r="C4921" s="1" t="n">
        <v>45724</v>
      </c>
      <c r="D4921" t="inlineStr">
        <is>
          <t>VÄSTMANLANDS LÄN</t>
        </is>
      </c>
      <c r="E4921" t="inlineStr">
        <is>
          <t>ARBOGA</t>
        </is>
      </c>
      <c r="G4921" t="n">
        <v>1.9</v>
      </c>
      <c r="H4921" t="n">
        <v>0</v>
      </c>
      <c r="I4921" t="n">
        <v>0</v>
      </c>
      <c r="J4921" t="n">
        <v>0</v>
      </c>
      <c r="K4921" t="n">
        <v>0</v>
      </c>
      <c r="L4921" t="n">
        <v>0</v>
      </c>
      <c r="M4921" t="n">
        <v>0</v>
      </c>
      <c r="N4921" t="n">
        <v>0</v>
      </c>
      <c r="O4921" t="n">
        <v>0</v>
      </c>
      <c r="P4921" t="n">
        <v>0</v>
      </c>
      <c r="Q4921" t="n">
        <v>0</v>
      </c>
      <c r="R4921" s="2" t="inlineStr"/>
    </row>
    <row r="4922" ht="15" customHeight="1">
      <c r="A4922" t="inlineStr">
        <is>
          <t>A 494-2025</t>
        </is>
      </c>
      <c r="B4922" s="1" t="n">
        <v>45660</v>
      </c>
      <c r="C4922" s="1" t="n">
        <v>45724</v>
      </c>
      <c r="D4922" t="inlineStr">
        <is>
          <t>VÄSTMANLANDS LÄN</t>
        </is>
      </c>
      <c r="E4922" t="inlineStr">
        <is>
          <t>ARBOGA</t>
        </is>
      </c>
      <c r="G4922" t="n">
        <v>1.7</v>
      </c>
      <c r="H4922" t="n">
        <v>0</v>
      </c>
      <c r="I4922" t="n">
        <v>0</v>
      </c>
      <c r="J4922" t="n">
        <v>0</v>
      </c>
      <c r="K4922" t="n">
        <v>0</v>
      </c>
      <c r="L4922" t="n">
        <v>0</v>
      </c>
      <c r="M4922" t="n">
        <v>0</v>
      </c>
      <c r="N4922" t="n">
        <v>0</v>
      </c>
      <c r="O4922" t="n">
        <v>0</v>
      </c>
      <c r="P4922" t="n">
        <v>0</v>
      </c>
      <c r="Q4922" t="n">
        <v>0</v>
      </c>
      <c r="R4922" s="2" t="inlineStr"/>
    </row>
    <row r="4923" ht="15" customHeight="1">
      <c r="A4923" t="inlineStr">
        <is>
          <t>A 669-2025</t>
        </is>
      </c>
      <c r="B4923" s="1" t="n">
        <v>45664</v>
      </c>
      <c r="C4923" s="1" t="n">
        <v>45724</v>
      </c>
      <c r="D4923" t="inlineStr">
        <is>
          <t>VÄSTMANLANDS LÄN</t>
        </is>
      </c>
      <c r="E4923" t="inlineStr">
        <is>
          <t>ARBOGA</t>
        </is>
      </c>
      <c r="G4923" t="n">
        <v>2.9</v>
      </c>
      <c r="H4923" t="n">
        <v>0</v>
      </c>
      <c r="I4923" t="n">
        <v>0</v>
      </c>
      <c r="J4923" t="n">
        <v>0</v>
      </c>
      <c r="K4923" t="n">
        <v>0</v>
      </c>
      <c r="L4923" t="n">
        <v>0</v>
      </c>
      <c r="M4923" t="n">
        <v>0</v>
      </c>
      <c r="N4923" t="n">
        <v>0</v>
      </c>
      <c r="O4923" t="n">
        <v>0</v>
      </c>
      <c r="P4923" t="n">
        <v>0</v>
      </c>
      <c r="Q4923" t="n">
        <v>0</v>
      </c>
      <c r="R4923" s="2" t="inlineStr"/>
    </row>
    <row r="4924" ht="15" customHeight="1">
      <c r="A4924" t="inlineStr">
        <is>
          <t>A 620-2025</t>
        </is>
      </c>
      <c r="B4924" s="1" t="n">
        <v>45664</v>
      </c>
      <c r="C4924" s="1" t="n">
        <v>45724</v>
      </c>
      <c r="D4924" t="inlineStr">
        <is>
          <t>VÄSTMANLANDS LÄN</t>
        </is>
      </c>
      <c r="E4924" t="inlineStr">
        <is>
          <t>KÖPING</t>
        </is>
      </c>
      <c r="G4924" t="n">
        <v>9.300000000000001</v>
      </c>
      <c r="H4924" t="n">
        <v>0</v>
      </c>
      <c r="I4924" t="n">
        <v>0</v>
      </c>
      <c r="J4924" t="n">
        <v>0</v>
      </c>
      <c r="K4924" t="n">
        <v>0</v>
      </c>
      <c r="L4924" t="n">
        <v>0</v>
      </c>
      <c r="M4924" t="n">
        <v>0</v>
      </c>
      <c r="N4924" t="n">
        <v>0</v>
      </c>
      <c r="O4924" t="n">
        <v>0</v>
      </c>
      <c r="P4924" t="n">
        <v>0</v>
      </c>
      <c r="Q4924" t="n">
        <v>0</v>
      </c>
      <c r="R4924" s="2" t="inlineStr"/>
    </row>
    <row r="4925" ht="15" customHeight="1">
      <c r="A4925" t="inlineStr">
        <is>
          <t>A 744-2025</t>
        </is>
      </c>
      <c r="B4925" s="1" t="n">
        <v>45665</v>
      </c>
      <c r="C4925" s="1" t="n">
        <v>45724</v>
      </c>
      <c r="D4925" t="inlineStr">
        <is>
          <t>VÄSTMANLANDS LÄN</t>
        </is>
      </c>
      <c r="E4925" t="inlineStr">
        <is>
          <t>ARBOGA</t>
        </is>
      </c>
      <c r="G4925" t="n">
        <v>1.6</v>
      </c>
      <c r="H4925" t="n">
        <v>0</v>
      </c>
      <c r="I4925" t="n">
        <v>0</v>
      </c>
      <c r="J4925" t="n">
        <v>0</v>
      </c>
      <c r="K4925" t="n">
        <v>0</v>
      </c>
      <c r="L4925" t="n">
        <v>0</v>
      </c>
      <c r="M4925" t="n">
        <v>0</v>
      </c>
      <c r="N4925" t="n">
        <v>0</v>
      </c>
      <c r="O4925" t="n">
        <v>0</v>
      </c>
      <c r="P4925" t="n">
        <v>0</v>
      </c>
      <c r="Q4925" t="n">
        <v>0</v>
      </c>
      <c r="R4925" s="2" t="inlineStr"/>
    </row>
    <row r="4926" ht="15" customHeight="1">
      <c r="A4926" t="inlineStr">
        <is>
          <t>A 813-2025</t>
        </is>
      </c>
      <c r="B4926" s="1" t="n">
        <v>45665</v>
      </c>
      <c r="C4926" s="1" t="n">
        <v>45724</v>
      </c>
      <c r="D4926" t="inlineStr">
        <is>
          <t>VÄSTMANLANDS LÄN</t>
        </is>
      </c>
      <c r="E4926" t="inlineStr">
        <is>
          <t>KÖPING</t>
        </is>
      </c>
      <c r="G4926" t="n">
        <v>4.1</v>
      </c>
      <c r="H4926" t="n">
        <v>0</v>
      </c>
      <c r="I4926" t="n">
        <v>0</v>
      </c>
      <c r="J4926" t="n">
        <v>0</v>
      </c>
      <c r="K4926" t="n">
        <v>0</v>
      </c>
      <c r="L4926" t="n">
        <v>0</v>
      </c>
      <c r="M4926" t="n">
        <v>0</v>
      </c>
      <c r="N4926" t="n">
        <v>0</v>
      </c>
      <c r="O4926" t="n">
        <v>0</v>
      </c>
      <c r="P4926" t="n">
        <v>0</v>
      </c>
      <c r="Q4926" t="n">
        <v>0</v>
      </c>
      <c r="R4926" s="2" t="inlineStr"/>
    </row>
    <row r="4927" ht="15" customHeight="1">
      <c r="A4927" t="inlineStr">
        <is>
          <t>A 857-2025</t>
        </is>
      </c>
      <c r="B4927" s="1" t="n">
        <v>45665</v>
      </c>
      <c r="C4927" s="1" t="n">
        <v>45724</v>
      </c>
      <c r="D4927" t="inlineStr">
        <is>
          <t>VÄSTMANLANDS LÄN</t>
        </is>
      </c>
      <c r="E4927" t="inlineStr">
        <is>
          <t>KÖPING</t>
        </is>
      </c>
      <c r="G4927" t="n">
        <v>4.2</v>
      </c>
      <c r="H4927" t="n">
        <v>0</v>
      </c>
      <c r="I4927" t="n">
        <v>0</v>
      </c>
      <c r="J4927" t="n">
        <v>0</v>
      </c>
      <c r="K4927" t="n">
        <v>0</v>
      </c>
      <c r="L4927" t="n">
        <v>0</v>
      </c>
      <c r="M4927" t="n">
        <v>0</v>
      </c>
      <c r="N4927" t="n">
        <v>0</v>
      </c>
      <c r="O4927" t="n">
        <v>0</v>
      </c>
      <c r="P4927" t="n">
        <v>0</v>
      </c>
      <c r="Q4927" t="n">
        <v>0</v>
      </c>
      <c r="R4927" s="2" t="inlineStr"/>
    </row>
    <row r="4928" ht="15" customHeight="1">
      <c r="A4928" t="inlineStr">
        <is>
          <t>A 876-2025</t>
        </is>
      </c>
      <c r="B4928" s="1" t="n">
        <v>45665</v>
      </c>
      <c r="C4928" s="1" t="n">
        <v>45724</v>
      </c>
      <c r="D4928" t="inlineStr">
        <is>
          <t>VÄSTMANLANDS LÄN</t>
        </is>
      </c>
      <c r="E4928" t="inlineStr">
        <is>
          <t>SALA</t>
        </is>
      </c>
      <c r="G4928" t="n">
        <v>2.2</v>
      </c>
      <c r="H4928" t="n">
        <v>0</v>
      </c>
      <c r="I4928" t="n">
        <v>0</v>
      </c>
      <c r="J4928" t="n">
        <v>0</v>
      </c>
      <c r="K4928" t="n">
        <v>0</v>
      </c>
      <c r="L4928" t="n">
        <v>0</v>
      </c>
      <c r="M4928" t="n">
        <v>0</v>
      </c>
      <c r="N4928" t="n">
        <v>0</v>
      </c>
      <c r="O4928" t="n">
        <v>0</v>
      </c>
      <c r="P4928" t="n">
        <v>0</v>
      </c>
      <c r="Q4928" t="n">
        <v>0</v>
      </c>
      <c r="R4928" s="2" t="inlineStr"/>
    </row>
    <row r="4929" ht="15" customHeight="1">
      <c r="A4929" t="inlineStr">
        <is>
          <t>A 895-2025</t>
        </is>
      </c>
      <c r="B4929" s="1" t="n">
        <v>45665</v>
      </c>
      <c r="C4929" s="1" t="n">
        <v>45724</v>
      </c>
      <c r="D4929" t="inlineStr">
        <is>
          <t>VÄSTMANLANDS LÄN</t>
        </is>
      </c>
      <c r="E4929" t="inlineStr">
        <is>
          <t>KÖPING</t>
        </is>
      </c>
      <c r="G4929" t="n">
        <v>2</v>
      </c>
      <c r="H4929" t="n">
        <v>0</v>
      </c>
      <c r="I4929" t="n">
        <v>0</v>
      </c>
      <c r="J4929" t="n">
        <v>0</v>
      </c>
      <c r="K4929" t="n">
        <v>0</v>
      </c>
      <c r="L4929" t="n">
        <v>0</v>
      </c>
      <c r="M4929" t="n">
        <v>0</v>
      </c>
      <c r="N4929" t="n">
        <v>0</v>
      </c>
      <c r="O4929" t="n">
        <v>0</v>
      </c>
      <c r="P4929" t="n">
        <v>0</v>
      </c>
      <c r="Q4929" t="n">
        <v>0</v>
      </c>
      <c r="R4929" s="2" t="inlineStr"/>
    </row>
    <row r="4930" ht="15" customHeight="1">
      <c r="A4930" t="inlineStr">
        <is>
          <t>A 815-2025</t>
        </is>
      </c>
      <c r="B4930" s="1" t="n">
        <v>45665</v>
      </c>
      <c r="C4930" s="1" t="n">
        <v>45724</v>
      </c>
      <c r="D4930" t="inlineStr">
        <is>
          <t>VÄSTMANLANDS LÄN</t>
        </is>
      </c>
      <c r="E4930" t="inlineStr">
        <is>
          <t>KÖPING</t>
        </is>
      </c>
      <c r="G4930" t="n">
        <v>1.4</v>
      </c>
      <c r="H4930" t="n">
        <v>0</v>
      </c>
      <c r="I4930" t="n">
        <v>0</v>
      </c>
      <c r="J4930" t="n">
        <v>0</v>
      </c>
      <c r="K4930" t="n">
        <v>0</v>
      </c>
      <c r="L4930" t="n">
        <v>0</v>
      </c>
      <c r="M4930" t="n">
        <v>0</v>
      </c>
      <c r="N4930" t="n">
        <v>0</v>
      </c>
      <c r="O4930" t="n">
        <v>0</v>
      </c>
      <c r="P4930" t="n">
        <v>0</v>
      </c>
      <c r="Q4930" t="n">
        <v>0</v>
      </c>
      <c r="R4930" s="2" t="inlineStr"/>
    </row>
    <row r="4931" ht="15" customHeight="1">
      <c r="A4931" t="inlineStr">
        <is>
          <t>A 922-2025</t>
        </is>
      </c>
      <c r="B4931" s="1" t="n">
        <v>45665</v>
      </c>
      <c r="C4931" s="1" t="n">
        <v>45724</v>
      </c>
      <c r="D4931" t="inlineStr">
        <is>
          <t>VÄSTMANLANDS LÄN</t>
        </is>
      </c>
      <c r="E4931" t="inlineStr">
        <is>
          <t>SALA</t>
        </is>
      </c>
      <c r="G4931" t="n">
        <v>6.2</v>
      </c>
      <c r="H4931" t="n">
        <v>0</v>
      </c>
      <c r="I4931" t="n">
        <v>0</v>
      </c>
      <c r="J4931" t="n">
        <v>0</v>
      </c>
      <c r="K4931" t="n">
        <v>0</v>
      </c>
      <c r="L4931" t="n">
        <v>0</v>
      </c>
      <c r="M4931" t="n">
        <v>0</v>
      </c>
      <c r="N4931" t="n">
        <v>0</v>
      </c>
      <c r="O4931" t="n">
        <v>0</v>
      </c>
      <c r="P4931" t="n">
        <v>0</v>
      </c>
      <c r="Q4931" t="n">
        <v>0</v>
      </c>
      <c r="R4931" s="2" t="inlineStr"/>
    </row>
    <row r="4932" ht="15" customHeight="1">
      <c r="A4932" t="inlineStr">
        <is>
          <t>A 818-2025</t>
        </is>
      </c>
      <c r="B4932" s="1" t="n">
        <v>45665</v>
      </c>
      <c r="C4932" s="1" t="n">
        <v>45724</v>
      </c>
      <c r="D4932" t="inlineStr">
        <is>
          <t>VÄSTMANLANDS LÄN</t>
        </is>
      </c>
      <c r="E4932" t="inlineStr">
        <is>
          <t>KÖPING</t>
        </is>
      </c>
      <c r="G4932" t="n">
        <v>4.1</v>
      </c>
      <c r="H4932" t="n">
        <v>0</v>
      </c>
      <c r="I4932" t="n">
        <v>0</v>
      </c>
      <c r="J4932" t="n">
        <v>0</v>
      </c>
      <c r="K4932" t="n">
        <v>0</v>
      </c>
      <c r="L4932" t="n">
        <v>0</v>
      </c>
      <c r="M4932" t="n">
        <v>0</v>
      </c>
      <c r="N4932" t="n">
        <v>0</v>
      </c>
      <c r="O4932" t="n">
        <v>0</v>
      </c>
      <c r="P4932" t="n">
        <v>0</v>
      </c>
      <c r="Q4932" t="n">
        <v>0</v>
      </c>
      <c r="R4932" s="2" t="inlineStr"/>
    </row>
    <row r="4933" ht="15" customHeight="1">
      <c r="A4933" t="inlineStr">
        <is>
          <t>A 1128-2025</t>
        </is>
      </c>
      <c r="B4933" s="1" t="n">
        <v>45666</v>
      </c>
      <c r="C4933" s="1" t="n">
        <v>45724</v>
      </c>
      <c r="D4933" t="inlineStr">
        <is>
          <t>VÄSTMANLANDS LÄN</t>
        </is>
      </c>
      <c r="E4933" t="inlineStr">
        <is>
          <t>SALA</t>
        </is>
      </c>
      <c r="G4933" t="n">
        <v>2.5</v>
      </c>
      <c r="H4933" t="n">
        <v>0</v>
      </c>
      <c r="I4933" t="n">
        <v>0</v>
      </c>
      <c r="J4933" t="n">
        <v>0</v>
      </c>
      <c r="K4933" t="n">
        <v>0</v>
      </c>
      <c r="L4933" t="n">
        <v>0</v>
      </c>
      <c r="M4933" t="n">
        <v>0</v>
      </c>
      <c r="N4933" t="n">
        <v>0</v>
      </c>
      <c r="O4933" t="n">
        <v>0</v>
      </c>
      <c r="P4933" t="n">
        <v>0</v>
      </c>
      <c r="Q4933" t="n">
        <v>0</v>
      </c>
      <c r="R4933" s="2" t="inlineStr"/>
    </row>
    <row r="4934" ht="15" customHeight="1">
      <c r="A4934" t="inlineStr">
        <is>
          <t>A 996-2025</t>
        </is>
      </c>
      <c r="B4934" s="1" t="n">
        <v>45666</v>
      </c>
      <c r="C4934" s="1" t="n">
        <v>45724</v>
      </c>
      <c r="D4934" t="inlineStr">
        <is>
          <t>VÄSTMANLANDS LÄN</t>
        </is>
      </c>
      <c r="E4934" t="inlineStr">
        <is>
          <t>SALA</t>
        </is>
      </c>
      <c r="G4934" t="n">
        <v>15</v>
      </c>
      <c r="H4934" t="n">
        <v>0</v>
      </c>
      <c r="I4934" t="n">
        <v>0</v>
      </c>
      <c r="J4934" t="n">
        <v>0</v>
      </c>
      <c r="K4934" t="n">
        <v>0</v>
      </c>
      <c r="L4934" t="n">
        <v>0</v>
      </c>
      <c r="M4934" t="n">
        <v>0</v>
      </c>
      <c r="N4934" t="n">
        <v>0</v>
      </c>
      <c r="O4934" t="n">
        <v>0</v>
      </c>
      <c r="P4934" t="n">
        <v>0</v>
      </c>
      <c r="Q4934" t="n">
        <v>0</v>
      </c>
      <c r="R4934" s="2" t="inlineStr"/>
    </row>
    <row r="4935" ht="15" customHeight="1">
      <c r="A4935" t="inlineStr">
        <is>
          <t>A 988-2025</t>
        </is>
      </c>
      <c r="B4935" s="1" t="n">
        <v>45666</v>
      </c>
      <c r="C4935" s="1" t="n">
        <v>45724</v>
      </c>
      <c r="D4935" t="inlineStr">
        <is>
          <t>VÄSTMANLANDS LÄN</t>
        </is>
      </c>
      <c r="E4935" t="inlineStr">
        <is>
          <t>SALA</t>
        </is>
      </c>
      <c r="G4935" t="n">
        <v>1.3</v>
      </c>
      <c r="H4935" t="n">
        <v>0</v>
      </c>
      <c r="I4935" t="n">
        <v>0</v>
      </c>
      <c r="J4935" t="n">
        <v>0</v>
      </c>
      <c r="K4935" t="n">
        <v>0</v>
      </c>
      <c r="L4935" t="n">
        <v>0</v>
      </c>
      <c r="M4935" t="n">
        <v>0</v>
      </c>
      <c r="N4935" t="n">
        <v>0</v>
      </c>
      <c r="O4935" t="n">
        <v>0</v>
      </c>
      <c r="P4935" t="n">
        <v>0</v>
      </c>
      <c r="Q4935" t="n">
        <v>0</v>
      </c>
      <c r="R4935" s="2" t="inlineStr"/>
    </row>
    <row r="4936" ht="15" customHeight="1">
      <c r="A4936" t="inlineStr">
        <is>
          <t>A 1043-2025</t>
        </is>
      </c>
      <c r="B4936" s="1" t="n">
        <v>45666</v>
      </c>
      <c r="C4936" s="1" t="n">
        <v>45724</v>
      </c>
      <c r="D4936" t="inlineStr">
        <is>
          <t>VÄSTMANLANDS LÄN</t>
        </is>
      </c>
      <c r="E4936" t="inlineStr">
        <is>
          <t>KUNGSÖR</t>
        </is>
      </c>
      <c r="G4936" t="n">
        <v>2.5</v>
      </c>
      <c r="H4936" t="n">
        <v>0</v>
      </c>
      <c r="I4936" t="n">
        <v>0</v>
      </c>
      <c r="J4936" t="n">
        <v>0</v>
      </c>
      <c r="K4936" t="n">
        <v>0</v>
      </c>
      <c r="L4936" t="n">
        <v>0</v>
      </c>
      <c r="M4936" t="n">
        <v>0</v>
      </c>
      <c r="N4936" t="n">
        <v>0</v>
      </c>
      <c r="O4936" t="n">
        <v>0</v>
      </c>
      <c r="P4936" t="n">
        <v>0</v>
      </c>
      <c r="Q4936" t="n">
        <v>0</v>
      </c>
      <c r="R4936" s="2" t="inlineStr"/>
    </row>
    <row r="4937" ht="15" customHeight="1">
      <c r="A4937" t="inlineStr">
        <is>
          <t>A 1042-2025</t>
        </is>
      </c>
      <c r="B4937" s="1" t="n">
        <v>45666</v>
      </c>
      <c r="C4937" s="1" t="n">
        <v>45724</v>
      </c>
      <c r="D4937" t="inlineStr">
        <is>
          <t>VÄSTMANLANDS LÄN</t>
        </is>
      </c>
      <c r="E4937" t="inlineStr">
        <is>
          <t>KUNGSÖR</t>
        </is>
      </c>
      <c r="G4937" t="n">
        <v>1.1</v>
      </c>
      <c r="H4937" t="n">
        <v>0</v>
      </c>
      <c r="I4937" t="n">
        <v>0</v>
      </c>
      <c r="J4937" t="n">
        <v>0</v>
      </c>
      <c r="K4937" t="n">
        <v>0</v>
      </c>
      <c r="L4937" t="n">
        <v>0</v>
      </c>
      <c r="M4937" t="n">
        <v>0</v>
      </c>
      <c r="N4937" t="n">
        <v>0</v>
      </c>
      <c r="O4937" t="n">
        <v>0</v>
      </c>
      <c r="P4937" t="n">
        <v>0</v>
      </c>
      <c r="Q4937" t="n">
        <v>0</v>
      </c>
      <c r="R4937" s="2" t="inlineStr"/>
    </row>
    <row r="4938" ht="15" customHeight="1">
      <c r="A4938" t="inlineStr">
        <is>
          <t>A 947-2025</t>
        </is>
      </c>
      <c r="B4938" s="1" t="n">
        <v>45666</v>
      </c>
      <c r="C4938" s="1" t="n">
        <v>45724</v>
      </c>
      <c r="D4938" t="inlineStr">
        <is>
          <t>VÄSTMANLANDS LÄN</t>
        </is>
      </c>
      <c r="E4938" t="inlineStr">
        <is>
          <t>ARBOGA</t>
        </is>
      </c>
      <c r="G4938" t="n">
        <v>1</v>
      </c>
      <c r="H4938" t="n">
        <v>0</v>
      </c>
      <c r="I4938" t="n">
        <v>0</v>
      </c>
      <c r="J4938" t="n">
        <v>0</v>
      </c>
      <c r="K4938" t="n">
        <v>0</v>
      </c>
      <c r="L4938" t="n">
        <v>0</v>
      </c>
      <c r="M4938" t="n">
        <v>0</v>
      </c>
      <c r="N4938" t="n">
        <v>0</v>
      </c>
      <c r="O4938" t="n">
        <v>0</v>
      </c>
      <c r="P4938" t="n">
        <v>0</v>
      </c>
      <c r="Q4938" t="n">
        <v>0</v>
      </c>
      <c r="R4938" s="2" t="inlineStr"/>
    </row>
    <row r="4939" ht="15" customHeight="1">
      <c r="A4939" t="inlineStr">
        <is>
          <t>A 1040-2025</t>
        </is>
      </c>
      <c r="B4939" s="1" t="n">
        <v>45666</v>
      </c>
      <c r="C4939" s="1" t="n">
        <v>45724</v>
      </c>
      <c r="D4939" t="inlineStr">
        <is>
          <t>VÄSTMANLANDS LÄN</t>
        </is>
      </c>
      <c r="E4939" t="inlineStr">
        <is>
          <t>KUNGSÖR</t>
        </is>
      </c>
      <c r="G4939" t="n">
        <v>1.6</v>
      </c>
      <c r="H4939" t="n">
        <v>0</v>
      </c>
      <c r="I4939" t="n">
        <v>0</v>
      </c>
      <c r="J4939" t="n">
        <v>0</v>
      </c>
      <c r="K4939" t="n">
        <v>0</v>
      </c>
      <c r="L4939" t="n">
        <v>0</v>
      </c>
      <c r="M4939" t="n">
        <v>0</v>
      </c>
      <c r="N4939" t="n">
        <v>0</v>
      </c>
      <c r="O4939" t="n">
        <v>0</v>
      </c>
      <c r="P4939" t="n">
        <v>0</v>
      </c>
      <c r="Q4939" t="n">
        <v>0</v>
      </c>
      <c r="R4939" s="2" t="inlineStr"/>
    </row>
    <row r="4940" ht="15" customHeight="1">
      <c r="A4940" t="inlineStr">
        <is>
          <t>A 1181-2025</t>
        </is>
      </c>
      <c r="B4940" s="1" t="n">
        <v>45667</v>
      </c>
      <c r="C4940" s="1" t="n">
        <v>45724</v>
      </c>
      <c r="D4940" t="inlineStr">
        <is>
          <t>VÄSTMANLANDS LÄN</t>
        </is>
      </c>
      <c r="E4940" t="inlineStr">
        <is>
          <t>KÖPING</t>
        </is>
      </c>
      <c r="G4940" t="n">
        <v>1.6</v>
      </c>
      <c r="H4940" t="n">
        <v>0</v>
      </c>
      <c r="I4940" t="n">
        <v>0</v>
      </c>
      <c r="J4940" t="n">
        <v>0</v>
      </c>
      <c r="K4940" t="n">
        <v>0</v>
      </c>
      <c r="L4940" t="n">
        <v>0</v>
      </c>
      <c r="M4940" t="n">
        <v>0</v>
      </c>
      <c r="N4940" t="n">
        <v>0</v>
      </c>
      <c r="O4940" t="n">
        <v>0</v>
      </c>
      <c r="P4940" t="n">
        <v>0</v>
      </c>
      <c r="Q4940" t="n">
        <v>0</v>
      </c>
      <c r="R4940" s="2" t="inlineStr"/>
    </row>
    <row r="4941" ht="15" customHeight="1">
      <c r="A4941" t="inlineStr">
        <is>
          <t>A 1363-2025</t>
        </is>
      </c>
      <c r="B4941" s="1" t="n">
        <v>45667</v>
      </c>
      <c r="C4941" s="1" t="n">
        <v>45724</v>
      </c>
      <c r="D4941" t="inlineStr">
        <is>
          <t>VÄSTMANLANDS LÄN</t>
        </is>
      </c>
      <c r="E4941" t="inlineStr">
        <is>
          <t>ARBOGA</t>
        </is>
      </c>
      <c r="G4941" t="n">
        <v>5.7</v>
      </c>
      <c r="H4941" t="n">
        <v>0</v>
      </c>
      <c r="I4941" t="n">
        <v>0</v>
      </c>
      <c r="J4941" t="n">
        <v>0</v>
      </c>
      <c r="K4941" t="n">
        <v>0</v>
      </c>
      <c r="L4941" t="n">
        <v>0</v>
      </c>
      <c r="M4941" t="n">
        <v>0</v>
      </c>
      <c r="N4941" t="n">
        <v>0</v>
      </c>
      <c r="O4941" t="n">
        <v>0</v>
      </c>
      <c r="P4941" t="n">
        <v>0</v>
      </c>
      <c r="Q4941" t="n">
        <v>0</v>
      </c>
      <c r="R4941" s="2" t="inlineStr"/>
    </row>
    <row r="4942" ht="15" customHeight="1">
      <c r="A4942" t="inlineStr">
        <is>
          <t>A 1375-2025</t>
        </is>
      </c>
      <c r="B4942" s="1" t="n">
        <v>45667</v>
      </c>
      <c r="C4942" s="1" t="n">
        <v>45724</v>
      </c>
      <c r="D4942" t="inlineStr">
        <is>
          <t>VÄSTMANLANDS LÄN</t>
        </is>
      </c>
      <c r="E4942" t="inlineStr">
        <is>
          <t>ARBOGA</t>
        </is>
      </c>
      <c r="G4942" t="n">
        <v>0.8</v>
      </c>
      <c r="H4942" t="n">
        <v>0</v>
      </c>
      <c r="I4942" t="n">
        <v>0</v>
      </c>
      <c r="J4942" t="n">
        <v>0</v>
      </c>
      <c r="K4942" t="n">
        <v>0</v>
      </c>
      <c r="L4942" t="n">
        <v>0</v>
      </c>
      <c r="M4942" t="n">
        <v>0</v>
      </c>
      <c r="N4942" t="n">
        <v>0</v>
      </c>
      <c r="O4942" t="n">
        <v>0</v>
      </c>
      <c r="P4942" t="n">
        <v>0</v>
      </c>
      <c r="Q4942" t="n">
        <v>0</v>
      </c>
      <c r="R4942" s="2" t="inlineStr"/>
    </row>
    <row r="4943" ht="15" customHeight="1">
      <c r="A4943" t="inlineStr">
        <is>
          <t>A 1387-2025</t>
        </is>
      </c>
      <c r="B4943" s="1" t="n">
        <v>45667</v>
      </c>
      <c r="C4943" s="1" t="n">
        <v>45724</v>
      </c>
      <c r="D4943" t="inlineStr">
        <is>
          <t>VÄSTMANLANDS LÄN</t>
        </is>
      </c>
      <c r="E4943" t="inlineStr">
        <is>
          <t>KÖPING</t>
        </is>
      </c>
      <c r="G4943" t="n">
        <v>1.5</v>
      </c>
      <c r="H4943" t="n">
        <v>0</v>
      </c>
      <c r="I4943" t="n">
        <v>0</v>
      </c>
      <c r="J4943" t="n">
        <v>0</v>
      </c>
      <c r="K4943" t="n">
        <v>0</v>
      </c>
      <c r="L4943" t="n">
        <v>0</v>
      </c>
      <c r="M4943" t="n">
        <v>0</v>
      </c>
      <c r="N4943" t="n">
        <v>0</v>
      </c>
      <c r="O4943" t="n">
        <v>0</v>
      </c>
      <c r="P4943" t="n">
        <v>0</v>
      </c>
      <c r="Q4943" t="n">
        <v>0</v>
      </c>
      <c r="R4943" s="2" t="inlineStr"/>
    </row>
    <row r="4944" ht="15" customHeight="1">
      <c r="A4944" t="inlineStr">
        <is>
          <t>A 1440-2025</t>
        </is>
      </c>
      <c r="B4944" s="1" t="n">
        <v>45669</v>
      </c>
      <c r="C4944" s="1" t="n">
        <v>45724</v>
      </c>
      <c r="D4944" t="inlineStr">
        <is>
          <t>VÄSTMANLANDS LÄN</t>
        </is>
      </c>
      <c r="E4944" t="inlineStr">
        <is>
          <t>KÖPING</t>
        </is>
      </c>
      <c r="G4944" t="n">
        <v>2.1</v>
      </c>
      <c r="H4944" t="n">
        <v>0</v>
      </c>
      <c r="I4944" t="n">
        <v>0</v>
      </c>
      <c r="J4944" t="n">
        <v>0</v>
      </c>
      <c r="K4944" t="n">
        <v>0</v>
      </c>
      <c r="L4944" t="n">
        <v>0</v>
      </c>
      <c r="M4944" t="n">
        <v>0</v>
      </c>
      <c r="N4944" t="n">
        <v>0</v>
      </c>
      <c r="O4944" t="n">
        <v>0</v>
      </c>
      <c r="P4944" t="n">
        <v>0</v>
      </c>
      <c r="Q4944" t="n">
        <v>0</v>
      </c>
      <c r="R4944" s="2" t="inlineStr"/>
    </row>
    <row r="4945" ht="15" customHeight="1">
      <c r="A4945" t="inlineStr">
        <is>
          <t>A 1569-2025</t>
        </is>
      </c>
      <c r="B4945" s="1" t="n">
        <v>45670</v>
      </c>
      <c r="C4945" s="1" t="n">
        <v>45724</v>
      </c>
      <c r="D4945" t="inlineStr">
        <is>
          <t>VÄSTMANLANDS LÄN</t>
        </is>
      </c>
      <c r="E4945" t="inlineStr">
        <is>
          <t>SALA</t>
        </is>
      </c>
      <c r="G4945" t="n">
        <v>2.5</v>
      </c>
      <c r="H4945" t="n">
        <v>0</v>
      </c>
      <c r="I4945" t="n">
        <v>0</v>
      </c>
      <c r="J4945" t="n">
        <v>0</v>
      </c>
      <c r="K4945" t="n">
        <v>0</v>
      </c>
      <c r="L4945" t="n">
        <v>0</v>
      </c>
      <c r="M4945" t="n">
        <v>0</v>
      </c>
      <c r="N4945" t="n">
        <v>0</v>
      </c>
      <c r="O4945" t="n">
        <v>0</v>
      </c>
      <c r="P4945" t="n">
        <v>0</v>
      </c>
      <c r="Q4945" t="n">
        <v>0</v>
      </c>
      <c r="R4945" s="2" t="inlineStr"/>
    </row>
    <row r="4946" ht="15" customHeight="1">
      <c r="A4946" t="inlineStr">
        <is>
          <t>A 1770-2025</t>
        </is>
      </c>
      <c r="B4946" s="1" t="n">
        <v>45671</v>
      </c>
      <c r="C4946" s="1" t="n">
        <v>45724</v>
      </c>
      <c r="D4946" t="inlineStr">
        <is>
          <t>VÄSTMANLANDS LÄN</t>
        </is>
      </c>
      <c r="E4946" t="inlineStr">
        <is>
          <t>SALA</t>
        </is>
      </c>
      <c r="G4946" t="n">
        <v>2</v>
      </c>
      <c r="H4946" t="n">
        <v>0</v>
      </c>
      <c r="I4946" t="n">
        <v>0</v>
      </c>
      <c r="J4946" t="n">
        <v>0</v>
      </c>
      <c r="K4946" t="n">
        <v>0</v>
      </c>
      <c r="L4946" t="n">
        <v>0</v>
      </c>
      <c r="M4946" t="n">
        <v>0</v>
      </c>
      <c r="N4946" t="n">
        <v>0</v>
      </c>
      <c r="O4946" t="n">
        <v>0</v>
      </c>
      <c r="P4946" t="n">
        <v>0</v>
      </c>
      <c r="Q4946" t="n">
        <v>0</v>
      </c>
      <c r="R4946" s="2" t="inlineStr"/>
    </row>
    <row r="4947" ht="15" customHeight="1">
      <c r="A4947" t="inlineStr">
        <is>
          <t>A 1804-2025</t>
        </is>
      </c>
      <c r="B4947" s="1" t="n">
        <v>45671</v>
      </c>
      <c r="C4947" s="1" t="n">
        <v>45724</v>
      </c>
      <c r="D4947" t="inlineStr">
        <is>
          <t>VÄSTMANLANDS LÄN</t>
        </is>
      </c>
      <c r="E4947" t="inlineStr">
        <is>
          <t>NORBERG</t>
        </is>
      </c>
      <c r="F4947" t="inlineStr">
        <is>
          <t>Övriga Aktiebolag</t>
        </is>
      </c>
      <c r="G4947" t="n">
        <v>4.8</v>
      </c>
      <c r="H4947" t="n">
        <v>0</v>
      </c>
      <c r="I4947" t="n">
        <v>0</v>
      </c>
      <c r="J4947" t="n">
        <v>0</v>
      </c>
      <c r="K4947" t="n">
        <v>0</v>
      </c>
      <c r="L4947" t="n">
        <v>0</v>
      </c>
      <c r="M4947" t="n">
        <v>0</v>
      </c>
      <c r="N4947" t="n">
        <v>0</v>
      </c>
      <c r="O4947" t="n">
        <v>0</v>
      </c>
      <c r="P4947" t="n">
        <v>0</v>
      </c>
      <c r="Q4947" t="n">
        <v>0</v>
      </c>
      <c r="R4947" s="2" t="inlineStr"/>
    </row>
    <row r="4948" ht="15" customHeight="1">
      <c r="A4948" t="inlineStr">
        <is>
          <t>A 1926-2025</t>
        </is>
      </c>
      <c r="B4948" s="1" t="n">
        <v>45671</v>
      </c>
      <c r="C4948" s="1" t="n">
        <v>45724</v>
      </c>
      <c r="D4948" t="inlineStr">
        <is>
          <t>VÄSTMANLANDS LÄN</t>
        </is>
      </c>
      <c r="E4948" t="inlineStr">
        <is>
          <t>KÖPING</t>
        </is>
      </c>
      <c r="G4948" t="n">
        <v>2.6</v>
      </c>
      <c r="H4948" t="n">
        <v>0</v>
      </c>
      <c r="I4948" t="n">
        <v>0</v>
      </c>
      <c r="J4948" t="n">
        <v>0</v>
      </c>
      <c r="K4948" t="n">
        <v>0</v>
      </c>
      <c r="L4948" t="n">
        <v>0</v>
      </c>
      <c r="M4948" t="n">
        <v>0</v>
      </c>
      <c r="N4948" t="n">
        <v>0</v>
      </c>
      <c r="O4948" t="n">
        <v>0</v>
      </c>
      <c r="P4948" t="n">
        <v>0</v>
      </c>
      <c r="Q4948" t="n">
        <v>0</v>
      </c>
      <c r="R4948" s="2" t="inlineStr"/>
    </row>
    <row r="4949" ht="15" customHeight="1">
      <c r="A4949" t="inlineStr">
        <is>
          <t>A 2064-2025</t>
        </is>
      </c>
      <c r="B4949" s="1" t="n">
        <v>45672</v>
      </c>
      <c r="C4949" s="1" t="n">
        <v>45724</v>
      </c>
      <c r="D4949" t="inlineStr">
        <is>
          <t>VÄSTMANLANDS LÄN</t>
        </is>
      </c>
      <c r="E4949" t="inlineStr">
        <is>
          <t>KÖPING</t>
        </is>
      </c>
      <c r="G4949" t="n">
        <v>5</v>
      </c>
      <c r="H4949" t="n">
        <v>0</v>
      </c>
      <c r="I4949" t="n">
        <v>0</v>
      </c>
      <c r="J4949" t="n">
        <v>0</v>
      </c>
      <c r="K4949" t="n">
        <v>0</v>
      </c>
      <c r="L4949" t="n">
        <v>0</v>
      </c>
      <c r="M4949" t="n">
        <v>0</v>
      </c>
      <c r="N4949" t="n">
        <v>0</v>
      </c>
      <c r="O4949" t="n">
        <v>0</v>
      </c>
      <c r="P4949" t="n">
        <v>0</v>
      </c>
      <c r="Q4949" t="n">
        <v>0</v>
      </c>
      <c r="R4949" s="2" t="inlineStr"/>
    </row>
    <row r="4950" ht="15" customHeight="1">
      <c r="A4950" t="inlineStr">
        <is>
          <t>A 2071-2025</t>
        </is>
      </c>
      <c r="B4950" s="1" t="n">
        <v>45672</v>
      </c>
      <c r="C4950" s="1" t="n">
        <v>45724</v>
      </c>
      <c r="D4950" t="inlineStr">
        <is>
          <t>VÄSTMANLANDS LÄN</t>
        </is>
      </c>
      <c r="E4950" t="inlineStr">
        <is>
          <t>KÖPING</t>
        </is>
      </c>
      <c r="G4950" t="n">
        <v>1.5</v>
      </c>
      <c r="H4950" t="n">
        <v>0</v>
      </c>
      <c r="I4950" t="n">
        <v>0</v>
      </c>
      <c r="J4950" t="n">
        <v>0</v>
      </c>
      <c r="K4950" t="n">
        <v>0</v>
      </c>
      <c r="L4950" t="n">
        <v>0</v>
      </c>
      <c r="M4950" t="n">
        <v>0</v>
      </c>
      <c r="N4950" t="n">
        <v>0</v>
      </c>
      <c r="O4950" t="n">
        <v>0</v>
      </c>
      <c r="P4950" t="n">
        <v>0</v>
      </c>
      <c r="Q4950" t="n">
        <v>0</v>
      </c>
      <c r="R4950" s="2" t="inlineStr"/>
    </row>
    <row r="4951" ht="15" customHeight="1">
      <c r="A4951" t="inlineStr">
        <is>
          <t>A 2271-2025</t>
        </is>
      </c>
      <c r="B4951" s="1" t="n">
        <v>45673</v>
      </c>
      <c r="C4951" s="1" t="n">
        <v>45724</v>
      </c>
      <c r="D4951" t="inlineStr">
        <is>
          <t>VÄSTMANLANDS LÄN</t>
        </is>
      </c>
      <c r="E4951" t="inlineStr">
        <is>
          <t>SALA</t>
        </is>
      </c>
      <c r="G4951" t="n">
        <v>1.1</v>
      </c>
      <c r="H4951" t="n">
        <v>0</v>
      </c>
      <c r="I4951" t="n">
        <v>0</v>
      </c>
      <c r="J4951" t="n">
        <v>0</v>
      </c>
      <c r="K4951" t="n">
        <v>0</v>
      </c>
      <c r="L4951" t="n">
        <v>0</v>
      </c>
      <c r="M4951" t="n">
        <v>0</v>
      </c>
      <c r="N4951" t="n">
        <v>0</v>
      </c>
      <c r="O4951" t="n">
        <v>0</v>
      </c>
      <c r="P4951" t="n">
        <v>0</v>
      </c>
      <c r="Q4951" t="n">
        <v>0</v>
      </c>
      <c r="R4951" s="2" t="inlineStr"/>
    </row>
    <row r="4952" ht="15" customHeight="1">
      <c r="A4952" t="inlineStr">
        <is>
          <t>A 2608-2025</t>
        </is>
      </c>
      <c r="B4952" s="1" t="n">
        <v>45674</v>
      </c>
      <c r="C4952" s="1" t="n">
        <v>45724</v>
      </c>
      <c r="D4952" t="inlineStr">
        <is>
          <t>VÄSTMANLANDS LÄN</t>
        </is>
      </c>
      <c r="E4952" t="inlineStr">
        <is>
          <t>KÖPING</t>
        </is>
      </c>
      <c r="G4952" t="n">
        <v>4.8</v>
      </c>
      <c r="H4952" t="n">
        <v>0</v>
      </c>
      <c r="I4952" t="n">
        <v>0</v>
      </c>
      <c r="J4952" t="n">
        <v>0</v>
      </c>
      <c r="K4952" t="n">
        <v>0</v>
      </c>
      <c r="L4952" t="n">
        <v>0</v>
      </c>
      <c r="M4952" t="n">
        <v>0</v>
      </c>
      <c r="N4952" t="n">
        <v>0</v>
      </c>
      <c r="O4952" t="n">
        <v>0</v>
      </c>
      <c r="P4952" t="n">
        <v>0</v>
      </c>
      <c r="Q4952" t="n">
        <v>0</v>
      </c>
      <c r="R4952" s="2" t="inlineStr"/>
    </row>
    <row r="4953" ht="15" customHeight="1">
      <c r="A4953" t="inlineStr">
        <is>
          <t>A 2523-2025</t>
        </is>
      </c>
      <c r="B4953" s="1" t="n">
        <v>45674</v>
      </c>
      <c r="C4953" s="1" t="n">
        <v>45724</v>
      </c>
      <c r="D4953" t="inlineStr">
        <is>
          <t>VÄSTMANLANDS LÄN</t>
        </is>
      </c>
      <c r="E4953" t="inlineStr">
        <is>
          <t>VÄSTERÅS</t>
        </is>
      </c>
      <c r="G4953" t="n">
        <v>1.6</v>
      </c>
      <c r="H4953" t="n">
        <v>0</v>
      </c>
      <c r="I4953" t="n">
        <v>0</v>
      </c>
      <c r="J4953" t="n">
        <v>0</v>
      </c>
      <c r="K4953" t="n">
        <v>0</v>
      </c>
      <c r="L4953" t="n">
        <v>0</v>
      </c>
      <c r="M4953" t="n">
        <v>0</v>
      </c>
      <c r="N4953" t="n">
        <v>0</v>
      </c>
      <c r="O4953" t="n">
        <v>0</v>
      </c>
      <c r="P4953" t="n">
        <v>0</v>
      </c>
      <c r="Q4953" t="n">
        <v>0</v>
      </c>
      <c r="R4953" s="2" t="inlineStr"/>
    </row>
    <row r="4954" ht="15" customHeight="1">
      <c r="A4954" t="inlineStr">
        <is>
          <t>A 2521-2025</t>
        </is>
      </c>
      <c r="B4954" s="1" t="n">
        <v>45674</v>
      </c>
      <c r="C4954" s="1" t="n">
        <v>45724</v>
      </c>
      <c r="D4954" t="inlineStr">
        <is>
          <t>VÄSTMANLANDS LÄN</t>
        </is>
      </c>
      <c r="E4954" t="inlineStr">
        <is>
          <t>SALA</t>
        </is>
      </c>
      <c r="G4954" t="n">
        <v>3.5</v>
      </c>
      <c r="H4954" t="n">
        <v>0</v>
      </c>
      <c r="I4954" t="n">
        <v>0</v>
      </c>
      <c r="J4954" t="n">
        <v>0</v>
      </c>
      <c r="K4954" t="n">
        <v>0</v>
      </c>
      <c r="L4954" t="n">
        <v>0</v>
      </c>
      <c r="M4954" t="n">
        <v>0</v>
      </c>
      <c r="N4954" t="n">
        <v>0</v>
      </c>
      <c r="O4954" t="n">
        <v>0</v>
      </c>
      <c r="P4954" t="n">
        <v>0</v>
      </c>
      <c r="Q4954" t="n">
        <v>0</v>
      </c>
      <c r="R4954" s="2" t="inlineStr"/>
    </row>
    <row r="4955" ht="15" customHeight="1">
      <c r="A4955" t="inlineStr">
        <is>
          <t>A 2690-2025</t>
        </is>
      </c>
      <c r="B4955" s="1" t="n">
        <v>45677</v>
      </c>
      <c r="C4955" s="1" t="n">
        <v>45724</v>
      </c>
      <c r="D4955" t="inlineStr">
        <is>
          <t>VÄSTMANLANDS LÄN</t>
        </is>
      </c>
      <c r="E4955" t="inlineStr">
        <is>
          <t>ARBOGA</t>
        </is>
      </c>
      <c r="G4955" t="n">
        <v>0.6</v>
      </c>
      <c r="H4955" t="n">
        <v>0</v>
      </c>
      <c r="I4955" t="n">
        <v>0</v>
      </c>
      <c r="J4955" t="n">
        <v>0</v>
      </c>
      <c r="K4955" t="n">
        <v>0</v>
      </c>
      <c r="L4955" t="n">
        <v>0</v>
      </c>
      <c r="M4955" t="n">
        <v>0</v>
      </c>
      <c r="N4955" t="n">
        <v>0</v>
      </c>
      <c r="O4955" t="n">
        <v>0</v>
      </c>
      <c r="P4955" t="n">
        <v>0</v>
      </c>
      <c r="Q4955" t="n">
        <v>0</v>
      </c>
      <c r="R4955" s="2" t="inlineStr"/>
    </row>
    <row r="4956" ht="15" customHeight="1">
      <c r="A4956" t="inlineStr">
        <is>
          <t>A 3354-2025</t>
        </is>
      </c>
      <c r="B4956" s="1" t="n">
        <v>45679</v>
      </c>
      <c r="C4956" s="1" t="n">
        <v>45724</v>
      </c>
      <c r="D4956" t="inlineStr">
        <is>
          <t>VÄSTMANLANDS LÄN</t>
        </is>
      </c>
      <c r="E4956" t="inlineStr">
        <is>
          <t>NORBERG</t>
        </is>
      </c>
      <c r="G4956" t="n">
        <v>2.3</v>
      </c>
      <c r="H4956" t="n">
        <v>0</v>
      </c>
      <c r="I4956" t="n">
        <v>0</v>
      </c>
      <c r="J4956" t="n">
        <v>0</v>
      </c>
      <c r="K4956" t="n">
        <v>0</v>
      </c>
      <c r="L4956" t="n">
        <v>0</v>
      </c>
      <c r="M4956" t="n">
        <v>0</v>
      </c>
      <c r="N4956" t="n">
        <v>0</v>
      </c>
      <c r="O4956" t="n">
        <v>0</v>
      </c>
      <c r="P4956" t="n">
        <v>0</v>
      </c>
      <c r="Q4956" t="n">
        <v>0</v>
      </c>
      <c r="R4956" s="2" t="inlineStr"/>
    </row>
    <row r="4957" ht="15" customHeight="1">
      <c r="A4957" t="inlineStr">
        <is>
          <t>A 3286-2025</t>
        </is>
      </c>
      <c r="B4957" s="1" t="n">
        <v>45679</v>
      </c>
      <c r="C4957" s="1" t="n">
        <v>45724</v>
      </c>
      <c r="D4957" t="inlineStr">
        <is>
          <t>VÄSTMANLANDS LÄN</t>
        </is>
      </c>
      <c r="E4957" t="inlineStr">
        <is>
          <t>SKINNSKATTEBERG</t>
        </is>
      </c>
      <c r="F4957" t="inlineStr">
        <is>
          <t>Sveaskog</t>
        </is>
      </c>
      <c r="G4957" t="n">
        <v>2.8</v>
      </c>
      <c r="H4957" t="n">
        <v>0</v>
      </c>
      <c r="I4957" t="n">
        <v>0</v>
      </c>
      <c r="J4957" t="n">
        <v>0</v>
      </c>
      <c r="K4957" t="n">
        <v>0</v>
      </c>
      <c r="L4957" t="n">
        <v>0</v>
      </c>
      <c r="M4957" t="n">
        <v>0</v>
      </c>
      <c r="N4957" t="n">
        <v>0</v>
      </c>
      <c r="O4957" t="n">
        <v>0</v>
      </c>
      <c r="P4957" t="n">
        <v>0</v>
      </c>
      <c r="Q4957" t="n">
        <v>0</v>
      </c>
      <c r="R4957" s="2" t="inlineStr"/>
    </row>
    <row r="4958" ht="15" customHeight="1">
      <c r="A4958" t="inlineStr">
        <is>
          <t>A 3229-2025</t>
        </is>
      </c>
      <c r="B4958" s="1" t="n">
        <v>45679</v>
      </c>
      <c r="C4958" s="1" t="n">
        <v>45724</v>
      </c>
      <c r="D4958" t="inlineStr">
        <is>
          <t>VÄSTMANLANDS LÄN</t>
        </is>
      </c>
      <c r="E4958" t="inlineStr">
        <is>
          <t>ARBOGA</t>
        </is>
      </c>
      <c r="G4958" t="n">
        <v>3.9</v>
      </c>
      <c r="H4958" t="n">
        <v>0</v>
      </c>
      <c r="I4958" t="n">
        <v>0</v>
      </c>
      <c r="J4958" t="n">
        <v>0</v>
      </c>
      <c r="K4958" t="n">
        <v>0</v>
      </c>
      <c r="L4958" t="n">
        <v>0</v>
      </c>
      <c r="M4958" t="n">
        <v>0</v>
      </c>
      <c r="N4958" t="n">
        <v>0</v>
      </c>
      <c r="O4958" t="n">
        <v>0</v>
      </c>
      <c r="P4958" t="n">
        <v>0</v>
      </c>
      <c r="Q4958" t="n">
        <v>0</v>
      </c>
      <c r="R4958" s="2" t="inlineStr"/>
    </row>
    <row r="4959" ht="15" customHeight="1">
      <c r="A4959" t="inlineStr">
        <is>
          <t>A 3508-2025</t>
        </is>
      </c>
      <c r="B4959" s="1" t="n">
        <v>45680</v>
      </c>
      <c r="C4959" s="1" t="n">
        <v>45724</v>
      </c>
      <c r="D4959" t="inlineStr">
        <is>
          <t>VÄSTMANLANDS LÄN</t>
        </is>
      </c>
      <c r="E4959" t="inlineStr">
        <is>
          <t>KÖPING</t>
        </is>
      </c>
      <c r="G4959" t="n">
        <v>0.9</v>
      </c>
      <c r="H4959" t="n">
        <v>0</v>
      </c>
      <c r="I4959" t="n">
        <v>0</v>
      </c>
      <c r="J4959" t="n">
        <v>0</v>
      </c>
      <c r="K4959" t="n">
        <v>0</v>
      </c>
      <c r="L4959" t="n">
        <v>0</v>
      </c>
      <c r="M4959" t="n">
        <v>0</v>
      </c>
      <c r="N4959" t="n">
        <v>0</v>
      </c>
      <c r="O4959" t="n">
        <v>0</v>
      </c>
      <c r="P4959" t="n">
        <v>0</v>
      </c>
      <c r="Q4959" t="n">
        <v>0</v>
      </c>
      <c r="R4959" s="2" t="inlineStr"/>
    </row>
    <row r="4960" ht="15" customHeight="1">
      <c r="A4960" t="inlineStr">
        <is>
          <t>A 3546-2025</t>
        </is>
      </c>
      <c r="B4960" s="1" t="n">
        <v>45680</v>
      </c>
      <c r="C4960" s="1" t="n">
        <v>45724</v>
      </c>
      <c r="D4960" t="inlineStr">
        <is>
          <t>VÄSTMANLANDS LÄN</t>
        </is>
      </c>
      <c r="E4960" t="inlineStr">
        <is>
          <t>SALA</t>
        </is>
      </c>
      <c r="G4960" t="n">
        <v>0.4</v>
      </c>
      <c r="H4960" t="n">
        <v>0</v>
      </c>
      <c r="I4960" t="n">
        <v>0</v>
      </c>
      <c r="J4960" t="n">
        <v>0</v>
      </c>
      <c r="K4960" t="n">
        <v>0</v>
      </c>
      <c r="L4960" t="n">
        <v>0</v>
      </c>
      <c r="M4960" t="n">
        <v>0</v>
      </c>
      <c r="N4960" t="n">
        <v>0</v>
      </c>
      <c r="O4960" t="n">
        <v>0</v>
      </c>
      <c r="P4960" t="n">
        <v>0</v>
      </c>
      <c r="Q4960" t="n">
        <v>0</v>
      </c>
      <c r="R4960" s="2" t="inlineStr"/>
    </row>
    <row r="4961" ht="15" customHeight="1">
      <c r="A4961" t="inlineStr">
        <is>
          <t>A 4486-2025</t>
        </is>
      </c>
      <c r="B4961" s="1" t="n">
        <v>45686</v>
      </c>
      <c r="C4961" s="1" t="n">
        <v>45724</v>
      </c>
      <c r="D4961" t="inlineStr">
        <is>
          <t>VÄSTMANLANDS LÄN</t>
        </is>
      </c>
      <c r="E4961" t="inlineStr">
        <is>
          <t>FAGERSTA</t>
        </is>
      </c>
      <c r="G4961" t="n">
        <v>2</v>
      </c>
      <c r="H4961" t="n">
        <v>0</v>
      </c>
      <c r="I4961" t="n">
        <v>0</v>
      </c>
      <c r="J4961" t="n">
        <v>0</v>
      </c>
      <c r="K4961" t="n">
        <v>0</v>
      </c>
      <c r="L4961" t="n">
        <v>0</v>
      </c>
      <c r="M4961" t="n">
        <v>0</v>
      </c>
      <c r="N4961" t="n">
        <v>0</v>
      </c>
      <c r="O4961" t="n">
        <v>0</v>
      </c>
      <c r="P4961" t="n">
        <v>0</v>
      </c>
      <c r="Q4961" t="n">
        <v>0</v>
      </c>
      <c r="R4961" s="2" t="inlineStr"/>
    </row>
    <row r="4962" ht="15" customHeight="1">
      <c r="A4962" t="inlineStr">
        <is>
          <t>A 4393-2025</t>
        </is>
      </c>
      <c r="B4962" s="1" t="n">
        <v>45686</v>
      </c>
      <c r="C4962" s="1" t="n">
        <v>45724</v>
      </c>
      <c r="D4962" t="inlineStr">
        <is>
          <t>VÄSTMANLANDS LÄN</t>
        </is>
      </c>
      <c r="E4962" t="inlineStr">
        <is>
          <t>SKINNSKATTEBERG</t>
        </is>
      </c>
      <c r="G4962" t="n">
        <v>5.3</v>
      </c>
      <c r="H4962" t="n">
        <v>0</v>
      </c>
      <c r="I4962" t="n">
        <v>0</v>
      </c>
      <c r="J4962" t="n">
        <v>0</v>
      </c>
      <c r="K4962" t="n">
        <v>0</v>
      </c>
      <c r="L4962" t="n">
        <v>0</v>
      </c>
      <c r="M4962" t="n">
        <v>0</v>
      </c>
      <c r="N4962" t="n">
        <v>0</v>
      </c>
      <c r="O4962" t="n">
        <v>0</v>
      </c>
      <c r="P4962" t="n">
        <v>0</v>
      </c>
      <c r="Q4962" t="n">
        <v>0</v>
      </c>
      <c r="R4962" s="2" t="inlineStr"/>
    </row>
    <row r="4963" ht="15" customHeight="1">
      <c r="A4963" t="inlineStr">
        <is>
          <t>A 4389-2025</t>
        </is>
      </c>
      <c r="B4963" s="1" t="n">
        <v>45686</v>
      </c>
      <c r="C4963" s="1" t="n">
        <v>45724</v>
      </c>
      <c r="D4963" t="inlineStr">
        <is>
          <t>VÄSTMANLANDS LÄN</t>
        </is>
      </c>
      <c r="E4963" t="inlineStr">
        <is>
          <t>SALA</t>
        </is>
      </c>
      <c r="G4963" t="n">
        <v>4.2</v>
      </c>
      <c r="H4963" t="n">
        <v>0</v>
      </c>
      <c r="I4963" t="n">
        <v>0</v>
      </c>
      <c r="J4963" t="n">
        <v>0</v>
      </c>
      <c r="K4963" t="n">
        <v>0</v>
      </c>
      <c r="L4963" t="n">
        <v>0</v>
      </c>
      <c r="M4963" t="n">
        <v>0</v>
      </c>
      <c r="N4963" t="n">
        <v>0</v>
      </c>
      <c r="O4963" t="n">
        <v>0</v>
      </c>
      <c r="P4963" t="n">
        <v>0</v>
      </c>
      <c r="Q4963" t="n">
        <v>0</v>
      </c>
      <c r="R4963" s="2" t="inlineStr"/>
    </row>
    <row r="4964" ht="15" customHeight="1">
      <c r="A4964" t="inlineStr">
        <is>
          <t>A 4385-2025</t>
        </is>
      </c>
      <c r="B4964" s="1" t="n">
        <v>45686</v>
      </c>
      <c r="C4964" s="1" t="n">
        <v>45724</v>
      </c>
      <c r="D4964" t="inlineStr">
        <is>
          <t>VÄSTMANLANDS LÄN</t>
        </is>
      </c>
      <c r="E4964" t="inlineStr">
        <is>
          <t>SKINNSKATTEBERG</t>
        </is>
      </c>
      <c r="G4964" t="n">
        <v>1.1</v>
      </c>
      <c r="H4964" t="n">
        <v>0</v>
      </c>
      <c r="I4964" t="n">
        <v>0</v>
      </c>
      <c r="J4964" t="n">
        <v>0</v>
      </c>
      <c r="K4964" t="n">
        <v>0</v>
      </c>
      <c r="L4964" t="n">
        <v>0</v>
      </c>
      <c r="M4964" t="n">
        <v>0</v>
      </c>
      <c r="N4964" t="n">
        <v>0</v>
      </c>
      <c r="O4964" t="n">
        <v>0</v>
      </c>
      <c r="P4964" t="n">
        <v>0</v>
      </c>
      <c r="Q4964" t="n">
        <v>0</v>
      </c>
      <c r="R4964" s="2" t="inlineStr"/>
    </row>
    <row r="4965" ht="15" customHeight="1">
      <c r="A4965" t="inlineStr">
        <is>
          <t>A 4379-2025</t>
        </is>
      </c>
      <c r="B4965" s="1" t="n">
        <v>45686</v>
      </c>
      <c r="C4965" s="1" t="n">
        <v>45724</v>
      </c>
      <c r="D4965" t="inlineStr">
        <is>
          <t>VÄSTMANLANDS LÄN</t>
        </is>
      </c>
      <c r="E4965" t="inlineStr">
        <is>
          <t>SKINNSKATTEBERG</t>
        </is>
      </c>
      <c r="G4965" t="n">
        <v>2</v>
      </c>
      <c r="H4965" t="n">
        <v>0</v>
      </c>
      <c r="I4965" t="n">
        <v>0</v>
      </c>
      <c r="J4965" t="n">
        <v>0</v>
      </c>
      <c r="K4965" t="n">
        <v>0</v>
      </c>
      <c r="L4965" t="n">
        <v>0</v>
      </c>
      <c r="M4965" t="n">
        <v>0</v>
      </c>
      <c r="N4965" t="n">
        <v>0</v>
      </c>
      <c r="O4965" t="n">
        <v>0</v>
      </c>
      <c r="P4965" t="n">
        <v>0</v>
      </c>
      <c r="Q4965" t="n">
        <v>0</v>
      </c>
      <c r="R4965" s="2" t="inlineStr"/>
    </row>
    <row r="4966" ht="15" customHeight="1">
      <c r="A4966" t="inlineStr">
        <is>
          <t>A 5225-2025</t>
        </is>
      </c>
      <c r="B4966" s="1" t="n">
        <v>45691</v>
      </c>
      <c r="C4966" s="1" t="n">
        <v>45724</v>
      </c>
      <c r="D4966" t="inlineStr">
        <is>
          <t>VÄSTMANLANDS LÄN</t>
        </is>
      </c>
      <c r="E4966" t="inlineStr">
        <is>
          <t>KÖPING</t>
        </is>
      </c>
      <c r="G4966" t="n">
        <v>1.3</v>
      </c>
      <c r="H4966" t="n">
        <v>0</v>
      </c>
      <c r="I4966" t="n">
        <v>0</v>
      </c>
      <c r="J4966" t="n">
        <v>0</v>
      </c>
      <c r="K4966" t="n">
        <v>0</v>
      </c>
      <c r="L4966" t="n">
        <v>0</v>
      </c>
      <c r="M4966" t="n">
        <v>0</v>
      </c>
      <c r="N4966" t="n">
        <v>0</v>
      </c>
      <c r="O4966" t="n">
        <v>0</v>
      </c>
      <c r="P4966" t="n">
        <v>0</v>
      </c>
      <c r="Q4966" t="n">
        <v>0</v>
      </c>
      <c r="R4966" s="2" t="inlineStr"/>
    </row>
    <row r="4967" ht="15" customHeight="1">
      <c r="A4967" t="inlineStr">
        <is>
          <t>A 5032-2025</t>
        </is>
      </c>
      <c r="B4967" s="1" t="n">
        <v>45691</v>
      </c>
      <c r="C4967" s="1" t="n">
        <v>45724</v>
      </c>
      <c r="D4967" t="inlineStr">
        <is>
          <t>VÄSTMANLANDS LÄN</t>
        </is>
      </c>
      <c r="E4967" t="inlineStr">
        <is>
          <t>SALA</t>
        </is>
      </c>
      <c r="G4967" t="n">
        <v>0.9</v>
      </c>
      <c r="H4967" t="n">
        <v>0</v>
      </c>
      <c r="I4967" t="n">
        <v>0</v>
      </c>
      <c r="J4967" t="n">
        <v>0</v>
      </c>
      <c r="K4967" t="n">
        <v>0</v>
      </c>
      <c r="L4967" t="n">
        <v>0</v>
      </c>
      <c r="M4967" t="n">
        <v>0</v>
      </c>
      <c r="N4967" t="n">
        <v>0</v>
      </c>
      <c r="O4967" t="n">
        <v>0</v>
      </c>
      <c r="P4967" t="n">
        <v>0</v>
      </c>
      <c r="Q4967" t="n">
        <v>0</v>
      </c>
      <c r="R4967" s="2" t="inlineStr"/>
    </row>
    <row r="4968" ht="15" customHeight="1">
      <c r="A4968" t="inlineStr">
        <is>
          <t>A 5363-2025</t>
        </is>
      </c>
      <c r="B4968" s="1" t="n">
        <v>45692</v>
      </c>
      <c r="C4968" s="1" t="n">
        <v>45724</v>
      </c>
      <c r="D4968" t="inlineStr">
        <is>
          <t>VÄSTMANLANDS LÄN</t>
        </is>
      </c>
      <c r="E4968" t="inlineStr">
        <is>
          <t>VÄSTERÅS</t>
        </is>
      </c>
      <c r="G4968" t="n">
        <v>1.2</v>
      </c>
      <c r="H4968" t="n">
        <v>0</v>
      </c>
      <c r="I4968" t="n">
        <v>0</v>
      </c>
      <c r="J4968" t="n">
        <v>0</v>
      </c>
      <c r="K4968" t="n">
        <v>0</v>
      </c>
      <c r="L4968" t="n">
        <v>0</v>
      </c>
      <c r="M4968" t="n">
        <v>0</v>
      </c>
      <c r="N4968" t="n">
        <v>0</v>
      </c>
      <c r="O4968" t="n">
        <v>0</v>
      </c>
      <c r="P4968" t="n">
        <v>0</v>
      </c>
      <c r="Q4968" t="n">
        <v>0</v>
      </c>
      <c r="R4968" s="2" t="inlineStr"/>
    </row>
    <row r="4969" ht="15" customHeight="1">
      <c r="A4969" t="inlineStr">
        <is>
          <t>A 5243-2025</t>
        </is>
      </c>
      <c r="B4969" s="1" t="n">
        <v>45692</v>
      </c>
      <c r="C4969" s="1" t="n">
        <v>45724</v>
      </c>
      <c r="D4969" t="inlineStr">
        <is>
          <t>VÄSTMANLANDS LÄN</t>
        </is>
      </c>
      <c r="E4969" t="inlineStr">
        <is>
          <t>ARBOGA</t>
        </is>
      </c>
      <c r="G4969" t="n">
        <v>4.2</v>
      </c>
      <c r="H4969" t="n">
        <v>0</v>
      </c>
      <c r="I4969" t="n">
        <v>0</v>
      </c>
      <c r="J4969" t="n">
        <v>0</v>
      </c>
      <c r="K4969" t="n">
        <v>0</v>
      </c>
      <c r="L4969" t="n">
        <v>0</v>
      </c>
      <c r="M4969" t="n">
        <v>0</v>
      </c>
      <c r="N4969" t="n">
        <v>0</v>
      </c>
      <c r="O4969" t="n">
        <v>0</v>
      </c>
      <c r="P4969" t="n">
        <v>0</v>
      </c>
      <c r="Q4969" t="n">
        <v>0</v>
      </c>
      <c r="R4969" s="2" t="inlineStr"/>
    </row>
    <row r="4970" ht="15" customHeight="1">
      <c r="A4970" t="inlineStr">
        <is>
          <t>A 5283-2025</t>
        </is>
      </c>
      <c r="B4970" s="1" t="n">
        <v>45692</v>
      </c>
      <c r="C4970" s="1" t="n">
        <v>45724</v>
      </c>
      <c r="D4970" t="inlineStr">
        <is>
          <t>VÄSTMANLANDS LÄN</t>
        </is>
      </c>
      <c r="E4970" t="inlineStr">
        <is>
          <t>FAGERSTA</t>
        </is>
      </c>
      <c r="G4970" t="n">
        <v>1.2</v>
      </c>
      <c r="H4970" t="n">
        <v>0</v>
      </c>
      <c r="I4970" t="n">
        <v>0</v>
      </c>
      <c r="J4970" t="n">
        <v>0</v>
      </c>
      <c r="K4970" t="n">
        <v>0</v>
      </c>
      <c r="L4970" t="n">
        <v>0</v>
      </c>
      <c r="M4970" t="n">
        <v>0</v>
      </c>
      <c r="N4970" t="n">
        <v>0</v>
      </c>
      <c r="O4970" t="n">
        <v>0</v>
      </c>
      <c r="P4970" t="n">
        <v>0</v>
      </c>
      <c r="Q4970" t="n">
        <v>0</v>
      </c>
      <c r="R4970" s="2" t="inlineStr"/>
    </row>
    <row r="4971" ht="15" customHeight="1">
      <c r="A4971" t="inlineStr">
        <is>
          <t>A 5505-2025</t>
        </is>
      </c>
      <c r="B4971" s="1" t="n">
        <v>45693</v>
      </c>
      <c r="C4971" s="1" t="n">
        <v>45724</v>
      </c>
      <c r="D4971" t="inlineStr">
        <is>
          <t>VÄSTMANLANDS LÄN</t>
        </is>
      </c>
      <c r="E4971" t="inlineStr">
        <is>
          <t>SKINNSKATTEBERG</t>
        </is>
      </c>
      <c r="G4971" t="n">
        <v>2.9</v>
      </c>
      <c r="H4971" t="n">
        <v>0</v>
      </c>
      <c r="I4971" t="n">
        <v>0</v>
      </c>
      <c r="J4971" t="n">
        <v>0</v>
      </c>
      <c r="K4971" t="n">
        <v>0</v>
      </c>
      <c r="L4971" t="n">
        <v>0</v>
      </c>
      <c r="M4971" t="n">
        <v>0</v>
      </c>
      <c r="N4971" t="n">
        <v>0</v>
      </c>
      <c r="O4971" t="n">
        <v>0</v>
      </c>
      <c r="P4971" t="n">
        <v>0</v>
      </c>
      <c r="Q4971" t="n">
        <v>0</v>
      </c>
      <c r="R4971" s="2" t="inlineStr"/>
    </row>
    <row r="4972" ht="15" customHeight="1">
      <c r="A4972" t="inlineStr">
        <is>
          <t>A 5823-2025</t>
        </is>
      </c>
      <c r="B4972" s="1" t="n">
        <v>45694</v>
      </c>
      <c r="C4972" s="1" t="n">
        <v>45724</v>
      </c>
      <c r="D4972" t="inlineStr">
        <is>
          <t>VÄSTMANLANDS LÄN</t>
        </is>
      </c>
      <c r="E4972" t="inlineStr">
        <is>
          <t>SALA</t>
        </is>
      </c>
      <c r="G4972" t="n">
        <v>1</v>
      </c>
      <c r="H4972" t="n">
        <v>0</v>
      </c>
      <c r="I4972" t="n">
        <v>0</v>
      </c>
      <c r="J4972" t="n">
        <v>0</v>
      </c>
      <c r="K4972" t="n">
        <v>0</v>
      </c>
      <c r="L4972" t="n">
        <v>0</v>
      </c>
      <c r="M4972" t="n">
        <v>0</v>
      </c>
      <c r="N4972" t="n">
        <v>0</v>
      </c>
      <c r="O4972" t="n">
        <v>0</v>
      </c>
      <c r="P4972" t="n">
        <v>0</v>
      </c>
      <c r="Q4972" t="n">
        <v>0</v>
      </c>
      <c r="R4972" s="2" t="inlineStr"/>
    </row>
    <row r="4973" ht="15" customHeight="1">
      <c r="A4973" t="inlineStr">
        <is>
          <t>A 5752-2025</t>
        </is>
      </c>
      <c r="B4973" s="1" t="n">
        <v>45694</v>
      </c>
      <c r="C4973" s="1" t="n">
        <v>45724</v>
      </c>
      <c r="D4973" t="inlineStr">
        <is>
          <t>VÄSTMANLANDS LÄN</t>
        </is>
      </c>
      <c r="E4973" t="inlineStr">
        <is>
          <t>ARBOGA</t>
        </is>
      </c>
      <c r="G4973" t="n">
        <v>0.8</v>
      </c>
      <c r="H4973" t="n">
        <v>0</v>
      </c>
      <c r="I4973" t="n">
        <v>0</v>
      </c>
      <c r="J4973" t="n">
        <v>0</v>
      </c>
      <c r="K4973" t="n">
        <v>0</v>
      </c>
      <c r="L4973" t="n">
        <v>0</v>
      </c>
      <c r="M4973" t="n">
        <v>0</v>
      </c>
      <c r="N4973" t="n">
        <v>0</v>
      </c>
      <c r="O4973" t="n">
        <v>0</v>
      </c>
      <c r="P4973" t="n">
        <v>0</v>
      </c>
      <c r="Q4973" t="n">
        <v>0</v>
      </c>
      <c r="R4973" s="2" t="inlineStr"/>
    </row>
    <row r="4974" ht="15" customHeight="1">
      <c r="A4974" t="inlineStr">
        <is>
          <t>A 5824-2025</t>
        </is>
      </c>
      <c r="B4974" s="1" t="n">
        <v>45694</v>
      </c>
      <c r="C4974" s="1" t="n">
        <v>45724</v>
      </c>
      <c r="D4974" t="inlineStr">
        <is>
          <t>VÄSTMANLANDS LÄN</t>
        </is>
      </c>
      <c r="E4974" t="inlineStr">
        <is>
          <t>SALA</t>
        </is>
      </c>
      <c r="G4974" t="n">
        <v>1.3</v>
      </c>
      <c r="H4974" t="n">
        <v>0</v>
      </c>
      <c r="I4974" t="n">
        <v>0</v>
      </c>
      <c r="J4974" t="n">
        <v>0</v>
      </c>
      <c r="K4974" t="n">
        <v>0</v>
      </c>
      <c r="L4974" t="n">
        <v>0</v>
      </c>
      <c r="M4974" t="n">
        <v>0</v>
      </c>
      <c r="N4974" t="n">
        <v>0</v>
      </c>
      <c r="O4974" t="n">
        <v>0</v>
      </c>
      <c r="P4974" t="n">
        <v>0</v>
      </c>
      <c r="Q4974" t="n">
        <v>0</v>
      </c>
      <c r="R4974" s="2" t="inlineStr"/>
    </row>
    <row r="4975" ht="15" customHeight="1">
      <c r="A4975" t="inlineStr">
        <is>
          <t>A 6032-2025</t>
        </is>
      </c>
      <c r="B4975" s="1" t="n">
        <v>45695</v>
      </c>
      <c r="C4975" s="1" t="n">
        <v>45724</v>
      </c>
      <c r="D4975" t="inlineStr">
        <is>
          <t>VÄSTMANLANDS LÄN</t>
        </is>
      </c>
      <c r="E4975" t="inlineStr">
        <is>
          <t>SALA</t>
        </is>
      </c>
      <c r="F4975" t="inlineStr">
        <is>
          <t>Bergvik skog öst AB</t>
        </is>
      </c>
      <c r="G4975" t="n">
        <v>8.1</v>
      </c>
      <c r="H4975" t="n">
        <v>0</v>
      </c>
      <c r="I4975" t="n">
        <v>0</v>
      </c>
      <c r="J4975" t="n">
        <v>0</v>
      </c>
      <c r="K4975" t="n">
        <v>0</v>
      </c>
      <c r="L4975" t="n">
        <v>0</v>
      </c>
      <c r="M4975" t="n">
        <v>0</v>
      </c>
      <c r="N4975" t="n">
        <v>0</v>
      </c>
      <c r="O4975" t="n">
        <v>0</v>
      </c>
      <c r="P4975" t="n">
        <v>0</v>
      </c>
      <c r="Q4975" t="n">
        <v>0</v>
      </c>
      <c r="R4975" s="2" t="inlineStr"/>
    </row>
    <row r="4976" ht="15" customHeight="1">
      <c r="A4976" t="inlineStr">
        <is>
          <t>A 6152-2025</t>
        </is>
      </c>
      <c r="B4976" s="1" t="n">
        <v>45695</v>
      </c>
      <c r="C4976" s="1" t="n">
        <v>45724</v>
      </c>
      <c r="D4976" t="inlineStr">
        <is>
          <t>VÄSTMANLANDS LÄN</t>
        </is>
      </c>
      <c r="E4976" t="inlineStr">
        <is>
          <t>VÄSTERÅS</t>
        </is>
      </c>
      <c r="F4976" t="inlineStr">
        <is>
          <t>Övriga Aktiebolag</t>
        </is>
      </c>
      <c r="G4976" t="n">
        <v>3.3</v>
      </c>
      <c r="H4976" t="n">
        <v>0</v>
      </c>
      <c r="I4976" t="n">
        <v>0</v>
      </c>
      <c r="J4976" t="n">
        <v>0</v>
      </c>
      <c r="K4976" t="n">
        <v>0</v>
      </c>
      <c r="L4976" t="n">
        <v>0</v>
      </c>
      <c r="M4976" t="n">
        <v>0</v>
      </c>
      <c r="N4976" t="n">
        <v>0</v>
      </c>
      <c r="O4976" t="n">
        <v>0</v>
      </c>
      <c r="P4976" t="n">
        <v>0</v>
      </c>
      <c r="Q4976" t="n">
        <v>0</v>
      </c>
      <c r="R4976" s="2" t="inlineStr"/>
    </row>
    <row r="4977" ht="15" customHeight="1">
      <c r="A4977" t="inlineStr">
        <is>
          <t>A 6265-2025</t>
        </is>
      </c>
      <c r="B4977" s="1" t="n">
        <v>45696</v>
      </c>
      <c r="C4977" s="1" t="n">
        <v>45724</v>
      </c>
      <c r="D4977" t="inlineStr">
        <is>
          <t>VÄSTMANLANDS LÄN</t>
        </is>
      </c>
      <c r="E4977" t="inlineStr">
        <is>
          <t>ARBOGA</t>
        </is>
      </c>
      <c r="G4977" t="n">
        <v>1.1</v>
      </c>
      <c r="H4977" t="n">
        <v>0</v>
      </c>
      <c r="I4977" t="n">
        <v>0</v>
      </c>
      <c r="J4977" t="n">
        <v>0</v>
      </c>
      <c r="K4977" t="n">
        <v>0</v>
      </c>
      <c r="L4977" t="n">
        <v>0</v>
      </c>
      <c r="M4977" t="n">
        <v>0</v>
      </c>
      <c r="N4977" t="n">
        <v>0</v>
      </c>
      <c r="O4977" t="n">
        <v>0</v>
      </c>
      <c r="P4977" t="n">
        <v>0</v>
      </c>
      <c r="Q4977" t="n">
        <v>0</v>
      </c>
      <c r="R4977" s="2" t="inlineStr"/>
    </row>
    <row r="4978" ht="15" customHeight="1">
      <c r="A4978" t="inlineStr">
        <is>
          <t>A 6127-2025</t>
        </is>
      </c>
      <c r="B4978" s="1" t="n">
        <v>45698</v>
      </c>
      <c r="C4978" s="1" t="n">
        <v>45724</v>
      </c>
      <c r="D4978" t="inlineStr">
        <is>
          <t>VÄSTMANLANDS LÄN</t>
        </is>
      </c>
      <c r="E4978" t="inlineStr">
        <is>
          <t>SALA</t>
        </is>
      </c>
      <c r="F4978" t="inlineStr">
        <is>
          <t>Bergvik skog öst AB</t>
        </is>
      </c>
      <c r="G4978" t="n">
        <v>4.3</v>
      </c>
      <c r="H4978" t="n">
        <v>0</v>
      </c>
      <c r="I4978" t="n">
        <v>0</v>
      </c>
      <c r="J4978" t="n">
        <v>0</v>
      </c>
      <c r="K4978" t="n">
        <v>0</v>
      </c>
      <c r="L4978" t="n">
        <v>0</v>
      </c>
      <c r="M4978" t="n">
        <v>0</v>
      </c>
      <c r="N4978" t="n">
        <v>0</v>
      </c>
      <c r="O4978" t="n">
        <v>0</v>
      </c>
      <c r="P4978" t="n">
        <v>0</v>
      </c>
      <c r="Q4978" t="n">
        <v>0</v>
      </c>
      <c r="R4978" s="2" t="inlineStr"/>
    </row>
    <row r="4979" ht="15" customHeight="1">
      <c r="A4979" t="inlineStr">
        <is>
          <t>A 6132-2025</t>
        </is>
      </c>
      <c r="B4979" s="1" t="n">
        <v>45698</v>
      </c>
      <c r="C4979" s="1" t="n">
        <v>45724</v>
      </c>
      <c r="D4979" t="inlineStr">
        <is>
          <t>VÄSTMANLANDS LÄN</t>
        </is>
      </c>
      <c r="E4979" t="inlineStr">
        <is>
          <t>SALA</t>
        </is>
      </c>
      <c r="F4979" t="inlineStr">
        <is>
          <t>Bergvik skog öst AB</t>
        </is>
      </c>
      <c r="G4979" t="n">
        <v>1.5</v>
      </c>
      <c r="H4979" t="n">
        <v>0</v>
      </c>
      <c r="I4979" t="n">
        <v>0</v>
      </c>
      <c r="J4979" t="n">
        <v>0</v>
      </c>
      <c r="K4979" t="n">
        <v>0</v>
      </c>
      <c r="L4979" t="n">
        <v>0</v>
      </c>
      <c r="M4979" t="n">
        <v>0</v>
      </c>
      <c r="N4979" t="n">
        <v>0</v>
      </c>
      <c r="O4979" t="n">
        <v>0</v>
      </c>
      <c r="P4979" t="n">
        <v>0</v>
      </c>
      <c r="Q4979" t="n">
        <v>0</v>
      </c>
      <c r="R4979" s="2" t="inlineStr"/>
    </row>
    <row r="4980" ht="15" customHeight="1">
      <c r="A4980" t="inlineStr">
        <is>
          <t>A 6136-2025</t>
        </is>
      </c>
      <c r="B4980" s="1" t="n">
        <v>45698</v>
      </c>
      <c r="C4980" s="1" t="n">
        <v>45724</v>
      </c>
      <c r="D4980" t="inlineStr">
        <is>
          <t>VÄSTMANLANDS LÄN</t>
        </is>
      </c>
      <c r="E4980" t="inlineStr">
        <is>
          <t>SALA</t>
        </is>
      </c>
      <c r="F4980" t="inlineStr">
        <is>
          <t>Bergvik skog öst AB</t>
        </is>
      </c>
      <c r="G4980" t="n">
        <v>2.2</v>
      </c>
      <c r="H4980" t="n">
        <v>0</v>
      </c>
      <c r="I4980" t="n">
        <v>0</v>
      </c>
      <c r="J4980" t="n">
        <v>0</v>
      </c>
      <c r="K4980" t="n">
        <v>0</v>
      </c>
      <c r="L4980" t="n">
        <v>0</v>
      </c>
      <c r="M4980" t="n">
        <v>0</v>
      </c>
      <c r="N4980" t="n">
        <v>0</v>
      </c>
      <c r="O4980" t="n">
        <v>0</v>
      </c>
      <c r="P4980" t="n">
        <v>0</v>
      </c>
      <c r="Q4980" t="n">
        <v>0</v>
      </c>
      <c r="R4980" s="2" t="inlineStr"/>
    </row>
    <row r="4981" ht="15" customHeight="1">
      <c r="A4981" t="inlineStr">
        <is>
          <t>A 6190-2025</t>
        </is>
      </c>
      <c r="B4981" s="1" t="n">
        <v>45698</v>
      </c>
      <c r="C4981" s="1" t="n">
        <v>45724</v>
      </c>
      <c r="D4981" t="inlineStr">
        <is>
          <t>VÄSTMANLANDS LÄN</t>
        </is>
      </c>
      <c r="E4981" t="inlineStr">
        <is>
          <t>SALA</t>
        </is>
      </c>
      <c r="F4981" t="inlineStr">
        <is>
          <t>Bergvik skog öst AB</t>
        </is>
      </c>
      <c r="G4981" t="n">
        <v>4.6</v>
      </c>
      <c r="H4981" t="n">
        <v>0</v>
      </c>
      <c r="I4981" t="n">
        <v>0</v>
      </c>
      <c r="J4981" t="n">
        <v>0</v>
      </c>
      <c r="K4981" t="n">
        <v>0</v>
      </c>
      <c r="L4981" t="n">
        <v>0</v>
      </c>
      <c r="M4981" t="n">
        <v>0</v>
      </c>
      <c r="N4981" t="n">
        <v>0</v>
      </c>
      <c r="O4981" t="n">
        <v>0</v>
      </c>
      <c r="P4981" t="n">
        <v>0</v>
      </c>
      <c r="Q4981" t="n">
        <v>0</v>
      </c>
      <c r="R4981" s="2" t="inlineStr"/>
    </row>
    <row r="4982" ht="15" customHeight="1">
      <c r="A4982" t="inlineStr">
        <is>
          <t>A 6183-2025</t>
        </is>
      </c>
      <c r="B4982" s="1" t="n">
        <v>45698</v>
      </c>
      <c r="C4982" s="1" t="n">
        <v>45724</v>
      </c>
      <c r="D4982" t="inlineStr">
        <is>
          <t>VÄSTMANLANDS LÄN</t>
        </is>
      </c>
      <c r="E4982" t="inlineStr">
        <is>
          <t>SALA</t>
        </is>
      </c>
      <c r="F4982" t="inlineStr">
        <is>
          <t>Bergvik skog öst AB</t>
        </is>
      </c>
      <c r="G4982" t="n">
        <v>2.3</v>
      </c>
      <c r="H4982" t="n">
        <v>0</v>
      </c>
      <c r="I4982" t="n">
        <v>0</v>
      </c>
      <c r="J4982" t="n">
        <v>0</v>
      </c>
      <c r="K4982" t="n">
        <v>0</v>
      </c>
      <c r="L4982" t="n">
        <v>0</v>
      </c>
      <c r="M4982" t="n">
        <v>0</v>
      </c>
      <c r="N4982" t="n">
        <v>0</v>
      </c>
      <c r="O4982" t="n">
        <v>0</v>
      </c>
      <c r="P4982" t="n">
        <v>0</v>
      </c>
      <c r="Q4982" t="n">
        <v>0</v>
      </c>
      <c r="R4982" s="2" t="inlineStr"/>
    </row>
    <row r="4983" ht="15" customHeight="1">
      <c r="A4983" t="inlineStr">
        <is>
          <t>A 6154-2025</t>
        </is>
      </c>
      <c r="B4983" s="1" t="n">
        <v>45698</v>
      </c>
      <c r="C4983" s="1" t="n">
        <v>45724</v>
      </c>
      <c r="D4983" t="inlineStr">
        <is>
          <t>VÄSTMANLANDS LÄN</t>
        </is>
      </c>
      <c r="E4983" t="inlineStr">
        <is>
          <t>SALA</t>
        </is>
      </c>
      <c r="F4983" t="inlineStr">
        <is>
          <t>Bergvik skog öst AB</t>
        </is>
      </c>
      <c r="G4983" t="n">
        <v>3.9</v>
      </c>
      <c r="H4983" t="n">
        <v>0</v>
      </c>
      <c r="I4983" t="n">
        <v>0</v>
      </c>
      <c r="J4983" t="n">
        <v>0</v>
      </c>
      <c r="K4983" t="n">
        <v>0</v>
      </c>
      <c r="L4983" t="n">
        <v>0</v>
      </c>
      <c r="M4983" t="n">
        <v>0</v>
      </c>
      <c r="N4983" t="n">
        <v>0</v>
      </c>
      <c r="O4983" t="n">
        <v>0</v>
      </c>
      <c r="P4983" t="n">
        <v>0</v>
      </c>
      <c r="Q4983" t="n">
        <v>0</v>
      </c>
      <c r="R4983" s="2" t="inlineStr"/>
    </row>
    <row r="4984" ht="15" customHeight="1">
      <c r="A4984" t="inlineStr">
        <is>
          <t>A 6312-2025</t>
        </is>
      </c>
      <c r="B4984" s="1" t="n">
        <v>45698</v>
      </c>
      <c r="C4984" s="1" t="n">
        <v>45724</v>
      </c>
      <c r="D4984" t="inlineStr">
        <is>
          <t>VÄSTMANLANDS LÄN</t>
        </is>
      </c>
      <c r="E4984" t="inlineStr">
        <is>
          <t>SALA</t>
        </is>
      </c>
      <c r="G4984" t="n">
        <v>1.2</v>
      </c>
      <c r="H4984" t="n">
        <v>0</v>
      </c>
      <c r="I4984" t="n">
        <v>0</v>
      </c>
      <c r="J4984" t="n">
        <v>0</v>
      </c>
      <c r="K4984" t="n">
        <v>0</v>
      </c>
      <c r="L4984" t="n">
        <v>0</v>
      </c>
      <c r="M4984" t="n">
        <v>0</v>
      </c>
      <c r="N4984" t="n">
        <v>0</v>
      </c>
      <c r="O4984" t="n">
        <v>0</v>
      </c>
      <c r="P4984" t="n">
        <v>0</v>
      </c>
      <c r="Q4984" t="n">
        <v>0</v>
      </c>
      <c r="R4984" s="2" t="inlineStr"/>
    </row>
    <row r="4985" ht="15" customHeight="1">
      <c r="A4985" t="inlineStr">
        <is>
          <t>A 6322-2025</t>
        </is>
      </c>
      <c r="B4985" s="1" t="n">
        <v>45698</v>
      </c>
      <c r="C4985" s="1" t="n">
        <v>45724</v>
      </c>
      <c r="D4985" t="inlineStr">
        <is>
          <t>VÄSTMANLANDS LÄN</t>
        </is>
      </c>
      <c r="E4985" t="inlineStr">
        <is>
          <t>FAGERSTA</t>
        </is>
      </c>
      <c r="G4985" t="n">
        <v>1.9</v>
      </c>
      <c r="H4985" t="n">
        <v>0</v>
      </c>
      <c r="I4985" t="n">
        <v>0</v>
      </c>
      <c r="J4985" t="n">
        <v>0</v>
      </c>
      <c r="K4985" t="n">
        <v>0</v>
      </c>
      <c r="L4985" t="n">
        <v>0</v>
      </c>
      <c r="M4985" t="n">
        <v>0</v>
      </c>
      <c r="N4985" t="n">
        <v>0</v>
      </c>
      <c r="O4985" t="n">
        <v>0</v>
      </c>
      <c r="P4985" t="n">
        <v>0</v>
      </c>
      <c r="Q4985" t="n">
        <v>0</v>
      </c>
      <c r="R4985" s="2" t="inlineStr"/>
    </row>
    <row r="4986" ht="15" customHeight="1">
      <c r="A4986" t="inlineStr">
        <is>
          <t>A 6493-2025</t>
        </is>
      </c>
      <c r="B4986" s="1" t="n">
        <v>45699</v>
      </c>
      <c r="C4986" s="1" t="n">
        <v>45724</v>
      </c>
      <c r="D4986" t="inlineStr">
        <is>
          <t>VÄSTMANLANDS LÄN</t>
        </is>
      </c>
      <c r="E4986" t="inlineStr">
        <is>
          <t>ARBOGA</t>
        </is>
      </c>
      <c r="G4986" t="n">
        <v>1.3</v>
      </c>
      <c r="H4986" t="n">
        <v>0</v>
      </c>
      <c r="I4986" t="n">
        <v>0</v>
      </c>
      <c r="J4986" t="n">
        <v>0</v>
      </c>
      <c r="K4986" t="n">
        <v>0</v>
      </c>
      <c r="L4986" t="n">
        <v>0</v>
      </c>
      <c r="M4986" t="n">
        <v>0</v>
      </c>
      <c r="N4986" t="n">
        <v>0</v>
      </c>
      <c r="O4986" t="n">
        <v>0</v>
      </c>
      <c r="P4986" t="n">
        <v>0</v>
      </c>
      <c r="Q4986" t="n">
        <v>0</v>
      </c>
      <c r="R4986" s="2" t="inlineStr"/>
    </row>
    <row r="4987" ht="15" customHeight="1">
      <c r="A4987" t="inlineStr">
        <is>
          <t>A 6388-2025</t>
        </is>
      </c>
      <c r="B4987" s="1" t="n">
        <v>45699</v>
      </c>
      <c r="C4987" s="1" t="n">
        <v>45724</v>
      </c>
      <c r="D4987" t="inlineStr">
        <is>
          <t>VÄSTMANLANDS LÄN</t>
        </is>
      </c>
      <c r="E4987" t="inlineStr">
        <is>
          <t>NORBERG</t>
        </is>
      </c>
      <c r="G4987" t="n">
        <v>1.6</v>
      </c>
      <c r="H4987" t="n">
        <v>0</v>
      </c>
      <c r="I4987" t="n">
        <v>0</v>
      </c>
      <c r="J4987" t="n">
        <v>0</v>
      </c>
      <c r="K4987" t="n">
        <v>0</v>
      </c>
      <c r="L4987" t="n">
        <v>0</v>
      </c>
      <c r="M4987" t="n">
        <v>0</v>
      </c>
      <c r="N4987" t="n">
        <v>0</v>
      </c>
      <c r="O4987" t="n">
        <v>0</v>
      </c>
      <c r="P4987" t="n">
        <v>0</v>
      </c>
      <c r="Q4987" t="n">
        <v>0</v>
      </c>
      <c r="R4987" s="2" t="inlineStr"/>
    </row>
    <row r="4988" ht="15" customHeight="1">
      <c r="A4988" t="inlineStr">
        <is>
          <t>A 6528-2025</t>
        </is>
      </c>
      <c r="B4988" s="1" t="n">
        <v>45699</v>
      </c>
      <c r="C4988" s="1" t="n">
        <v>45724</v>
      </c>
      <c r="D4988" t="inlineStr">
        <is>
          <t>VÄSTMANLANDS LÄN</t>
        </is>
      </c>
      <c r="E4988" t="inlineStr">
        <is>
          <t>ARBOGA</t>
        </is>
      </c>
      <c r="G4988" t="n">
        <v>5.4</v>
      </c>
      <c r="H4988" t="n">
        <v>0</v>
      </c>
      <c r="I4988" t="n">
        <v>0</v>
      </c>
      <c r="J4988" t="n">
        <v>0</v>
      </c>
      <c r="K4988" t="n">
        <v>0</v>
      </c>
      <c r="L4988" t="n">
        <v>0</v>
      </c>
      <c r="M4988" t="n">
        <v>0</v>
      </c>
      <c r="N4988" t="n">
        <v>0</v>
      </c>
      <c r="O4988" t="n">
        <v>0</v>
      </c>
      <c r="P4988" t="n">
        <v>0</v>
      </c>
      <c r="Q4988" t="n">
        <v>0</v>
      </c>
      <c r="R4988" s="2" t="inlineStr"/>
    </row>
    <row r="4989" ht="15" customHeight="1">
      <c r="A4989" t="inlineStr">
        <is>
          <t>A 6518-2025</t>
        </is>
      </c>
      <c r="B4989" s="1" t="n">
        <v>45699</v>
      </c>
      <c r="C4989" s="1" t="n">
        <v>45724</v>
      </c>
      <c r="D4989" t="inlineStr">
        <is>
          <t>VÄSTMANLANDS LÄN</t>
        </is>
      </c>
      <c r="E4989" t="inlineStr">
        <is>
          <t>ARBOGA</t>
        </is>
      </c>
      <c r="G4989" t="n">
        <v>1.6</v>
      </c>
      <c r="H4989" t="n">
        <v>0</v>
      </c>
      <c r="I4989" t="n">
        <v>0</v>
      </c>
      <c r="J4989" t="n">
        <v>0</v>
      </c>
      <c r="K4989" t="n">
        <v>0</v>
      </c>
      <c r="L4989" t="n">
        <v>0</v>
      </c>
      <c r="M4989" t="n">
        <v>0</v>
      </c>
      <c r="N4989" t="n">
        <v>0</v>
      </c>
      <c r="O4989" t="n">
        <v>0</v>
      </c>
      <c r="P4989" t="n">
        <v>0</v>
      </c>
      <c r="Q4989" t="n">
        <v>0</v>
      </c>
      <c r="R4989" s="2" t="inlineStr"/>
    </row>
    <row r="4990" ht="15" customHeight="1">
      <c r="A4990" t="inlineStr">
        <is>
          <t>A 6691-2025</t>
        </is>
      </c>
      <c r="B4990" s="1" t="n">
        <v>45700</v>
      </c>
      <c r="C4990" s="1" t="n">
        <v>45724</v>
      </c>
      <c r="D4990" t="inlineStr">
        <is>
          <t>VÄSTMANLANDS LÄN</t>
        </is>
      </c>
      <c r="E4990" t="inlineStr">
        <is>
          <t>SALA</t>
        </is>
      </c>
      <c r="G4990" t="n">
        <v>2.1</v>
      </c>
      <c r="H4990" t="n">
        <v>0</v>
      </c>
      <c r="I4990" t="n">
        <v>0</v>
      </c>
      <c r="J4990" t="n">
        <v>0</v>
      </c>
      <c r="K4990" t="n">
        <v>0</v>
      </c>
      <c r="L4990" t="n">
        <v>0</v>
      </c>
      <c r="M4990" t="n">
        <v>0</v>
      </c>
      <c r="N4990" t="n">
        <v>0</v>
      </c>
      <c r="O4990" t="n">
        <v>0</v>
      </c>
      <c r="P4990" t="n">
        <v>0</v>
      </c>
      <c r="Q4990" t="n">
        <v>0</v>
      </c>
      <c r="R4990" s="2" t="inlineStr"/>
    </row>
    <row r="4991" ht="15" customHeight="1">
      <c r="A4991" t="inlineStr">
        <is>
          <t>A 7187-2025</t>
        </is>
      </c>
      <c r="B4991" s="1" t="n">
        <v>45702</v>
      </c>
      <c r="C4991" s="1" t="n">
        <v>45724</v>
      </c>
      <c r="D4991" t="inlineStr">
        <is>
          <t>VÄSTMANLANDS LÄN</t>
        </is>
      </c>
      <c r="E4991" t="inlineStr">
        <is>
          <t>ARBOGA</t>
        </is>
      </c>
      <c r="G4991" t="n">
        <v>1.6</v>
      </c>
      <c r="H4991" t="n">
        <v>0</v>
      </c>
      <c r="I4991" t="n">
        <v>0</v>
      </c>
      <c r="J4991" t="n">
        <v>0</v>
      </c>
      <c r="K4991" t="n">
        <v>0</v>
      </c>
      <c r="L4991" t="n">
        <v>0</v>
      </c>
      <c r="M4991" t="n">
        <v>0</v>
      </c>
      <c r="N4991" t="n">
        <v>0</v>
      </c>
      <c r="O4991" t="n">
        <v>0</v>
      </c>
      <c r="P4991" t="n">
        <v>0</v>
      </c>
      <c r="Q4991" t="n">
        <v>0</v>
      </c>
      <c r="R4991" s="2" t="inlineStr"/>
    </row>
    <row r="4992" ht="15" customHeight="1">
      <c r="A4992" t="inlineStr">
        <is>
          <t>A 7195-2025</t>
        </is>
      </c>
      <c r="B4992" s="1" t="n">
        <v>45702</v>
      </c>
      <c r="C4992" s="1" t="n">
        <v>45724</v>
      </c>
      <c r="D4992" t="inlineStr">
        <is>
          <t>VÄSTMANLANDS LÄN</t>
        </is>
      </c>
      <c r="E4992" t="inlineStr">
        <is>
          <t>ARBOGA</t>
        </is>
      </c>
      <c r="G4992" t="n">
        <v>1.9</v>
      </c>
      <c r="H4992" t="n">
        <v>0</v>
      </c>
      <c r="I4992" t="n">
        <v>0</v>
      </c>
      <c r="J4992" t="n">
        <v>0</v>
      </c>
      <c r="K4992" t="n">
        <v>0</v>
      </c>
      <c r="L4992" t="n">
        <v>0</v>
      </c>
      <c r="M4992" t="n">
        <v>0</v>
      </c>
      <c r="N4992" t="n">
        <v>0</v>
      </c>
      <c r="O4992" t="n">
        <v>0</v>
      </c>
      <c r="P4992" t="n">
        <v>0</v>
      </c>
      <c r="Q4992" t="n">
        <v>0</v>
      </c>
      <c r="R4992" s="2" t="inlineStr"/>
    </row>
    <row r="4993" ht="15" customHeight="1">
      <c r="A4993" t="inlineStr">
        <is>
          <t>A 7166-2025</t>
        </is>
      </c>
      <c r="B4993" s="1" t="n">
        <v>45702</v>
      </c>
      <c r="C4993" s="1" t="n">
        <v>45724</v>
      </c>
      <c r="D4993" t="inlineStr">
        <is>
          <t>VÄSTMANLANDS LÄN</t>
        </is>
      </c>
      <c r="E4993" t="inlineStr">
        <is>
          <t>SALA</t>
        </is>
      </c>
      <c r="G4993" t="n">
        <v>6.1</v>
      </c>
      <c r="H4993" t="n">
        <v>0</v>
      </c>
      <c r="I4993" t="n">
        <v>0</v>
      </c>
      <c r="J4993" t="n">
        <v>0</v>
      </c>
      <c r="K4993" t="n">
        <v>0</v>
      </c>
      <c r="L4993" t="n">
        <v>0</v>
      </c>
      <c r="M4993" t="n">
        <v>0</v>
      </c>
      <c r="N4993" t="n">
        <v>0</v>
      </c>
      <c r="O4993" t="n">
        <v>0</v>
      </c>
      <c r="P4993" t="n">
        <v>0</v>
      </c>
      <c r="Q4993" t="n">
        <v>0</v>
      </c>
      <c r="R4993" s="2" t="inlineStr"/>
    </row>
    <row r="4994" ht="15" customHeight="1">
      <c r="A4994" t="inlineStr">
        <is>
          <t>A 7245-2025</t>
        </is>
      </c>
      <c r="B4994" s="1" t="n">
        <v>45702</v>
      </c>
      <c r="C4994" s="1" t="n">
        <v>45724</v>
      </c>
      <c r="D4994" t="inlineStr">
        <is>
          <t>VÄSTMANLANDS LÄN</t>
        </is>
      </c>
      <c r="E4994" t="inlineStr">
        <is>
          <t>HALLSTAHAMMAR</t>
        </is>
      </c>
      <c r="G4994" t="n">
        <v>4</v>
      </c>
      <c r="H4994" t="n">
        <v>0</v>
      </c>
      <c r="I4994" t="n">
        <v>0</v>
      </c>
      <c r="J4994" t="n">
        <v>0</v>
      </c>
      <c r="K4994" t="n">
        <v>0</v>
      </c>
      <c r="L4994" t="n">
        <v>0</v>
      </c>
      <c r="M4994" t="n">
        <v>0</v>
      </c>
      <c r="N4994" t="n">
        <v>0</v>
      </c>
      <c r="O4994" t="n">
        <v>0</v>
      </c>
      <c r="P4994" t="n">
        <v>0</v>
      </c>
      <c r="Q4994" t="n">
        <v>0</v>
      </c>
      <c r="R4994" s="2" t="inlineStr"/>
    </row>
    <row r="4995" ht="15" customHeight="1">
      <c r="A4995" t="inlineStr">
        <is>
          <t>A 7197-2025</t>
        </is>
      </c>
      <c r="B4995" s="1" t="n">
        <v>45702</v>
      </c>
      <c r="C4995" s="1" t="n">
        <v>45724</v>
      </c>
      <c r="D4995" t="inlineStr">
        <is>
          <t>VÄSTMANLANDS LÄN</t>
        </is>
      </c>
      <c r="E4995" t="inlineStr">
        <is>
          <t>SALA</t>
        </is>
      </c>
      <c r="G4995" t="n">
        <v>0.5</v>
      </c>
      <c r="H4995" t="n">
        <v>0</v>
      </c>
      <c r="I4995" t="n">
        <v>0</v>
      </c>
      <c r="J4995" t="n">
        <v>0</v>
      </c>
      <c r="K4995" t="n">
        <v>0</v>
      </c>
      <c r="L4995" t="n">
        <v>0</v>
      </c>
      <c r="M4995" t="n">
        <v>0</v>
      </c>
      <c r="N4995" t="n">
        <v>0</v>
      </c>
      <c r="O4995" t="n">
        <v>0</v>
      </c>
      <c r="P4995" t="n">
        <v>0</v>
      </c>
      <c r="Q4995" t="n">
        <v>0</v>
      </c>
      <c r="R4995" s="2" t="inlineStr"/>
    </row>
    <row r="4996" ht="15" customHeight="1">
      <c r="A4996" t="inlineStr">
        <is>
          <t>A 7196-2025</t>
        </is>
      </c>
      <c r="B4996" s="1" t="n">
        <v>45702</v>
      </c>
      <c r="C4996" s="1" t="n">
        <v>45724</v>
      </c>
      <c r="D4996" t="inlineStr">
        <is>
          <t>VÄSTMANLANDS LÄN</t>
        </is>
      </c>
      <c r="E4996" t="inlineStr">
        <is>
          <t>SALA</t>
        </is>
      </c>
      <c r="G4996" t="n">
        <v>1.3</v>
      </c>
      <c r="H4996" t="n">
        <v>0</v>
      </c>
      <c r="I4996" t="n">
        <v>0</v>
      </c>
      <c r="J4996" t="n">
        <v>0</v>
      </c>
      <c r="K4996" t="n">
        <v>0</v>
      </c>
      <c r="L4996" t="n">
        <v>0</v>
      </c>
      <c r="M4996" t="n">
        <v>0</v>
      </c>
      <c r="N4996" t="n">
        <v>0</v>
      </c>
      <c r="O4996" t="n">
        <v>0</v>
      </c>
      <c r="P4996" t="n">
        <v>0</v>
      </c>
      <c r="Q4996" t="n">
        <v>0</v>
      </c>
      <c r="R4996" s="2" t="inlineStr"/>
    </row>
    <row r="4997" ht="15" customHeight="1">
      <c r="A4997" t="inlineStr">
        <is>
          <t>A 7467-2025</t>
        </is>
      </c>
      <c r="B4997" s="1" t="n">
        <v>45705</v>
      </c>
      <c r="C4997" s="1" t="n">
        <v>45724</v>
      </c>
      <c r="D4997" t="inlineStr">
        <is>
          <t>VÄSTMANLANDS LÄN</t>
        </is>
      </c>
      <c r="E4997" t="inlineStr">
        <is>
          <t>KÖPING</t>
        </is>
      </c>
      <c r="G4997" t="n">
        <v>1.5</v>
      </c>
      <c r="H4997" t="n">
        <v>0</v>
      </c>
      <c r="I4997" t="n">
        <v>0</v>
      </c>
      <c r="J4997" t="n">
        <v>0</v>
      </c>
      <c r="K4997" t="n">
        <v>0</v>
      </c>
      <c r="L4997" t="n">
        <v>0</v>
      </c>
      <c r="M4997" t="n">
        <v>0</v>
      </c>
      <c r="N4997" t="n">
        <v>0</v>
      </c>
      <c r="O4997" t="n">
        <v>0</v>
      </c>
      <c r="P4997" t="n">
        <v>0</v>
      </c>
      <c r="Q4997" t="n">
        <v>0</v>
      </c>
      <c r="R4997" s="2" t="inlineStr"/>
    </row>
    <row r="4998" ht="15" customHeight="1">
      <c r="A4998" t="inlineStr">
        <is>
          <t>A 7380-2025</t>
        </is>
      </c>
      <c r="B4998" s="1" t="n">
        <v>45705</v>
      </c>
      <c r="C4998" s="1" t="n">
        <v>45724</v>
      </c>
      <c r="D4998" t="inlineStr">
        <is>
          <t>VÄSTMANLANDS LÄN</t>
        </is>
      </c>
      <c r="E4998" t="inlineStr">
        <is>
          <t>FAGERSTA</t>
        </is>
      </c>
      <c r="F4998" t="inlineStr">
        <is>
          <t>Bergvik skog väst AB</t>
        </is>
      </c>
      <c r="G4998" t="n">
        <v>0.2</v>
      </c>
      <c r="H4998" t="n">
        <v>0</v>
      </c>
      <c r="I4998" t="n">
        <v>0</v>
      </c>
      <c r="J4998" t="n">
        <v>0</v>
      </c>
      <c r="K4998" t="n">
        <v>0</v>
      </c>
      <c r="L4998" t="n">
        <v>0</v>
      </c>
      <c r="M4998" t="n">
        <v>0</v>
      </c>
      <c r="N4998" t="n">
        <v>0</v>
      </c>
      <c r="O4998" t="n">
        <v>0</v>
      </c>
      <c r="P4998" t="n">
        <v>0</v>
      </c>
      <c r="Q4998" t="n">
        <v>0</v>
      </c>
      <c r="R4998" s="2" t="inlineStr"/>
    </row>
    <row r="4999" ht="15" customHeight="1">
      <c r="A4999" t="inlineStr">
        <is>
          <t>A 7591-2025</t>
        </is>
      </c>
      <c r="B4999" s="1" t="n">
        <v>45705</v>
      </c>
      <c r="C4999" s="1" t="n">
        <v>45724</v>
      </c>
      <c r="D4999" t="inlineStr">
        <is>
          <t>VÄSTMANLANDS LÄN</t>
        </is>
      </c>
      <c r="E4999" t="inlineStr">
        <is>
          <t>KÖPING</t>
        </is>
      </c>
      <c r="G4999" t="n">
        <v>3.3</v>
      </c>
      <c r="H4999" t="n">
        <v>0</v>
      </c>
      <c r="I4999" t="n">
        <v>0</v>
      </c>
      <c r="J4999" t="n">
        <v>0</v>
      </c>
      <c r="K4999" t="n">
        <v>0</v>
      </c>
      <c r="L4999" t="n">
        <v>0</v>
      </c>
      <c r="M4999" t="n">
        <v>0</v>
      </c>
      <c r="N4999" t="n">
        <v>0</v>
      </c>
      <c r="O4999" t="n">
        <v>0</v>
      </c>
      <c r="P4999" t="n">
        <v>0</v>
      </c>
      <c r="Q4999" t="n">
        <v>0</v>
      </c>
      <c r="R4999" s="2" t="inlineStr"/>
    </row>
    <row r="5000" ht="15" customHeight="1">
      <c r="A5000" t="inlineStr">
        <is>
          <t>A 7439-2025</t>
        </is>
      </c>
      <c r="B5000" s="1" t="n">
        <v>45705</v>
      </c>
      <c r="C5000" s="1" t="n">
        <v>45724</v>
      </c>
      <c r="D5000" t="inlineStr">
        <is>
          <t>VÄSTMANLANDS LÄN</t>
        </is>
      </c>
      <c r="E5000" t="inlineStr">
        <is>
          <t>VÄSTERÅS</t>
        </is>
      </c>
      <c r="G5000" t="n">
        <v>1.3</v>
      </c>
      <c r="H5000" t="n">
        <v>0</v>
      </c>
      <c r="I5000" t="n">
        <v>0</v>
      </c>
      <c r="J5000" t="n">
        <v>0</v>
      </c>
      <c r="K5000" t="n">
        <v>0</v>
      </c>
      <c r="L5000" t="n">
        <v>0</v>
      </c>
      <c r="M5000" t="n">
        <v>0</v>
      </c>
      <c r="N5000" t="n">
        <v>0</v>
      </c>
      <c r="O5000" t="n">
        <v>0</v>
      </c>
      <c r="P5000" t="n">
        <v>0</v>
      </c>
      <c r="Q5000" t="n">
        <v>0</v>
      </c>
      <c r="R5000" s="2" t="inlineStr"/>
    </row>
    <row r="5001" ht="15" customHeight="1">
      <c r="A5001" t="inlineStr">
        <is>
          <t>A 7417-2025</t>
        </is>
      </c>
      <c r="B5001" s="1" t="n">
        <v>45705</v>
      </c>
      <c r="C5001" s="1" t="n">
        <v>45724</v>
      </c>
      <c r="D5001" t="inlineStr">
        <is>
          <t>VÄSTMANLANDS LÄN</t>
        </is>
      </c>
      <c r="E5001" t="inlineStr">
        <is>
          <t>NORBERG</t>
        </is>
      </c>
      <c r="G5001" t="n">
        <v>0.5</v>
      </c>
      <c r="H5001" t="n">
        <v>0</v>
      </c>
      <c r="I5001" t="n">
        <v>0</v>
      </c>
      <c r="J5001" t="n">
        <v>0</v>
      </c>
      <c r="K5001" t="n">
        <v>0</v>
      </c>
      <c r="L5001" t="n">
        <v>0</v>
      </c>
      <c r="M5001" t="n">
        <v>0</v>
      </c>
      <c r="N5001" t="n">
        <v>0</v>
      </c>
      <c r="O5001" t="n">
        <v>0</v>
      </c>
      <c r="P5001" t="n">
        <v>0</v>
      </c>
      <c r="Q5001" t="n">
        <v>0</v>
      </c>
      <c r="R5001" s="2" t="inlineStr"/>
    </row>
    <row r="5002" ht="15" customHeight="1">
      <c r="A5002" t="inlineStr">
        <is>
          <t>A 7437-2025</t>
        </is>
      </c>
      <c r="B5002" s="1" t="n">
        <v>45705</v>
      </c>
      <c r="C5002" s="1" t="n">
        <v>45724</v>
      </c>
      <c r="D5002" t="inlineStr">
        <is>
          <t>VÄSTMANLANDS LÄN</t>
        </is>
      </c>
      <c r="E5002" t="inlineStr">
        <is>
          <t>VÄSTERÅS</t>
        </is>
      </c>
      <c r="G5002" t="n">
        <v>1</v>
      </c>
      <c r="H5002" t="n">
        <v>0</v>
      </c>
      <c r="I5002" t="n">
        <v>0</v>
      </c>
      <c r="J5002" t="n">
        <v>0</v>
      </c>
      <c r="K5002" t="n">
        <v>0</v>
      </c>
      <c r="L5002" t="n">
        <v>0</v>
      </c>
      <c r="M5002" t="n">
        <v>0</v>
      </c>
      <c r="N5002" t="n">
        <v>0</v>
      </c>
      <c r="O5002" t="n">
        <v>0</v>
      </c>
      <c r="P5002" t="n">
        <v>0</v>
      </c>
      <c r="Q5002" t="n">
        <v>0</v>
      </c>
      <c r="R5002" s="2" t="inlineStr"/>
    </row>
    <row r="5003" ht="15" customHeight="1">
      <c r="A5003" t="inlineStr">
        <is>
          <t>A 7459-2025</t>
        </is>
      </c>
      <c r="B5003" s="1" t="n">
        <v>45705</v>
      </c>
      <c r="C5003" s="1" t="n">
        <v>45724</v>
      </c>
      <c r="D5003" t="inlineStr">
        <is>
          <t>VÄSTMANLANDS LÄN</t>
        </is>
      </c>
      <c r="E5003" t="inlineStr">
        <is>
          <t>SALA</t>
        </is>
      </c>
      <c r="G5003" t="n">
        <v>6.4</v>
      </c>
      <c r="H5003" t="n">
        <v>0</v>
      </c>
      <c r="I5003" t="n">
        <v>0</v>
      </c>
      <c r="J5003" t="n">
        <v>0</v>
      </c>
      <c r="K5003" t="n">
        <v>0</v>
      </c>
      <c r="L5003" t="n">
        <v>0</v>
      </c>
      <c r="M5003" t="n">
        <v>0</v>
      </c>
      <c r="N5003" t="n">
        <v>0</v>
      </c>
      <c r="O5003" t="n">
        <v>0</v>
      </c>
      <c r="P5003" t="n">
        <v>0</v>
      </c>
      <c r="Q5003" t="n">
        <v>0</v>
      </c>
      <c r="R5003" s="2" t="inlineStr"/>
    </row>
    <row r="5004" ht="15" customHeight="1">
      <c r="A5004" t="inlineStr">
        <is>
          <t>A 7488-2025</t>
        </is>
      </c>
      <c r="B5004" s="1" t="n">
        <v>45705</v>
      </c>
      <c r="C5004" s="1" t="n">
        <v>45724</v>
      </c>
      <c r="D5004" t="inlineStr">
        <is>
          <t>VÄSTMANLANDS LÄN</t>
        </is>
      </c>
      <c r="E5004" t="inlineStr">
        <is>
          <t>NORBERG</t>
        </is>
      </c>
      <c r="G5004" t="n">
        <v>0.7</v>
      </c>
      <c r="H5004" t="n">
        <v>0</v>
      </c>
      <c r="I5004" t="n">
        <v>0</v>
      </c>
      <c r="J5004" t="n">
        <v>0</v>
      </c>
      <c r="K5004" t="n">
        <v>0</v>
      </c>
      <c r="L5004" t="n">
        <v>0</v>
      </c>
      <c r="M5004" t="n">
        <v>0</v>
      </c>
      <c r="N5004" t="n">
        <v>0</v>
      </c>
      <c r="O5004" t="n">
        <v>0</v>
      </c>
      <c r="P5004" t="n">
        <v>0</v>
      </c>
      <c r="Q5004" t="n">
        <v>0</v>
      </c>
      <c r="R5004" s="2" t="inlineStr"/>
    </row>
    <row r="5005" ht="15" customHeight="1">
      <c r="A5005" t="inlineStr">
        <is>
          <t>A 7469-2025</t>
        </is>
      </c>
      <c r="B5005" s="1" t="n">
        <v>45705</v>
      </c>
      <c r="C5005" s="1" t="n">
        <v>45724</v>
      </c>
      <c r="D5005" t="inlineStr">
        <is>
          <t>VÄSTMANLANDS LÄN</t>
        </is>
      </c>
      <c r="E5005" t="inlineStr">
        <is>
          <t>SALA</t>
        </is>
      </c>
      <c r="G5005" t="n">
        <v>2.1</v>
      </c>
      <c r="H5005" t="n">
        <v>0</v>
      </c>
      <c r="I5005" t="n">
        <v>0</v>
      </c>
      <c r="J5005" t="n">
        <v>0</v>
      </c>
      <c r="K5005" t="n">
        <v>0</v>
      </c>
      <c r="L5005" t="n">
        <v>0</v>
      </c>
      <c r="M5005" t="n">
        <v>0</v>
      </c>
      <c r="N5005" t="n">
        <v>0</v>
      </c>
      <c r="O5005" t="n">
        <v>0</v>
      </c>
      <c r="P5005" t="n">
        <v>0</v>
      </c>
      <c r="Q5005" t="n">
        <v>0</v>
      </c>
      <c r="R5005" s="2" t="inlineStr"/>
    </row>
    <row r="5006" ht="15" customHeight="1">
      <c r="A5006" t="inlineStr">
        <is>
          <t>A 7703-2025</t>
        </is>
      </c>
      <c r="B5006" s="1" t="n">
        <v>45706</v>
      </c>
      <c r="C5006" s="1" t="n">
        <v>45724</v>
      </c>
      <c r="D5006" t="inlineStr">
        <is>
          <t>VÄSTMANLANDS LÄN</t>
        </is>
      </c>
      <c r="E5006" t="inlineStr">
        <is>
          <t>SALA</t>
        </is>
      </c>
      <c r="G5006" t="n">
        <v>4.8</v>
      </c>
      <c r="H5006" t="n">
        <v>0</v>
      </c>
      <c r="I5006" t="n">
        <v>0</v>
      </c>
      <c r="J5006" t="n">
        <v>0</v>
      </c>
      <c r="K5006" t="n">
        <v>0</v>
      </c>
      <c r="L5006" t="n">
        <v>0</v>
      </c>
      <c r="M5006" t="n">
        <v>0</v>
      </c>
      <c r="N5006" t="n">
        <v>0</v>
      </c>
      <c r="O5006" t="n">
        <v>0</v>
      </c>
      <c r="P5006" t="n">
        <v>0</v>
      </c>
      <c r="Q5006" t="n">
        <v>0</v>
      </c>
      <c r="R5006" s="2" t="inlineStr"/>
    </row>
    <row r="5007" ht="15" customHeight="1">
      <c r="A5007" t="inlineStr">
        <is>
          <t>A 7786-2025</t>
        </is>
      </c>
      <c r="B5007" s="1" t="n">
        <v>45706</v>
      </c>
      <c r="C5007" s="1" t="n">
        <v>45724</v>
      </c>
      <c r="D5007" t="inlineStr">
        <is>
          <t>VÄSTMANLANDS LÄN</t>
        </is>
      </c>
      <c r="E5007" t="inlineStr">
        <is>
          <t>ARBOGA</t>
        </is>
      </c>
      <c r="G5007" t="n">
        <v>0.6</v>
      </c>
      <c r="H5007" t="n">
        <v>0</v>
      </c>
      <c r="I5007" t="n">
        <v>0</v>
      </c>
      <c r="J5007" t="n">
        <v>0</v>
      </c>
      <c r="K5007" t="n">
        <v>0</v>
      </c>
      <c r="L5007" t="n">
        <v>0</v>
      </c>
      <c r="M5007" t="n">
        <v>0</v>
      </c>
      <c r="N5007" t="n">
        <v>0</v>
      </c>
      <c r="O5007" t="n">
        <v>0</v>
      </c>
      <c r="P5007" t="n">
        <v>0</v>
      </c>
      <c r="Q5007" t="n">
        <v>0</v>
      </c>
      <c r="R5007" s="2" t="inlineStr"/>
    </row>
    <row r="5008" ht="15" customHeight="1">
      <c r="A5008" t="inlineStr">
        <is>
          <t>A 7874-2025</t>
        </is>
      </c>
      <c r="B5008" s="1" t="n">
        <v>45706</v>
      </c>
      <c r="C5008" s="1" t="n">
        <v>45724</v>
      </c>
      <c r="D5008" t="inlineStr">
        <is>
          <t>VÄSTMANLANDS LÄN</t>
        </is>
      </c>
      <c r="E5008" t="inlineStr">
        <is>
          <t>ARBOGA</t>
        </is>
      </c>
      <c r="G5008" t="n">
        <v>1.4</v>
      </c>
      <c r="H5008" t="n">
        <v>0</v>
      </c>
      <c r="I5008" t="n">
        <v>0</v>
      </c>
      <c r="J5008" t="n">
        <v>0</v>
      </c>
      <c r="K5008" t="n">
        <v>0</v>
      </c>
      <c r="L5008" t="n">
        <v>0</v>
      </c>
      <c r="M5008" t="n">
        <v>0</v>
      </c>
      <c r="N5008" t="n">
        <v>0</v>
      </c>
      <c r="O5008" t="n">
        <v>0</v>
      </c>
      <c r="P5008" t="n">
        <v>0</v>
      </c>
      <c r="Q5008" t="n">
        <v>0</v>
      </c>
      <c r="R5008" s="2" t="inlineStr"/>
    </row>
    <row r="5009" ht="15" customHeight="1">
      <c r="A5009" t="inlineStr">
        <is>
          <t>A 7950-2025</t>
        </is>
      </c>
      <c r="B5009" s="1" t="n">
        <v>45707</v>
      </c>
      <c r="C5009" s="1" t="n">
        <v>45724</v>
      </c>
      <c r="D5009" t="inlineStr">
        <is>
          <t>VÄSTMANLANDS LÄN</t>
        </is>
      </c>
      <c r="E5009" t="inlineStr">
        <is>
          <t>SALA</t>
        </is>
      </c>
      <c r="G5009" t="n">
        <v>3.2</v>
      </c>
      <c r="H5009" t="n">
        <v>0</v>
      </c>
      <c r="I5009" t="n">
        <v>0</v>
      </c>
      <c r="J5009" t="n">
        <v>0</v>
      </c>
      <c r="K5009" t="n">
        <v>0</v>
      </c>
      <c r="L5009" t="n">
        <v>0</v>
      </c>
      <c r="M5009" t="n">
        <v>0</v>
      </c>
      <c r="N5009" t="n">
        <v>0</v>
      </c>
      <c r="O5009" t="n">
        <v>0</v>
      </c>
      <c r="P5009" t="n">
        <v>0</v>
      </c>
      <c r="Q5009" t="n">
        <v>0</v>
      </c>
      <c r="R5009" s="2" t="inlineStr"/>
    </row>
    <row r="5010" ht="15" customHeight="1">
      <c r="A5010" t="inlineStr">
        <is>
          <t>A 8062-2025</t>
        </is>
      </c>
      <c r="B5010" s="1" t="n">
        <v>45707</v>
      </c>
      <c r="C5010" s="1" t="n">
        <v>45724</v>
      </c>
      <c r="D5010" t="inlineStr">
        <is>
          <t>VÄSTMANLANDS LÄN</t>
        </is>
      </c>
      <c r="E5010" t="inlineStr">
        <is>
          <t>VÄSTERÅS</t>
        </is>
      </c>
      <c r="F5010" t="inlineStr">
        <is>
          <t>Övriga Aktiebolag</t>
        </is>
      </c>
      <c r="G5010" t="n">
        <v>1.3</v>
      </c>
      <c r="H5010" t="n">
        <v>0</v>
      </c>
      <c r="I5010" t="n">
        <v>0</v>
      </c>
      <c r="J5010" t="n">
        <v>0</v>
      </c>
      <c r="K5010" t="n">
        <v>0</v>
      </c>
      <c r="L5010" t="n">
        <v>0</v>
      </c>
      <c r="M5010" t="n">
        <v>0</v>
      </c>
      <c r="N5010" t="n">
        <v>0</v>
      </c>
      <c r="O5010" t="n">
        <v>0</v>
      </c>
      <c r="P5010" t="n">
        <v>0</v>
      </c>
      <c r="Q5010" t="n">
        <v>0</v>
      </c>
      <c r="R5010" s="2" t="inlineStr"/>
    </row>
    <row r="5011" ht="15" customHeight="1">
      <c r="A5011" t="inlineStr">
        <is>
          <t>A 7948-2025</t>
        </is>
      </c>
      <c r="B5011" s="1" t="n">
        <v>45707</v>
      </c>
      <c r="C5011" s="1" t="n">
        <v>45724</v>
      </c>
      <c r="D5011" t="inlineStr">
        <is>
          <t>VÄSTMANLANDS LÄN</t>
        </is>
      </c>
      <c r="E5011" t="inlineStr">
        <is>
          <t>KÖPING</t>
        </is>
      </c>
      <c r="G5011" t="n">
        <v>6.3</v>
      </c>
      <c r="H5011" t="n">
        <v>0</v>
      </c>
      <c r="I5011" t="n">
        <v>0</v>
      </c>
      <c r="J5011" t="n">
        <v>0</v>
      </c>
      <c r="K5011" t="n">
        <v>0</v>
      </c>
      <c r="L5011" t="n">
        <v>0</v>
      </c>
      <c r="M5011" t="n">
        <v>0</v>
      </c>
      <c r="N5011" t="n">
        <v>0</v>
      </c>
      <c r="O5011" t="n">
        <v>0</v>
      </c>
      <c r="P5011" t="n">
        <v>0</v>
      </c>
      <c r="Q5011" t="n">
        <v>0</v>
      </c>
      <c r="R5011" s="2" t="inlineStr"/>
    </row>
    <row r="5012" ht="15" customHeight="1">
      <c r="A5012" t="inlineStr">
        <is>
          <t>A 7952-2025</t>
        </is>
      </c>
      <c r="B5012" s="1" t="n">
        <v>45707</v>
      </c>
      <c r="C5012" s="1" t="n">
        <v>45724</v>
      </c>
      <c r="D5012" t="inlineStr">
        <is>
          <t>VÄSTMANLANDS LÄN</t>
        </is>
      </c>
      <c r="E5012" t="inlineStr">
        <is>
          <t>KÖPING</t>
        </is>
      </c>
      <c r="G5012" t="n">
        <v>1.6</v>
      </c>
      <c r="H5012" t="n">
        <v>0</v>
      </c>
      <c r="I5012" t="n">
        <v>0</v>
      </c>
      <c r="J5012" t="n">
        <v>0</v>
      </c>
      <c r="K5012" t="n">
        <v>0</v>
      </c>
      <c r="L5012" t="n">
        <v>0</v>
      </c>
      <c r="M5012" t="n">
        <v>0</v>
      </c>
      <c r="N5012" t="n">
        <v>0</v>
      </c>
      <c r="O5012" t="n">
        <v>0</v>
      </c>
      <c r="P5012" t="n">
        <v>0</v>
      </c>
      <c r="Q5012" t="n">
        <v>0</v>
      </c>
      <c r="R5012" s="2" t="inlineStr"/>
    </row>
    <row r="5013" ht="15" customHeight="1">
      <c r="A5013" t="inlineStr">
        <is>
          <t>A 8052-2025</t>
        </is>
      </c>
      <c r="B5013" s="1" t="n">
        <v>45707</v>
      </c>
      <c r="C5013" s="1" t="n">
        <v>45724</v>
      </c>
      <c r="D5013" t="inlineStr">
        <is>
          <t>VÄSTMANLANDS LÄN</t>
        </is>
      </c>
      <c r="E5013" t="inlineStr">
        <is>
          <t>VÄSTERÅS</t>
        </is>
      </c>
      <c r="F5013" t="inlineStr">
        <is>
          <t>Övriga Aktiebolag</t>
        </is>
      </c>
      <c r="G5013" t="n">
        <v>2.3</v>
      </c>
      <c r="H5013" t="n">
        <v>0</v>
      </c>
      <c r="I5013" t="n">
        <v>0</v>
      </c>
      <c r="J5013" t="n">
        <v>0</v>
      </c>
      <c r="K5013" t="n">
        <v>0</v>
      </c>
      <c r="L5013" t="n">
        <v>0</v>
      </c>
      <c r="M5013" t="n">
        <v>0</v>
      </c>
      <c r="N5013" t="n">
        <v>0</v>
      </c>
      <c r="O5013" t="n">
        <v>0</v>
      </c>
      <c r="P5013" t="n">
        <v>0</v>
      </c>
      <c r="Q5013" t="n">
        <v>0</v>
      </c>
      <c r="R5013" s="2" t="inlineStr"/>
    </row>
    <row r="5014" ht="15" customHeight="1">
      <c r="A5014" t="inlineStr">
        <is>
          <t>A 7951-2025</t>
        </is>
      </c>
      <c r="B5014" s="1" t="n">
        <v>45707</v>
      </c>
      <c r="C5014" s="1" t="n">
        <v>45724</v>
      </c>
      <c r="D5014" t="inlineStr">
        <is>
          <t>VÄSTMANLANDS LÄN</t>
        </is>
      </c>
      <c r="E5014" t="inlineStr">
        <is>
          <t>KÖPING</t>
        </is>
      </c>
      <c r="G5014" t="n">
        <v>1.3</v>
      </c>
      <c r="H5014" t="n">
        <v>0</v>
      </c>
      <c r="I5014" t="n">
        <v>0</v>
      </c>
      <c r="J5014" t="n">
        <v>0</v>
      </c>
      <c r="K5014" t="n">
        <v>0</v>
      </c>
      <c r="L5014" t="n">
        <v>0</v>
      </c>
      <c r="M5014" t="n">
        <v>0</v>
      </c>
      <c r="N5014" t="n">
        <v>0</v>
      </c>
      <c r="O5014" t="n">
        <v>0</v>
      </c>
      <c r="P5014" t="n">
        <v>0</v>
      </c>
      <c r="Q5014" t="n">
        <v>0</v>
      </c>
      <c r="R5014" s="2" t="inlineStr"/>
    </row>
    <row r="5015" ht="15" customHeight="1">
      <c r="A5015" t="inlineStr">
        <is>
          <t>A 8147-2025</t>
        </is>
      </c>
      <c r="B5015" s="1" t="n">
        <v>45708</v>
      </c>
      <c r="C5015" s="1" t="n">
        <v>45724</v>
      </c>
      <c r="D5015" t="inlineStr">
        <is>
          <t>VÄSTMANLANDS LÄN</t>
        </is>
      </c>
      <c r="E5015" t="inlineStr">
        <is>
          <t>VÄSTERÅS</t>
        </is>
      </c>
      <c r="G5015" t="n">
        <v>1</v>
      </c>
      <c r="H5015" t="n">
        <v>0</v>
      </c>
      <c r="I5015" t="n">
        <v>0</v>
      </c>
      <c r="J5015" t="n">
        <v>0</v>
      </c>
      <c r="K5015" t="n">
        <v>0</v>
      </c>
      <c r="L5015" t="n">
        <v>0</v>
      </c>
      <c r="M5015" t="n">
        <v>0</v>
      </c>
      <c r="N5015" t="n">
        <v>0</v>
      </c>
      <c r="O5015" t="n">
        <v>0</v>
      </c>
      <c r="P5015" t="n">
        <v>0</v>
      </c>
      <c r="Q5015" t="n">
        <v>0</v>
      </c>
      <c r="R5015" s="2" t="inlineStr"/>
    </row>
    <row r="5016" ht="15" customHeight="1">
      <c r="A5016" t="inlineStr">
        <is>
          <t>A 8358-2025</t>
        </is>
      </c>
      <c r="B5016" s="1" t="n">
        <v>45708</v>
      </c>
      <c r="C5016" s="1" t="n">
        <v>45724</v>
      </c>
      <c r="D5016" t="inlineStr">
        <is>
          <t>VÄSTMANLANDS LÄN</t>
        </is>
      </c>
      <c r="E5016" t="inlineStr">
        <is>
          <t>VÄSTERÅS</t>
        </is>
      </c>
      <c r="G5016" t="n">
        <v>1.6</v>
      </c>
      <c r="H5016" t="n">
        <v>0</v>
      </c>
      <c r="I5016" t="n">
        <v>0</v>
      </c>
      <c r="J5016" t="n">
        <v>0</v>
      </c>
      <c r="K5016" t="n">
        <v>0</v>
      </c>
      <c r="L5016" t="n">
        <v>0</v>
      </c>
      <c r="M5016" t="n">
        <v>0</v>
      </c>
      <c r="N5016" t="n">
        <v>0</v>
      </c>
      <c r="O5016" t="n">
        <v>0</v>
      </c>
      <c r="P5016" t="n">
        <v>0</v>
      </c>
      <c r="Q5016" t="n">
        <v>0</v>
      </c>
      <c r="R5016" s="2" t="inlineStr"/>
    </row>
    <row r="5017" ht="15" customHeight="1">
      <c r="A5017" t="inlineStr">
        <is>
          <t>A 8285-2025</t>
        </is>
      </c>
      <c r="B5017" s="1" t="n">
        <v>45708</v>
      </c>
      <c r="C5017" s="1" t="n">
        <v>45724</v>
      </c>
      <c r="D5017" t="inlineStr">
        <is>
          <t>VÄSTMANLANDS LÄN</t>
        </is>
      </c>
      <c r="E5017" t="inlineStr">
        <is>
          <t>SALA</t>
        </is>
      </c>
      <c r="G5017" t="n">
        <v>5.7</v>
      </c>
      <c r="H5017" t="n">
        <v>0</v>
      </c>
      <c r="I5017" t="n">
        <v>0</v>
      </c>
      <c r="J5017" t="n">
        <v>0</v>
      </c>
      <c r="K5017" t="n">
        <v>0</v>
      </c>
      <c r="L5017" t="n">
        <v>0</v>
      </c>
      <c r="M5017" t="n">
        <v>0</v>
      </c>
      <c r="N5017" t="n">
        <v>0</v>
      </c>
      <c r="O5017" t="n">
        <v>0</v>
      </c>
      <c r="P5017" t="n">
        <v>0</v>
      </c>
      <c r="Q5017" t="n">
        <v>0</v>
      </c>
      <c r="R5017" s="2" t="inlineStr"/>
    </row>
    <row r="5018" ht="15" customHeight="1">
      <c r="A5018" t="inlineStr">
        <is>
          <t>A 8469-2025</t>
        </is>
      </c>
      <c r="B5018" s="1" t="n">
        <v>45709</v>
      </c>
      <c r="C5018" s="1" t="n">
        <v>45724</v>
      </c>
      <c r="D5018" t="inlineStr">
        <is>
          <t>VÄSTMANLANDS LÄN</t>
        </is>
      </c>
      <c r="E5018" t="inlineStr">
        <is>
          <t>KUNGSÖR</t>
        </is>
      </c>
      <c r="G5018" t="n">
        <v>1.6</v>
      </c>
      <c r="H5018" t="n">
        <v>0</v>
      </c>
      <c r="I5018" t="n">
        <v>0</v>
      </c>
      <c r="J5018" t="n">
        <v>0</v>
      </c>
      <c r="K5018" t="n">
        <v>0</v>
      </c>
      <c r="L5018" t="n">
        <v>0</v>
      </c>
      <c r="M5018" t="n">
        <v>0</v>
      </c>
      <c r="N5018" t="n">
        <v>0</v>
      </c>
      <c r="O5018" t="n">
        <v>0</v>
      </c>
      <c r="P5018" t="n">
        <v>0</v>
      </c>
      <c r="Q5018" t="n">
        <v>0</v>
      </c>
      <c r="R5018" s="2" t="inlineStr"/>
    </row>
    <row r="5019" ht="15" customHeight="1">
      <c r="A5019" t="inlineStr">
        <is>
          <t>A 8477-2025</t>
        </is>
      </c>
      <c r="B5019" s="1" t="n">
        <v>45709</v>
      </c>
      <c r="C5019" s="1" t="n">
        <v>45724</v>
      </c>
      <c r="D5019" t="inlineStr">
        <is>
          <t>VÄSTMANLANDS LÄN</t>
        </is>
      </c>
      <c r="E5019" t="inlineStr">
        <is>
          <t>KUNGSÖR</t>
        </is>
      </c>
      <c r="G5019" t="n">
        <v>1.1</v>
      </c>
      <c r="H5019" t="n">
        <v>0</v>
      </c>
      <c r="I5019" t="n">
        <v>0</v>
      </c>
      <c r="J5019" t="n">
        <v>0</v>
      </c>
      <c r="K5019" t="n">
        <v>0</v>
      </c>
      <c r="L5019" t="n">
        <v>0</v>
      </c>
      <c r="M5019" t="n">
        <v>0</v>
      </c>
      <c r="N5019" t="n">
        <v>0</v>
      </c>
      <c r="O5019" t="n">
        <v>0</v>
      </c>
      <c r="P5019" t="n">
        <v>0</v>
      </c>
      <c r="Q5019" t="n">
        <v>0</v>
      </c>
      <c r="R5019" s="2" t="inlineStr"/>
    </row>
    <row r="5020" ht="15" customHeight="1">
      <c r="A5020" t="inlineStr">
        <is>
          <t>A 8467-2025</t>
        </is>
      </c>
      <c r="B5020" s="1" t="n">
        <v>45709</v>
      </c>
      <c r="C5020" s="1" t="n">
        <v>45724</v>
      </c>
      <c r="D5020" t="inlineStr">
        <is>
          <t>VÄSTMANLANDS LÄN</t>
        </is>
      </c>
      <c r="E5020" t="inlineStr">
        <is>
          <t>KUNGSÖR</t>
        </is>
      </c>
      <c r="G5020" t="n">
        <v>3</v>
      </c>
      <c r="H5020" t="n">
        <v>0</v>
      </c>
      <c r="I5020" t="n">
        <v>0</v>
      </c>
      <c r="J5020" t="n">
        <v>0</v>
      </c>
      <c r="K5020" t="n">
        <v>0</v>
      </c>
      <c r="L5020" t="n">
        <v>0</v>
      </c>
      <c r="M5020" t="n">
        <v>0</v>
      </c>
      <c r="N5020" t="n">
        <v>0</v>
      </c>
      <c r="O5020" t="n">
        <v>0</v>
      </c>
      <c r="P5020" t="n">
        <v>0</v>
      </c>
      <c r="Q5020" t="n">
        <v>0</v>
      </c>
      <c r="R5020" s="2" t="inlineStr"/>
    </row>
    <row r="5021" ht="15" customHeight="1">
      <c r="A5021" t="inlineStr">
        <is>
          <t>A 8475-2025</t>
        </is>
      </c>
      <c r="B5021" s="1" t="n">
        <v>45709</v>
      </c>
      <c r="C5021" s="1" t="n">
        <v>45724</v>
      </c>
      <c r="D5021" t="inlineStr">
        <is>
          <t>VÄSTMANLANDS LÄN</t>
        </is>
      </c>
      <c r="E5021" t="inlineStr">
        <is>
          <t>KUNGSÖR</t>
        </is>
      </c>
      <c r="G5021" t="n">
        <v>3.5</v>
      </c>
      <c r="H5021" t="n">
        <v>0</v>
      </c>
      <c r="I5021" t="n">
        <v>0</v>
      </c>
      <c r="J5021" t="n">
        <v>0</v>
      </c>
      <c r="K5021" t="n">
        <v>0</v>
      </c>
      <c r="L5021" t="n">
        <v>0</v>
      </c>
      <c r="M5021" t="n">
        <v>0</v>
      </c>
      <c r="N5021" t="n">
        <v>0</v>
      </c>
      <c r="O5021" t="n">
        <v>0</v>
      </c>
      <c r="P5021" t="n">
        <v>0</v>
      </c>
      <c r="Q5021" t="n">
        <v>0</v>
      </c>
      <c r="R5021" s="2" t="inlineStr"/>
    </row>
    <row r="5022" ht="15" customHeight="1">
      <c r="A5022" t="inlineStr">
        <is>
          <t>A 8395-2025</t>
        </is>
      </c>
      <c r="B5022" s="1" t="n">
        <v>45709</v>
      </c>
      <c r="C5022" s="1" t="n">
        <v>45724</v>
      </c>
      <c r="D5022" t="inlineStr">
        <is>
          <t>VÄSTMANLANDS LÄN</t>
        </is>
      </c>
      <c r="E5022" t="inlineStr">
        <is>
          <t>VÄSTERÅS</t>
        </is>
      </c>
      <c r="G5022" t="n">
        <v>0.9</v>
      </c>
      <c r="H5022" t="n">
        <v>0</v>
      </c>
      <c r="I5022" t="n">
        <v>0</v>
      </c>
      <c r="J5022" t="n">
        <v>0</v>
      </c>
      <c r="K5022" t="n">
        <v>0</v>
      </c>
      <c r="L5022" t="n">
        <v>0</v>
      </c>
      <c r="M5022" t="n">
        <v>0</v>
      </c>
      <c r="N5022" t="n">
        <v>0</v>
      </c>
      <c r="O5022" t="n">
        <v>0</v>
      </c>
      <c r="P5022" t="n">
        <v>0</v>
      </c>
      <c r="Q5022" t="n">
        <v>0</v>
      </c>
      <c r="R5022" s="2" t="inlineStr"/>
      <c r="U5022">
        <f>HYPERLINK("https://klasma.github.io/Logging_1980/knärot/A 8395-2025 karta knärot.png", "A 8395-2025")</f>
        <v/>
      </c>
      <c r="V5022">
        <f>HYPERLINK("https://klasma.github.io/Logging_1980/klagomål/A 8395-2025 FSC-klagomål.docx", "A 8395-2025")</f>
        <v/>
      </c>
      <c r="W5022">
        <f>HYPERLINK("https://klasma.github.io/Logging_1980/klagomålsmail/A 8395-2025 FSC-klagomål mail.docx", "A 8395-2025")</f>
        <v/>
      </c>
      <c r="X5022">
        <f>HYPERLINK("https://klasma.github.io/Logging_1980/tillsyn/A 8395-2025 tillsynsbegäran.docx", "A 8395-2025")</f>
        <v/>
      </c>
      <c r="Y5022">
        <f>HYPERLINK("https://klasma.github.io/Logging_1980/tillsynsmail/A 8395-2025 tillsynsbegäran mail.docx", "A 8395-2025")</f>
        <v/>
      </c>
    </row>
    <row r="5023" ht="15" customHeight="1">
      <c r="A5023" t="inlineStr">
        <is>
          <t>A 8525-2025</t>
        </is>
      </c>
      <c r="B5023" s="1" t="n">
        <v>45709</v>
      </c>
      <c r="C5023" s="1" t="n">
        <v>45724</v>
      </c>
      <c r="D5023" t="inlineStr">
        <is>
          <t>VÄSTMANLANDS LÄN</t>
        </is>
      </c>
      <c r="E5023" t="inlineStr">
        <is>
          <t>SKINNSKATTEBERG</t>
        </is>
      </c>
      <c r="G5023" t="n">
        <v>2.7</v>
      </c>
      <c r="H5023" t="n">
        <v>0</v>
      </c>
      <c r="I5023" t="n">
        <v>0</v>
      </c>
      <c r="J5023" t="n">
        <v>0</v>
      </c>
      <c r="K5023" t="n">
        <v>0</v>
      </c>
      <c r="L5023" t="n">
        <v>0</v>
      </c>
      <c r="M5023" t="n">
        <v>0</v>
      </c>
      <c r="N5023" t="n">
        <v>0</v>
      </c>
      <c r="O5023" t="n">
        <v>0</v>
      </c>
      <c r="P5023" t="n">
        <v>0</v>
      </c>
      <c r="Q5023" t="n">
        <v>0</v>
      </c>
      <c r="R5023" s="2" t="inlineStr"/>
    </row>
    <row r="5024" ht="15" customHeight="1">
      <c r="A5024" t="inlineStr">
        <is>
          <t>A 8754-2025</t>
        </is>
      </c>
      <c r="B5024" s="1" t="n">
        <v>45712</v>
      </c>
      <c r="C5024" s="1" t="n">
        <v>45724</v>
      </c>
      <c r="D5024" t="inlineStr">
        <is>
          <t>VÄSTMANLANDS LÄN</t>
        </is>
      </c>
      <c r="E5024" t="inlineStr">
        <is>
          <t>ARBOGA</t>
        </is>
      </c>
      <c r="G5024" t="n">
        <v>3.9</v>
      </c>
      <c r="H5024" t="n">
        <v>0</v>
      </c>
      <c r="I5024" t="n">
        <v>0</v>
      </c>
      <c r="J5024" t="n">
        <v>0</v>
      </c>
      <c r="K5024" t="n">
        <v>0</v>
      </c>
      <c r="L5024" t="n">
        <v>0</v>
      </c>
      <c r="M5024" t="n">
        <v>0</v>
      </c>
      <c r="N5024" t="n">
        <v>0</v>
      </c>
      <c r="O5024" t="n">
        <v>0</v>
      </c>
      <c r="P5024" t="n">
        <v>0</v>
      </c>
      <c r="Q5024" t="n">
        <v>0</v>
      </c>
      <c r="R5024" s="2" t="inlineStr"/>
    </row>
    <row r="5025" ht="15" customHeight="1">
      <c r="A5025" t="inlineStr">
        <is>
          <t>A 8822-2025</t>
        </is>
      </c>
      <c r="B5025" s="1" t="n">
        <v>45712</v>
      </c>
      <c r="C5025" s="1" t="n">
        <v>45724</v>
      </c>
      <c r="D5025" t="inlineStr">
        <is>
          <t>VÄSTMANLANDS LÄN</t>
        </is>
      </c>
      <c r="E5025" t="inlineStr">
        <is>
          <t>KÖPING</t>
        </is>
      </c>
      <c r="G5025" t="n">
        <v>21.6</v>
      </c>
      <c r="H5025" t="n">
        <v>0</v>
      </c>
      <c r="I5025" t="n">
        <v>0</v>
      </c>
      <c r="J5025" t="n">
        <v>0</v>
      </c>
      <c r="K5025" t="n">
        <v>0</v>
      </c>
      <c r="L5025" t="n">
        <v>0</v>
      </c>
      <c r="M5025" t="n">
        <v>0</v>
      </c>
      <c r="N5025" t="n">
        <v>0</v>
      </c>
      <c r="O5025" t="n">
        <v>0</v>
      </c>
      <c r="P5025" t="n">
        <v>0</v>
      </c>
      <c r="Q5025" t="n">
        <v>0</v>
      </c>
      <c r="R5025" s="2" t="inlineStr"/>
    </row>
    <row r="5026" ht="15" customHeight="1">
      <c r="A5026" t="inlineStr">
        <is>
          <t>A 9006-2025</t>
        </is>
      </c>
      <c r="B5026" s="1" t="n">
        <v>45713</v>
      </c>
      <c r="C5026" s="1" t="n">
        <v>45724</v>
      </c>
      <c r="D5026" t="inlineStr">
        <is>
          <t>VÄSTMANLANDS LÄN</t>
        </is>
      </c>
      <c r="E5026" t="inlineStr">
        <is>
          <t>SALA</t>
        </is>
      </c>
      <c r="G5026" t="n">
        <v>6.4</v>
      </c>
      <c r="H5026" t="n">
        <v>0</v>
      </c>
      <c r="I5026" t="n">
        <v>0</v>
      </c>
      <c r="J5026" t="n">
        <v>0</v>
      </c>
      <c r="K5026" t="n">
        <v>0</v>
      </c>
      <c r="L5026" t="n">
        <v>0</v>
      </c>
      <c r="M5026" t="n">
        <v>0</v>
      </c>
      <c r="N5026" t="n">
        <v>0</v>
      </c>
      <c r="O5026" t="n">
        <v>0</v>
      </c>
      <c r="P5026" t="n">
        <v>0</v>
      </c>
      <c r="Q5026" t="n">
        <v>0</v>
      </c>
      <c r="R5026" s="2" t="inlineStr"/>
    </row>
    <row r="5027" ht="15" customHeight="1">
      <c r="A5027" t="inlineStr">
        <is>
          <t>A 8848-2025</t>
        </is>
      </c>
      <c r="B5027" s="1" t="n">
        <v>45713</v>
      </c>
      <c r="C5027" s="1" t="n">
        <v>45724</v>
      </c>
      <c r="D5027" t="inlineStr">
        <is>
          <t>VÄSTMANLANDS LÄN</t>
        </is>
      </c>
      <c r="E5027" t="inlineStr">
        <is>
          <t>HALLSTAHAMMAR</t>
        </is>
      </c>
      <c r="G5027" t="n">
        <v>2</v>
      </c>
      <c r="H5027" t="n">
        <v>0</v>
      </c>
      <c r="I5027" t="n">
        <v>0</v>
      </c>
      <c r="J5027" t="n">
        <v>0</v>
      </c>
      <c r="K5027" t="n">
        <v>0</v>
      </c>
      <c r="L5027" t="n">
        <v>0</v>
      </c>
      <c r="M5027" t="n">
        <v>0</v>
      </c>
      <c r="N5027" t="n">
        <v>0</v>
      </c>
      <c r="O5027" t="n">
        <v>0</v>
      </c>
      <c r="P5027" t="n">
        <v>0</v>
      </c>
      <c r="Q5027" t="n">
        <v>0</v>
      </c>
      <c r="R5027" s="2" t="inlineStr"/>
    </row>
    <row r="5028" ht="15" customHeight="1">
      <c r="A5028" t="inlineStr">
        <is>
          <t>A 9013-2025</t>
        </is>
      </c>
      <c r="B5028" s="1" t="n">
        <v>45713</v>
      </c>
      <c r="C5028" s="1" t="n">
        <v>45724</v>
      </c>
      <c r="D5028" t="inlineStr">
        <is>
          <t>VÄSTMANLANDS LÄN</t>
        </is>
      </c>
      <c r="E5028" t="inlineStr">
        <is>
          <t>NORBERG</t>
        </is>
      </c>
      <c r="G5028" t="n">
        <v>1.9</v>
      </c>
      <c r="H5028" t="n">
        <v>0</v>
      </c>
      <c r="I5028" t="n">
        <v>0</v>
      </c>
      <c r="J5028" t="n">
        <v>0</v>
      </c>
      <c r="K5028" t="n">
        <v>0</v>
      </c>
      <c r="L5028" t="n">
        <v>0</v>
      </c>
      <c r="M5028" t="n">
        <v>0</v>
      </c>
      <c r="N5028" t="n">
        <v>0</v>
      </c>
      <c r="O5028" t="n">
        <v>0</v>
      </c>
      <c r="P5028" t="n">
        <v>0</v>
      </c>
      <c r="Q5028" t="n">
        <v>0</v>
      </c>
      <c r="R5028" s="2" t="inlineStr"/>
    </row>
    <row r="5029" ht="15" customHeight="1">
      <c r="A5029" t="inlineStr">
        <is>
          <t>A 9075-2025</t>
        </is>
      </c>
      <c r="B5029" s="1" t="n">
        <v>45713</v>
      </c>
      <c r="C5029" s="1" t="n">
        <v>45724</v>
      </c>
      <c r="D5029" t="inlineStr">
        <is>
          <t>VÄSTMANLANDS LÄN</t>
        </is>
      </c>
      <c r="E5029" t="inlineStr">
        <is>
          <t>NORBERG</t>
        </is>
      </c>
      <c r="G5029" t="n">
        <v>6.1</v>
      </c>
      <c r="H5029" t="n">
        <v>0</v>
      </c>
      <c r="I5029" t="n">
        <v>0</v>
      </c>
      <c r="J5029" t="n">
        <v>0</v>
      </c>
      <c r="K5029" t="n">
        <v>0</v>
      </c>
      <c r="L5029" t="n">
        <v>0</v>
      </c>
      <c r="M5029" t="n">
        <v>0</v>
      </c>
      <c r="N5029" t="n">
        <v>0</v>
      </c>
      <c r="O5029" t="n">
        <v>0</v>
      </c>
      <c r="P5029" t="n">
        <v>0</v>
      </c>
      <c r="Q5029" t="n">
        <v>0</v>
      </c>
      <c r="R5029" s="2" t="inlineStr"/>
    </row>
    <row r="5030" ht="15" customHeight="1">
      <c r="A5030" t="inlineStr">
        <is>
          <t>A 9095-2025</t>
        </is>
      </c>
      <c r="B5030" s="1" t="n">
        <v>45713</v>
      </c>
      <c r="C5030" s="1" t="n">
        <v>45724</v>
      </c>
      <c r="D5030" t="inlineStr">
        <is>
          <t>VÄSTMANLANDS LÄN</t>
        </is>
      </c>
      <c r="E5030" t="inlineStr">
        <is>
          <t>SALA</t>
        </is>
      </c>
      <c r="G5030" t="n">
        <v>1.4</v>
      </c>
      <c r="H5030" t="n">
        <v>0</v>
      </c>
      <c r="I5030" t="n">
        <v>0</v>
      </c>
      <c r="J5030" t="n">
        <v>0</v>
      </c>
      <c r="K5030" t="n">
        <v>0</v>
      </c>
      <c r="L5030" t="n">
        <v>0</v>
      </c>
      <c r="M5030" t="n">
        <v>0</v>
      </c>
      <c r="N5030" t="n">
        <v>0</v>
      </c>
      <c r="O5030" t="n">
        <v>0</v>
      </c>
      <c r="P5030" t="n">
        <v>0</v>
      </c>
      <c r="Q5030" t="n">
        <v>0</v>
      </c>
      <c r="R5030" s="2" t="inlineStr"/>
    </row>
    <row r="5031" ht="15" customHeight="1">
      <c r="A5031" t="inlineStr">
        <is>
          <t>A 9103-2025</t>
        </is>
      </c>
      <c r="B5031" s="1" t="n">
        <v>45713</v>
      </c>
      <c r="C5031" s="1" t="n">
        <v>45724</v>
      </c>
      <c r="D5031" t="inlineStr">
        <is>
          <t>VÄSTMANLANDS LÄN</t>
        </is>
      </c>
      <c r="E5031" t="inlineStr">
        <is>
          <t>VÄSTERÅS</t>
        </is>
      </c>
      <c r="G5031" t="n">
        <v>0.5</v>
      </c>
      <c r="H5031" t="n">
        <v>0</v>
      </c>
      <c r="I5031" t="n">
        <v>0</v>
      </c>
      <c r="J5031" t="n">
        <v>0</v>
      </c>
      <c r="K5031" t="n">
        <v>0</v>
      </c>
      <c r="L5031" t="n">
        <v>0</v>
      </c>
      <c r="M5031" t="n">
        <v>0</v>
      </c>
      <c r="N5031" t="n">
        <v>0</v>
      </c>
      <c r="O5031" t="n">
        <v>0</v>
      </c>
      <c r="P5031" t="n">
        <v>0</v>
      </c>
      <c r="Q5031" t="n">
        <v>0</v>
      </c>
      <c r="R5031" s="2" t="inlineStr"/>
    </row>
    <row r="5032" ht="15" customHeight="1">
      <c r="A5032" t="inlineStr">
        <is>
          <t>A 9182-2025</t>
        </is>
      </c>
      <c r="B5032" s="1" t="n">
        <v>45714</v>
      </c>
      <c r="C5032" s="1" t="n">
        <v>45724</v>
      </c>
      <c r="D5032" t="inlineStr">
        <is>
          <t>VÄSTMANLANDS LÄN</t>
        </is>
      </c>
      <c r="E5032" t="inlineStr">
        <is>
          <t>NORBERG</t>
        </is>
      </c>
      <c r="F5032" t="inlineStr">
        <is>
          <t>Övriga Aktiebolag</t>
        </is>
      </c>
      <c r="G5032" t="n">
        <v>8.800000000000001</v>
      </c>
      <c r="H5032" t="n">
        <v>0</v>
      </c>
      <c r="I5032" t="n">
        <v>0</v>
      </c>
      <c r="J5032" t="n">
        <v>0</v>
      </c>
      <c r="K5032" t="n">
        <v>0</v>
      </c>
      <c r="L5032" t="n">
        <v>0</v>
      </c>
      <c r="M5032" t="n">
        <v>0</v>
      </c>
      <c r="N5032" t="n">
        <v>0</v>
      </c>
      <c r="O5032" t="n">
        <v>0</v>
      </c>
      <c r="P5032" t="n">
        <v>0</v>
      </c>
      <c r="Q5032" t="n">
        <v>0</v>
      </c>
      <c r="R5032" s="2" t="inlineStr"/>
    </row>
    <row r="5033" ht="15" customHeight="1">
      <c r="A5033" t="inlineStr">
        <is>
          <t>A 9201-2025</t>
        </is>
      </c>
      <c r="B5033" s="1" t="n">
        <v>45714</v>
      </c>
      <c r="C5033" s="1" t="n">
        <v>45724</v>
      </c>
      <c r="D5033" t="inlineStr">
        <is>
          <t>VÄSTMANLANDS LÄN</t>
        </is>
      </c>
      <c r="E5033" t="inlineStr">
        <is>
          <t>NORBERG</t>
        </is>
      </c>
      <c r="F5033" t="inlineStr">
        <is>
          <t>Bergvik skog väst AB</t>
        </is>
      </c>
      <c r="G5033" t="n">
        <v>15.4</v>
      </c>
      <c r="H5033" t="n">
        <v>0</v>
      </c>
      <c r="I5033" t="n">
        <v>0</v>
      </c>
      <c r="J5033" t="n">
        <v>0</v>
      </c>
      <c r="K5033" t="n">
        <v>0</v>
      </c>
      <c r="L5033" t="n">
        <v>0</v>
      </c>
      <c r="M5033" t="n">
        <v>0</v>
      </c>
      <c r="N5033" t="n">
        <v>0</v>
      </c>
      <c r="O5033" t="n">
        <v>0</v>
      </c>
      <c r="P5033" t="n">
        <v>0</v>
      </c>
      <c r="Q5033" t="n">
        <v>0</v>
      </c>
      <c r="R5033" s="2" t="inlineStr"/>
    </row>
    <row r="5034" ht="15" customHeight="1">
      <c r="A5034" t="inlineStr">
        <is>
          <t>A 9238-2025</t>
        </is>
      </c>
      <c r="B5034" s="1" t="n">
        <v>45714</v>
      </c>
      <c r="C5034" s="1" t="n">
        <v>45724</v>
      </c>
      <c r="D5034" t="inlineStr">
        <is>
          <t>VÄSTMANLANDS LÄN</t>
        </is>
      </c>
      <c r="E5034" t="inlineStr">
        <is>
          <t>ARBOGA</t>
        </is>
      </c>
      <c r="G5034" t="n">
        <v>0.8</v>
      </c>
      <c r="H5034" t="n">
        <v>0</v>
      </c>
      <c r="I5034" t="n">
        <v>0</v>
      </c>
      <c r="J5034" t="n">
        <v>0</v>
      </c>
      <c r="K5034" t="n">
        <v>0</v>
      </c>
      <c r="L5034" t="n">
        <v>0</v>
      </c>
      <c r="M5034" t="n">
        <v>0</v>
      </c>
      <c r="N5034" t="n">
        <v>0</v>
      </c>
      <c r="O5034" t="n">
        <v>0</v>
      </c>
      <c r="P5034" t="n">
        <v>0</v>
      </c>
      <c r="Q5034" t="n">
        <v>0</v>
      </c>
      <c r="R5034" s="2" t="inlineStr"/>
    </row>
    <row r="5035" ht="15" customHeight="1">
      <c r="A5035" t="inlineStr">
        <is>
          <t>A 9580-2025</t>
        </is>
      </c>
      <c r="B5035" s="1" t="n">
        <v>45715</v>
      </c>
      <c r="C5035" s="1" t="n">
        <v>45724</v>
      </c>
      <c r="D5035" t="inlineStr">
        <is>
          <t>VÄSTMANLANDS LÄN</t>
        </is>
      </c>
      <c r="E5035" t="inlineStr">
        <is>
          <t>VÄSTERÅS</t>
        </is>
      </c>
      <c r="G5035" t="n">
        <v>4.4</v>
      </c>
      <c r="H5035" t="n">
        <v>0</v>
      </c>
      <c r="I5035" t="n">
        <v>0</v>
      </c>
      <c r="J5035" t="n">
        <v>0</v>
      </c>
      <c r="K5035" t="n">
        <v>0</v>
      </c>
      <c r="L5035" t="n">
        <v>0</v>
      </c>
      <c r="M5035" t="n">
        <v>0</v>
      </c>
      <c r="N5035" t="n">
        <v>0</v>
      </c>
      <c r="O5035" t="n">
        <v>0</v>
      </c>
      <c r="P5035" t="n">
        <v>0</v>
      </c>
      <c r="Q5035" t="n">
        <v>0</v>
      </c>
      <c r="R5035" s="2" t="inlineStr"/>
    </row>
    <row r="5036" ht="15" customHeight="1">
      <c r="A5036" t="inlineStr">
        <is>
          <t>A 9627-2025</t>
        </is>
      </c>
      <c r="B5036" s="1" t="n">
        <v>45715</v>
      </c>
      <c r="C5036" s="1" t="n">
        <v>45724</v>
      </c>
      <c r="D5036" t="inlineStr">
        <is>
          <t>VÄSTMANLANDS LÄN</t>
        </is>
      </c>
      <c r="E5036" t="inlineStr">
        <is>
          <t>NORBERG</t>
        </is>
      </c>
      <c r="G5036" t="n">
        <v>2.4</v>
      </c>
      <c r="H5036" t="n">
        <v>0</v>
      </c>
      <c r="I5036" t="n">
        <v>0</v>
      </c>
      <c r="J5036" t="n">
        <v>0</v>
      </c>
      <c r="K5036" t="n">
        <v>0</v>
      </c>
      <c r="L5036" t="n">
        <v>0</v>
      </c>
      <c r="M5036" t="n">
        <v>0</v>
      </c>
      <c r="N5036" t="n">
        <v>0</v>
      </c>
      <c r="O5036" t="n">
        <v>0</v>
      </c>
      <c r="P5036" t="n">
        <v>0</v>
      </c>
      <c r="Q5036" t="n">
        <v>0</v>
      </c>
      <c r="R5036" s="2" t="inlineStr"/>
    </row>
    <row r="5037" ht="15" customHeight="1">
      <c r="A5037" t="inlineStr">
        <is>
          <t>A 9636-2025</t>
        </is>
      </c>
      <c r="B5037" s="1" t="n">
        <v>45715</v>
      </c>
      <c r="C5037" s="1" t="n">
        <v>45724</v>
      </c>
      <c r="D5037" t="inlineStr">
        <is>
          <t>VÄSTMANLANDS LÄN</t>
        </is>
      </c>
      <c r="E5037" t="inlineStr">
        <is>
          <t>VÄSTERÅS</t>
        </is>
      </c>
      <c r="G5037" t="n">
        <v>10.8</v>
      </c>
      <c r="H5037" t="n">
        <v>0</v>
      </c>
      <c r="I5037" t="n">
        <v>0</v>
      </c>
      <c r="J5037" t="n">
        <v>0</v>
      </c>
      <c r="K5037" t="n">
        <v>0</v>
      </c>
      <c r="L5037" t="n">
        <v>0</v>
      </c>
      <c r="M5037" t="n">
        <v>0</v>
      </c>
      <c r="N5037" t="n">
        <v>0</v>
      </c>
      <c r="O5037" t="n">
        <v>0</v>
      </c>
      <c r="P5037" t="n">
        <v>0</v>
      </c>
      <c r="Q5037" t="n">
        <v>0</v>
      </c>
      <c r="R5037" s="2" t="inlineStr"/>
    </row>
    <row r="5038" ht="15" customHeight="1">
      <c r="A5038" t="inlineStr">
        <is>
          <t>A 9962-2025</t>
        </is>
      </c>
      <c r="B5038" s="1" t="n">
        <v>45719</v>
      </c>
      <c r="C5038" s="1" t="n">
        <v>45724</v>
      </c>
      <c r="D5038" t="inlineStr">
        <is>
          <t>VÄSTMANLANDS LÄN</t>
        </is>
      </c>
      <c r="E5038" t="inlineStr">
        <is>
          <t>SALA</t>
        </is>
      </c>
      <c r="G5038" t="n">
        <v>4.5</v>
      </c>
      <c r="H5038" t="n">
        <v>0</v>
      </c>
      <c r="I5038" t="n">
        <v>0</v>
      </c>
      <c r="J5038" t="n">
        <v>0</v>
      </c>
      <c r="K5038" t="n">
        <v>0</v>
      </c>
      <c r="L5038" t="n">
        <v>0</v>
      </c>
      <c r="M5038" t="n">
        <v>0</v>
      </c>
      <c r="N5038" t="n">
        <v>0</v>
      </c>
      <c r="O5038" t="n">
        <v>0</v>
      </c>
      <c r="P5038" t="n">
        <v>0</v>
      </c>
      <c r="Q5038" t="n">
        <v>0</v>
      </c>
      <c r="R5038" s="2" t="inlineStr"/>
    </row>
    <row r="5039" ht="15" customHeight="1">
      <c r="A5039" t="inlineStr">
        <is>
          <t>A 10099-2025</t>
        </is>
      </c>
      <c r="B5039" s="1" t="n">
        <v>45719</v>
      </c>
      <c r="C5039" s="1" t="n">
        <v>45724</v>
      </c>
      <c r="D5039" t="inlineStr">
        <is>
          <t>VÄSTMANLANDS LÄN</t>
        </is>
      </c>
      <c r="E5039" t="inlineStr">
        <is>
          <t>KÖPING</t>
        </is>
      </c>
      <c r="F5039" t="inlineStr">
        <is>
          <t>Sveaskog</t>
        </is>
      </c>
      <c r="G5039" t="n">
        <v>2</v>
      </c>
      <c r="H5039" t="n">
        <v>0</v>
      </c>
      <c r="I5039" t="n">
        <v>0</v>
      </c>
      <c r="J5039" t="n">
        <v>0</v>
      </c>
      <c r="K5039" t="n">
        <v>0</v>
      </c>
      <c r="L5039" t="n">
        <v>0</v>
      </c>
      <c r="M5039" t="n">
        <v>0</v>
      </c>
      <c r="N5039" t="n">
        <v>0</v>
      </c>
      <c r="O5039" t="n">
        <v>0</v>
      </c>
      <c r="P5039" t="n">
        <v>0</v>
      </c>
      <c r="Q5039" t="n">
        <v>0</v>
      </c>
      <c r="R5039" s="2" t="inlineStr"/>
    </row>
    <row r="5040" ht="15" customHeight="1">
      <c r="A5040" t="inlineStr">
        <is>
          <t>A 10096-2025</t>
        </is>
      </c>
      <c r="B5040" s="1" t="n">
        <v>45719</v>
      </c>
      <c r="C5040" s="1" t="n">
        <v>45724</v>
      </c>
      <c r="D5040" t="inlineStr">
        <is>
          <t>VÄSTMANLANDS LÄN</t>
        </is>
      </c>
      <c r="E5040" t="inlineStr">
        <is>
          <t>KÖPING</t>
        </is>
      </c>
      <c r="F5040" t="inlineStr">
        <is>
          <t>Sveaskog</t>
        </is>
      </c>
      <c r="G5040" t="n">
        <v>6.5</v>
      </c>
      <c r="H5040" t="n">
        <v>0</v>
      </c>
      <c r="I5040" t="n">
        <v>0</v>
      </c>
      <c r="J5040" t="n">
        <v>0</v>
      </c>
      <c r="K5040" t="n">
        <v>0</v>
      </c>
      <c r="L5040" t="n">
        <v>0</v>
      </c>
      <c r="M5040" t="n">
        <v>0</v>
      </c>
      <c r="N5040" t="n">
        <v>0</v>
      </c>
      <c r="O5040" t="n">
        <v>0</v>
      </c>
      <c r="P5040" t="n">
        <v>0</v>
      </c>
      <c r="Q5040" t="n">
        <v>0</v>
      </c>
      <c r="R5040" s="2" t="inlineStr"/>
    </row>
    <row r="5041" ht="15" customHeight="1">
      <c r="A5041" t="inlineStr">
        <is>
          <t>A 10142-2025</t>
        </is>
      </c>
      <c r="B5041" s="1" t="n">
        <v>45719</v>
      </c>
      <c r="C5041" s="1" t="n">
        <v>45724</v>
      </c>
      <c r="D5041" t="inlineStr">
        <is>
          <t>VÄSTMANLANDS LÄN</t>
        </is>
      </c>
      <c r="E5041" t="inlineStr">
        <is>
          <t>SKINNSKATTEBERG</t>
        </is>
      </c>
      <c r="G5041" t="n">
        <v>1.2</v>
      </c>
      <c r="H5041" t="n">
        <v>0</v>
      </c>
      <c r="I5041" t="n">
        <v>0</v>
      </c>
      <c r="J5041" t="n">
        <v>0</v>
      </c>
      <c r="K5041" t="n">
        <v>0</v>
      </c>
      <c r="L5041" t="n">
        <v>0</v>
      </c>
      <c r="M5041" t="n">
        <v>0</v>
      </c>
      <c r="N5041" t="n">
        <v>0</v>
      </c>
      <c r="O5041" t="n">
        <v>0</v>
      </c>
      <c r="P5041" t="n">
        <v>0</v>
      </c>
      <c r="Q5041" t="n">
        <v>0</v>
      </c>
      <c r="R5041" s="2" t="inlineStr"/>
    </row>
    <row r="5042" ht="15" customHeight="1">
      <c r="A5042" t="inlineStr">
        <is>
          <t>A 10232-2025</t>
        </is>
      </c>
      <c r="B5042" s="1" t="n">
        <v>45720</v>
      </c>
      <c r="C5042" s="1" t="n">
        <v>45724</v>
      </c>
      <c r="D5042" t="inlineStr">
        <is>
          <t>VÄSTMANLANDS LÄN</t>
        </is>
      </c>
      <c r="E5042" t="inlineStr">
        <is>
          <t>SKINNSKATTEBERG</t>
        </is>
      </c>
      <c r="G5042" t="n">
        <v>2.8</v>
      </c>
      <c r="H5042" t="n">
        <v>0</v>
      </c>
      <c r="I5042" t="n">
        <v>0</v>
      </c>
      <c r="J5042" t="n">
        <v>0</v>
      </c>
      <c r="K5042" t="n">
        <v>0</v>
      </c>
      <c r="L5042" t="n">
        <v>0</v>
      </c>
      <c r="M5042" t="n">
        <v>0</v>
      </c>
      <c r="N5042" t="n">
        <v>0</v>
      </c>
      <c r="O5042" t="n">
        <v>0</v>
      </c>
      <c r="P5042" t="n">
        <v>0</v>
      </c>
      <c r="Q5042" t="n">
        <v>0</v>
      </c>
      <c r="R5042" s="2" t="inlineStr"/>
    </row>
    <row r="5043" ht="15" customHeight="1">
      <c r="A5043" t="inlineStr">
        <is>
          <t>A 10253-2025</t>
        </is>
      </c>
      <c r="B5043" s="1" t="n">
        <v>45720</v>
      </c>
      <c r="C5043" s="1" t="n">
        <v>45724</v>
      </c>
      <c r="D5043" t="inlineStr">
        <is>
          <t>VÄSTMANLANDS LÄN</t>
        </is>
      </c>
      <c r="E5043" t="inlineStr">
        <is>
          <t>ARBOGA</t>
        </is>
      </c>
      <c r="G5043" t="n">
        <v>5.4</v>
      </c>
      <c r="H5043" t="n">
        <v>0</v>
      </c>
      <c r="I5043" t="n">
        <v>0</v>
      </c>
      <c r="J5043" t="n">
        <v>0</v>
      </c>
      <c r="K5043" t="n">
        <v>0</v>
      </c>
      <c r="L5043" t="n">
        <v>0</v>
      </c>
      <c r="M5043" t="n">
        <v>0</v>
      </c>
      <c r="N5043" t="n">
        <v>0</v>
      </c>
      <c r="O5043" t="n">
        <v>0</v>
      </c>
      <c r="P5043" t="n">
        <v>0</v>
      </c>
      <c r="Q5043" t="n">
        <v>0</v>
      </c>
      <c r="R5043" s="2" t="inlineStr"/>
    </row>
    <row r="5044" ht="15" customHeight="1">
      <c r="A5044" t="inlineStr">
        <is>
          <t>A 10248-2025</t>
        </is>
      </c>
      <c r="B5044" s="1" t="n">
        <v>45720</v>
      </c>
      <c r="C5044" s="1" t="n">
        <v>45724</v>
      </c>
      <c r="D5044" t="inlineStr">
        <is>
          <t>VÄSTMANLANDS LÄN</t>
        </is>
      </c>
      <c r="E5044" t="inlineStr">
        <is>
          <t>SALA</t>
        </is>
      </c>
      <c r="G5044" t="n">
        <v>2.2</v>
      </c>
      <c r="H5044" t="n">
        <v>0</v>
      </c>
      <c r="I5044" t="n">
        <v>0</v>
      </c>
      <c r="J5044" t="n">
        <v>0</v>
      </c>
      <c r="K5044" t="n">
        <v>0</v>
      </c>
      <c r="L5044" t="n">
        <v>0</v>
      </c>
      <c r="M5044" t="n">
        <v>0</v>
      </c>
      <c r="N5044" t="n">
        <v>0</v>
      </c>
      <c r="O5044" t="n">
        <v>0</v>
      </c>
      <c r="P5044" t="n">
        <v>0</v>
      </c>
      <c r="Q5044" t="n">
        <v>0</v>
      </c>
      <c r="R5044" s="2" t="inlineStr"/>
    </row>
    <row r="5045" ht="15" customHeight="1">
      <c r="A5045" t="inlineStr">
        <is>
          <t>A 10250-2025</t>
        </is>
      </c>
      <c r="B5045" s="1" t="n">
        <v>45720</v>
      </c>
      <c r="C5045" s="1" t="n">
        <v>45724</v>
      </c>
      <c r="D5045" t="inlineStr">
        <is>
          <t>VÄSTMANLANDS LÄN</t>
        </is>
      </c>
      <c r="E5045" t="inlineStr">
        <is>
          <t>SALA</t>
        </is>
      </c>
      <c r="G5045" t="n">
        <v>0.5</v>
      </c>
      <c r="H5045" t="n">
        <v>0</v>
      </c>
      <c r="I5045" t="n">
        <v>0</v>
      </c>
      <c r="J5045" t="n">
        <v>0</v>
      </c>
      <c r="K5045" t="n">
        <v>0</v>
      </c>
      <c r="L5045" t="n">
        <v>0</v>
      </c>
      <c r="M5045" t="n">
        <v>0</v>
      </c>
      <c r="N5045" t="n">
        <v>0</v>
      </c>
      <c r="O5045" t="n">
        <v>0</v>
      </c>
      <c r="P5045" t="n">
        <v>0</v>
      </c>
      <c r="Q5045" t="n">
        <v>0</v>
      </c>
      <c r="R5045" s="2" t="inlineStr"/>
    </row>
    <row r="5046" ht="15" customHeight="1">
      <c r="A5046" t="inlineStr">
        <is>
          <t>A 10322-2025</t>
        </is>
      </c>
      <c r="B5046" s="1" t="n">
        <v>45720</v>
      </c>
      <c r="C5046" s="1" t="n">
        <v>45724</v>
      </c>
      <c r="D5046" t="inlineStr">
        <is>
          <t>VÄSTMANLANDS LÄN</t>
        </is>
      </c>
      <c r="E5046" t="inlineStr">
        <is>
          <t>VÄSTERÅS</t>
        </is>
      </c>
      <c r="G5046" t="n">
        <v>3.6</v>
      </c>
      <c r="H5046" t="n">
        <v>0</v>
      </c>
      <c r="I5046" t="n">
        <v>0</v>
      </c>
      <c r="J5046" t="n">
        <v>0</v>
      </c>
      <c r="K5046" t="n">
        <v>0</v>
      </c>
      <c r="L5046" t="n">
        <v>0</v>
      </c>
      <c r="M5046" t="n">
        <v>0</v>
      </c>
      <c r="N5046" t="n">
        <v>0</v>
      </c>
      <c r="O5046" t="n">
        <v>0</v>
      </c>
      <c r="P5046" t="n">
        <v>0</v>
      </c>
      <c r="Q5046" t="n">
        <v>0</v>
      </c>
      <c r="R5046" s="2" t="inlineStr"/>
    </row>
    <row r="5047" ht="15" customHeight="1">
      <c r="A5047" t="inlineStr">
        <is>
          <t>A 10284-2025</t>
        </is>
      </c>
      <c r="B5047" s="1" t="n">
        <v>45720</v>
      </c>
      <c r="C5047" s="1" t="n">
        <v>45724</v>
      </c>
      <c r="D5047" t="inlineStr">
        <is>
          <t>VÄSTMANLANDS LÄN</t>
        </is>
      </c>
      <c r="E5047" t="inlineStr">
        <is>
          <t>ARBOGA</t>
        </is>
      </c>
      <c r="G5047" t="n">
        <v>3.9</v>
      </c>
      <c r="H5047" t="n">
        <v>0</v>
      </c>
      <c r="I5047" t="n">
        <v>0</v>
      </c>
      <c r="J5047" t="n">
        <v>0</v>
      </c>
      <c r="K5047" t="n">
        <v>0</v>
      </c>
      <c r="L5047" t="n">
        <v>0</v>
      </c>
      <c r="M5047" t="n">
        <v>0</v>
      </c>
      <c r="N5047" t="n">
        <v>0</v>
      </c>
      <c r="O5047" t="n">
        <v>0</v>
      </c>
      <c r="P5047" t="n">
        <v>0</v>
      </c>
      <c r="Q5047" t="n">
        <v>0</v>
      </c>
      <c r="R5047" s="2" t="inlineStr"/>
    </row>
    <row r="5048" ht="15" customHeight="1">
      <c r="A5048" t="inlineStr">
        <is>
          <t>A 10380-2025</t>
        </is>
      </c>
      <c r="B5048" s="1" t="n">
        <v>45720</v>
      </c>
      <c r="C5048" s="1" t="n">
        <v>45724</v>
      </c>
      <c r="D5048" t="inlineStr">
        <is>
          <t>VÄSTMANLANDS LÄN</t>
        </is>
      </c>
      <c r="E5048" t="inlineStr">
        <is>
          <t>HALLSTAHAMMAR</t>
        </is>
      </c>
      <c r="F5048" t="inlineStr">
        <is>
          <t>Allmännings- och besparingsskogar</t>
        </is>
      </c>
      <c r="G5048" t="n">
        <v>2.3</v>
      </c>
      <c r="H5048" t="n">
        <v>0</v>
      </c>
      <c r="I5048" t="n">
        <v>0</v>
      </c>
      <c r="J5048" t="n">
        <v>0</v>
      </c>
      <c r="K5048" t="n">
        <v>0</v>
      </c>
      <c r="L5048" t="n">
        <v>0</v>
      </c>
      <c r="M5048" t="n">
        <v>0</v>
      </c>
      <c r="N5048" t="n">
        <v>0</v>
      </c>
      <c r="O5048" t="n">
        <v>0</v>
      </c>
      <c r="P5048" t="n">
        <v>0</v>
      </c>
      <c r="Q5048" t="n">
        <v>0</v>
      </c>
      <c r="R5048" s="2" t="inlineStr"/>
    </row>
    <row r="5049" ht="15" customHeight="1">
      <c r="A5049" t="inlineStr">
        <is>
          <t>A 10396-2025</t>
        </is>
      </c>
      <c r="B5049" s="1" t="n">
        <v>45720</v>
      </c>
      <c r="C5049" s="1" t="n">
        <v>45724</v>
      </c>
      <c r="D5049" t="inlineStr">
        <is>
          <t>VÄSTMANLANDS LÄN</t>
        </is>
      </c>
      <c r="E5049" t="inlineStr">
        <is>
          <t>SURAHAMMAR</t>
        </is>
      </c>
      <c r="F5049" t="inlineStr">
        <is>
          <t>Allmännings- och besparingsskogar</t>
        </is>
      </c>
      <c r="G5049" t="n">
        <v>9.300000000000001</v>
      </c>
      <c r="H5049" t="n">
        <v>0</v>
      </c>
      <c r="I5049" t="n">
        <v>0</v>
      </c>
      <c r="J5049" t="n">
        <v>0</v>
      </c>
      <c r="K5049" t="n">
        <v>0</v>
      </c>
      <c r="L5049" t="n">
        <v>0</v>
      </c>
      <c r="M5049" t="n">
        <v>0</v>
      </c>
      <c r="N5049" t="n">
        <v>0</v>
      </c>
      <c r="O5049" t="n">
        <v>0</v>
      </c>
      <c r="P5049" t="n">
        <v>0</v>
      </c>
      <c r="Q5049" t="n">
        <v>0</v>
      </c>
      <c r="R5049" s="2" t="inlineStr"/>
    </row>
    <row r="5050" ht="15" customHeight="1">
      <c r="A5050" t="inlineStr">
        <is>
          <t>A 10413-2025</t>
        </is>
      </c>
      <c r="B5050" s="1" t="n">
        <v>45720</v>
      </c>
      <c r="C5050" s="1" t="n">
        <v>45724</v>
      </c>
      <c r="D5050" t="inlineStr">
        <is>
          <t>VÄSTMANLANDS LÄN</t>
        </is>
      </c>
      <c r="E5050" t="inlineStr">
        <is>
          <t>HALLSTAHAMMAR</t>
        </is>
      </c>
      <c r="F5050" t="inlineStr">
        <is>
          <t>Allmännings- och besparingsskogar</t>
        </is>
      </c>
      <c r="G5050" t="n">
        <v>2.9</v>
      </c>
      <c r="H5050" t="n">
        <v>0</v>
      </c>
      <c r="I5050" t="n">
        <v>0</v>
      </c>
      <c r="J5050" t="n">
        <v>0</v>
      </c>
      <c r="K5050" t="n">
        <v>0</v>
      </c>
      <c r="L5050" t="n">
        <v>0</v>
      </c>
      <c r="M5050" t="n">
        <v>0</v>
      </c>
      <c r="N5050" t="n">
        <v>0</v>
      </c>
      <c r="O5050" t="n">
        <v>0</v>
      </c>
      <c r="P5050" t="n">
        <v>0</v>
      </c>
      <c r="Q5050" t="n">
        <v>0</v>
      </c>
      <c r="R5050" s="2" t="inlineStr"/>
    </row>
    <row r="5051" ht="15" customHeight="1">
      <c r="A5051" t="inlineStr">
        <is>
          <t>A 10472-2025</t>
        </is>
      </c>
      <c r="B5051" s="1" t="n">
        <v>45720</v>
      </c>
      <c r="C5051" s="1" t="n">
        <v>45724</v>
      </c>
      <c r="D5051" t="inlineStr">
        <is>
          <t>VÄSTMANLANDS LÄN</t>
        </is>
      </c>
      <c r="E5051" t="inlineStr">
        <is>
          <t>NORBERG</t>
        </is>
      </c>
      <c r="G5051" t="n">
        <v>1</v>
      </c>
      <c r="H5051" t="n">
        <v>0</v>
      </c>
      <c r="I5051" t="n">
        <v>0</v>
      </c>
      <c r="J5051" t="n">
        <v>0</v>
      </c>
      <c r="K5051" t="n">
        <v>0</v>
      </c>
      <c r="L5051" t="n">
        <v>0</v>
      </c>
      <c r="M5051" t="n">
        <v>0</v>
      </c>
      <c r="N5051" t="n">
        <v>0</v>
      </c>
      <c r="O5051" t="n">
        <v>0</v>
      </c>
      <c r="P5051" t="n">
        <v>0</v>
      </c>
      <c r="Q5051" t="n">
        <v>0</v>
      </c>
      <c r="R5051" s="2" t="inlineStr"/>
    </row>
    <row r="5052" ht="15" customHeight="1">
      <c r="A5052" t="inlineStr">
        <is>
          <t>A 10508-2025</t>
        </is>
      </c>
      <c r="B5052" s="1" t="n">
        <v>45721</v>
      </c>
      <c r="C5052" s="1" t="n">
        <v>45724</v>
      </c>
      <c r="D5052" t="inlineStr">
        <is>
          <t>VÄSTMANLANDS LÄN</t>
        </is>
      </c>
      <c r="E5052" t="inlineStr">
        <is>
          <t>SALA</t>
        </is>
      </c>
      <c r="G5052" t="n">
        <v>8.6</v>
      </c>
      <c r="H5052" t="n">
        <v>0</v>
      </c>
      <c r="I5052" t="n">
        <v>0</v>
      </c>
      <c r="J5052" t="n">
        <v>0</v>
      </c>
      <c r="K5052" t="n">
        <v>0</v>
      </c>
      <c r="L5052" t="n">
        <v>0</v>
      </c>
      <c r="M5052" t="n">
        <v>0</v>
      </c>
      <c r="N5052" t="n">
        <v>0</v>
      </c>
      <c r="O5052" t="n">
        <v>0</v>
      </c>
      <c r="P5052" t="n">
        <v>0</v>
      </c>
      <c r="Q5052" t="n">
        <v>0</v>
      </c>
      <c r="R5052" s="2" t="inlineStr"/>
    </row>
    <row r="5053" ht="15" customHeight="1">
      <c r="A5053" t="inlineStr">
        <is>
          <t>A 10820-2025</t>
        </is>
      </c>
      <c r="B5053" s="1" t="n">
        <v>45722</v>
      </c>
      <c r="C5053" s="1" t="n">
        <v>45724</v>
      </c>
      <c r="D5053" t="inlineStr">
        <is>
          <t>VÄSTMANLANDS LÄN</t>
        </is>
      </c>
      <c r="E5053" t="inlineStr">
        <is>
          <t>FAGERSTA</t>
        </is>
      </c>
      <c r="F5053" t="inlineStr">
        <is>
          <t>Sveaskog</t>
        </is>
      </c>
      <c r="G5053" t="n">
        <v>11.5</v>
      </c>
      <c r="H5053" t="n">
        <v>0</v>
      </c>
      <c r="I5053" t="n">
        <v>0</v>
      </c>
      <c r="J5053" t="n">
        <v>0</v>
      </c>
      <c r="K5053" t="n">
        <v>0</v>
      </c>
      <c r="L5053" t="n">
        <v>0</v>
      </c>
      <c r="M5053" t="n">
        <v>0</v>
      </c>
      <c r="N5053" t="n">
        <v>0</v>
      </c>
      <c r="O5053" t="n">
        <v>0</v>
      </c>
      <c r="P5053" t="n">
        <v>0</v>
      </c>
      <c r="Q5053" t="n">
        <v>0</v>
      </c>
      <c r="R5053" s="2" t="inlineStr"/>
    </row>
    <row r="5054" ht="15" customHeight="1">
      <c r="A5054" t="inlineStr">
        <is>
          <t>A 10824-2025</t>
        </is>
      </c>
      <c r="B5054" s="1" t="n">
        <v>45722</v>
      </c>
      <c r="C5054" s="1" t="n">
        <v>45724</v>
      </c>
      <c r="D5054" t="inlineStr">
        <is>
          <t>VÄSTMANLANDS LÄN</t>
        </is>
      </c>
      <c r="E5054" t="inlineStr">
        <is>
          <t>SALA</t>
        </is>
      </c>
      <c r="G5054" t="n">
        <v>4.3</v>
      </c>
      <c r="H5054" t="n">
        <v>0</v>
      </c>
      <c r="I5054" t="n">
        <v>0</v>
      </c>
      <c r="J5054" t="n">
        <v>0</v>
      </c>
      <c r="K5054" t="n">
        <v>0</v>
      </c>
      <c r="L5054" t="n">
        <v>0</v>
      </c>
      <c r="M5054" t="n">
        <v>0</v>
      </c>
      <c r="N5054" t="n">
        <v>0</v>
      </c>
      <c r="O5054" t="n">
        <v>0</v>
      </c>
      <c r="P5054" t="n">
        <v>0</v>
      </c>
      <c r="Q5054" t="n">
        <v>0</v>
      </c>
      <c r="R5054" s="2" t="inlineStr"/>
    </row>
    <row r="5055" ht="15" customHeight="1">
      <c r="A5055" t="inlineStr">
        <is>
          <t>A 10913-2025</t>
        </is>
      </c>
      <c r="B5055" s="1" t="n">
        <v>45722</v>
      </c>
      <c r="C5055" s="1" t="n">
        <v>45724</v>
      </c>
      <c r="D5055" t="inlineStr">
        <is>
          <t>VÄSTMANLANDS LÄN</t>
        </is>
      </c>
      <c r="E5055" t="inlineStr">
        <is>
          <t>SALA</t>
        </is>
      </c>
      <c r="G5055" t="n">
        <v>7.6</v>
      </c>
      <c r="H5055" t="n">
        <v>0</v>
      </c>
      <c r="I5055" t="n">
        <v>0</v>
      </c>
      <c r="J5055" t="n">
        <v>0</v>
      </c>
      <c r="K5055" t="n">
        <v>0</v>
      </c>
      <c r="L5055" t="n">
        <v>0</v>
      </c>
      <c r="M5055" t="n">
        <v>0</v>
      </c>
      <c r="N5055" t="n">
        <v>0</v>
      </c>
      <c r="O5055" t="n">
        <v>0</v>
      </c>
      <c r="P5055" t="n">
        <v>0</v>
      </c>
      <c r="Q5055" t="n">
        <v>0</v>
      </c>
      <c r="R5055" s="2" t="inlineStr"/>
    </row>
    <row r="5056">
      <c r="A5056" t="inlineStr">
        <is>
          <t>A 11153-2025</t>
        </is>
      </c>
      <c r="B5056" s="1" t="n">
        <v>45723</v>
      </c>
      <c r="C5056" s="1" t="n">
        <v>45724</v>
      </c>
      <c r="D5056" t="inlineStr">
        <is>
          <t>VÄSTMANLANDS LÄN</t>
        </is>
      </c>
      <c r="E5056" t="inlineStr">
        <is>
          <t>SALA</t>
        </is>
      </c>
      <c r="G5056" t="n">
        <v>4.3</v>
      </c>
      <c r="H5056" t="n">
        <v>0</v>
      </c>
      <c r="I5056" t="n">
        <v>0</v>
      </c>
      <c r="J5056" t="n">
        <v>0</v>
      </c>
      <c r="K5056" t="n">
        <v>0</v>
      </c>
      <c r="L5056" t="n">
        <v>0</v>
      </c>
      <c r="M5056" t="n">
        <v>0</v>
      </c>
      <c r="N5056" t="n">
        <v>0</v>
      </c>
      <c r="O5056" t="n">
        <v>0</v>
      </c>
      <c r="P5056" t="n">
        <v>0</v>
      </c>
      <c r="Q5056" t="n">
        <v>0</v>
      </c>
      <c r="R505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2025-03-08T18:03:25Z</dcterms:created>
  <dcterms:modified xmlns:dcterms="http://purl.org/dc/terms/" xmlns:xsi="http://www.w3.org/2001/XMLSchema-instance" xsi:type="dcterms:W3CDTF">2025-03-08T18:03:30Z</dcterms:modified>
</cp:coreProperties>
</file>